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차량목록" sheetId="2" state="visible" r:id="rId4"/>
    <sheet name="정비항목" sheetId="3" state="visible" r:id="rId5"/>
    <sheet name="정비이력" sheetId="4" state="visible" r:id="rId6"/>
    <sheet name="정비현황" sheetId="5" state="visible" r:id="rId7"/>
    <sheet name="교체대상" sheetId="6" state="visible" r:id="rId8"/>
    <sheet name="차량별비용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<sst xmlns="http://schemas.openxmlformats.org/spreadsheetml/2006/main" count="117" uniqueCount="91">
  <si>
    <t xml:space="preserve">차량 정비 · 소모품 교체 주기 관리</t>
  </si>
  <si>
    <t xml:space="preserve">핵심</t>
  </si>
  <si>
    <t xml:space="preserve">마지막 교체일과 주행거리를 넣으면 다음 교체 시점이 자동으로 계산됩니다.</t>
  </si>
  <si>
    <t xml:space="preserve">입력 규칙</t>
  </si>
  <si>
    <t xml:space="preserve">파란색 글씨 칸만 입력하세요. 검은색은 자동 계산입니다.</t>
  </si>
  <si>
    <t xml:space="preserve">① 차량목록</t>
  </si>
  <si>
    <t xml:space="preserve">차량번호·차종·현재 주행거리를 등록합니다. 주행거리는 계기판 숫자를 그대로요.</t>
  </si>
  <si>
    <t xml:space="preserve">② 정비항목</t>
  </si>
  <si>
    <t xml:space="preserve">엔진오일·타이어 등 교체 주기를 등록합니다. km 주기와 개월 주기를 둘 다 넣을 수 있습니다.</t>
  </si>
  <si>
    <t xml:space="preserve">둘 다 넣으면 먼저 오는 쪽이 기준이 됩니다. 하나만 넣어도 됩니다.</t>
  </si>
  <si>
    <t xml:space="preserve">③ 정비이력</t>
  </si>
  <si>
    <t xml:space="preserve">정비할 때마다 한 줄. 날짜·주행거리·항목·비용을 넣습니다.</t>
  </si>
  <si>
    <t xml:space="preserve">④ 정비현황</t>
  </si>
  <si>
    <t xml:space="preserve">차량 × 항목별로 다음 교체 시점과 남은 거리·날짜가 나옵니다.</t>
  </si>
  <si>
    <t xml:space="preserve">⑤ 교체대상</t>
  </si>
  <si>
    <t xml:space="preserve">지금 교체해야 하는 것만 모아서 보여줍니다.</t>
  </si>
  <si>
    <t xml:space="preserve">⑥ 차량별 비용</t>
  </si>
  <si>
    <t xml:space="preserve">차량별 정비 횟수와 누적 비용입니다.</t>
  </si>
  <si>
    <t xml:space="preserve">주행거리 갱신</t>
  </si>
  <si>
    <t xml:space="preserve">차량목록의 현재 주행거리를 주기적으로 직접 갱신해야 정확합니다.</t>
  </si>
  <si>
    <t xml:space="preserve">설정</t>
  </si>
  <si>
    <t xml:space="preserve">값을 바꾸면 모든 계산에 반영됩니다</t>
  </si>
  <si>
    <r>
      <rPr>
        <sz val="10"/>
        <rFont val="맑은 고딕"/>
        <family val="0"/>
        <charset val="1"/>
      </rPr>
      <t xml:space="preserve">km </t>
    </r>
    <r>
      <rPr>
        <sz val="10"/>
        <rFont val="Noto Sans CJK SC"/>
        <family val="2"/>
        <charset val="1"/>
      </rPr>
      <t xml:space="preserve">경고 기준</t>
    </r>
  </si>
  <si>
    <t xml:space="preserve">일수 경고 기준</t>
  </si>
  <si>
    <t xml:space="preserve">※ 교체 주기는 제조사 권장값이나 회사 규정을 확인하고 직접 넣으세요. 이 파일은 주기를 검증하지 않습니다.</t>
  </si>
  <si>
    <t xml:space="preserve">차량목록</t>
  </si>
  <si>
    <t xml:space="preserve">차량번호</t>
  </si>
  <si>
    <t xml:space="preserve">차종</t>
  </si>
  <si>
    <t xml:space="preserve">연식</t>
  </si>
  <si>
    <t xml:space="preserve">담당자</t>
  </si>
  <si>
    <t xml:space="preserve">현재 주행거리(km)</t>
  </si>
  <si>
    <t xml:space="preserve">등록일</t>
  </si>
  <si>
    <t xml:space="preserve">상태</t>
  </si>
  <si>
    <r>
      <rPr>
        <sz val="10"/>
        <color rgb="FF0000FF"/>
        <rFont val="맑은 고딕"/>
        <family val="0"/>
        <charset val="1"/>
      </rPr>
      <t xml:space="preserve">12</t>
    </r>
    <r>
      <rPr>
        <sz val="10"/>
        <color rgb="FF0000FF"/>
        <rFont val="Noto Sans CJK SC"/>
        <family val="2"/>
        <charset val="1"/>
      </rPr>
      <t xml:space="preserve">가</t>
    </r>
    <r>
      <rPr>
        <sz val="10"/>
        <color rgb="FF0000FF"/>
        <rFont val="맑은 고딕"/>
        <family val="0"/>
        <charset val="1"/>
      </rPr>
      <t xml:space="preserve">3456</t>
    </r>
  </si>
  <si>
    <t xml:space="preserve">포터2</t>
  </si>
  <si>
    <t xml:space="preserve">김기사</t>
  </si>
  <si>
    <t xml:space="preserve">운행</t>
  </si>
  <si>
    <r>
      <rPr>
        <sz val="10"/>
        <color rgb="FF0000FF"/>
        <rFont val="맑은 고딕"/>
        <family val="0"/>
        <charset val="1"/>
      </rPr>
      <t xml:space="preserve">34</t>
    </r>
    <r>
      <rPr>
        <sz val="10"/>
        <color rgb="FF0000FF"/>
        <rFont val="Noto Sans CJK SC"/>
        <family val="2"/>
        <charset val="1"/>
      </rPr>
      <t xml:space="preserve">나</t>
    </r>
    <r>
      <rPr>
        <sz val="10"/>
        <color rgb="FF0000FF"/>
        <rFont val="맑은 고딕"/>
        <family val="0"/>
        <charset val="1"/>
      </rPr>
      <t xml:space="preserve">5678</t>
    </r>
  </si>
  <si>
    <t xml:space="preserve">봉고3</t>
  </si>
  <si>
    <t xml:space="preserve">이기사</t>
  </si>
  <si>
    <r>
      <rPr>
        <sz val="10"/>
        <color rgb="FF0000FF"/>
        <rFont val="맑은 고딕"/>
        <family val="0"/>
        <charset val="1"/>
      </rPr>
      <t xml:space="preserve">56</t>
    </r>
    <r>
      <rPr>
        <sz val="10"/>
        <color rgb="FF0000FF"/>
        <rFont val="Noto Sans CJK SC"/>
        <family val="2"/>
        <charset val="1"/>
      </rPr>
      <t xml:space="preserve">다</t>
    </r>
    <r>
      <rPr>
        <sz val="10"/>
        <color rgb="FF0000FF"/>
        <rFont val="맑은 고딕"/>
        <family val="0"/>
        <charset val="1"/>
      </rPr>
      <t xml:space="preserve">7890</t>
    </r>
  </si>
  <si>
    <t xml:space="preserve">스타렉스</t>
  </si>
  <si>
    <t xml:space="preserve">박기사</t>
  </si>
  <si>
    <t xml:space="preserve">정비항목  (주기는 제조사 권장값을 확인하고 넣으세요)</t>
  </si>
  <si>
    <t xml:space="preserve">항목코드</t>
  </si>
  <si>
    <t xml:space="preserve">정비항목</t>
  </si>
  <si>
    <t xml:space="preserve">주기(km)</t>
  </si>
  <si>
    <t xml:space="preserve">주기(개월)</t>
  </si>
  <si>
    <t xml:space="preserve">비고</t>
  </si>
  <si>
    <t xml:space="preserve">M01</t>
  </si>
  <si>
    <t xml:space="preserve">엔진오일</t>
  </si>
  <si>
    <t xml:space="preserve">M02</t>
  </si>
  <si>
    <t xml:space="preserve">에어크리너</t>
  </si>
  <si>
    <t xml:space="preserve">M03</t>
  </si>
  <si>
    <t xml:space="preserve">타이어</t>
  </si>
  <si>
    <t xml:space="preserve">M04</t>
  </si>
  <si>
    <t xml:space="preserve">브레이크 패드</t>
  </si>
  <si>
    <t xml:space="preserve">M05</t>
  </si>
  <si>
    <t xml:space="preserve">정기검사</t>
  </si>
  <si>
    <r>
      <rPr>
        <sz val="9"/>
        <color rgb="FF808080"/>
        <rFont val="맑은 고딕"/>
        <family val="0"/>
        <charset val="1"/>
      </rPr>
      <t xml:space="preserve">※ km </t>
    </r>
    <r>
      <rPr>
        <sz val="9"/>
        <color rgb="FF808080"/>
        <rFont val="Noto Sans CJK SC"/>
        <family val="2"/>
        <charset val="1"/>
      </rPr>
      <t xml:space="preserve">주기만 있으면 개월은 비우고</t>
    </r>
    <r>
      <rPr>
        <sz val="9"/>
        <color rgb="FF808080"/>
        <rFont val="맑은 고딕"/>
        <family val="0"/>
        <charset val="1"/>
      </rPr>
      <t xml:space="preserve">, </t>
    </r>
    <r>
      <rPr>
        <sz val="9"/>
        <color rgb="FF808080"/>
        <rFont val="Noto Sans CJK SC"/>
        <family val="2"/>
        <charset val="1"/>
      </rPr>
      <t xml:space="preserve">날짜 기준만 있으면 </t>
    </r>
    <r>
      <rPr>
        <sz val="9"/>
        <color rgb="FF808080"/>
        <rFont val="맑은 고딕"/>
        <family val="0"/>
        <charset val="1"/>
      </rPr>
      <t xml:space="preserve">km</t>
    </r>
    <r>
      <rPr>
        <sz val="9"/>
        <color rgb="FF808080"/>
        <rFont val="Noto Sans CJK SC"/>
        <family val="2"/>
        <charset val="1"/>
      </rPr>
      <t xml:space="preserve">를 비우거나 </t>
    </r>
    <r>
      <rPr>
        <sz val="9"/>
        <color rgb="FF808080"/>
        <rFont val="맑은 고딕"/>
        <family val="0"/>
        <charset val="1"/>
      </rPr>
      <t xml:space="preserve">0</t>
    </r>
    <r>
      <rPr>
        <sz val="9"/>
        <color rgb="FF808080"/>
        <rFont val="Noto Sans CJK SC"/>
        <family val="2"/>
        <charset val="1"/>
      </rPr>
      <t xml:space="preserve">으로 넣으세요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</si>
  <si>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정비이력  (정비할 때마다 한 줄)</t>
  </si>
  <si>
    <t xml:space="preserve">정비일</t>
  </si>
  <si>
    <t xml:space="preserve">차종(자동)</t>
  </si>
  <si>
    <t xml:space="preserve">정비항목(자동)</t>
  </si>
  <si>
    <t xml:space="preserve">정비 시 주행거리</t>
  </si>
  <si>
    <t xml:space="preserve">비용</t>
  </si>
  <si>
    <t xml:space="preserve">정비소/비고</t>
  </si>
  <si>
    <t xml:space="preserve">정비현황  (차량 × 항목)</t>
  </si>
  <si>
    <t xml:space="preserve">오늘</t>
  </si>
  <si>
    <t xml:space="preserve">교체 대상</t>
  </si>
  <si>
    <t xml:space="preserve">임박</t>
  </si>
  <si>
    <t xml:space="preserve">항목</t>
  </si>
  <si>
    <t xml:space="preserve">최근 정비일</t>
  </si>
  <si>
    <t xml:space="preserve">최근 정비 km</t>
  </si>
  <si>
    <t xml:space="preserve">현재 km</t>
  </si>
  <si>
    <t xml:space="preserve">다음 교체 km</t>
  </si>
  <si>
    <t xml:space="preserve">남은 km</t>
  </si>
  <si>
    <t xml:space="preserve">다음 교체일</t>
  </si>
  <si>
    <t xml:space="preserve">D-Day</t>
  </si>
  <si>
    <t xml:space="preserve">※ 차량 30대 × 항목 12개까지 표시됩니다. km 주기와 개월 주기 중 먼저 오는 쪽이 기준입니다.</t>
  </si>
  <si>
    <t xml:space="preserve">※ 정비 이력이 없으면 현재 주행거리·오늘 날짜를 기준으로 첫 교체 시점을 잡습니다.</t>
  </si>
  <si>
    <t xml:space="preserve">교체대상  (지금 해야 하는 것)</t>
  </si>
  <si>
    <t xml:space="preserve">해당 건수</t>
  </si>
  <si>
    <t xml:space="preserve">순번</t>
  </si>
  <si>
    <t xml:space="preserve">차량별비용</t>
  </si>
  <si>
    <t xml:space="preserve">대상 연도</t>
  </si>
  <si>
    <t xml:space="preserve">현재 주행거리</t>
  </si>
  <si>
    <t xml:space="preserve">정비 횟수</t>
  </si>
  <si>
    <t xml:space="preserve">연간 비용</t>
  </si>
  <si>
    <t xml:space="preserve">누적 비용</t>
  </si>
  <si>
    <t xml:space="preserve">교체대상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</si>
</sst>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yyyy\-mm\-dd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9"/>
      <color rgb="FF80808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  <c r="C15" s="6" t="s">
        <v>21</v>
      </c>
    </row>
    <row r="16" customFormat="false" ht="15" hidden="false" customHeight="true" outlineLevel="0" collapsed="false">
      <c r="B16" s="7" t="s">
        <v>22</v>
      </c>
      <c r="C16" s="8" t="n">
        <v>1000</v>
      </c>
    </row>
    <row r="17" customFormat="false" ht="15" hidden="false" customHeight="true" outlineLevel="0" collapsed="false">
      <c r="B17" s="4" t="s">
        <v>23</v>
      </c>
      <c r="C17" s="9" t="n">
        <v>30</v>
      </c>
    </row>
    <row r="19" customFormat="false" ht="15" hidden="false" customHeight="true" outlineLevel="0" collapsed="false">
      <c r="B19" s="6" t="s">
        <v>24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9"/>
    <col collapsed="false" customWidth="true" hidden="false" outlineLevel="0" max="6" min="6" style="1" width="13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</row>
    <row r="3" customFormat="false" ht="15" hidden="false" customHeight="true" outlineLevel="0" collapsed="false">
      <c r="A3" s="11" t="s">
        <v>33</v>
      </c>
      <c r="B3" s="12" t="s">
        <v>34</v>
      </c>
      <c r="C3" s="13" t="n">
        <v>2022</v>
      </c>
      <c r="D3" s="12" t="s">
        <v>35</v>
      </c>
      <c r="E3" s="14" t="n">
        <v>81800</v>
      </c>
      <c r="F3" s="15" t="n">
        <v>44621</v>
      </c>
      <c r="G3" s="12" t="s">
        <v>36</v>
      </c>
    </row>
    <row r="4" customFormat="false" ht="15" hidden="false" customHeight="true" outlineLevel="0" collapsed="false">
      <c r="A4" s="11" t="s">
        <v>37</v>
      </c>
      <c r="B4" s="12" t="s">
        <v>38</v>
      </c>
      <c r="C4" s="13" t="n">
        <v>2023</v>
      </c>
      <c r="D4" s="12" t="s">
        <v>39</v>
      </c>
      <c r="E4" s="14" t="n">
        <v>42300</v>
      </c>
      <c r="F4" s="15" t="n">
        <v>45056</v>
      </c>
      <c r="G4" s="12" t="s">
        <v>36</v>
      </c>
    </row>
    <row r="5" customFormat="false" ht="15" hidden="false" customHeight="true" outlineLevel="0" collapsed="false">
      <c r="A5" s="11" t="s">
        <v>40</v>
      </c>
      <c r="B5" s="12" t="s">
        <v>41</v>
      </c>
      <c r="C5" s="13" t="n">
        <v>2021</v>
      </c>
      <c r="D5" s="12" t="s">
        <v>42</v>
      </c>
      <c r="E5" s="14" t="n">
        <v>125000</v>
      </c>
      <c r="F5" s="15" t="n">
        <v>44242</v>
      </c>
      <c r="G5" s="12" t="s">
        <v>36</v>
      </c>
    </row>
    <row r="6" customFormat="false" ht="15" hidden="false" customHeight="true" outlineLevel="0" collapsed="false">
      <c r="A6" s="11"/>
      <c r="B6" s="11"/>
      <c r="C6" s="13"/>
      <c r="D6" s="11"/>
      <c r="E6" s="14"/>
      <c r="F6" s="15"/>
      <c r="G6" s="12"/>
    </row>
    <row r="7" customFormat="false" ht="15" hidden="false" customHeight="true" outlineLevel="0" collapsed="false">
      <c r="A7" s="11"/>
      <c r="B7" s="11"/>
      <c r="C7" s="13"/>
      <c r="D7" s="11"/>
      <c r="E7" s="14"/>
      <c r="F7" s="15"/>
      <c r="G7" s="12"/>
    </row>
    <row r="8" customFormat="false" ht="15" hidden="false" customHeight="true" outlineLevel="0" collapsed="false">
      <c r="A8" s="11"/>
      <c r="B8" s="11"/>
      <c r="C8" s="13"/>
      <c r="D8" s="11"/>
      <c r="E8" s="14"/>
      <c r="F8" s="15"/>
      <c r="G8" s="12"/>
    </row>
    <row r="9" customFormat="false" ht="15" hidden="false" customHeight="true" outlineLevel="0" collapsed="false">
      <c r="A9" s="11"/>
      <c r="B9" s="11"/>
      <c r="C9" s="13"/>
      <c r="D9" s="11"/>
      <c r="E9" s="14"/>
      <c r="F9" s="15"/>
      <c r="G9" s="12"/>
    </row>
    <row r="10" customFormat="false" ht="15" hidden="false" customHeight="true" outlineLevel="0" collapsed="false">
      <c r="A10" s="11"/>
      <c r="B10" s="11"/>
      <c r="C10" s="13"/>
      <c r="D10" s="11"/>
      <c r="E10" s="14"/>
      <c r="F10" s="15"/>
      <c r="G10" s="12"/>
    </row>
    <row r="11" customFormat="false" ht="15" hidden="false" customHeight="true" outlineLevel="0" collapsed="false">
      <c r="A11" s="11"/>
      <c r="B11" s="11"/>
      <c r="C11" s="13"/>
      <c r="D11" s="11"/>
      <c r="E11" s="14"/>
      <c r="F11" s="15"/>
      <c r="G11" s="12"/>
    </row>
    <row r="12" customFormat="false" ht="15" hidden="false" customHeight="true" outlineLevel="0" collapsed="false">
      <c r="A12" s="11"/>
      <c r="B12" s="11"/>
      <c r="C12" s="13"/>
      <c r="D12" s="11"/>
      <c r="E12" s="14"/>
      <c r="F12" s="15"/>
      <c r="G12" s="12"/>
    </row>
    <row r="13" customFormat="false" ht="15" hidden="false" customHeight="true" outlineLevel="0" collapsed="false">
      <c r="A13" s="11"/>
      <c r="B13" s="11"/>
      <c r="C13" s="13"/>
      <c r="D13" s="11"/>
      <c r="E13" s="14"/>
      <c r="F13" s="15"/>
      <c r="G13" s="12"/>
    </row>
    <row r="14" customFormat="false" ht="15" hidden="false" customHeight="true" outlineLevel="0" collapsed="false">
      <c r="A14" s="11"/>
      <c r="B14" s="11"/>
      <c r="C14" s="13"/>
      <c r="D14" s="11"/>
      <c r="E14" s="14"/>
      <c r="F14" s="15"/>
      <c r="G14" s="12"/>
    </row>
    <row r="15" customFormat="false" ht="15" hidden="false" customHeight="true" outlineLevel="0" collapsed="false">
      <c r="A15" s="11"/>
      <c r="B15" s="11"/>
      <c r="C15" s="13"/>
      <c r="D15" s="11"/>
      <c r="E15" s="14"/>
      <c r="F15" s="15"/>
      <c r="G15" s="12"/>
    </row>
    <row r="16" customFormat="false" ht="15" hidden="false" customHeight="true" outlineLevel="0" collapsed="false">
      <c r="A16" s="11"/>
      <c r="B16" s="11"/>
      <c r="C16" s="13"/>
      <c r="D16" s="11"/>
      <c r="E16" s="14"/>
      <c r="F16" s="15"/>
      <c r="G16" s="12"/>
    </row>
    <row r="17" customFormat="false" ht="15" hidden="false" customHeight="true" outlineLevel="0" collapsed="false">
      <c r="A17" s="11"/>
      <c r="B17" s="11"/>
      <c r="C17" s="13"/>
      <c r="D17" s="11"/>
      <c r="E17" s="14"/>
      <c r="F17" s="15"/>
      <c r="G17" s="12"/>
    </row>
    <row r="18" customFormat="false" ht="15" hidden="false" customHeight="true" outlineLevel="0" collapsed="false">
      <c r="A18" s="11"/>
      <c r="B18" s="11"/>
      <c r="C18" s="13"/>
      <c r="D18" s="11"/>
      <c r="E18" s="14"/>
      <c r="F18" s="15"/>
      <c r="G18" s="12"/>
    </row>
    <row r="19" customFormat="false" ht="15" hidden="false" customHeight="true" outlineLevel="0" collapsed="false">
      <c r="A19" s="11"/>
      <c r="B19" s="11"/>
      <c r="C19" s="13"/>
      <c r="D19" s="11"/>
      <c r="E19" s="14"/>
      <c r="F19" s="15"/>
      <c r="G19" s="12"/>
    </row>
    <row r="20" customFormat="false" ht="15" hidden="false" customHeight="true" outlineLevel="0" collapsed="false">
      <c r="A20" s="11"/>
      <c r="B20" s="11"/>
      <c r="C20" s="13"/>
      <c r="D20" s="11"/>
      <c r="E20" s="14"/>
      <c r="F20" s="15"/>
      <c r="G20" s="12"/>
    </row>
    <row r="21" customFormat="false" ht="15" hidden="false" customHeight="true" outlineLevel="0" collapsed="false">
      <c r="A21" s="11"/>
      <c r="B21" s="11"/>
      <c r="C21" s="13"/>
      <c r="D21" s="11"/>
      <c r="E21" s="14"/>
      <c r="F21" s="15"/>
      <c r="G21" s="12"/>
    </row>
    <row r="22" customFormat="false" ht="15" hidden="false" customHeight="true" outlineLevel="0" collapsed="false">
      <c r="A22" s="11"/>
      <c r="B22" s="11"/>
      <c r="C22" s="13"/>
      <c r="D22" s="11"/>
      <c r="E22" s="14"/>
      <c r="F22" s="15"/>
      <c r="G22" s="12"/>
    </row>
    <row r="23" customFormat="false" ht="15" hidden="false" customHeight="true" outlineLevel="0" collapsed="false">
      <c r="A23" s="11"/>
      <c r="B23" s="11"/>
      <c r="C23" s="13"/>
      <c r="D23" s="11"/>
      <c r="E23" s="14"/>
      <c r="F23" s="15"/>
      <c r="G23" s="12"/>
    </row>
    <row r="24" customFormat="false" ht="15" hidden="false" customHeight="true" outlineLevel="0" collapsed="false">
      <c r="A24" s="11"/>
      <c r="B24" s="11"/>
      <c r="C24" s="13"/>
      <c r="D24" s="11"/>
      <c r="E24" s="14"/>
      <c r="F24" s="15"/>
      <c r="G24" s="12"/>
    </row>
    <row r="25" customFormat="false" ht="15" hidden="false" customHeight="true" outlineLevel="0" collapsed="false">
      <c r="A25" s="11"/>
      <c r="B25" s="11"/>
      <c r="C25" s="13"/>
      <c r="D25" s="11"/>
      <c r="E25" s="14"/>
      <c r="F25" s="15"/>
      <c r="G25" s="12"/>
    </row>
    <row r="26" customFormat="false" ht="15" hidden="false" customHeight="true" outlineLevel="0" collapsed="false">
      <c r="A26" s="11"/>
      <c r="B26" s="11"/>
      <c r="C26" s="13"/>
      <c r="D26" s="11"/>
      <c r="E26" s="14"/>
      <c r="F26" s="15"/>
      <c r="G26" s="12"/>
    </row>
    <row r="27" customFormat="false" ht="15" hidden="false" customHeight="true" outlineLevel="0" collapsed="false">
      <c r="A27" s="11"/>
      <c r="B27" s="11"/>
      <c r="C27" s="13"/>
      <c r="D27" s="11"/>
      <c r="E27" s="14"/>
      <c r="F27" s="15"/>
      <c r="G27" s="12"/>
    </row>
    <row r="28" customFormat="false" ht="15" hidden="false" customHeight="true" outlineLevel="0" collapsed="false">
      <c r="A28" s="11"/>
      <c r="B28" s="11"/>
      <c r="C28" s="13"/>
      <c r="D28" s="11"/>
      <c r="E28" s="14"/>
      <c r="F28" s="15"/>
      <c r="G28" s="12"/>
    </row>
    <row r="29" customFormat="false" ht="15" hidden="false" customHeight="true" outlineLevel="0" collapsed="false">
      <c r="A29" s="11"/>
      <c r="B29" s="11"/>
      <c r="C29" s="13"/>
      <c r="D29" s="11"/>
      <c r="E29" s="14"/>
      <c r="F29" s="15"/>
      <c r="G29" s="12"/>
    </row>
    <row r="30" customFormat="false" ht="15" hidden="false" customHeight="true" outlineLevel="0" collapsed="false">
      <c r="A30" s="11"/>
      <c r="B30" s="11"/>
      <c r="C30" s="13"/>
      <c r="D30" s="11"/>
      <c r="E30" s="14"/>
      <c r="F30" s="15"/>
      <c r="G30" s="12"/>
    </row>
    <row r="31" customFormat="false" ht="15" hidden="false" customHeight="true" outlineLevel="0" collapsed="false">
      <c r="A31" s="11"/>
      <c r="B31" s="11"/>
      <c r="C31" s="13"/>
      <c r="D31" s="11"/>
      <c r="E31" s="14"/>
      <c r="F31" s="15"/>
      <c r="G31" s="12"/>
    </row>
    <row r="32" customFormat="false" ht="15" hidden="false" customHeight="true" outlineLevel="0" collapsed="false">
      <c r="A32" s="11"/>
      <c r="B32" s="11"/>
      <c r="C32" s="13"/>
      <c r="D32" s="11"/>
      <c r="E32" s="14"/>
      <c r="F32" s="15"/>
      <c r="G32" s="12"/>
    </row>
    <row r="33" customFormat="false" ht="15" hidden="false" customHeight="true" outlineLevel="0" collapsed="false">
      <c r="A33" s="11"/>
      <c r="B33" s="11"/>
      <c r="C33" s="13"/>
      <c r="D33" s="11"/>
      <c r="E33" s="14"/>
      <c r="F33" s="15"/>
      <c r="G33" s="12"/>
    </row>
    <row r="34" customFormat="false" ht="15" hidden="false" customHeight="true" outlineLevel="0" collapsed="false">
      <c r="A34" s="11"/>
      <c r="B34" s="11"/>
      <c r="C34" s="13"/>
      <c r="D34" s="11"/>
      <c r="E34" s="14"/>
      <c r="F34" s="15"/>
      <c r="G34" s="12"/>
    </row>
    <row r="35" customFormat="false" ht="15" hidden="false" customHeight="true" outlineLevel="0" collapsed="false">
      <c r="A35" s="11"/>
      <c r="B35" s="11"/>
      <c r="C35" s="13"/>
      <c r="D35" s="11"/>
      <c r="E35" s="14"/>
      <c r="F35" s="15"/>
      <c r="G35" s="12"/>
    </row>
    <row r="36" customFormat="false" ht="15" hidden="false" customHeight="true" outlineLevel="0" collapsed="false">
      <c r="A36" s="11"/>
      <c r="B36" s="11"/>
      <c r="C36" s="13"/>
      <c r="D36" s="11"/>
      <c r="E36" s="14"/>
      <c r="F36" s="15"/>
      <c r="G36" s="12"/>
    </row>
    <row r="37" customFormat="false" ht="15" hidden="false" customHeight="true" outlineLevel="0" collapsed="false">
      <c r="A37" s="11"/>
      <c r="B37" s="11"/>
      <c r="C37" s="13"/>
      <c r="D37" s="11"/>
      <c r="E37" s="14"/>
      <c r="F37" s="15"/>
      <c r="G37" s="12"/>
    </row>
    <row r="38" customFormat="false" ht="15" hidden="false" customHeight="true" outlineLevel="0" collapsed="false">
      <c r="A38" s="11"/>
      <c r="B38" s="11"/>
      <c r="C38" s="13"/>
      <c r="D38" s="11"/>
      <c r="E38" s="14"/>
      <c r="F38" s="15"/>
      <c r="G38" s="12"/>
    </row>
    <row r="39" customFormat="false" ht="15" hidden="false" customHeight="true" outlineLevel="0" collapsed="false">
      <c r="A39" s="11"/>
      <c r="B39" s="11"/>
      <c r="C39" s="13"/>
      <c r="D39" s="11"/>
      <c r="E39" s="14"/>
      <c r="F39" s="15"/>
      <c r="G39" s="12"/>
    </row>
    <row r="40" customFormat="false" ht="15" hidden="false" customHeight="true" outlineLevel="0" collapsed="false">
      <c r="A40" s="11"/>
      <c r="B40" s="11"/>
      <c r="C40" s="13"/>
      <c r="D40" s="11"/>
      <c r="E40" s="14"/>
      <c r="F40" s="15"/>
      <c r="G40" s="12"/>
    </row>
    <row r="41" customFormat="false" ht="15" hidden="false" customHeight="true" outlineLevel="0" collapsed="false">
      <c r="A41" s="11"/>
      <c r="B41" s="11"/>
      <c r="C41" s="13"/>
      <c r="D41" s="11"/>
      <c r="E41" s="14"/>
      <c r="F41" s="15"/>
      <c r="G41" s="12"/>
    </row>
    <row r="42" customFormat="false" ht="15" hidden="false" customHeight="true" outlineLevel="0" collapsed="false">
      <c r="A42" s="11"/>
      <c r="B42" s="11"/>
      <c r="C42" s="13"/>
      <c r="D42" s="11"/>
      <c r="E42" s="14"/>
      <c r="F42" s="15"/>
      <c r="G42" s="12"/>
    </row>
    <row r="43" customFormat="false" ht="15" hidden="false" customHeight="true" outlineLevel="0" collapsed="false">
      <c r="A43" s="11"/>
      <c r="B43" s="11"/>
      <c r="C43" s="13"/>
      <c r="D43" s="11"/>
      <c r="E43" s="14"/>
      <c r="F43" s="15"/>
      <c r="G43" s="12"/>
    </row>
    <row r="44" customFormat="false" ht="15" hidden="false" customHeight="true" outlineLevel="0" collapsed="false">
      <c r="A44" s="11"/>
      <c r="B44" s="11"/>
      <c r="C44" s="13"/>
      <c r="D44" s="11"/>
      <c r="E44" s="14"/>
      <c r="F44" s="15"/>
      <c r="G44" s="12"/>
    </row>
    <row r="45" customFormat="false" ht="15" hidden="false" customHeight="true" outlineLevel="0" collapsed="false">
      <c r="A45" s="11"/>
      <c r="B45" s="11"/>
      <c r="C45" s="13"/>
      <c r="D45" s="11"/>
      <c r="E45" s="14"/>
      <c r="F45" s="15"/>
      <c r="G45" s="12"/>
    </row>
    <row r="46" customFormat="false" ht="15" hidden="false" customHeight="true" outlineLevel="0" collapsed="false">
      <c r="A46" s="11"/>
      <c r="B46" s="11"/>
      <c r="C46" s="13"/>
      <c r="D46" s="11"/>
      <c r="E46" s="14"/>
      <c r="F46" s="15"/>
      <c r="G46" s="12"/>
    </row>
    <row r="47" customFormat="false" ht="15" hidden="false" customHeight="true" outlineLevel="0" collapsed="false">
      <c r="A47" s="11"/>
      <c r="B47" s="11"/>
      <c r="C47" s="13"/>
      <c r="D47" s="11"/>
      <c r="E47" s="14"/>
      <c r="F47" s="15"/>
      <c r="G47" s="12"/>
    </row>
    <row r="48" customFormat="false" ht="15" hidden="false" customHeight="true" outlineLevel="0" collapsed="false">
      <c r="A48" s="11"/>
      <c r="B48" s="11"/>
      <c r="C48" s="13"/>
      <c r="D48" s="11"/>
      <c r="E48" s="14"/>
      <c r="F48" s="15"/>
      <c r="G48" s="12"/>
    </row>
    <row r="49" customFormat="false" ht="15" hidden="false" customHeight="true" outlineLevel="0" collapsed="false">
      <c r="A49" s="11"/>
      <c r="B49" s="11"/>
      <c r="C49" s="13"/>
      <c r="D49" s="11"/>
      <c r="E49" s="14"/>
      <c r="F49" s="15"/>
      <c r="G49" s="12"/>
    </row>
    <row r="50" customFormat="false" ht="15" hidden="false" customHeight="true" outlineLevel="0" collapsed="false">
      <c r="A50" s="11"/>
      <c r="B50" s="11"/>
      <c r="C50" s="13"/>
      <c r="D50" s="11"/>
      <c r="E50" s="14"/>
      <c r="F50" s="15"/>
      <c r="G50" s="12"/>
    </row>
    <row r="51" customFormat="false" ht="15" hidden="false" customHeight="true" outlineLevel="0" collapsed="false">
      <c r="A51" s="11"/>
      <c r="B51" s="11"/>
      <c r="C51" s="13"/>
      <c r="D51" s="11"/>
      <c r="E51" s="14"/>
      <c r="F51" s="15"/>
      <c r="G51" s="12"/>
    </row>
    <row r="52" customFormat="false" ht="15" hidden="false" customHeight="true" outlineLevel="0" collapsed="false">
      <c r="A52" s="11"/>
      <c r="B52" s="11"/>
      <c r="C52" s="13"/>
      <c r="D52" s="11"/>
      <c r="E52" s="14"/>
      <c r="F52" s="15"/>
      <c r="G52" s="12"/>
    </row>
    <row r="53" customFormat="false" ht="15" hidden="false" customHeight="true" outlineLevel="0" collapsed="false">
      <c r="A53" s="11"/>
      <c r="B53" s="11"/>
      <c r="C53" s="13"/>
      <c r="D53" s="11"/>
      <c r="E53" s="14"/>
      <c r="F53" s="15"/>
      <c r="G53" s="12"/>
    </row>
    <row r="54" customFormat="false" ht="15" hidden="false" customHeight="true" outlineLevel="0" collapsed="false">
      <c r="A54" s="11"/>
      <c r="B54" s="11"/>
      <c r="C54" s="13"/>
      <c r="D54" s="11"/>
      <c r="E54" s="14"/>
      <c r="F54" s="15"/>
      <c r="G54" s="12"/>
    </row>
    <row r="55" customFormat="false" ht="15" hidden="false" customHeight="true" outlineLevel="0" collapsed="false">
      <c r="A55" s="11"/>
      <c r="B55" s="11"/>
      <c r="C55" s="13"/>
      <c r="D55" s="11"/>
      <c r="E55" s="14"/>
      <c r="F55" s="15"/>
      <c r="G55" s="12"/>
    </row>
    <row r="56" customFormat="false" ht="15" hidden="false" customHeight="true" outlineLevel="0" collapsed="false">
      <c r="A56" s="11"/>
      <c r="B56" s="11"/>
      <c r="C56" s="13"/>
      <c r="D56" s="11"/>
      <c r="E56" s="14"/>
      <c r="F56" s="15"/>
      <c r="G56" s="12"/>
    </row>
    <row r="57" customFormat="false" ht="15" hidden="false" customHeight="true" outlineLevel="0" collapsed="false">
      <c r="A57" s="11"/>
      <c r="B57" s="11"/>
      <c r="C57" s="13"/>
      <c r="D57" s="11"/>
      <c r="E57" s="14"/>
      <c r="F57" s="15"/>
      <c r="G57" s="12"/>
    </row>
    <row r="58" customFormat="false" ht="15" hidden="false" customHeight="true" outlineLevel="0" collapsed="false">
      <c r="A58" s="11"/>
      <c r="B58" s="11"/>
      <c r="C58" s="13"/>
      <c r="D58" s="11"/>
      <c r="E58" s="14"/>
      <c r="F58" s="15"/>
      <c r="G58" s="12"/>
    </row>
    <row r="59" customFormat="false" ht="15" hidden="false" customHeight="true" outlineLevel="0" collapsed="false">
      <c r="A59" s="11"/>
      <c r="B59" s="11"/>
      <c r="C59" s="13"/>
      <c r="D59" s="11"/>
      <c r="E59" s="14"/>
      <c r="F59" s="15"/>
      <c r="G59" s="12"/>
    </row>
    <row r="60" customFormat="false" ht="15" hidden="false" customHeight="true" outlineLevel="0" collapsed="false">
      <c r="A60" s="11"/>
      <c r="B60" s="11"/>
      <c r="C60" s="13"/>
      <c r="D60" s="11"/>
      <c r="E60" s="14"/>
      <c r="F60" s="15"/>
      <c r="G60" s="12"/>
    </row>
    <row r="61" customFormat="false" ht="15" hidden="false" customHeight="true" outlineLevel="0" collapsed="false">
      <c r="A61" s="11"/>
      <c r="B61" s="11"/>
      <c r="C61" s="13"/>
      <c r="D61" s="11"/>
      <c r="E61" s="14"/>
      <c r="F61" s="15"/>
      <c r="G61" s="12"/>
    </row>
    <row r="62" customFormat="false" ht="15" hidden="false" customHeight="true" outlineLevel="0" collapsed="false">
      <c r="A62" s="11"/>
      <c r="B62" s="11"/>
      <c r="C62" s="13"/>
      <c r="D62" s="11"/>
      <c r="E62" s="14"/>
      <c r="F62" s="15"/>
      <c r="G62" s="12"/>
    </row>
    <row r="63" customFormat="false" ht="15" hidden="false" customHeight="true" outlineLevel="0" collapsed="false">
      <c r="A63" s="11"/>
      <c r="B63" s="11"/>
      <c r="C63" s="13"/>
      <c r="D63" s="11"/>
      <c r="E63" s="14"/>
      <c r="F63" s="15"/>
      <c r="G63" s="12"/>
    </row>
    <row r="64" customFormat="false" ht="15" hidden="false" customHeight="true" outlineLevel="0" collapsed="false">
      <c r="A64" s="11"/>
      <c r="B64" s="11"/>
      <c r="C64" s="13"/>
      <c r="D64" s="11"/>
      <c r="E64" s="14"/>
      <c r="F64" s="15"/>
      <c r="G64" s="12"/>
    </row>
    <row r="65" customFormat="false" ht="15" hidden="false" customHeight="true" outlineLevel="0" collapsed="false">
      <c r="A65" s="11"/>
      <c r="B65" s="11"/>
      <c r="C65" s="13"/>
      <c r="D65" s="11"/>
      <c r="E65" s="14"/>
      <c r="F65" s="15"/>
      <c r="G65" s="12"/>
    </row>
    <row r="66" customFormat="false" ht="15" hidden="false" customHeight="true" outlineLevel="0" collapsed="false">
      <c r="A66" s="11"/>
      <c r="B66" s="11"/>
      <c r="C66" s="13"/>
      <c r="D66" s="11"/>
      <c r="E66" s="14"/>
      <c r="F66" s="15"/>
      <c r="G66" s="12"/>
    </row>
    <row r="67" customFormat="false" ht="15" hidden="false" customHeight="true" outlineLevel="0" collapsed="false">
      <c r="A67" s="11"/>
      <c r="B67" s="11"/>
      <c r="C67" s="13"/>
      <c r="D67" s="11"/>
      <c r="E67" s="14"/>
      <c r="F67" s="15"/>
      <c r="G67" s="12"/>
    </row>
    <row r="68" customFormat="false" ht="15" hidden="false" customHeight="true" outlineLevel="0" collapsed="false">
      <c r="A68" s="11"/>
      <c r="B68" s="11"/>
      <c r="C68" s="13"/>
      <c r="D68" s="11"/>
      <c r="E68" s="14"/>
      <c r="F68" s="15"/>
      <c r="G68" s="12"/>
    </row>
    <row r="69" customFormat="false" ht="15" hidden="false" customHeight="true" outlineLevel="0" collapsed="false">
      <c r="A69" s="11"/>
      <c r="B69" s="11"/>
      <c r="C69" s="13"/>
      <c r="D69" s="11"/>
      <c r="E69" s="14"/>
      <c r="F69" s="15"/>
      <c r="G69" s="12"/>
    </row>
    <row r="70" customFormat="false" ht="15" hidden="false" customHeight="true" outlineLevel="0" collapsed="false">
      <c r="A70" s="11"/>
      <c r="B70" s="11"/>
      <c r="C70" s="13"/>
      <c r="D70" s="11"/>
      <c r="E70" s="14"/>
      <c r="F70" s="15"/>
      <c r="G70" s="12"/>
    </row>
    <row r="71" customFormat="false" ht="15" hidden="false" customHeight="true" outlineLevel="0" collapsed="false">
      <c r="A71" s="11"/>
      <c r="B71" s="11"/>
      <c r="C71" s="13"/>
      <c r="D71" s="11"/>
      <c r="E71" s="14"/>
      <c r="F71" s="15"/>
      <c r="G71" s="12"/>
    </row>
    <row r="72" customFormat="false" ht="15" hidden="false" customHeight="true" outlineLevel="0" collapsed="false">
      <c r="A72" s="11"/>
      <c r="B72" s="11"/>
      <c r="C72" s="13"/>
      <c r="D72" s="11"/>
      <c r="E72" s="14"/>
      <c r="F72" s="15"/>
      <c r="G72" s="12"/>
    </row>
    <row r="73" customFormat="false" ht="15" hidden="false" customHeight="true" outlineLevel="0" collapsed="false">
      <c r="A73" s="11"/>
      <c r="B73" s="11"/>
      <c r="C73" s="13"/>
      <c r="D73" s="11"/>
      <c r="E73" s="14"/>
      <c r="F73" s="15"/>
      <c r="G73" s="12"/>
    </row>
    <row r="74" customFormat="false" ht="15" hidden="false" customHeight="true" outlineLevel="0" collapsed="false">
      <c r="A74" s="11"/>
      <c r="B74" s="11"/>
      <c r="C74" s="13"/>
      <c r="D74" s="11"/>
      <c r="E74" s="14"/>
      <c r="F74" s="15"/>
      <c r="G74" s="12"/>
    </row>
    <row r="75" customFormat="false" ht="15" hidden="false" customHeight="true" outlineLevel="0" collapsed="false">
      <c r="A75" s="11"/>
      <c r="B75" s="11"/>
      <c r="C75" s="13"/>
      <c r="D75" s="11"/>
      <c r="E75" s="14"/>
      <c r="F75" s="15"/>
      <c r="G75" s="12"/>
    </row>
    <row r="76" customFormat="false" ht="15" hidden="false" customHeight="true" outlineLevel="0" collapsed="false">
      <c r="A76" s="11"/>
      <c r="B76" s="11"/>
      <c r="C76" s="13"/>
      <c r="D76" s="11"/>
      <c r="E76" s="14"/>
      <c r="F76" s="15"/>
      <c r="G76" s="12"/>
    </row>
    <row r="77" customFormat="false" ht="15" hidden="false" customHeight="true" outlineLevel="0" collapsed="false">
      <c r="A77" s="11"/>
      <c r="B77" s="11"/>
      <c r="C77" s="13"/>
      <c r="D77" s="11"/>
      <c r="E77" s="14"/>
      <c r="F77" s="15"/>
      <c r="G77" s="12"/>
    </row>
    <row r="78" customFormat="false" ht="15" hidden="false" customHeight="true" outlineLevel="0" collapsed="false">
      <c r="A78" s="11"/>
      <c r="B78" s="11"/>
      <c r="C78" s="13"/>
      <c r="D78" s="11"/>
      <c r="E78" s="14"/>
      <c r="F78" s="15"/>
      <c r="G78" s="12"/>
    </row>
    <row r="79" customFormat="false" ht="15" hidden="false" customHeight="true" outlineLevel="0" collapsed="false">
      <c r="A79" s="11"/>
      <c r="B79" s="11"/>
      <c r="C79" s="13"/>
      <c r="D79" s="11"/>
      <c r="E79" s="14"/>
      <c r="F79" s="15"/>
      <c r="G79" s="12"/>
    </row>
    <row r="80" customFormat="false" ht="15" hidden="false" customHeight="true" outlineLevel="0" collapsed="false">
      <c r="A80" s="11"/>
      <c r="B80" s="11"/>
      <c r="C80" s="13"/>
      <c r="D80" s="11"/>
      <c r="E80" s="14"/>
      <c r="F80" s="15"/>
      <c r="G80" s="12"/>
    </row>
    <row r="81" customFormat="false" ht="15" hidden="false" customHeight="true" outlineLevel="0" collapsed="false">
      <c r="A81" s="11"/>
      <c r="B81" s="11"/>
      <c r="C81" s="13"/>
      <c r="D81" s="11"/>
      <c r="E81" s="14"/>
      <c r="F81" s="15"/>
      <c r="G81" s="12"/>
    </row>
    <row r="82" customFormat="false" ht="15" hidden="false" customHeight="true" outlineLevel="0" collapsed="false">
      <c r="A82" s="11"/>
      <c r="B82" s="11"/>
      <c r="C82" s="13"/>
      <c r="D82" s="11"/>
      <c r="E82" s="14"/>
      <c r="F82" s="15"/>
      <c r="G82" s="12"/>
    </row>
    <row r="83" customFormat="false" ht="15" hidden="false" customHeight="true" outlineLevel="0" collapsed="false">
      <c r="A83" s="11"/>
      <c r="B83" s="11"/>
      <c r="C83" s="13"/>
      <c r="D83" s="11"/>
      <c r="E83" s="14"/>
      <c r="F83" s="15"/>
      <c r="G83" s="12"/>
    </row>
    <row r="84" customFormat="false" ht="15" hidden="false" customHeight="true" outlineLevel="0" collapsed="false">
      <c r="A84" s="11"/>
      <c r="B84" s="11"/>
      <c r="C84" s="13"/>
      <c r="D84" s="11"/>
      <c r="E84" s="14"/>
      <c r="F84" s="15"/>
      <c r="G84" s="12"/>
    </row>
    <row r="85" customFormat="false" ht="15" hidden="false" customHeight="true" outlineLevel="0" collapsed="false">
      <c r="A85" s="11"/>
      <c r="B85" s="11"/>
      <c r="C85" s="13"/>
      <c r="D85" s="11"/>
      <c r="E85" s="14"/>
      <c r="F85" s="15"/>
      <c r="G85" s="12"/>
    </row>
    <row r="86" customFormat="false" ht="15" hidden="false" customHeight="true" outlineLevel="0" collapsed="false">
      <c r="A86" s="11"/>
      <c r="B86" s="11"/>
      <c r="C86" s="13"/>
      <c r="D86" s="11"/>
      <c r="E86" s="14"/>
      <c r="F86" s="15"/>
      <c r="G86" s="12"/>
    </row>
    <row r="87" customFormat="false" ht="15" hidden="false" customHeight="true" outlineLevel="0" collapsed="false">
      <c r="A87" s="11"/>
      <c r="B87" s="11"/>
      <c r="C87" s="13"/>
      <c r="D87" s="11"/>
      <c r="E87" s="14"/>
      <c r="F87" s="15"/>
      <c r="G87" s="12"/>
    </row>
    <row r="88" customFormat="false" ht="15" hidden="false" customHeight="true" outlineLevel="0" collapsed="false">
      <c r="A88" s="11"/>
      <c r="B88" s="11"/>
      <c r="C88" s="13"/>
      <c r="D88" s="11"/>
      <c r="E88" s="14"/>
      <c r="F88" s="15"/>
      <c r="G88" s="12"/>
    </row>
    <row r="89" customFormat="false" ht="15" hidden="false" customHeight="true" outlineLevel="0" collapsed="false">
      <c r="A89" s="11"/>
      <c r="B89" s="11"/>
      <c r="C89" s="13"/>
      <c r="D89" s="11"/>
      <c r="E89" s="14"/>
      <c r="F89" s="15"/>
      <c r="G89" s="12"/>
    </row>
    <row r="90" customFormat="false" ht="15" hidden="false" customHeight="true" outlineLevel="0" collapsed="false">
      <c r="A90" s="11"/>
      <c r="B90" s="11"/>
      <c r="C90" s="13"/>
      <c r="D90" s="11"/>
      <c r="E90" s="14"/>
      <c r="F90" s="15"/>
      <c r="G90" s="12"/>
    </row>
    <row r="91" customFormat="false" ht="15" hidden="false" customHeight="true" outlineLevel="0" collapsed="false">
      <c r="A91" s="11"/>
      <c r="B91" s="11"/>
      <c r="C91" s="13"/>
      <c r="D91" s="11"/>
      <c r="E91" s="14"/>
      <c r="F91" s="15"/>
      <c r="G91" s="12"/>
    </row>
    <row r="92" customFormat="false" ht="15" hidden="false" customHeight="true" outlineLevel="0" collapsed="false">
      <c r="A92" s="11"/>
      <c r="B92" s="11"/>
      <c r="C92" s="13"/>
      <c r="D92" s="11"/>
      <c r="E92" s="14"/>
      <c r="F92" s="15"/>
      <c r="G92" s="12"/>
    </row>
    <row r="93" customFormat="false" ht="15" hidden="false" customHeight="true" outlineLevel="0" collapsed="false">
      <c r="A93" s="11"/>
      <c r="B93" s="11"/>
      <c r="C93" s="13"/>
      <c r="D93" s="11"/>
      <c r="E93" s="14"/>
      <c r="F93" s="15"/>
      <c r="G93" s="12"/>
    </row>
    <row r="94" customFormat="false" ht="15" hidden="false" customHeight="true" outlineLevel="0" collapsed="false">
      <c r="A94" s="11"/>
      <c r="B94" s="11"/>
      <c r="C94" s="13"/>
      <c r="D94" s="11"/>
      <c r="E94" s="14"/>
      <c r="F94" s="15"/>
      <c r="G94" s="12"/>
    </row>
    <row r="95" customFormat="false" ht="15" hidden="false" customHeight="true" outlineLevel="0" collapsed="false">
      <c r="A95" s="11"/>
      <c r="B95" s="11"/>
      <c r="C95" s="13"/>
      <c r="D95" s="11"/>
      <c r="E95" s="14"/>
      <c r="F95" s="15"/>
      <c r="G95" s="12"/>
    </row>
    <row r="96" customFormat="false" ht="15" hidden="false" customHeight="true" outlineLevel="0" collapsed="false">
      <c r="A96" s="11"/>
      <c r="B96" s="11"/>
      <c r="C96" s="13"/>
      <c r="D96" s="11"/>
      <c r="E96" s="14"/>
      <c r="F96" s="15"/>
      <c r="G96" s="12"/>
    </row>
    <row r="97" customFormat="false" ht="15" hidden="false" customHeight="true" outlineLevel="0" collapsed="false">
      <c r="A97" s="11"/>
      <c r="B97" s="11"/>
      <c r="C97" s="13"/>
      <c r="D97" s="11"/>
      <c r="E97" s="14"/>
      <c r="F97" s="15"/>
      <c r="G97" s="12"/>
    </row>
    <row r="98" customFormat="false" ht="15" hidden="false" customHeight="true" outlineLevel="0" collapsed="false">
      <c r="A98" s="11"/>
      <c r="B98" s="11"/>
      <c r="C98" s="13"/>
      <c r="D98" s="11"/>
      <c r="E98" s="14"/>
      <c r="F98" s="15"/>
      <c r="G98" s="12"/>
    </row>
    <row r="99" customFormat="false" ht="15" hidden="false" customHeight="true" outlineLevel="0" collapsed="false">
      <c r="A99" s="11"/>
      <c r="B99" s="11"/>
      <c r="C99" s="13"/>
      <c r="D99" s="11"/>
      <c r="E99" s="14"/>
      <c r="F99" s="15"/>
      <c r="G99" s="12"/>
    </row>
    <row r="100" customFormat="false" ht="15" hidden="false" customHeight="true" outlineLevel="0" collapsed="false">
      <c r="A100" s="11"/>
      <c r="B100" s="11"/>
      <c r="C100" s="13"/>
      <c r="D100" s="11"/>
      <c r="E100" s="14"/>
      <c r="F100" s="15"/>
      <c r="G100" s="12"/>
    </row>
    <row r="101" customFormat="false" ht="15" hidden="false" customHeight="true" outlineLevel="0" collapsed="false">
      <c r="A101" s="11"/>
      <c r="B101" s="11"/>
      <c r="C101" s="13"/>
      <c r="D101" s="11"/>
      <c r="E101" s="14"/>
      <c r="F101" s="15"/>
      <c r="G101" s="12"/>
    </row>
    <row r="102" customFormat="false" ht="15" hidden="false" customHeight="true" outlineLevel="0" collapsed="false">
      <c r="A102" s="11"/>
      <c r="B102" s="11"/>
      <c r="C102" s="13"/>
      <c r="D102" s="11"/>
      <c r="E102" s="14"/>
      <c r="F102" s="15"/>
      <c r="G102" s="12"/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G3:G102" type="list">
      <formula1>"운행,정비중,매각"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26"/>
  </cols>
  <sheetData>
    <row r="1" customFormat="false" ht="25.5" hidden="false" customHeight="true" outlineLevel="0" collapsed="false">
      <c r="A1" s="2" t="s">
        <v>43</v>
      </c>
      <c r="B1" s="2"/>
      <c r="C1" s="2"/>
      <c r="D1" s="2"/>
      <c r="E1" s="2"/>
    </row>
    <row r="2" customFormat="false" ht="15" hidden="false" customHeight="true" outlineLevel="0" collapsed="false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48</v>
      </c>
    </row>
    <row r="3" customFormat="false" ht="15" hidden="false" customHeight="true" outlineLevel="0" collapsed="false">
      <c r="A3" s="11" t="s">
        <v>49</v>
      </c>
      <c r="B3" s="12" t="s">
        <v>50</v>
      </c>
      <c r="C3" s="14" t="n">
        <v>10000</v>
      </c>
      <c r="D3" s="13" t="n">
        <v>6</v>
      </c>
      <c r="E3" s="11"/>
    </row>
    <row r="4" customFormat="false" ht="15" hidden="false" customHeight="true" outlineLevel="0" collapsed="false">
      <c r="A4" s="11" t="s">
        <v>51</v>
      </c>
      <c r="B4" s="12" t="s">
        <v>52</v>
      </c>
      <c r="C4" s="14" t="n">
        <v>20000</v>
      </c>
      <c r="D4" s="13" t="n">
        <v>12</v>
      </c>
      <c r="E4" s="11"/>
    </row>
    <row r="5" customFormat="false" ht="15" hidden="false" customHeight="true" outlineLevel="0" collapsed="false">
      <c r="A5" s="11" t="s">
        <v>53</v>
      </c>
      <c r="B5" s="12" t="s">
        <v>54</v>
      </c>
      <c r="C5" s="14" t="n">
        <v>50000</v>
      </c>
      <c r="D5" s="13" t="n">
        <v>36</v>
      </c>
      <c r="E5" s="11"/>
    </row>
    <row r="6" customFormat="false" ht="15" hidden="false" customHeight="true" outlineLevel="0" collapsed="false">
      <c r="A6" s="11" t="s">
        <v>55</v>
      </c>
      <c r="B6" s="12" t="s">
        <v>56</v>
      </c>
      <c r="C6" s="14" t="n">
        <v>40000</v>
      </c>
      <c r="D6" s="13" t="n">
        <v>24</v>
      </c>
      <c r="E6" s="11"/>
    </row>
    <row r="7" customFormat="false" ht="15" hidden="false" customHeight="true" outlineLevel="0" collapsed="false">
      <c r="A7" s="11" t="s">
        <v>57</v>
      </c>
      <c r="B7" s="12" t="s">
        <v>58</v>
      </c>
      <c r="C7" s="14" t="n">
        <v>0</v>
      </c>
      <c r="D7" s="13" t="n">
        <v>12</v>
      </c>
      <c r="E7" s="11"/>
    </row>
    <row r="8" customFormat="false" ht="15" hidden="false" customHeight="true" outlineLevel="0" collapsed="false">
      <c r="A8" s="11"/>
      <c r="B8" s="11"/>
      <c r="C8" s="14"/>
      <c r="D8" s="13"/>
      <c r="E8" s="11"/>
    </row>
    <row r="9" customFormat="false" ht="15" hidden="false" customHeight="true" outlineLevel="0" collapsed="false">
      <c r="A9" s="11"/>
      <c r="B9" s="11"/>
      <c r="C9" s="14"/>
      <c r="D9" s="13"/>
      <c r="E9" s="11"/>
    </row>
    <row r="10" customFormat="false" ht="15" hidden="false" customHeight="true" outlineLevel="0" collapsed="false">
      <c r="A10" s="11"/>
      <c r="B10" s="11"/>
      <c r="C10" s="14"/>
      <c r="D10" s="13"/>
      <c r="E10" s="11"/>
    </row>
    <row r="11" customFormat="false" ht="15" hidden="false" customHeight="true" outlineLevel="0" collapsed="false">
      <c r="A11" s="11"/>
      <c r="B11" s="11"/>
      <c r="C11" s="14"/>
      <c r="D11" s="13"/>
      <c r="E11" s="11"/>
    </row>
    <row r="12" customFormat="false" ht="15" hidden="false" customHeight="true" outlineLevel="0" collapsed="false">
      <c r="A12" s="11"/>
      <c r="B12" s="11"/>
      <c r="C12" s="14"/>
      <c r="D12" s="13"/>
      <c r="E12" s="11"/>
    </row>
    <row r="13" customFormat="false" ht="15" hidden="false" customHeight="true" outlineLevel="0" collapsed="false">
      <c r="A13" s="11"/>
      <c r="B13" s="11"/>
      <c r="C13" s="14"/>
      <c r="D13" s="13"/>
      <c r="E13" s="11"/>
    </row>
    <row r="14" customFormat="false" ht="15" hidden="false" customHeight="true" outlineLevel="0" collapsed="false">
      <c r="A14" s="11"/>
      <c r="B14" s="11"/>
      <c r="C14" s="14"/>
      <c r="D14" s="13"/>
      <c r="E14" s="11"/>
    </row>
    <row r="15" customFormat="false" ht="15" hidden="false" customHeight="true" outlineLevel="0" collapsed="false">
      <c r="A15" s="11"/>
      <c r="B15" s="11"/>
      <c r="C15" s="14"/>
      <c r="D15" s="13"/>
      <c r="E15" s="11"/>
    </row>
    <row r="16" customFormat="false" ht="15" hidden="false" customHeight="true" outlineLevel="0" collapsed="false">
      <c r="A16" s="11"/>
      <c r="B16" s="11"/>
      <c r="C16" s="14"/>
      <c r="D16" s="13"/>
      <c r="E16" s="11"/>
    </row>
    <row r="17" customFormat="false" ht="15" hidden="false" customHeight="true" outlineLevel="0" collapsed="false">
      <c r="A17" s="11"/>
      <c r="B17" s="11"/>
      <c r="C17" s="14"/>
      <c r="D17" s="13"/>
      <c r="E17" s="11"/>
    </row>
    <row r="18" customFormat="false" ht="15" hidden="false" customHeight="true" outlineLevel="0" collapsed="false">
      <c r="A18" s="11"/>
      <c r="B18" s="11"/>
      <c r="C18" s="14"/>
      <c r="D18" s="13"/>
      <c r="E18" s="11"/>
    </row>
    <row r="19" customFormat="false" ht="15" hidden="false" customHeight="true" outlineLevel="0" collapsed="false">
      <c r="A19" s="11"/>
      <c r="B19" s="11"/>
      <c r="C19" s="14"/>
      <c r="D19" s="13"/>
      <c r="E19" s="11"/>
    </row>
    <row r="20" customFormat="false" ht="15" hidden="false" customHeight="true" outlineLevel="0" collapsed="false">
      <c r="A20" s="11"/>
      <c r="B20" s="11"/>
      <c r="C20" s="14"/>
      <c r="D20" s="13"/>
      <c r="E20" s="11"/>
    </row>
    <row r="21" customFormat="false" ht="15" hidden="false" customHeight="true" outlineLevel="0" collapsed="false">
      <c r="A21" s="11"/>
      <c r="B21" s="11"/>
      <c r="C21" s="14"/>
      <c r="D21" s="13"/>
      <c r="E21" s="11"/>
    </row>
    <row r="22" customFormat="false" ht="15" hidden="false" customHeight="true" outlineLevel="0" collapsed="false">
      <c r="A22" s="11"/>
      <c r="B22" s="11"/>
      <c r="C22" s="14"/>
      <c r="D22" s="13"/>
      <c r="E22" s="11"/>
    </row>
    <row r="23" customFormat="false" ht="15" hidden="false" customHeight="true" outlineLevel="0" collapsed="false">
      <c r="A23" s="11"/>
      <c r="B23" s="11"/>
      <c r="C23" s="14"/>
      <c r="D23" s="13"/>
      <c r="E23" s="11"/>
    </row>
    <row r="24" customFormat="false" ht="15" hidden="false" customHeight="true" outlineLevel="0" collapsed="false">
      <c r="A24" s="11"/>
      <c r="B24" s="11"/>
      <c r="C24" s="14"/>
      <c r="D24" s="13"/>
      <c r="E24" s="11"/>
    </row>
    <row r="25" customFormat="false" ht="15" hidden="false" customHeight="true" outlineLevel="0" collapsed="false">
      <c r="A25" s="11"/>
      <c r="B25" s="11"/>
      <c r="C25" s="14"/>
      <c r="D25" s="13"/>
      <c r="E25" s="11"/>
    </row>
    <row r="26" customFormat="false" ht="15" hidden="false" customHeight="true" outlineLevel="0" collapsed="false">
      <c r="A26" s="11"/>
      <c r="B26" s="11"/>
      <c r="C26" s="14"/>
      <c r="D26" s="13"/>
      <c r="E26" s="11"/>
    </row>
    <row r="27" customFormat="false" ht="15" hidden="false" customHeight="true" outlineLevel="0" collapsed="false">
      <c r="A27" s="11"/>
      <c r="B27" s="11"/>
      <c r="C27" s="14"/>
      <c r="D27" s="13"/>
      <c r="E27" s="11"/>
    </row>
    <row r="28" customFormat="false" ht="15" hidden="false" customHeight="true" outlineLevel="0" collapsed="false">
      <c r="A28" s="11"/>
      <c r="B28" s="11"/>
      <c r="C28" s="14"/>
      <c r="D28" s="13"/>
      <c r="E28" s="11"/>
    </row>
    <row r="29" customFormat="false" ht="15" hidden="false" customHeight="true" outlineLevel="0" collapsed="false">
      <c r="A29" s="11"/>
      <c r="B29" s="11"/>
      <c r="C29" s="14"/>
      <c r="D29" s="13"/>
      <c r="E29" s="11"/>
    </row>
    <row r="30" customFormat="false" ht="15" hidden="false" customHeight="true" outlineLevel="0" collapsed="false">
      <c r="A30" s="11"/>
      <c r="B30" s="11"/>
      <c r="C30" s="14"/>
      <c r="D30" s="13"/>
      <c r="E30" s="11"/>
    </row>
    <row r="31" customFormat="false" ht="15" hidden="false" customHeight="true" outlineLevel="0" collapsed="false">
      <c r="A31" s="11"/>
      <c r="B31" s="11"/>
      <c r="C31" s="14"/>
      <c r="D31" s="13"/>
      <c r="E31" s="11"/>
    </row>
    <row r="32" customFormat="false" ht="15" hidden="false" customHeight="true" outlineLevel="0" collapsed="false">
      <c r="A32" s="11"/>
      <c r="B32" s="11"/>
      <c r="C32" s="14"/>
      <c r="D32" s="13"/>
      <c r="E32" s="11"/>
    </row>
    <row r="33" customFormat="false" ht="15" hidden="false" customHeight="true" outlineLevel="0" collapsed="false">
      <c r="A33" s="11"/>
      <c r="B33" s="11"/>
      <c r="C33" s="14"/>
      <c r="D33" s="13"/>
      <c r="E33" s="11"/>
    </row>
    <row r="34" customFormat="false" ht="15" hidden="false" customHeight="true" outlineLevel="0" collapsed="false">
      <c r="A34" s="11"/>
      <c r="B34" s="11"/>
      <c r="C34" s="14"/>
      <c r="D34" s="13"/>
      <c r="E34" s="11"/>
    </row>
    <row r="35" customFormat="false" ht="15" hidden="false" customHeight="true" outlineLevel="0" collapsed="false">
      <c r="A35" s="11"/>
      <c r="B35" s="11"/>
      <c r="C35" s="14"/>
      <c r="D35" s="13"/>
      <c r="E35" s="11"/>
    </row>
    <row r="36" customFormat="false" ht="15" hidden="false" customHeight="true" outlineLevel="0" collapsed="false">
      <c r="A36" s="11"/>
      <c r="B36" s="11"/>
      <c r="C36" s="14"/>
      <c r="D36" s="13"/>
      <c r="E36" s="11"/>
    </row>
    <row r="37" customFormat="false" ht="15" hidden="false" customHeight="true" outlineLevel="0" collapsed="false">
      <c r="A37" s="11"/>
      <c r="B37" s="11"/>
      <c r="C37" s="14"/>
      <c r="D37" s="13"/>
      <c r="E37" s="11"/>
    </row>
    <row r="38" customFormat="false" ht="15" hidden="false" customHeight="true" outlineLevel="0" collapsed="false">
      <c r="A38" s="11"/>
      <c r="B38" s="11"/>
      <c r="C38" s="14"/>
      <c r="D38" s="13"/>
      <c r="E38" s="11"/>
    </row>
    <row r="39" customFormat="false" ht="15" hidden="false" customHeight="true" outlineLevel="0" collapsed="false">
      <c r="A39" s="11"/>
      <c r="B39" s="11"/>
      <c r="C39" s="14"/>
      <c r="D39" s="13"/>
      <c r="E39" s="11"/>
    </row>
    <row r="40" customFormat="false" ht="15" hidden="false" customHeight="true" outlineLevel="0" collapsed="false">
      <c r="A40" s="11"/>
      <c r="B40" s="11"/>
      <c r="C40" s="14"/>
      <c r="D40" s="13"/>
      <c r="E40" s="11"/>
    </row>
    <row r="41" customFormat="false" ht="15" hidden="false" customHeight="true" outlineLevel="0" collapsed="false">
      <c r="A41" s="11"/>
      <c r="B41" s="11"/>
      <c r="C41" s="14"/>
      <c r="D41" s="13"/>
      <c r="E41" s="11"/>
    </row>
    <row r="42" customFormat="false" ht="15" hidden="false" customHeight="true" outlineLevel="0" collapsed="false">
      <c r="A42" s="11"/>
      <c r="B42" s="11"/>
      <c r="C42" s="14"/>
      <c r="D42" s="13"/>
      <c r="E42" s="11"/>
    </row>
    <row r="43" customFormat="false" ht="15" hidden="false" customHeight="true" outlineLevel="0" collapsed="false">
      <c r="A43" s="11"/>
      <c r="B43" s="11"/>
      <c r="C43" s="14"/>
      <c r="D43" s="13"/>
      <c r="E43" s="11"/>
    </row>
    <row r="44" customFormat="false" ht="15" hidden="false" customHeight="true" outlineLevel="0" collapsed="false">
      <c r="A44" s="11"/>
      <c r="B44" s="11"/>
      <c r="C44" s="14"/>
      <c r="D44" s="13"/>
      <c r="E44" s="11"/>
    </row>
    <row r="45" customFormat="false" ht="15" hidden="false" customHeight="true" outlineLevel="0" collapsed="false">
      <c r="A45" s="11"/>
      <c r="B45" s="11"/>
      <c r="C45" s="14"/>
      <c r="D45" s="13"/>
      <c r="E45" s="11"/>
    </row>
    <row r="46" customFormat="false" ht="15" hidden="false" customHeight="true" outlineLevel="0" collapsed="false">
      <c r="A46" s="11"/>
      <c r="B46" s="11"/>
      <c r="C46" s="14"/>
      <c r="D46" s="13"/>
      <c r="E46" s="11"/>
    </row>
    <row r="47" customFormat="false" ht="15" hidden="false" customHeight="true" outlineLevel="0" collapsed="false">
      <c r="A47" s="11"/>
      <c r="B47" s="11"/>
      <c r="C47" s="14"/>
      <c r="D47" s="13"/>
      <c r="E47" s="11"/>
    </row>
    <row r="48" customFormat="false" ht="15" hidden="false" customHeight="true" outlineLevel="0" collapsed="false">
      <c r="A48" s="11"/>
      <c r="B48" s="11"/>
      <c r="C48" s="14"/>
      <c r="D48" s="13"/>
      <c r="E48" s="11"/>
    </row>
    <row r="49" customFormat="false" ht="15" hidden="false" customHeight="true" outlineLevel="0" collapsed="false">
      <c r="A49" s="11"/>
      <c r="B49" s="11"/>
      <c r="C49" s="14"/>
      <c r="D49" s="13"/>
      <c r="E49" s="11"/>
    </row>
    <row r="50" customFormat="false" ht="15" hidden="false" customHeight="true" outlineLevel="0" collapsed="false">
      <c r="A50" s="11"/>
      <c r="B50" s="11"/>
      <c r="C50" s="14"/>
      <c r="D50" s="13"/>
      <c r="E50" s="11"/>
    </row>
    <row r="51" customFormat="false" ht="15" hidden="false" customHeight="true" outlineLevel="0" collapsed="false">
      <c r="A51" s="11"/>
      <c r="B51" s="11"/>
      <c r="C51" s="14"/>
      <c r="D51" s="13"/>
      <c r="E51" s="11"/>
    </row>
    <row r="52" customFormat="false" ht="15" hidden="false" customHeight="true" outlineLevel="0" collapsed="false">
      <c r="A52" s="11"/>
      <c r="B52" s="11"/>
      <c r="C52" s="14"/>
      <c r="D52" s="13"/>
      <c r="E52" s="11"/>
    </row>
    <row r="54" customFormat="false" ht="15" hidden="false" customHeight="true" outlineLevel="0" collapsed="false">
      <c r="A54" s="16" t="s">
        <v>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19"/>
    <col collapsed="false" customWidth="true" hidden="false" outlineLevel="0" max="7" min="7" style="1" width="15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0" t="s">
        <v>61</v>
      </c>
      <c r="B2" s="10" t="s">
        <v>26</v>
      </c>
      <c r="C2" s="17" t="s">
        <v>62</v>
      </c>
      <c r="D2" s="10" t="s">
        <v>44</v>
      </c>
      <c r="E2" s="17" t="s">
        <v>63</v>
      </c>
      <c r="F2" s="10" t="s">
        <v>64</v>
      </c>
      <c r="G2" s="10" t="s">
        <v>65</v>
      </c>
      <c r="H2" s="10" t="s">
        <v>66</v>
      </c>
    </row>
    <row r="3" customFormat="false" ht="15" hidden="false" customHeight="true" outlineLevel="0" collapsed="false">
      <c r="A3" s="15" t="n">
        <v>46183</v>
      </c>
      <c r="B3" s="11" t="s">
        <v>33</v>
      </c>
      <c r="C3" s="18" t="str">
        <f aca="false">IF($B3="","",IFERROR(INDEX(차량목록!$B$3:$B$102,MATCH($B3,차량목록!$A$3:$A$102,0)),"미등록차량"))</f>
        <v>포터2</v>
      </c>
      <c r="D3" s="11" t="s">
        <v>49</v>
      </c>
      <c r="E3" s="18" t="str">
        <f aca="false">IF($D3="","",IFERROR(INDEX(정비항목!$B$3:$B$52,MATCH($D3,정비항목!$A$3:$A$52,0)),"미등록항목"))</f>
        <v>엔진오일</v>
      </c>
      <c r="F3" s="14" t="n">
        <v>72000</v>
      </c>
      <c r="G3" s="14" t="n">
        <v>85000</v>
      </c>
      <c r="H3" s="11"/>
    </row>
    <row r="4" customFormat="false" ht="15" hidden="false" customHeight="true" outlineLevel="0" collapsed="false">
      <c r="A4" s="15" t="n">
        <v>46086</v>
      </c>
      <c r="B4" s="11" t="s">
        <v>33</v>
      </c>
      <c r="C4" s="18" t="str">
        <f aca="false">IF($B4="","",IFERROR(INDEX(차량목록!$B$3:$B$102,MATCH($B4,차량목록!$A$3:$A$102,0)),"미등록차량"))</f>
        <v>포터2</v>
      </c>
      <c r="D4" s="11" t="s">
        <v>51</v>
      </c>
      <c r="E4" s="18" t="str">
        <f aca="false">IF($D4="","",IFERROR(INDEX(정비항목!$B$3:$B$52,MATCH($D4,정비항목!$A$3:$A$52,0)),"미등록항목"))</f>
        <v>에어크리너</v>
      </c>
      <c r="F4" s="14" t="n">
        <v>65000</v>
      </c>
      <c r="G4" s="14" t="n">
        <v>45000</v>
      </c>
      <c r="H4" s="11"/>
    </row>
    <row r="5" customFormat="false" ht="15" hidden="false" customHeight="true" outlineLevel="0" collapsed="false">
      <c r="A5" s="15" t="n">
        <v>46235</v>
      </c>
      <c r="B5" s="11" t="s">
        <v>37</v>
      </c>
      <c r="C5" s="18" t="str">
        <f aca="false">IF($B5="","",IFERROR(INDEX(차량목록!$B$3:$B$102,MATCH($B5,차량목록!$A$3:$A$102,0)),"미등록차량"))</f>
        <v>봉고3</v>
      </c>
      <c r="D5" s="11" t="s">
        <v>49</v>
      </c>
      <c r="E5" s="18" t="str">
        <f aca="false">IF($D5="","",IFERROR(INDEX(정비항목!$B$3:$B$52,MATCH($D5,정비항목!$A$3:$A$52,0)),"미등록항목"))</f>
        <v>엔진오일</v>
      </c>
      <c r="F5" s="14" t="n">
        <v>38000</v>
      </c>
      <c r="G5" s="14" t="n">
        <v>85000</v>
      </c>
      <c r="H5" s="11"/>
    </row>
    <row r="6" customFormat="false" ht="15" hidden="false" customHeight="true" outlineLevel="0" collapsed="false">
      <c r="A6" s="15" t="n">
        <v>45536</v>
      </c>
      <c r="B6" s="11" t="s">
        <v>40</v>
      </c>
      <c r="C6" s="18" t="str">
        <f aca="false">IF($B6="","",IFERROR(INDEX(차량목록!$B$3:$B$102,MATCH($B6,차량목록!$A$3:$A$102,0)),"미등록차량"))</f>
        <v>스타렉스</v>
      </c>
      <c r="D6" s="11" t="s">
        <v>53</v>
      </c>
      <c r="E6" s="18" t="str">
        <f aca="false">IF($D6="","",IFERROR(INDEX(정비항목!$B$3:$B$52,MATCH($D6,정비항목!$A$3:$A$52,0)),"미등록항목"))</f>
        <v>타이어</v>
      </c>
      <c r="F6" s="14" t="n">
        <v>95000</v>
      </c>
      <c r="G6" s="14" t="n">
        <v>620000</v>
      </c>
      <c r="H6" s="11"/>
    </row>
    <row r="7" customFormat="false" ht="15" hidden="false" customHeight="true" outlineLevel="0" collapsed="false">
      <c r="A7" s="15"/>
      <c r="B7" s="11"/>
      <c r="C7" s="18" t="str">
        <f aca="false">IF($B7="","",IFERROR(INDEX(차량목록!$B$3:$B$102,MATCH($B7,차량목록!$A$3:$A$102,0)),"미등록차량"))</f>
        <v/>
      </c>
      <c r="D7" s="11"/>
      <c r="E7" s="18" t="str">
        <f aca="false">IF($D7="","",IFERROR(INDEX(정비항목!$B$3:$B$52,MATCH($D7,정비항목!$A$3:$A$52,0)),"미등록항목"))</f>
        <v/>
      </c>
      <c r="F7" s="14"/>
      <c r="G7" s="14"/>
      <c r="H7" s="11"/>
    </row>
    <row r="8" customFormat="false" ht="15" hidden="false" customHeight="true" outlineLevel="0" collapsed="false">
      <c r="A8" s="15"/>
      <c r="B8" s="11"/>
      <c r="C8" s="18" t="str">
        <f aca="false">IF($B8="","",IFERROR(INDEX(차량목록!$B$3:$B$102,MATCH($B8,차량목록!$A$3:$A$102,0)),"미등록차량"))</f>
        <v/>
      </c>
      <c r="D8" s="11"/>
      <c r="E8" s="18" t="str">
        <f aca="false">IF($D8="","",IFERROR(INDEX(정비항목!$B$3:$B$52,MATCH($D8,정비항목!$A$3:$A$52,0)),"미등록항목"))</f>
        <v/>
      </c>
      <c r="F8" s="14"/>
      <c r="G8" s="14"/>
      <c r="H8" s="11"/>
    </row>
    <row r="9" customFormat="false" ht="15" hidden="false" customHeight="true" outlineLevel="0" collapsed="false">
      <c r="A9" s="15"/>
      <c r="B9" s="11"/>
      <c r="C9" s="18" t="str">
        <f aca="false">IF($B9="","",IFERROR(INDEX(차량목록!$B$3:$B$102,MATCH($B9,차량목록!$A$3:$A$102,0)),"미등록차량"))</f>
        <v/>
      </c>
      <c r="D9" s="11"/>
      <c r="E9" s="18" t="str">
        <f aca="false">IF($D9="","",IFERROR(INDEX(정비항목!$B$3:$B$52,MATCH($D9,정비항목!$A$3:$A$52,0)),"미등록항목"))</f>
        <v/>
      </c>
      <c r="F9" s="14"/>
      <c r="G9" s="14"/>
      <c r="H9" s="11"/>
    </row>
    <row r="10" customFormat="false" ht="15" hidden="false" customHeight="true" outlineLevel="0" collapsed="false">
      <c r="A10" s="15"/>
      <c r="B10" s="11"/>
      <c r="C10" s="18" t="str">
        <f aca="false">IF($B10="","",IFERROR(INDEX(차량목록!$B$3:$B$102,MATCH($B10,차량목록!$A$3:$A$102,0)),"미등록차량"))</f>
        <v/>
      </c>
      <c r="D10" s="11"/>
      <c r="E10" s="18" t="str">
        <f aca="false">IF($D10="","",IFERROR(INDEX(정비항목!$B$3:$B$52,MATCH($D10,정비항목!$A$3:$A$52,0)),"미등록항목"))</f>
        <v/>
      </c>
      <c r="F10" s="14"/>
      <c r="G10" s="14"/>
      <c r="H10" s="11"/>
    </row>
    <row r="11" customFormat="false" ht="15" hidden="false" customHeight="true" outlineLevel="0" collapsed="false">
      <c r="A11" s="15"/>
      <c r="B11" s="11"/>
      <c r="C11" s="18" t="str">
        <f aca="false">IF($B11="","",IFERROR(INDEX(차량목록!$B$3:$B$102,MATCH($B11,차량목록!$A$3:$A$102,0)),"미등록차량"))</f>
        <v/>
      </c>
      <c r="D11" s="11"/>
      <c r="E11" s="18" t="str">
        <f aca="false">IF($D11="","",IFERROR(INDEX(정비항목!$B$3:$B$52,MATCH($D11,정비항목!$A$3:$A$52,0)),"미등록항목"))</f>
        <v/>
      </c>
      <c r="F11" s="14"/>
      <c r="G11" s="14"/>
      <c r="H11" s="11"/>
    </row>
    <row r="12" customFormat="false" ht="15" hidden="false" customHeight="true" outlineLevel="0" collapsed="false">
      <c r="A12" s="15"/>
      <c r="B12" s="11"/>
      <c r="C12" s="18" t="str">
        <f aca="false">IF($B12="","",IFERROR(INDEX(차량목록!$B$3:$B$102,MATCH($B12,차량목록!$A$3:$A$102,0)),"미등록차량"))</f>
        <v/>
      </c>
      <c r="D12" s="11"/>
      <c r="E12" s="18" t="str">
        <f aca="false">IF($D12="","",IFERROR(INDEX(정비항목!$B$3:$B$52,MATCH($D12,정비항목!$A$3:$A$52,0)),"미등록항목"))</f>
        <v/>
      </c>
      <c r="F12" s="14"/>
      <c r="G12" s="14"/>
      <c r="H12" s="11"/>
    </row>
    <row r="13" customFormat="false" ht="15" hidden="false" customHeight="true" outlineLevel="0" collapsed="false">
      <c r="A13" s="15"/>
      <c r="B13" s="11"/>
      <c r="C13" s="18" t="str">
        <f aca="false">IF($B13="","",IFERROR(INDEX(차량목록!$B$3:$B$102,MATCH($B13,차량목록!$A$3:$A$102,0)),"미등록차량"))</f>
        <v/>
      </c>
      <c r="D13" s="11"/>
      <c r="E13" s="18" t="str">
        <f aca="false">IF($D13="","",IFERROR(INDEX(정비항목!$B$3:$B$52,MATCH($D13,정비항목!$A$3:$A$52,0)),"미등록항목"))</f>
        <v/>
      </c>
      <c r="F13" s="14"/>
      <c r="G13" s="14"/>
      <c r="H13" s="11"/>
    </row>
    <row r="14" customFormat="false" ht="15" hidden="false" customHeight="true" outlineLevel="0" collapsed="false">
      <c r="A14" s="15"/>
      <c r="B14" s="11"/>
      <c r="C14" s="18" t="str">
        <f aca="false">IF($B14="","",IFERROR(INDEX(차량목록!$B$3:$B$102,MATCH($B14,차량목록!$A$3:$A$102,0)),"미등록차량"))</f>
        <v/>
      </c>
      <c r="D14" s="11"/>
      <c r="E14" s="18" t="str">
        <f aca="false">IF($D14="","",IFERROR(INDEX(정비항목!$B$3:$B$52,MATCH($D14,정비항목!$A$3:$A$52,0)),"미등록항목"))</f>
        <v/>
      </c>
      <c r="F14" s="14"/>
      <c r="G14" s="14"/>
      <c r="H14" s="11"/>
    </row>
    <row r="15" customFormat="false" ht="15" hidden="false" customHeight="true" outlineLevel="0" collapsed="false">
      <c r="A15" s="15"/>
      <c r="B15" s="11"/>
      <c r="C15" s="18" t="str">
        <f aca="false">IF($B15="","",IFERROR(INDEX(차량목록!$B$3:$B$102,MATCH($B15,차량목록!$A$3:$A$102,0)),"미등록차량"))</f>
        <v/>
      </c>
      <c r="D15" s="11"/>
      <c r="E15" s="18" t="str">
        <f aca="false">IF($D15="","",IFERROR(INDEX(정비항목!$B$3:$B$52,MATCH($D15,정비항목!$A$3:$A$52,0)),"미등록항목"))</f>
        <v/>
      </c>
      <c r="F15" s="14"/>
      <c r="G15" s="14"/>
      <c r="H15" s="11"/>
    </row>
    <row r="16" customFormat="false" ht="15" hidden="false" customHeight="true" outlineLevel="0" collapsed="false">
      <c r="A16" s="15"/>
      <c r="B16" s="11"/>
      <c r="C16" s="18" t="str">
        <f aca="false">IF($B16="","",IFERROR(INDEX(차량목록!$B$3:$B$102,MATCH($B16,차량목록!$A$3:$A$102,0)),"미등록차량"))</f>
        <v/>
      </c>
      <c r="D16" s="11"/>
      <c r="E16" s="18" t="str">
        <f aca="false">IF($D16="","",IFERROR(INDEX(정비항목!$B$3:$B$52,MATCH($D16,정비항목!$A$3:$A$52,0)),"미등록항목"))</f>
        <v/>
      </c>
      <c r="F16" s="14"/>
      <c r="G16" s="14"/>
      <c r="H16" s="11"/>
    </row>
    <row r="17" customFormat="false" ht="15" hidden="false" customHeight="true" outlineLevel="0" collapsed="false">
      <c r="A17" s="15"/>
      <c r="B17" s="11"/>
      <c r="C17" s="18" t="str">
        <f aca="false">IF($B17="","",IFERROR(INDEX(차량목록!$B$3:$B$102,MATCH($B17,차량목록!$A$3:$A$102,0)),"미등록차량"))</f>
        <v/>
      </c>
      <c r="D17" s="11"/>
      <c r="E17" s="18" t="str">
        <f aca="false">IF($D17="","",IFERROR(INDEX(정비항목!$B$3:$B$52,MATCH($D17,정비항목!$A$3:$A$52,0)),"미등록항목"))</f>
        <v/>
      </c>
      <c r="F17" s="14"/>
      <c r="G17" s="14"/>
      <c r="H17" s="11"/>
    </row>
    <row r="18" customFormat="false" ht="15" hidden="false" customHeight="true" outlineLevel="0" collapsed="false">
      <c r="A18" s="15"/>
      <c r="B18" s="11"/>
      <c r="C18" s="18" t="str">
        <f aca="false">IF($B18="","",IFERROR(INDEX(차량목록!$B$3:$B$102,MATCH($B18,차량목록!$A$3:$A$102,0)),"미등록차량"))</f>
        <v/>
      </c>
      <c r="D18" s="11"/>
      <c r="E18" s="18" t="str">
        <f aca="false">IF($D18="","",IFERROR(INDEX(정비항목!$B$3:$B$52,MATCH($D18,정비항목!$A$3:$A$52,0)),"미등록항목"))</f>
        <v/>
      </c>
      <c r="F18" s="14"/>
      <c r="G18" s="14"/>
      <c r="H18" s="11"/>
    </row>
    <row r="19" customFormat="false" ht="15" hidden="false" customHeight="true" outlineLevel="0" collapsed="false">
      <c r="A19" s="15"/>
      <c r="B19" s="11"/>
      <c r="C19" s="18" t="str">
        <f aca="false">IF($B19="","",IFERROR(INDEX(차량목록!$B$3:$B$102,MATCH($B19,차량목록!$A$3:$A$102,0)),"미등록차량"))</f>
        <v/>
      </c>
      <c r="D19" s="11"/>
      <c r="E19" s="18" t="str">
        <f aca="false">IF($D19="","",IFERROR(INDEX(정비항목!$B$3:$B$52,MATCH($D19,정비항목!$A$3:$A$52,0)),"미등록항목"))</f>
        <v/>
      </c>
      <c r="F19" s="14"/>
      <c r="G19" s="14"/>
      <c r="H19" s="11"/>
    </row>
    <row r="20" customFormat="false" ht="15" hidden="false" customHeight="true" outlineLevel="0" collapsed="false">
      <c r="A20" s="15"/>
      <c r="B20" s="11"/>
      <c r="C20" s="18" t="str">
        <f aca="false">IF($B20="","",IFERROR(INDEX(차량목록!$B$3:$B$102,MATCH($B20,차량목록!$A$3:$A$102,0)),"미등록차량"))</f>
        <v/>
      </c>
      <c r="D20" s="11"/>
      <c r="E20" s="18" t="str">
        <f aca="false">IF($D20="","",IFERROR(INDEX(정비항목!$B$3:$B$52,MATCH($D20,정비항목!$A$3:$A$52,0)),"미등록항목"))</f>
        <v/>
      </c>
      <c r="F20" s="14"/>
      <c r="G20" s="14"/>
      <c r="H20" s="11"/>
    </row>
    <row r="21" customFormat="false" ht="15" hidden="false" customHeight="true" outlineLevel="0" collapsed="false">
      <c r="A21" s="15"/>
      <c r="B21" s="11"/>
      <c r="C21" s="18" t="str">
        <f aca="false">IF($B21="","",IFERROR(INDEX(차량목록!$B$3:$B$102,MATCH($B21,차량목록!$A$3:$A$102,0)),"미등록차량"))</f>
        <v/>
      </c>
      <c r="D21" s="11"/>
      <c r="E21" s="18" t="str">
        <f aca="false">IF($D21="","",IFERROR(INDEX(정비항목!$B$3:$B$52,MATCH($D21,정비항목!$A$3:$A$52,0)),"미등록항목"))</f>
        <v/>
      </c>
      <c r="F21" s="14"/>
      <c r="G21" s="14"/>
      <c r="H21" s="11"/>
    </row>
    <row r="22" customFormat="false" ht="15" hidden="false" customHeight="true" outlineLevel="0" collapsed="false">
      <c r="A22" s="15"/>
      <c r="B22" s="11"/>
      <c r="C22" s="18" t="str">
        <f aca="false">IF($B22="","",IFERROR(INDEX(차량목록!$B$3:$B$102,MATCH($B22,차량목록!$A$3:$A$102,0)),"미등록차량"))</f>
        <v/>
      </c>
      <c r="D22" s="11"/>
      <c r="E22" s="18" t="str">
        <f aca="false">IF($D22="","",IFERROR(INDEX(정비항목!$B$3:$B$52,MATCH($D22,정비항목!$A$3:$A$52,0)),"미등록항목"))</f>
        <v/>
      </c>
      <c r="F22" s="14"/>
      <c r="G22" s="14"/>
      <c r="H22" s="11"/>
    </row>
    <row r="23" customFormat="false" ht="15" hidden="false" customHeight="true" outlineLevel="0" collapsed="false">
      <c r="A23" s="15"/>
      <c r="B23" s="11"/>
      <c r="C23" s="18" t="str">
        <f aca="false">IF($B23="","",IFERROR(INDEX(차량목록!$B$3:$B$102,MATCH($B23,차량목록!$A$3:$A$102,0)),"미등록차량"))</f>
        <v/>
      </c>
      <c r="D23" s="11"/>
      <c r="E23" s="18" t="str">
        <f aca="false">IF($D23="","",IFERROR(INDEX(정비항목!$B$3:$B$52,MATCH($D23,정비항목!$A$3:$A$52,0)),"미등록항목"))</f>
        <v/>
      </c>
      <c r="F23" s="14"/>
      <c r="G23" s="14"/>
      <c r="H23" s="11"/>
    </row>
    <row r="24" customFormat="false" ht="15" hidden="false" customHeight="true" outlineLevel="0" collapsed="false">
      <c r="A24" s="15"/>
      <c r="B24" s="11"/>
      <c r="C24" s="18" t="str">
        <f aca="false">IF($B24="","",IFERROR(INDEX(차량목록!$B$3:$B$102,MATCH($B24,차량목록!$A$3:$A$102,0)),"미등록차량"))</f>
        <v/>
      </c>
      <c r="D24" s="11"/>
      <c r="E24" s="18" t="str">
        <f aca="false">IF($D24="","",IFERROR(INDEX(정비항목!$B$3:$B$52,MATCH($D24,정비항목!$A$3:$A$52,0)),"미등록항목"))</f>
        <v/>
      </c>
      <c r="F24" s="14"/>
      <c r="G24" s="14"/>
      <c r="H24" s="11"/>
    </row>
    <row r="25" customFormat="false" ht="15" hidden="false" customHeight="true" outlineLevel="0" collapsed="false">
      <c r="A25" s="15"/>
      <c r="B25" s="11"/>
      <c r="C25" s="18" t="str">
        <f aca="false">IF($B25="","",IFERROR(INDEX(차량목록!$B$3:$B$102,MATCH($B25,차량목록!$A$3:$A$102,0)),"미등록차량"))</f>
        <v/>
      </c>
      <c r="D25" s="11"/>
      <c r="E25" s="18" t="str">
        <f aca="false">IF($D25="","",IFERROR(INDEX(정비항목!$B$3:$B$52,MATCH($D25,정비항목!$A$3:$A$52,0)),"미등록항목"))</f>
        <v/>
      </c>
      <c r="F25" s="14"/>
      <c r="G25" s="14"/>
      <c r="H25" s="11"/>
    </row>
    <row r="26" customFormat="false" ht="15" hidden="false" customHeight="true" outlineLevel="0" collapsed="false">
      <c r="A26" s="15"/>
      <c r="B26" s="11"/>
      <c r="C26" s="18" t="str">
        <f aca="false">IF($B26="","",IFERROR(INDEX(차량목록!$B$3:$B$102,MATCH($B26,차량목록!$A$3:$A$102,0)),"미등록차량"))</f>
        <v/>
      </c>
      <c r="D26" s="11"/>
      <c r="E26" s="18" t="str">
        <f aca="false">IF($D26="","",IFERROR(INDEX(정비항목!$B$3:$B$52,MATCH($D26,정비항목!$A$3:$A$52,0)),"미등록항목"))</f>
        <v/>
      </c>
      <c r="F26" s="14"/>
      <c r="G26" s="14"/>
      <c r="H26" s="11"/>
    </row>
    <row r="27" customFormat="false" ht="15" hidden="false" customHeight="true" outlineLevel="0" collapsed="false">
      <c r="A27" s="15"/>
      <c r="B27" s="11"/>
      <c r="C27" s="18" t="str">
        <f aca="false">IF($B27="","",IFERROR(INDEX(차량목록!$B$3:$B$102,MATCH($B27,차량목록!$A$3:$A$102,0)),"미등록차량"))</f>
        <v/>
      </c>
      <c r="D27" s="11"/>
      <c r="E27" s="18" t="str">
        <f aca="false">IF($D27="","",IFERROR(INDEX(정비항목!$B$3:$B$52,MATCH($D27,정비항목!$A$3:$A$52,0)),"미등록항목"))</f>
        <v/>
      </c>
      <c r="F27" s="14"/>
      <c r="G27" s="14"/>
      <c r="H27" s="11"/>
    </row>
    <row r="28" customFormat="false" ht="15" hidden="false" customHeight="true" outlineLevel="0" collapsed="false">
      <c r="A28" s="15"/>
      <c r="B28" s="11"/>
      <c r="C28" s="18" t="str">
        <f aca="false">IF($B28="","",IFERROR(INDEX(차량목록!$B$3:$B$102,MATCH($B28,차량목록!$A$3:$A$102,0)),"미등록차량"))</f>
        <v/>
      </c>
      <c r="D28" s="11"/>
      <c r="E28" s="18" t="str">
        <f aca="false">IF($D28="","",IFERROR(INDEX(정비항목!$B$3:$B$52,MATCH($D28,정비항목!$A$3:$A$52,0)),"미등록항목"))</f>
        <v/>
      </c>
      <c r="F28" s="14"/>
      <c r="G28" s="14"/>
      <c r="H28" s="11"/>
    </row>
    <row r="29" customFormat="false" ht="15" hidden="false" customHeight="true" outlineLevel="0" collapsed="false">
      <c r="A29" s="15"/>
      <c r="B29" s="11"/>
      <c r="C29" s="18" t="str">
        <f aca="false">IF($B29="","",IFERROR(INDEX(차량목록!$B$3:$B$102,MATCH($B29,차량목록!$A$3:$A$102,0)),"미등록차량"))</f>
        <v/>
      </c>
      <c r="D29" s="11"/>
      <c r="E29" s="18" t="str">
        <f aca="false">IF($D29="","",IFERROR(INDEX(정비항목!$B$3:$B$52,MATCH($D29,정비항목!$A$3:$A$52,0)),"미등록항목"))</f>
        <v/>
      </c>
      <c r="F29" s="14"/>
      <c r="G29" s="14"/>
      <c r="H29" s="11"/>
    </row>
    <row r="30" customFormat="false" ht="15" hidden="false" customHeight="true" outlineLevel="0" collapsed="false">
      <c r="A30" s="15"/>
      <c r="B30" s="11"/>
      <c r="C30" s="18" t="str">
        <f aca="false">IF($B30="","",IFERROR(INDEX(차량목록!$B$3:$B$102,MATCH($B30,차량목록!$A$3:$A$102,0)),"미등록차량"))</f>
        <v/>
      </c>
      <c r="D30" s="11"/>
      <c r="E30" s="18" t="str">
        <f aca="false">IF($D30="","",IFERROR(INDEX(정비항목!$B$3:$B$52,MATCH($D30,정비항목!$A$3:$A$52,0)),"미등록항목"))</f>
        <v/>
      </c>
      <c r="F30" s="14"/>
      <c r="G30" s="14"/>
      <c r="H30" s="11"/>
    </row>
    <row r="31" customFormat="false" ht="15" hidden="false" customHeight="true" outlineLevel="0" collapsed="false">
      <c r="A31" s="15"/>
      <c r="B31" s="11"/>
      <c r="C31" s="18" t="str">
        <f aca="false">IF($B31="","",IFERROR(INDEX(차량목록!$B$3:$B$102,MATCH($B31,차량목록!$A$3:$A$102,0)),"미등록차량"))</f>
        <v/>
      </c>
      <c r="D31" s="11"/>
      <c r="E31" s="18" t="str">
        <f aca="false">IF($D31="","",IFERROR(INDEX(정비항목!$B$3:$B$52,MATCH($D31,정비항목!$A$3:$A$52,0)),"미등록항목"))</f>
        <v/>
      </c>
      <c r="F31" s="14"/>
      <c r="G31" s="14"/>
      <c r="H31" s="11"/>
    </row>
    <row r="32" customFormat="false" ht="15" hidden="false" customHeight="true" outlineLevel="0" collapsed="false">
      <c r="A32" s="15"/>
      <c r="B32" s="11"/>
      <c r="C32" s="18" t="str">
        <f aca="false">IF($B32="","",IFERROR(INDEX(차량목록!$B$3:$B$102,MATCH($B32,차량목록!$A$3:$A$102,0)),"미등록차량"))</f>
        <v/>
      </c>
      <c r="D32" s="11"/>
      <c r="E32" s="18" t="str">
        <f aca="false">IF($D32="","",IFERROR(INDEX(정비항목!$B$3:$B$52,MATCH($D32,정비항목!$A$3:$A$52,0)),"미등록항목"))</f>
        <v/>
      </c>
      <c r="F32" s="14"/>
      <c r="G32" s="14"/>
      <c r="H32" s="11"/>
    </row>
    <row r="33" customFormat="false" ht="15" hidden="false" customHeight="true" outlineLevel="0" collapsed="false">
      <c r="A33" s="15"/>
      <c r="B33" s="11"/>
      <c r="C33" s="18" t="str">
        <f aca="false">IF($B33="","",IFERROR(INDEX(차량목록!$B$3:$B$102,MATCH($B33,차량목록!$A$3:$A$102,0)),"미등록차량"))</f>
        <v/>
      </c>
      <c r="D33" s="11"/>
      <c r="E33" s="18" t="str">
        <f aca="false">IF($D33="","",IFERROR(INDEX(정비항목!$B$3:$B$52,MATCH($D33,정비항목!$A$3:$A$52,0)),"미등록항목"))</f>
        <v/>
      </c>
      <c r="F33" s="14"/>
      <c r="G33" s="14"/>
      <c r="H33" s="11"/>
    </row>
    <row r="34" customFormat="false" ht="15" hidden="false" customHeight="true" outlineLevel="0" collapsed="false">
      <c r="A34" s="15"/>
      <c r="B34" s="11"/>
      <c r="C34" s="18" t="str">
        <f aca="false">IF($B34="","",IFERROR(INDEX(차량목록!$B$3:$B$102,MATCH($B34,차량목록!$A$3:$A$102,0)),"미등록차량"))</f>
        <v/>
      </c>
      <c r="D34" s="11"/>
      <c r="E34" s="18" t="str">
        <f aca="false">IF($D34="","",IFERROR(INDEX(정비항목!$B$3:$B$52,MATCH($D34,정비항목!$A$3:$A$52,0)),"미등록항목"))</f>
        <v/>
      </c>
      <c r="F34" s="14"/>
      <c r="G34" s="14"/>
      <c r="H34" s="11"/>
    </row>
    <row r="35" customFormat="false" ht="15" hidden="false" customHeight="true" outlineLevel="0" collapsed="false">
      <c r="A35" s="15"/>
      <c r="B35" s="11"/>
      <c r="C35" s="18" t="str">
        <f aca="false">IF($B35="","",IFERROR(INDEX(차량목록!$B$3:$B$102,MATCH($B35,차량목록!$A$3:$A$102,0)),"미등록차량"))</f>
        <v/>
      </c>
      <c r="D35" s="11"/>
      <c r="E35" s="18" t="str">
        <f aca="false">IF($D35="","",IFERROR(INDEX(정비항목!$B$3:$B$52,MATCH($D35,정비항목!$A$3:$A$52,0)),"미등록항목"))</f>
        <v/>
      </c>
      <c r="F35" s="14"/>
      <c r="G35" s="14"/>
      <c r="H35" s="11"/>
    </row>
    <row r="36" customFormat="false" ht="15" hidden="false" customHeight="true" outlineLevel="0" collapsed="false">
      <c r="A36" s="15"/>
      <c r="B36" s="11"/>
      <c r="C36" s="18" t="str">
        <f aca="false">IF($B36="","",IFERROR(INDEX(차량목록!$B$3:$B$102,MATCH($B36,차량목록!$A$3:$A$102,0)),"미등록차량"))</f>
        <v/>
      </c>
      <c r="D36" s="11"/>
      <c r="E36" s="18" t="str">
        <f aca="false">IF($D36="","",IFERROR(INDEX(정비항목!$B$3:$B$52,MATCH($D36,정비항목!$A$3:$A$52,0)),"미등록항목"))</f>
        <v/>
      </c>
      <c r="F36" s="14"/>
      <c r="G36" s="14"/>
      <c r="H36" s="11"/>
    </row>
    <row r="37" customFormat="false" ht="15" hidden="false" customHeight="true" outlineLevel="0" collapsed="false">
      <c r="A37" s="15"/>
      <c r="B37" s="11"/>
      <c r="C37" s="18" t="str">
        <f aca="false">IF($B37="","",IFERROR(INDEX(차량목록!$B$3:$B$102,MATCH($B37,차량목록!$A$3:$A$102,0)),"미등록차량"))</f>
        <v/>
      </c>
      <c r="D37" s="11"/>
      <c r="E37" s="18" t="str">
        <f aca="false">IF($D37="","",IFERROR(INDEX(정비항목!$B$3:$B$52,MATCH($D37,정비항목!$A$3:$A$52,0)),"미등록항목"))</f>
        <v/>
      </c>
      <c r="F37" s="14"/>
      <c r="G37" s="14"/>
      <c r="H37" s="11"/>
    </row>
    <row r="38" customFormat="false" ht="15" hidden="false" customHeight="true" outlineLevel="0" collapsed="false">
      <c r="A38" s="15"/>
      <c r="B38" s="11"/>
      <c r="C38" s="18" t="str">
        <f aca="false">IF($B38="","",IFERROR(INDEX(차량목록!$B$3:$B$102,MATCH($B38,차량목록!$A$3:$A$102,0)),"미등록차량"))</f>
        <v/>
      </c>
      <c r="D38" s="11"/>
      <c r="E38" s="18" t="str">
        <f aca="false">IF($D38="","",IFERROR(INDEX(정비항목!$B$3:$B$52,MATCH($D38,정비항목!$A$3:$A$52,0)),"미등록항목"))</f>
        <v/>
      </c>
      <c r="F38" s="14"/>
      <c r="G38" s="14"/>
      <c r="H38" s="11"/>
    </row>
    <row r="39" customFormat="false" ht="15" hidden="false" customHeight="true" outlineLevel="0" collapsed="false">
      <c r="A39" s="15"/>
      <c r="B39" s="11"/>
      <c r="C39" s="18" t="str">
        <f aca="false">IF($B39="","",IFERROR(INDEX(차량목록!$B$3:$B$102,MATCH($B39,차량목록!$A$3:$A$102,0)),"미등록차량"))</f>
        <v/>
      </c>
      <c r="D39" s="11"/>
      <c r="E39" s="18" t="str">
        <f aca="false">IF($D39="","",IFERROR(INDEX(정비항목!$B$3:$B$52,MATCH($D39,정비항목!$A$3:$A$52,0)),"미등록항목"))</f>
        <v/>
      </c>
      <c r="F39" s="14"/>
      <c r="G39" s="14"/>
      <c r="H39" s="11"/>
    </row>
    <row r="40" customFormat="false" ht="15" hidden="false" customHeight="true" outlineLevel="0" collapsed="false">
      <c r="A40" s="15"/>
      <c r="B40" s="11"/>
      <c r="C40" s="18" t="str">
        <f aca="false">IF($B40="","",IFERROR(INDEX(차량목록!$B$3:$B$102,MATCH($B40,차량목록!$A$3:$A$102,0)),"미등록차량"))</f>
        <v/>
      </c>
      <c r="D40" s="11"/>
      <c r="E40" s="18" t="str">
        <f aca="false">IF($D40="","",IFERROR(INDEX(정비항목!$B$3:$B$52,MATCH($D40,정비항목!$A$3:$A$52,0)),"미등록항목"))</f>
        <v/>
      </c>
      <c r="F40" s="14"/>
      <c r="G40" s="14"/>
      <c r="H40" s="11"/>
    </row>
    <row r="41" customFormat="false" ht="15" hidden="false" customHeight="true" outlineLevel="0" collapsed="false">
      <c r="A41" s="15"/>
      <c r="B41" s="11"/>
      <c r="C41" s="18" t="str">
        <f aca="false">IF($B41="","",IFERROR(INDEX(차량목록!$B$3:$B$102,MATCH($B41,차량목록!$A$3:$A$102,0)),"미등록차량"))</f>
        <v/>
      </c>
      <c r="D41" s="11"/>
      <c r="E41" s="18" t="str">
        <f aca="false">IF($D41="","",IFERROR(INDEX(정비항목!$B$3:$B$52,MATCH($D41,정비항목!$A$3:$A$52,0)),"미등록항목"))</f>
        <v/>
      </c>
      <c r="F41" s="14"/>
      <c r="G41" s="14"/>
      <c r="H41" s="11"/>
    </row>
    <row r="42" customFormat="false" ht="15" hidden="false" customHeight="true" outlineLevel="0" collapsed="false">
      <c r="A42" s="15"/>
      <c r="B42" s="11"/>
      <c r="C42" s="18" t="str">
        <f aca="false">IF($B42="","",IFERROR(INDEX(차량목록!$B$3:$B$102,MATCH($B42,차량목록!$A$3:$A$102,0)),"미등록차량"))</f>
        <v/>
      </c>
      <c r="D42" s="11"/>
      <c r="E42" s="18" t="str">
        <f aca="false">IF($D42="","",IFERROR(INDEX(정비항목!$B$3:$B$52,MATCH($D42,정비항목!$A$3:$A$52,0)),"미등록항목"))</f>
        <v/>
      </c>
      <c r="F42" s="14"/>
      <c r="G42" s="14"/>
      <c r="H42" s="11"/>
    </row>
    <row r="43" customFormat="false" ht="15" hidden="false" customHeight="true" outlineLevel="0" collapsed="false">
      <c r="A43" s="15"/>
      <c r="B43" s="11"/>
      <c r="C43" s="18" t="str">
        <f aca="false">IF($B43="","",IFERROR(INDEX(차량목록!$B$3:$B$102,MATCH($B43,차량목록!$A$3:$A$102,0)),"미등록차량"))</f>
        <v/>
      </c>
      <c r="D43" s="11"/>
      <c r="E43" s="18" t="str">
        <f aca="false">IF($D43="","",IFERROR(INDEX(정비항목!$B$3:$B$52,MATCH($D43,정비항목!$A$3:$A$52,0)),"미등록항목"))</f>
        <v/>
      </c>
      <c r="F43" s="14"/>
      <c r="G43" s="14"/>
      <c r="H43" s="11"/>
    </row>
    <row r="44" customFormat="false" ht="15" hidden="false" customHeight="true" outlineLevel="0" collapsed="false">
      <c r="A44" s="15"/>
      <c r="B44" s="11"/>
      <c r="C44" s="18" t="str">
        <f aca="false">IF($B44="","",IFERROR(INDEX(차량목록!$B$3:$B$102,MATCH($B44,차량목록!$A$3:$A$102,0)),"미등록차량"))</f>
        <v/>
      </c>
      <c r="D44" s="11"/>
      <c r="E44" s="18" t="str">
        <f aca="false">IF($D44="","",IFERROR(INDEX(정비항목!$B$3:$B$52,MATCH($D44,정비항목!$A$3:$A$52,0)),"미등록항목"))</f>
        <v/>
      </c>
      <c r="F44" s="14"/>
      <c r="G44" s="14"/>
      <c r="H44" s="11"/>
    </row>
    <row r="45" customFormat="false" ht="15" hidden="false" customHeight="true" outlineLevel="0" collapsed="false">
      <c r="A45" s="15"/>
      <c r="B45" s="11"/>
      <c r="C45" s="18" t="str">
        <f aca="false">IF($B45="","",IFERROR(INDEX(차량목록!$B$3:$B$102,MATCH($B45,차량목록!$A$3:$A$102,0)),"미등록차량"))</f>
        <v/>
      </c>
      <c r="D45" s="11"/>
      <c r="E45" s="18" t="str">
        <f aca="false">IF($D45="","",IFERROR(INDEX(정비항목!$B$3:$B$52,MATCH($D45,정비항목!$A$3:$A$52,0)),"미등록항목"))</f>
        <v/>
      </c>
      <c r="F45" s="14"/>
      <c r="G45" s="14"/>
      <c r="H45" s="11"/>
    </row>
    <row r="46" customFormat="false" ht="15" hidden="false" customHeight="true" outlineLevel="0" collapsed="false">
      <c r="A46" s="15"/>
      <c r="B46" s="11"/>
      <c r="C46" s="18" t="str">
        <f aca="false">IF($B46="","",IFERROR(INDEX(차량목록!$B$3:$B$102,MATCH($B46,차량목록!$A$3:$A$102,0)),"미등록차량"))</f>
        <v/>
      </c>
      <c r="D46" s="11"/>
      <c r="E46" s="18" t="str">
        <f aca="false">IF($D46="","",IFERROR(INDEX(정비항목!$B$3:$B$52,MATCH($D46,정비항목!$A$3:$A$52,0)),"미등록항목"))</f>
        <v/>
      </c>
      <c r="F46" s="14"/>
      <c r="G46" s="14"/>
      <c r="H46" s="11"/>
    </row>
    <row r="47" customFormat="false" ht="15" hidden="false" customHeight="true" outlineLevel="0" collapsed="false">
      <c r="A47" s="15"/>
      <c r="B47" s="11"/>
      <c r="C47" s="18" t="str">
        <f aca="false">IF($B47="","",IFERROR(INDEX(차량목록!$B$3:$B$102,MATCH($B47,차량목록!$A$3:$A$102,0)),"미등록차량"))</f>
        <v/>
      </c>
      <c r="D47" s="11"/>
      <c r="E47" s="18" t="str">
        <f aca="false">IF($D47="","",IFERROR(INDEX(정비항목!$B$3:$B$52,MATCH($D47,정비항목!$A$3:$A$52,0)),"미등록항목"))</f>
        <v/>
      </c>
      <c r="F47" s="14"/>
      <c r="G47" s="14"/>
      <c r="H47" s="11"/>
    </row>
    <row r="48" customFormat="false" ht="15" hidden="false" customHeight="true" outlineLevel="0" collapsed="false">
      <c r="A48" s="15"/>
      <c r="B48" s="11"/>
      <c r="C48" s="18" t="str">
        <f aca="false">IF($B48="","",IFERROR(INDEX(차량목록!$B$3:$B$102,MATCH($B48,차량목록!$A$3:$A$102,0)),"미등록차량"))</f>
        <v/>
      </c>
      <c r="D48" s="11"/>
      <c r="E48" s="18" t="str">
        <f aca="false">IF($D48="","",IFERROR(INDEX(정비항목!$B$3:$B$52,MATCH($D48,정비항목!$A$3:$A$52,0)),"미등록항목"))</f>
        <v/>
      </c>
      <c r="F48" s="14"/>
      <c r="G48" s="14"/>
      <c r="H48" s="11"/>
    </row>
    <row r="49" customFormat="false" ht="15" hidden="false" customHeight="true" outlineLevel="0" collapsed="false">
      <c r="A49" s="15"/>
      <c r="B49" s="11"/>
      <c r="C49" s="18" t="str">
        <f aca="false">IF($B49="","",IFERROR(INDEX(차량목록!$B$3:$B$102,MATCH($B49,차량목록!$A$3:$A$102,0)),"미등록차량"))</f>
        <v/>
      </c>
      <c r="D49" s="11"/>
      <c r="E49" s="18" t="str">
        <f aca="false">IF($D49="","",IFERROR(INDEX(정비항목!$B$3:$B$52,MATCH($D49,정비항목!$A$3:$A$52,0)),"미등록항목"))</f>
        <v/>
      </c>
      <c r="F49" s="14"/>
      <c r="G49" s="14"/>
      <c r="H49" s="11"/>
    </row>
    <row r="50" customFormat="false" ht="15" hidden="false" customHeight="true" outlineLevel="0" collapsed="false">
      <c r="A50" s="15"/>
      <c r="B50" s="11"/>
      <c r="C50" s="18" t="str">
        <f aca="false">IF($B50="","",IFERROR(INDEX(차량목록!$B$3:$B$102,MATCH($B50,차량목록!$A$3:$A$102,0)),"미등록차량"))</f>
        <v/>
      </c>
      <c r="D50" s="11"/>
      <c r="E50" s="18" t="str">
        <f aca="false">IF($D50="","",IFERROR(INDEX(정비항목!$B$3:$B$52,MATCH($D50,정비항목!$A$3:$A$52,0)),"미등록항목"))</f>
        <v/>
      </c>
      <c r="F50" s="14"/>
      <c r="G50" s="14"/>
      <c r="H50" s="11"/>
    </row>
    <row r="51" customFormat="false" ht="15" hidden="false" customHeight="true" outlineLevel="0" collapsed="false">
      <c r="A51" s="15"/>
      <c r="B51" s="11"/>
      <c r="C51" s="18" t="str">
        <f aca="false">IF($B51="","",IFERROR(INDEX(차량목록!$B$3:$B$102,MATCH($B51,차량목록!$A$3:$A$102,0)),"미등록차량"))</f>
        <v/>
      </c>
      <c r="D51" s="11"/>
      <c r="E51" s="18" t="str">
        <f aca="false">IF($D51="","",IFERROR(INDEX(정비항목!$B$3:$B$52,MATCH($D51,정비항목!$A$3:$A$52,0)),"미등록항목"))</f>
        <v/>
      </c>
      <c r="F51" s="14"/>
      <c r="G51" s="14"/>
      <c r="H51" s="11"/>
    </row>
    <row r="52" customFormat="false" ht="15" hidden="false" customHeight="true" outlineLevel="0" collapsed="false">
      <c r="A52" s="15"/>
      <c r="B52" s="11"/>
      <c r="C52" s="18" t="str">
        <f aca="false">IF($B52="","",IFERROR(INDEX(차량목록!$B$3:$B$102,MATCH($B52,차량목록!$A$3:$A$102,0)),"미등록차량"))</f>
        <v/>
      </c>
      <c r="D52" s="11"/>
      <c r="E52" s="18" t="str">
        <f aca="false">IF($D52="","",IFERROR(INDEX(정비항목!$B$3:$B$52,MATCH($D52,정비항목!$A$3:$A$52,0)),"미등록항목"))</f>
        <v/>
      </c>
      <c r="F52" s="14"/>
      <c r="G52" s="14"/>
      <c r="H52" s="11"/>
    </row>
    <row r="53" customFormat="false" ht="15" hidden="false" customHeight="true" outlineLevel="0" collapsed="false">
      <c r="A53" s="15"/>
      <c r="B53" s="11"/>
      <c r="C53" s="18" t="str">
        <f aca="false">IF($B53="","",IFERROR(INDEX(차량목록!$B$3:$B$102,MATCH($B53,차량목록!$A$3:$A$102,0)),"미등록차량"))</f>
        <v/>
      </c>
      <c r="D53" s="11"/>
      <c r="E53" s="18" t="str">
        <f aca="false">IF($D53="","",IFERROR(INDEX(정비항목!$B$3:$B$52,MATCH($D53,정비항목!$A$3:$A$52,0)),"미등록항목"))</f>
        <v/>
      </c>
      <c r="F53" s="14"/>
      <c r="G53" s="14"/>
      <c r="H53" s="11"/>
    </row>
    <row r="54" customFormat="false" ht="15" hidden="false" customHeight="true" outlineLevel="0" collapsed="false">
      <c r="A54" s="15"/>
      <c r="B54" s="11"/>
      <c r="C54" s="18" t="str">
        <f aca="false">IF($B54="","",IFERROR(INDEX(차량목록!$B$3:$B$102,MATCH($B54,차량목록!$A$3:$A$102,0)),"미등록차량"))</f>
        <v/>
      </c>
      <c r="D54" s="11"/>
      <c r="E54" s="18" t="str">
        <f aca="false">IF($D54="","",IFERROR(INDEX(정비항목!$B$3:$B$52,MATCH($D54,정비항목!$A$3:$A$52,0)),"미등록항목"))</f>
        <v/>
      </c>
      <c r="F54" s="14"/>
      <c r="G54" s="14"/>
      <c r="H54" s="11"/>
    </row>
    <row r="55" customFormat="false" ht="15" hidden="false" customHeight="true" outlineLevel="0" collapsed="false">
      <c r="A55" s="15"/>
      <c r="B55" s="11"/>
      <c r="C55" s="18" t="str">
        <f aca="false">IF($B55="","",IFERROR(INDEX(차량목록!$B$3:$B$102,MATCH($B55,차량목록!$A$3:$A$102,0)),"미등록차량"))</f>
        <v/>
      </c>
      <c r="D55" s="11"/>
      <c r="E55" s="18" t="str">
        <f aca="false">IF($D55="","",IFERROR(INDEX(정비항목!$B$3:$B$52,MATCH($D55,정비항목!$A$3:$A$52,0)),"미등록항목"))</f>
        <v/>
      </c>
      <c r="F55" s="14"/>
      <c r="G55" s="14"/>
      <c r="H55" s="11"/>
    </row>
    <row r="56" customFormat="false" ht="15" hidden="false" customHeight="true" outlineLevel="0" collapsed="false">
      <c r="A56" s="15"/>
      <c r="B56" s="11"/>
      <c r="C56" s="18" t="str">
        <f aca="false">IF($B56="","",IFERROR(INDEX(차량목록!$B$3:$B$102,MATCH($B56,차량목록!$A$3:$A$102,0)),"미등록차량"))</f>
        <v/>
      </c>
      <c r="D56" s="11"/>
      <c r="E56" s="18" t="str">
        <f aca="false">IF($D56="","",IFERROR(INDEX(정비항목!$B$3:$B$52,MATCH($D56,정비항목!$A$3:$A$52,0)),"미등록항목"))</f>
        <v/>
      </c>
      <c r="F56" s="14"/>
      <c r="G56" s="14"/>
      <c r="H56" s="11"/>
    </row>
    <row r="57" customFormat="false" ht="15" hidden="false" customHeight="true" outlineLevel="0" collapsed="false">
      <c r="A57" s="15"/>
      <c r="B57" s="11"/>
      <c r="C57" s="18" t="str">
        <f aca="false">IF($B57="","",IFERROR(INDEX(차량목록!$B$3:$B$102,MATCH($B57,차량목록!$A$3:$A$102,0)),"미등록차량"))</f>
        <v/>
      </c>
      <c r="D57" s="11"/>
      <c r="E57" s="18" t="str">
        <f aca="false">IF($D57="","",IFERROR(INDEX(정비항목!$B$3:$B$52,MATCH($D57,정비항목!$A$3:$A$52,0)),"미등록항목"))</f>
        <v/>
      </c>
      <c r="F57" s="14"/>
      <c r="G57" s="14"/>
      <c r="H57" s="11"/>
    </row>
    <row r="58" customFormat="false" ht="15" hidden="false" customHeight="true" outlineLevel="0" collapsed="false">
      <c r="A58" s="15"/>
      <c r="B58" s="11"/>
      <c r="C58" s="18" t="str">
        <f aca="false">IF($B58="","",IFERROR(INDEX(차량목록!$B$3:$B$102,MATCH($B58,차량목록!$A$3:$A$102,0)),"미등록차량"))</f>
        <v/>
      </c>
      <c r="D58" s="11"/>
      <c r="E58" s="18" t="str">
        <f aca="false">IF($D58="","",IFERROR(INDEX(정비항목!$B$3:$B$52,MATCH($D58,정비항목!$A$3:$A$52,0)),"미등록항목"))</f>
        <v/>
      </c>
      <c r="F58" s="14"/>
      <c r="G58" s="14"/>
      <c r="H58" s="11"/>
    </row>
    <row r="59" customFormat="false" ht="15" hidden="false" customHeight="true" outlineLevel="0" collapsed="false">
      <c r="A59" s="15"/>
      <c r="B59" s="11"/>
      <c r="C59" s="18" t="str">
        <f aca="false">IF($B59="","",IFERROR(INDEX(차량목록!$B$3:$B$102,MATCH($B59,차량목록!$A$3:$A$102,0)),"미등록차량"))</f>
        <v/>
      </c>
      <c r="D59" s="11"/>
      <c r="E59" s="18" t="str">
        <f aca="false">IF($D59="","",IFERROR(INDEX(정비항목!$B$3:$B$52,MATCH($D59,정비항목!$A$3:$A$52,0)),"미등록항목"))</f>
        <v/>
      </c>
      <c r="F59" s="14"/>
      <c r="G59" s="14"/>
      <c r="H59" s="11"/>
    </row>
    <row r="60" customFormat="false" ht="15" hidden="false" customHeight="true" outlineLevel="0" collapsed="false">
      <c r="A60" s="15"/>
      <c r="B60" s="11"/>
      <c r="C60" s="18" t="str">
        <f aca="false">IF($B60="","",IFERROR(INDEX(차량목록!$B$3:$B$102,MATCH($B60,차량목록!$A$3:$A$102,0)),"미등록차량"))</f>
        <v/>
      </c>
      <c r="D60" s="11"/>
      <c r="E60" s="18" t="str">
        <f aca="false">IF($D60="","",IFERROR(INDEX(정비항목!$B$3:$B$52,MATCH($D60,정비항목!$A$3:$A$52,0)),"미등록항목"))</f>
        <v/>
      </c>
      <c r="F60" s="14"/>
      <c r="G60" s="14"/>
      <c r="H60" s="11"/>
    </row>
    <row r="61" customFormat="false" ht="15" hidden="false" customHeight="true" outlineLevel="0" collapsed="false">
      <c r="A61" s="15"/>
      <c r="B61" s="11"/>
      <c r="C61" s="18" t="str">
        <f aca="false">IF($B61="","",IFERROR(INDEX(차량목록!$B$3:$B$102,MATCH($B61,차량목록!$A$3:$A$102,0)),"미등록차량"))</f>
        <v/>
      </c>
      <c r="D61" s="11"/>
      <c r="E61" s="18" t="str">
        <f aca="false">IF($D61="","",IFERROR(INDEX(정비항목!$B$3:$B$52,MATCH($D61,정비항목!$A$3:$A$52,0)),"미등록항목"))</f>
        <v/>
      </c>
      <c r="F61" s="14"/>
      <c r="G61" s="14"/>
      <c r="H61" s="11"/>
    </row>
    <row r="62" customFormat="false" ht="15" hidden="false" customHeight="true" outlineLevel="0" collapsed="false">
      <c r="A62" s="15"/>
      <c r="B62" s="11"/>
      <c r="C62" s="18" t="str">
        <f aca="false">IF($B62="","",IFERROR(INDEX(차량목록!$B$3:$B$102,MATCH($B62,차량목록!$A$3:$A$102,0)),"미등록차량"))</f>
        <v/>
      </c>
      <c r="D62" s="11"/>
      <c r="E62" s="18" t="str">
        <f aca="false">IF($D62="","",IFERROR(INDEX(정비항목!$B$3:$B$52,MATCH($D62,정비항목!$A$3:$A$52,0)),"미등록항목"))</f>
        <v/>
      </c>
      <c r="F62" s="14"/>
      <c r="G62" s="14"/>
      <c r="H62" s="11"/>
    </row>
    <row r="63" customFormat="false" ht="15" hidden="false" customHeight="true" outlineLevel="0" collapsed="false">
      <c r="A63" s="15"/>
      <c r="B63" s="11"/>
      <c r="C63" s="18" t="str">
        <f aca="false">IF($B63="","",IFERROR(INDEX(차량목록!$B$3:$B$102,MATCH($B63,차량목록!$A$3:$A$102,0)),"미등록차량"))</f>
        <v/>
      </c>
      <c r="D63" s="11"/>
      <c r="E63" s="18" t="str">
        <f aca="false">IF($D63="","",IFERROR(INDEX(정비항목!$B$3:$B$52,MATCH($D63,정비항목!$A$3:$A$52,0)),"미등록항목"))</f>
        <v/>
      </c>
      <c r="F63" s="14"/>
      <c r="G63" s="14"/>
      <c r="H63" s="11"/>
    </row>
    <row r="64" customFormat="false" ht="15" hidden="false" customHeight="true" outlineLevel="0" collapsed="false">
      <c r="A64" s="15"/>
      <c r="B64" s="11"/>
      <c r="C64" s="18" t="str">
        <f aca="false">IF($B64="","",IFERROR(INDEX(차량목록!$B$3:$B$102,MATCH($B64,차량목록!$A$3:$A$102,0)),"미등록차량"))</f>
        <v/>
      </c>
      <c r="D64" s="11"/>
      <c r="E64" s="18" t="str">
        <f aca="false">IF($D64="","",IFERROR(INDEX(정비항목!$B$3:$B$52,MATCH($D64,정비항목!$A$3:$A$52,0)),"미등록항목"))</f>
        <v/>
      </c>
      <c r="F64" s="14"/>
      <c r="G64" s="14"/>
      <c r="H64" s="11"/>
    </row>
    <row r="65" customFormat="false" ht="15" hidden="false" customHeight="true" outlineLevel="0" collapsed="false">
      <c r="A65" s="15"/>
      <c r="B65" s="11"/>
      <c r="C65" s="18" t="str">
        <f aca="false">IF($B65="","",IFERROR(INDEX(차량목록!$B$3:$B$102,MATCH($B65,차량목록!$A$3:$A$102,0)),"미등록차량"))</f>
        <v/>
      </c>
      <c r="D65" s="11"/>
      <c r="E65" s="18" t="str">
        <f aca="false">IF($D65="","",IFERROR(INDEX(정비항목!$B$3:$B$52,MATCH($D65,정비항목!$A$3:$A$52,0)),"미등록항목"))</f>
        <v/>
      </c>
      <c r="F65" s="14"/>
      <c r="G65" s="14"/>
      <c r="H65" s="11"/>
    </row>
    <row r="66" customFormat="false" ht="15" hidden="false" customHeight="true" outlineLevel="0" collapsed="false">
      <c r="A66" s="15"/>
      <c r="B66" s="11"/>
      <c r="C66" s="18" t="str">
        <f aca="false">IF($B66="","",IFERROR(INDEX(차량목록!$B$3:$B$102,MATCH($B66,차량목록!$A$3:$A$102,0)),"미등록차량"))</f>
        <v/>
      </c>
      <c r="D66" s="11"/>
      <c r="E66" s="18" t="str">
        <f aca="false">IF($D66="","",IFERROR(INDEX(정비항목!$B$3:$B$52,MATCH($D66,정비항목!$A$3:$A$52,0)),"미등록항목"))</f>
        <v/>
      </c>
      <c r="F66" s="14"/>
      <c r="G66" s="14"/>
      <c r="H66" s="11"/>
    </row>
    <row r="67" customFormat="false" ht="15" hidden="false" customHeight="true" outlineLevel="0" collapsed="false">
      <c r="A67" s="15"/>
      <c r="B67" s="11"/>
      <c r="C67" s="18" t="str">
        <f aca="false">IF($B67="","",IFERROR(INDEX(차량목록!$B$3:$B$102,MATCH($B67,차량목록!$A$3:$A$102,0)),"미등록차량"))</f>
        <v/>
      </c>
      <c r="D67" s="11"/>
      <c r="E67" s="18" t="str">
        <f aca="false">IF($D67="","",IFERROR(INDEX(정비항목!$B$3:$B$52,MATCH($D67,정비항목!$A$3:$A$52,0)),"미등록항목"))</f>
        <v/>
      </c>
      <c r="F67" s="14"/>
      <c r="G67" s="14"/>
      <c r="H67" s="11"/>
    </row>
    <row r="68" customFormat="false" ht="15" hidden="false" customHeight="true" outlineLevel="0" collapsed="false">
      <c r="A68" s="15"/>
      <c r="B68" s="11"/>
      <c r="C68" s="18" t="str">
        <f aca="false">IF($B68="","",IFERROR(INDEX(차량목록!$B$3:$B$102,MATCH($B68,차량목록!$A$3:$A$102,0)),"미등록차량"))</f>
        <v/>
      </c>
      <c r="D68" s="11"/>
      <c r="E68" s="18" t="str">
        <f aca="false">IF($D68="","",IFERROR(INDEX(정비항목!$B$3:$B$52,MATCH($D68,정비항목!$A$3:$A$52,0)),"미등록항목"))</f>
        <v/>
      </c>
      <c r="F68" s="14"/>
      <c r="G68" s="14"/>
      <c r="H68" s="11"/>
    </row>
    <row r="69" customFormat="false" ht="15" hidden="false" customHeight="true" outlineLevel="0" collapsed="false">
      <c r="A69" s="15"/>
      <c r="B69" s="11"/>
      <c r="C69" s="18" t="str">
        <f aca="false">IF($B69="","",IFERROR(INDEX(차량목록!$B$3:$B$102,MATCH($B69,차량목록!$A$3:$A$102,0)),"미등록차량"))</f>
        <v/>
      </c>
      <c r="D69" s="11"/>
      <c r="E69" s="18" t="str">
        <f aca="false">IF($D69="","",IFERROR(INDEX(정비항목!$B$3:$B$52,MATCH($D69,정비항목!$A$3:$A$52,0)),"미등록항목"))</f>
        <v/>
      </c>
      <c r="F69" s="14"/>
      <c r="G69" s="14"/>
      <c r="H69" s="11"/>
    </row>
    <row r="70" customFormat="false" ht="15" hidden="false" customHeight="true" outlineLevel="0" collapsed="false">
      <c r="A70" s="15"/>
      <c r="B70" s="11"/>
      <c r="C70" s="18" t="str">
        <f aca="false">IF($B70="","",IFERROR(INDEX(차량목록!$B$3:$B$102,MATCH($B70,차량목록!$A$3:$A$102,0)),"미등록차량"))</f>
        <v/>
      </c>
      <c r="D70" s="11"/>
      <c r="E70" s="18" t="str">
        <f aca="false">IF($D70="","",IFERROR(INDEX(정비항목!$B$3:$B$52,MATCH($D70,정비항목!$A$3:$A$52,0)),"미등록항목"))</f>
        <v/>
      </c>
      <c r="F70" s="14"/>
      <c r="G70" s="14"/>
      <c r="H70" s="11"/>
    </row>
    <row r="71" customFormat="false" ht="15" hidden="false" customHeight="true" outlineLevel="0" collapsed="false">
      <c r="A71" s="15"/>
      <c r="B71" s="11"/>
      <c r="C71" s="18" t="str">
        <f aca="false">IF($B71="","",IFERROR(INDEX(차량목록!$B$3:$B$102,MATCH($B71,차량목록!$A$3:$A$102,0)),"미등록차량"))</f>
        <v/>
      </c>
      <c r="D71" s="11"/>
      <c r="E71" s="18" t="str">
        <f aca="false">IF($D71="","",IFERROR(INDEX(정비항목!$B$3:$B$52,MATCH($D71,정비항목!$A$3:$A$52,0)),"미등록항목"))</f>
        <v/>
      </c>
      <c r="F71" s="14"/>
      <c r="G71" s="14"/>
      <c r="H71" s="11"/>
    </row>
    <row r="72" customFormat="false" ht="15" hidden="false" customHeight="true" outlineLevel="0" collapsed="false">
      <c r="A72" s="15"/>
      <c r="B72" s="11"/>
      <c r="C72" s="18" t="str">
        <f aca="false">IF($B72="","",IFERROR(INDEX(차량목록!$B$3:$B$102,MATCH($B72,차량목록!$A$3:$A$102,0)),"미등록차량"))</f>
        <v/>
      </c>
      <c r="D72" s="11"/>
      <c r="E72" s="18" t="str">
        <f aca="false">IF($D72="","",IFERROR(INDEX(정비항목!$B$3:$B$52,MATCH($D72,정비항목!$A$3:$A$52,0)),"미등록항목"))</f>
        <v/>
      </c>
      <c r="F72" s="14"/>
      <c r="G72" s="14"/>
      <c r="H72" s="11"/>
    </row>
    <row r="73" customFormat="false" ht="15" hidden="false" customHeight="true" outlineLevel="0" collapsed="false">
      <c r="A73" s="15"/>
      <c r="B73" s="11"/>
      <c r="C73" s="18" t="str">
        <f aca="false">IF($B73="","",IFERROR(INDEX(차량목록!$B$3:$B$102,MATCH($B73,차량목록!$A$3:$A$102,0)),"미등록차량"))</f>
        <v/>
      </c>
      <c r="D73" s="11"/>
      <c r="E73" s="18" t="str">
        <f aca="false">IF($D73="","",IFERROR(INDEX(정비항목!$B$3:$B$52,MATCH($D73,정비항목!$A$3:$A$52,0)),"미등록항목"))</f>
        <v/>
      </c>
      <c r="F73" s="14"/>
      <c r="G73" s="14"/>
      <c r="H73" s="11"/>
    </row>
    <row r="74" customFormat="false" ht="15" hidden="false" customHeight="true" outlineLevel="0" collapsed="false">
      <c r="A74" s="15"/>
      <c r="B74" s="11"/>
      <c r="C74" s="18" t="str">
        <f aca="false">IF($B74="","",IFERROR(INDEX(차량목록!$B$3:$B$102,MATCH($B74,차량목록!$A$3:$A$102,0)),"미등록차량"))</f>
        <v/>
      </c>
      <c r="D74" s="11"/>
      <c r="E74" s="18" t="str">
        <f aca="false">IF($D74="","",IFERROR(INDEX(정비항목!$B$3:$B$52,MATCH($D74,정비항목!$A$3:$A$52,0)),"미등록항목"))</f>
        <v/>
      </c>
      <c r="F74" s="14"/>
      <c r="G74" s="14"/>
      <c r="H74" s="11"/>
    </row>
    <row r="75" customFormat="false" ht="15" hidden="false" customHeight="true" outlineLevel="0" collapsed="false">
      <c r="A75" s="15"/>
      <c r="B75" s="11"/>
      <c r="C75" s="18" t="str">
        <f aca="false">IF($B75="","",IFERROR(INDEX(차량목록!$B$3:$B$102,MATCH($B75,차량목록!$A$3:$A$102,0)),"미등록차량"))</f>
        <v/>
      </c>
      <c r="D75" s="11"/>
      <c r="E75" s="18" t="str">
        <f aca="false">IF($D75="","",IFERROR(INDEX(정비항목!$B$3:$B$52,MATCH($D75,정비항목!$A$3:$A$52,0)),"미등록항목"))</f>
        <v/>
      </c>
      <c r="F75" s="14"/>
      <c r="G75" s="14"/>
      <c r="H75" s="11"/>
    </row>
    <row r="76" customFormat="false" ht="15" hidden="false" customHeight="true" outlineLevel="0" collapsed="false">
      <c r="A76" s="15"/>
      <c r="B76" s="11"/>
      <c r="C76" s="18" t="str">
        <f aca="false">IF($B76="","",IFERROR(INDEX(차량목록!$B$3:$B$102,MATCH($B76,차량목록!$A$3:$A$102,0)),"미등록차량"))</f>
        <v/>
      </c>
      <c r="D76" s="11"/>
      <c r="E76" s="18" t="str">
        <f aca="false">IF($D76="","",IFERROR(INDEX(정비항목!$B$3:$B$52,MATCH($D76,정비항목!$A$3:$A$52,0)),"미등록항목"))</f>
        <v/>
      </c>
      <c r="F76" s="14"/>
      <c r="G76" s="14"/>
      <c r="H76" s="11"/>
    </row>
    <row r="77" customFormat="false" ht="15" hidden="false" customHeight="true" outlineLevel="0" collapsed="false">
      <c r="A77" s="15"/>
      <c r="B77" s="11"/>
      <c r="C77" s="18" t="str">
        <f aca="false">IF($B77="","",IFERROR(INDEX(차량목록!$B$3:$B$102,MATCH($B77,차량목록!$A$3:$A$102,0)),"미등록차량"))</f>
        <v/>
      </c>
      <c r="D77" s="11"/>
      <c r="E77" s="18" t="str">
        <f aca="false">IF($D77="","",IFERROR(INDEX(정비항목!$B$3:$B$52,MATCH($D77,정비항목!$A$3:$A$52,0)),"미등록항목"))</f>
        <v/>
      </c>
      <c r="F77" s="14"/>
      <c r="G77" s="14"/>
      <c r="H77" s="11"/>
    </row>
    <row r="78" customFormat="false" ht="15" hidden="false" customHeight="true" outlineLevel="0" collapsed="false">
      <c r="A78" s="15"/>
      <c r="B78" s="11"/>
      <c r="C78" s="18" t="str">
        <f aca="false">IF($B78="","",IFERROR(INDEX(차량목록!$B$3:$B$102,MATCH($B78,차량목록!$A$3:$A$102,0)),"미등록차량"))</f>
        <v/>
      </c>
      <c r="D78" s="11"/>
      <c r="E78" s="18" t="str">
        <f aca="false">IF($D78="","",IFERROR(INDEX(정비항목!$B$3:$B$52,MATCH($D78,정비항목!$A$3:$A$52,0)),"미등록항목"))</f>
        <v/>
      </c>
      <c r="F78" s="14"/>
      <c r="G78" s="14"/>
      <c r="H78" s="11"/>
    </row>
    <row r="79" customFormat="false" ht="15" hidden="false" customHeight="true" outlineLevel="0" collapsed="false">
      <c r="A79" s="15"/>
      <c r="B79" s="11"/>
      <c r="C79" s="18" t="str">
        <f aca="false">IF($B79="","",IFERROR(INDEX(차량목록!$B$3:$B$102,MATCH($B79,차량목록!$A$3:$A$102,0)),"미등록차량"))</f>
        <v/>
      </c>
      <c r="D79" s="11"/>
      <c r="E79" s="18" t="str">
        <f aca="false">IF($D79="","",IFERROR(INDEX(정비항목!$B$3:$B$52,MATCH($D79,정비항목!$A$3:$A$52,0)),"미등록항목"))</f>
        <v/>
      </c>
      <c r="F79" s="14"/>
      <c r="G79" s="14"/>
      <c r="H79" s="11"/>
    </row>
    <row r="80" customFormat="false" ht="15" hidden="false" customHeight="true" outlineLevel="0" collapsed="false">
      <c r="A80" s="15"/>
      <c r="B80" s="11"/>
      <c r="C80" s="18" t="str">
        <f aca="false">IF($B80="","",IFERROR(INDEX(차량목록!$B$3:$B$102,MATCH($B80,차량목록!$A$3:$A$102,0)),"미등록차량"))</f>
        <v/>
      </c>
      <c r="D80" s="11"/>
      <c r="E80" s="18" t="str">
        <f aca="false">IF($D80="","",IFERROR(INDEX(정비항목!$B$3:$B$52,MATCH($D80,정비항목!$A$3:$A$52,0)),"미등록항목"))</f>
        <v/>
      </c>
      <c r="F80" s="14"/>
      <c r="G80" s="14"/>
      <c r="H80" s="11"/>
    </row>
    <row r="81" customFormat="false" ht="15" hidden="false" customHeight="true" outlineLevel="0" collapsed="false">
      <c r="A81" s="15"/>
      <c r="B81" s="11"/>
      <c r="C81" s="18" t="str">
        <f aca="false">IF($B81="","",IFERROR(INDEX(차량목록!$B$3:$B$102,MATCH($B81,차량목록!$A$3:$A$102,0)),"미등록차량"))</f>
        <v/>
      </c>
      <c r="D81" s="11"/>
      <c r="E81" s="18" t="str">
        <f aca="false">IF($D81="","",IFERROR(INDEX(정비항목!$B$3:$B$52,MATCH($D81,정비항목!$A$3:$A$52,0)),"미등록항목"))</f>
        <v/>
      </c>
      <c r="F81" s="14"/>
      <c r="G81" s="14"/>
      <c r="H81" s="11"/>
    </row>
    <row r="82" customFormat="false" ht="15" hidden="false" customHeight="true" outlineLevel="0" collapsed="false">
      <c r="A82" s="15"/>
      <c r="B82" s="11"/>
      <c r="C82" s="18" t="str">
        <f aca="false">IF($B82="","",IFERROR(INDEX(차량목록!$B$3:$B$102,MATCH($B82,차량목록!$A$3:$A$102,0)),"미등록차량"))</f>
        <v/>
      </c>
      <c r="D82" s="11"/>
      <c r="E82" s="18" t="str">
        <f aca="false">IF($D82="","",IFERROR(INDEX(정비항목!$B$3:$B$52,MATCH($D82,정비항목!$A$3:$A$52,0)),"미등록항목"))</f>
        <v/>
      </c>
      <c r="F82" s="14"/>
      <c r="G82" s="14"/>
      <c r="H82" s="11"/>
    </row>
    <row r="83" customFormat="false" ht="15" hidden="false" customHeight="true" outlineLevel="0" collapsed="false">
      <c r="A83" s="15"/>
      <c r="B83" s="11"/>
      <c r="C83" s="18" t="str">
        <f aca="false">IF($B83="","",IFERROR(INDEX(차량목록!$B$3:$B$102,MATCH($B83,차량목록!$A$3:$A$102,0)),"미등록차량"))</f>
        <v/>
      </c>
      <c r="D83" s="11"/>
      <c r="E83" s="18" t="str">
        <f aca="false">IF($D83="","",IFERROR(INDEX(정비항목!$B$3:$B$52,MATCH($D83,정비항목!$A$3:$A$52,0)),"미등록항목"))</f>
        <v/>
      </c>
      <c r="F83" s="14"/>
      <c r="G83" s="14"/>
      <c r="H83" s="11"/>
    </row>
    <row r="84" customFormat="false" ht="15" hidden="false" customHeight="true" outlineLevel="0" collapsed="false">
      <c r="A84" s="15"/>
      <c r="B84" s="11"/>
      <c r="C84" s="18" t="str">
        <f aca="false">IF($B84="","",IFERROR(INDEX(차량목록!$B$3:$B$102,MATCH($B84,차량목록!$A$3:$A$102,0)),"미등록차량"))</f>
        <v/>
      </c>
      <c r="D84" s="11"/>
      <c r="E84" s="18" t="str">
        <f aca="false">IF($D84="","",IFERROR(INDEX(정비항목!$B$3:$B$52,MATCH($D84,정비항목!$A$3:$A$52,0)),"미등록항목"))</f>
        <v/>
      </c>
      <c r="F84" s="14"/>
      <c r="G84" s="14"/>
      <c r="H84" s="11"/>
    </row>
    <row r="85" customFormat="false" ht="15" hidden="false" customHeight="true" outlineLevel="0" collapsed="false">
      <c r="A85" s="15"/>
      <c r="B85" s="11"/>
      <c r="C85" s="18" t="str">
        <f aca="false">IF($B85="","",IFERROR(INDEX(차량목록!$B$3:$B$102,MATCH($B85,차량목록!$A$3:$A$102,0)),"미등록차량"))</f>
        <v/>
      </c>
      <c r="D85" s="11"/>
      <c r="E85" s="18" t="str">
        <f aca="false">IF($D85="","",IFERROR(INDEX(정비항목!$B$3:$B$52,MATCH($D85,정비항목!$A$3:$A$52,0)),"미등록항목"))</f>
        <v/>
      </c>
      <c r="F85" s="14"/>
      <c r="G85" s="14"/>
      <c r="H85" s="11"/>
    </row>
    <row r="86" customFormat="false" ht="15" hidden="false" customHeight="true" outlineLevel="0" collapsed="false">
      <c r="A86" s="15"/>
      <c r="B86" s="11"/>
      <c r="C86" s="18" t="str">
        <f aca="false">IF($B86="","",IFERROR(INDEX(차량목록!$B$3:$B$102,MATCH($B86,차량목록!$A$3:$A$102,0)),"미등록차량"))</f>
        <v/>
      </c>
      <c r="D86" s="11"/>
      <c r="E86" s="18" t="str">
        <f aca="false">IF($D86="","",IFERROR(INDEX(정비항목!$B$3:$B$52,MATCH($D86,정비항목!$A$3:$A$52,0)),"미등록항목"))</f>
        <v/>
      </c>
      <c r="F86" s="14"/>
      <c r="G86" s="14"/>
      <c r="H86" s="11"/>
    </row>
    <row r="87" customFormat="false" ht="15" hidden="false" customHeight="true" outlineLevel="0" collapsed="false">
      <c r="A87" s="15"/>
      <c r="B87" s="11"/>
      <c r="C87" s="18" t="str">
        <f aca="false">IF($B87="","",IFERROR(INDEX(차량목록!$B$3:$B$102,MATCH($B87,차량목록!$A$3:$A$102,0)),"미등록차량"))</f>
        <v/>
      </c>
      <c r="D87" s="11"/>
      <c r="E87" s="18" t="str">
        <f aca="false">IF($D87="","",IFERROR(INDEX(정비항목!$B$3:$B$52,MATCH($D87,정비항목!$A$3:$A$52,0)),"미등록항목"))</f>
        <v/>
      </c>
      <c r="F87" s="14"/>
      <c r="G87" s="14"/>
      <c r="H87" s="11"/>
    </row>
    <row r="88" customFormat="false" ht="15" hidden="false" customHeight="true" outlineLevel="0" collapsed="false">
      <c r="A88" s="15"/>
      <c r="B88" s="11"/>
      <c r="C88" s="18" t="str">
        <f aca="false">IF($B88="","",IFERROR(INDEX(차량목록!$B$3:$B$102,MATCH($B88,차량목록!$A$3:$A$102,0)),"미등록차량"))</f>
        <v/>
      </c>
      <c r="D88" s="11"/>
      <c r="E88" s="18" t="str">
        <f aca="false">IF($D88="","",IFERROR(INDEX(정비항목!$B$3:$B$52,MATCH($D88,정비항목!$A$3:$A$52,0)),"미등록항목"))</f>
        <v/>
      </c>
      <c r="F88" s="14"/>
      <c r="G88" s="14"/>
      <c r="H88" s="11"/>
    </row>
    <row r="89" customFormat="false" ht="15" hidden="false" customHeight="true" outlineLevel="0" collapsed="false">
      <c r="A89" s="15"/>
      <c r="B89" s="11"/>
      <c r="C89" s="18" t="str">
        <f aca="false">IF($B89="","",IFERROR(INDEX(차량목록!$B$3:$B$102,MATCH($B89,차량목록!$A$3:$A$102,0)),"미등록차량"))</f>
        <v/>
      </c>
      <c r="D89" s="11"/>
      <c r="E89" s="18" t="str">
        <f aca="false">IF($D89="","",IFERROR(INDEX(정비항목!$B$3:$B$52,MATCH($D89,정비항목!$A$3:$A$52,0)),"미등록항목"))</f>
        <v/>
      </c>
      <c r="F89" s="14"/>
      <c r="G89" s="14"/>
      <c r="H89" s="11"/>
    </row>
    <row r="90" customFormat="false" ht="15" hidden="false" customHeight="true" outlineLevel="0" collapsed="false">
      <c r="A90" s="15"/>
      <c r="B90" s="11"/>
      <c r="C90" s="18" t="str">
        <f aca="false">IF($B90="","",IFERROR(INDEX(차량목록!$B$3:$B$102,MATCH($B90,차량목록!$A$3:$A$102,0)),"미등록차량"))</f>
        <v/>
      </c>
      <c r="D90" s="11"/>
      <c r="E90" s="18" t="str">
        <f aca="false">IF($D90="","",IFERROR(INDEX(정비항목!$B$3:$B$52,MATCH($D90,정비항목!$A$3:$A$52,0)),"미등록항목"))</f>
        <v/>
      </c>
      <c r="F90" s="14"/>
      <c r="G90" s="14"/>
      <c r="H90" s="11"/>
    </row>
    <row r="91" customFormat="false" ht="15" hidden="false" customHeight="true" outlineLevel="0" collapsed="false">
      <c r="A91" s="15"/>
      <c r="B91" s="11"/>
      <c r="C91" s="18" t="str">
        <f aca="false">IF($B91="","",IFERROR(INDEX(차량목록!$B$3:$B$102,MATCH($B91,차량목록!$A$3:$A$102,0)),"미등록차량"))</f>
        <v/>
      </c>
      <c r="D91" s="11"/>
      <c r="E91" s="18" t="str">
        <f aca="false">IF($D91="","",IFERROR(INDEX(정비항목!$B$3:$B$52,MATCH($D91,정비항목!$A$3:$A$52,0)),"미등록항목"))</f>
        <v/>
      </c>
      <c r="F91" s="14"/>
      <c r="G91" s="14"/>
      <c r="H91" s="11"/>
    </row>
    <row r="92" customFormat="false" ht="15" hidden="false" customHeight="true" outlineLevel="0" collapsed="false">
      <c r="A92" s="15"/>
      <c r="B92" s="11"/>
      <c r="C92" s="18" t="str">
        <f aca="false">IF($B92="","",IFERROR(INDEX(차량목록!$B$3:$B$102,MATCH($B92,차량목록!$A$3:$A$102,0)),"미등록차량"))</f>
        <v/>
      </c>
      <c r="D92" s="11"/>
      <c r="E92" s="18" t="str">
        <f aca="false">IF($D92="","",IFERROR(INDEX(정비항목!$B$3:$B$52,MATCH($D92,정비항목!$A$3:$A$52,0)),"미등록항목"))</f>
        <v/>
      </c>
      <c r="F92" s="14"/>
      <c r="G92" s="14"/>
      <c r="H92" s="11"/>
    </row>
    <row r="93" customFormat="false" ht="15" hidden="false" customHeight="true" outlineLevel="0" collapsed="false">
      <c r="A93" s="15"/>
      <c r="B93" s="11"/>
      <c r="C93" s="18" t="str">
        <f aca="false">IF($B93="","",IFERROR(INDEX(차량목록!$B$3:$B$102,MATCH($B93,차량목록!$A$3:$A$102,0)),"미등록차량"))</f>
        <v/>
      </c>
      <c r="D93" s="11"/>
      <c r="E93" s="18" t="str">
        <f aca="false">IF($D93="","",IFERROR(INDEX(정비항목!$B$3:$B$52,MATCH($D93,정비항목!$A$3:$A$52,0)),"미등록항목"))</f>
        <v/>
      </c>
      <c r="F93" s="14"/>
      <c r="G93" s="14"/>
      <c r="H93" s="11"/>
    </row>
    <row r="94" customFormat="false" ht="15" hidden="false" customHeight="true" outlineLevel="0" collapsed="false">
      <c r="A94" s="15"/>
      <c r="B94" s="11"/>
      <c r="C94" s="18" t="str">
        <f aca="false">IF($B94="","",IFERROR(INDEX(차량목록!$B$3:$B$102,MATCH($B94,차량목록!$A$3:$A$102,0)),"미등록차량"))</f>
        <v/>
      </c>
      <c r="D94" s="11"/>
      <c r="E94" s="18" t="str">
        <f aca="false">IF($D94="","",IFERROR(INDEX(정비항목!$B$3:$B$52,MATCH($D94,정비항목!$A$3:$A$52,0)),"미등록항목"))</f>
        <v/>
      </c>
      <c r="F94" s="14"/>
      <c r="G94" s="14"/>
      <c r="H94" s="11"/>
    </row>
    <row r="95" customFormat="false" ht="15" hidden="false" customHeight="true" outlineLevel="0" collapsed="false">
      <c r="A95" s="15"/>
      <c r="B95" s="11"/>
      <c r="C95" s="18" t="str">
        <f aca="false">IF($B95="","",IFERROR(INDEX(차량목록!$B$3:$B$102,MATCH($B95,차량목록!$A$3:$A$102,0)),"미등록차량"))</f>
        <v/>
      </c>
      <c r="D95" s="11"/>
      <c r="E95" s="18" t="str">
        <f aca="false">IF($D95="","",IFERROR(INDEX(정비항목!$B$3:$B$52,MATCH($D95,정비항목!$A$3:$A$52,0)),"미등록항목"))</f>
        <v/>
      </c>
      <c r="F95" s="14"/>
      <c r="G95" s="14"/>
      <c r="H95" s="11"/>
    </row>
    <row r="96" customFormat="false" ht="15" hidden="false" customHeight="true" outlineLevel="0" collapsed="false">
      <c r="A96" s="15"/>
      <c r="B96" s="11"/>
      <c r="C96" s="18" t="str">
        <f aca="false">IF($B96="","",IFERROR(INDEX(차량목록!$B$3:$B$102,MATCH($B96,차량목록!$A$3:$A$102,0)),"미등록차량"))</f>
        <v/>
      </c>
      <c r="D96" s="11"/>
      <c r="E96" s="18" t="str">
        <f aca="false">IF($D96="","",IFERROR(INDEX(정비항목!$B$3:$B$52,MATCH($D96,정비항목!$A$3:$A$52,0)),"미등록항목"))</f>
        <v/>
      </c>
      <c r="F96" s="14"/>
      <c r="G96" s="14"/>
      <c r="H96" s="11"/>
    </row>
    <row r="97" customFormat="false" ht="15" hidden="false" customHeight="true" outlineLevel="0" collapsed="false">
      <c r="A97" s="15"/>
      <c r="B97" s="11"/>
      <c r="C97" s="18" t="str">
        <f aca="false">IF($B97="","",IFERROR(INDEX(차량목록!$B$3:$B$102,MATCH($B97,차량목록!$A$3:$A$102,0)),"미등록차량"))</f>
        <v/>
      </c>
      <c r="D97" s="11"/>
      <c r="E97" s="18" t="str">
        <f aca="false">IF($D97="","",IFERROR(INDEX(정비항목!$B$3:$B$52,MATCH($D97,정비항목!$A$3:$A$52,0)),"미등록항목"))</f>
        <v/>
      </c>
      <c r="F97" s="14"/>
      <c r="G97" s="14"/>
      <c r="H97" s="11"/>
    </row>
    <row r="98" customFormat="false" ht="15" hidden="false" customHeight="true" outlineLevel="0" collapsed="false">
      <c r="A98" s="15"/>
      <c r="B98" s="11"/>
      <c r="C98" s="18" t="str">
        <f aca="false">IF($B98="","",IFERROR(INDEX(차량목록!$B$3:$B$102,MATCH($B98,차량목록!$A$3:$A$102,0)),"미등록차량"))</f>
        <v/>
      </c>
      <c r="D98" s="11"/>
      <c r="E98" s="18" t="str">
        <f aca="false">IF($D98="","",IFERROR(INDEX(정비항목!$B$3:$B$52,MATCH($D98,정비항목!$A$3:$A$52,0)),"미등록항목"))</f>
        <v/>
      </c>
      <c r="F98" s="14"/>
      <c r="G98" s="14"/>
      <c r="H98" s="11"/>
    </row>
    <row r="99" customFormat="false" ht="15" hidden="false" customHeight="true" outlineLevel="0" collapsed="false">
      <c r="A99" s="15"/>
      <c r="B99" s="11"/>
      <c r="C99" s="18" t="str">
        <f aca="false">IF($B99="","",IFERROR(INDEX(차량목록!$B$3:$B$102,MATCH($B99,차량목록!$A$3:$A$102,0)),"미등록차량"))</f>
        <v/>
      </c>
      <c r="D99" s="11"/>
      <c r="E99" s="18" t="str">
        <f aca="false">IF($D99="","",IFERROR(INDEX(정비항목!$B$3:$B$52,MATCH($D99,정비항목!$A$3:$A$52,0)),"미등록항목"))</f>
        <v/>
      </c>
      <c r="F99" s="14"/>
      <c r="G99" s="14"/>
      <c r="H99" s="11"/>
    </row>
    <row r="100" customFormat="false" ht="15" hidden="false" customHeight="true" outlineLevel="0" collapsed="false">
      <c r="A100" s="15"/>
      <c r="B100" s="11"/>
      <c r="C100" s="18" t="str">
        <f aca="false">IF($B100="","",IFERROR(INDEX(차량목록!$B$3:$B$102,MATCH($B100,차량목록!$A$3:$A$102,0)),"미등록차량"))</f>
        <v/>
      </c>
      <c r="D100" s="11"/>
      <c r="E100" s="18" t="str">
        <f aca="false">IF($D100="","",IFERROR(INDEX(정비항목!$B$3:$B$52,MATCH($D100,정비항목!$A$3:$A$52,0)),"미등록항목"))</f>
        <v/>
      </c>
      <c r="F100" s="14"/>
      <c r="G100" s="14"/>
      <c r="H100" s="11"/>
    </row>
    <row r="101" customFormat="false" ht="15" hidden="false" customHeight="true" outlineLevel="0" collapsed="false">
      <c r="A101" s="15"/>
      <c r="B101" s="11"/>
      <c r="C101" s="18" t="str">
        <f aca="false">IF($B101="","",IFERROR(INDEX(차량목록!$B$3:$B$102,MATCH($B101,차량목록!$A$3:$A$102,0)),"미등록차량"))</f>
        <v/>
      </c>
      <c r="D101" s="11"/>
      <c r="E101" s="18" t="str">
        <f aca="false">IF($D101="","",IFERROR(INDEX(정비항목!$B$3:$B$52,MATCH($D101,정비항목!$A$3:$A$52,0)),"미등록항목"))</f>
        <v/>
      </c>
      <c r="F101" s="14"/>
      <c r="G101" s="14"/>
      <c r="H101" s="11"/>
    </row>
    <row r="102" customFormat="false" ht="15" hidden="false" customHeight="true" outlineLevel="0" collapsed="false">
      <c r="A102" s="15"/>
      <c r="B102" s="11"/>
      <c r="C102" s="18" t="str">
        <f aca="false">IF($B102="","",IFERROR(INDEX(차량목록!$B$3:$B$102,MATCH($B102,차량목록!$A$3:$A$102,0)),"미등록차량"))</f>
        <v/>
      </c>
      <c r="D102" s="11"/>
      <c r="E102" s="18" t="str">
        <f aca="false">IF($D102="","",IFERROR(INDEX(정비항목!$B$3:$B$52,MATCH($D102,정비항목!$A$3:$A$52,0)),"미등록항목"))</f>
        <v/>
      </c>
      <c r="F102" s="14"/>
      <c r="G102" s="14"/>
      <c r="H102" s="11"/>
    </row>
    <row r="103" customFormat="false" ht="15" hidden="false" customHeight="true" outlineLevel="0" collapsed="false">
      <c r="A103" s="15"/>
      <c r="B103" s="11"/>
      <c r="C103" s="18" t="str">
        <f aca="false">IF($B103="","",IFERROR(INDEX(차량목록!$B$3:$B$102,MATCH($B103,차량목록!$A$3:$A$102,0)),"미등록차량"))</f>
        <v/>
      </c>
      <c r="D103" s="11"/>
      <c r="E103" s="18" t="str">
        <f aca="false">IF($D103="","",IFERROR(INDEX(정비항목!$B$3:$B$52,MATCH($D103,정비항목!$A$3:$A$52,0)),"미등록항목"))</f>
        <v/>
      </c>
      <c r="F103" s="14"/>
      <c r="G103" s="14"/>
      <c r="H103" s="11"/>
    </row>
    <row r="104" customFormat="false" ht="15" hidden="false" customHeight="true" outlineLevel="0" collapsed="false">
      <c r="A104" s="15"/>
      <c r="B104" s="11"/>
      <c r="C104" s="18" t="str">
        <f aca="false">IF($B104="","",IFERROR(INDEX(차량목록!$B$3:$B$102,MATCH($B104,차량목록!$A$3:$A$102,0)),"미등록차량"))</f>
        <v/>
      </c>
      <c r="D104" s="11"/>
      <c r="E104" s="18" t="str">
        <f aca="false">IF($D104="","",IFERROR(INDEX(정비항목!$B$3:$B$52,MATCH($D104,정비항목!$A$3:$A$52,0)),"미등록항목"))</f>
        <v/>
      </c>
      <c r="F104" s="14"/>
      <c r="G104" s="14"/>
      <c r="H104" s="11"/>
    </row>
    <row r="105" customFormat="false" ht="15" hidden="false" customHeight="true" outlineLevel="0" collapsed="false">
      <c r="A105" s="15"/>
      <c r="B105" s="11"/>
      <c r="C105" s="18" t="str">
        <f aca="false">IF($B105="","",IFERROR(INDEX(차량목록!$B$3:$B$102,MATCH($B105,차량목록!$A$3:$A$102,0)),"미등록차량"))</f>
        <v/>
      </c>
      <c r="D105" s="11"/>
      <c r="E105" s="18" t="str">
        <f aca="false">IF($D105="","",IFERROR(INDEX(정비항목!$B$3:$B$52,MATCH($D105,정비항목!$A$3:$A$52,0)),"미등록항목"))</f>
        <v/>
      </c>
      <c r="F105" s="14"/>
      <c r="G105" s="14"/>
      <c r="H105" s="11"/>
    </row>
    <row r="106" customFormat="false" ht="15" hidden="false" customHeight="true" outlineLevel="0" collapsed="false">
      <c r="A106" s="15"/>
      <c r="B106" s="11"/>
      <c r="C106" s="18" t="str">
        <f aca="false">IF($B106="","",IFERROR(INDEX(차량목록!$B$3:$B$102,MATCH($B106,차량목록!$A$3:$A$102,0)),"미등록차량"))</f>
        <v/>
      </c>
      <c r="D106" s="11"/>
      <c r="E106" s="18" t="str">
        <f aca="false">IF($D106="","",IFERROR(INDEX(정비항목!$B$3:$B$52,MATCH($D106,정비항목!$A$3:$A$52,0)),"미등록항목"))</f>
        <v/>
      </c>
      <c r="F106" s="14"/>
      <c r="G106" s="14"/>
      <c r="H106" s="11"/>
    </row>
    <row r="107" customFormat="false" ht="15" hidden="false" customHeight="true" outlineLevel="0" collapsed="false">
      <c r="A107" s="15"/>
      <c r="B107" s="11"/>
      <c r="C107" s="18" t="str">
        <f aca="false">IF($B107="","",IFERROR(INDEX(차량목록!$B$3:$B$102,MATCH($B107,차량목록!$A$3:$A$102,0)),"미등록차량"))</f>
        <v/>
      </c>
      <c r="D107" s="11"/>
      <c r="E107" s="18" t="str">
        <f aca="false">IF($D107="","",IFERROR(INDEX(정비항목!$B$3:$B$52,MATCH($D107,정비항목!$A$3:$A$52,0)),"미등록항목"))</f>
        <v/>
      </c>
      <c r="F107" s="14"/>
      <c r="G107" s="14"/>
      <c r="H107" s="11"/>
    </row>
    <row r="108" customFormat="false" ht="15" hidden="false" customHeight="true" outlineLevel="0" collapsed="false">
      <c r="A108" s="15"/>
      <c r="B108" s="11"/>
      <c r="C108" s="18" t="str">
        <f aca="false">IF($B108="","",IFERROR(INDEX(차량목록!$B$3:$B$102,MATCH($B108,차량목록!$A$3:$A$102,0)),"미등록차량"))</f>
        <v/>
      </c>
      <c r="D108" s="11"/>
      <c r="E108" s="18" t="str">
        <f aca="false">IF($D108="","",IFERROR(INDEX(정비항목!$B$3:$B$52,MATCH($D108,정비항목!$A$3:$A$52,0)),"미등록항목"))</f>
        <v/>
      </c>
      <c r="F108" s="14"/>
      <c r="G108" s="14"/>
      <c r="H108" s="11"/>
    </row>
    <row r="109" customFormat="false" ht="15" hidden="false" customHeight="true" outlineLevel="0" collapsed="false">
      <c r="A109" s="15"/>
      <c r="B109" s="11"/>
      <c r="C109" s="18" t="str">
        <f aca="false">IF($B109="","",IFERROR(INDEX(차량목록!$B$3:$B$102,MATCH($B109,차량목록!$A$3:$A$102,0)),"미등록차량"))</f>
        <v/>
      </c>
      <c r="D109" s="11"/>
      <c r="E109" s="18" t="str">
        <f aca="false">IF($D109="","",IFERROR(INDEX(정비항목!$B$3:$B$52,MATCH($D109,정비항목!$A$3:$A$52,0)),"미등록항목"))</f>
        <v/>
      </c>
      <c r="F109" s="14"/>
      <c r="G109" s="14"/>
      <c r="H109" s="11"/>
    </row>
    <row r="110" customFormat="false" ht="15" hidden="false" customHeight="true" outlineLevel="0" collapsed="false">
      <c r="A110" s="15"/>
      <c r="B110" s="11"/>
      <c r="C110" s="18" t="str">
        <f aca="false">IF($B110="","",IFERROR(INDEX(차량목록!$B$3:$B$102,MATCH($B110,차량목록!$A$3:$A$102,0)),"미등록차량"))</f>
        <v/>
      </c>
      <c r="D110" s="11"/>
      <c r="E110" s="18" t="str">
        <f aca="false">IF($D110="","",IFERROR(INDEX(정비항목!$B$3:$B$52,MATCH($D110,정비항목!$A$3:$A$52,0)),"미등록항목"))</f>
        <v/>
      </c>
      <c r="F110" s="14"/>
      <c r="G110" s="14"/>
      <c r="H110" s="11"/>
    </row>
    <row r="111" customFormat="false" ht="15" hidden="false" customHeight="true" outlineLevel="0" collapsed="false">
      <c r="A111" s="15"/>
      <c r="B111" s="11"/>
      <c r="C111" s="18" t="str">
        <f aca="false">IF($B111="","",IFERROR(INDEX(차량목록!$B$3:$B$102,MATCH($B111,차량목록!$A$3:$A$102,0)),"미등록차량"))</f>
        <v/>
      </c>
      <c r="D111" s="11"/>
      <c r="E111" s="18" t="str">
        <f aca="false">IF($D111="","",IFERROR(INDEX(정비항목!$B$3:$B$52,MATCH($D111,정비항목!$A$3:$A$52,0)),"미등록항목"))</f>
        <v/>
      </c>
      <c r="F111" s="14"/>
      <c r="G111" s="14"/>
      <c r="H111" s="11"/>
    </row>
    <row r="112" customFormat="false" ht="15" hidden="false" customHeight="true" outlineLevel="0" collapsed="false">
      <c r="A112" s="15"/>
      <c r="B112" s="11"/>
      <c r="C112" s="18" t="str">
        <f aca="false">IF($B112="","",IFERROR(INDEX(차량목록!$B$3:$B$102,MATCH($B112,차량목록!$A$3:$A$102,0)),"미등록차량"))</f>
        <v/>
      </c>
      <c r="D112" s="11"/>
      <c r="E112" s="18" t="str">
        <f aca="false">IF($D112="","",IFERROR(INDEX(정비항목!$B$3:$B$52,MATCH($D112,정비항목!$A$3:$A$52,0)),"미등록항목"))</f>
        <v/>
      </c>
      <c r="F112" s="14"/>
      <c r="G112" s="14"/>
      <c r="H112" s="11"/>
    </row>
    <row r="113" customFormat="false" ht="15" hidden="false" customHeight="true" outlineLevel="0" collapsed="false">
      <c r="A113" s="15"/>
      <c r="B113" s="11"/>
      <c r="C113" s="18" t="str">
        <f aca="false">IF($B113="","",IFERROR(INDEX(차량목록!$B$3:$B$102,MATCH($B113,차량목록!$A$3:$A$102,0)),"미등록차량"))</f>
        <v/>
      </c>
      <c r="D113" s="11"/>
      <c r="E113" s="18" t="str">
        <f aca="false">IF($D113="","",IFERROR(INDEX(정비항목!$B$3:$B$52,MATCH($D113,정비항목!$A$3:$A$52,0)),"미등록항목"))</f>
        <v/>
      </c>
      <c r="F113" s="14"/>
      <c r="G113" s="14"/>
      <c r="H113" s="11"/>
    </row>
    <row r="114" customFormat="false" ht="15" hidden="false" customHeight="true" outlineLevel="0" collapsed="false">
      <c r="A114" s="15"/>
      <c r="B114" s="11"/>
      <c r="C114" s="18" t="str">
        <f aca="false">IF($B114="","",IFERROR(INDEX(차량목록!$B$3:$B$102,MATCH($B114,차량목록!$A$3:$A$102,0)),"미등록차량"))</f>
        <v/>
      </c>
      <c r="D114" s="11"/>
      <c r="E114" s="18" t="str">
        <f aca="false">IF($D114="","",IFERROR(INDEX(정비항목!$B$3:$B$52,MATCH($D114,정비항목!$A$3:$A$52,0)),"미등록항목"))</f>
        <v/>
      </c>
      <c r="F114" s="14"/>
      <c r="G114" s="14"/>
      <c r="H114" s="11"/>
    </row>
    <row r="115" customFormat="false" ht="15" hidden="false" customHeight="true" outlineLevel="0" collapsed="false">
      <c r="A115" s="15"/>
      <c r="B115" s="11"/>
      <c r="C115" s="18" t="str">
        <f aca="false">IF($B115="","",IFERROR(INDEX(차량목록!$B$3:$B$102,MATCH($B115,차량목록!$A$3:$A$102,0)),"미등록차량"))</f>
        <v/>
      </c>
      <c r="D115" s="11"/>
      <c r="E115" s="18" t="str">
        <f aca="false">IF($D115="","",IFERROR(INDEX(정비항목!$B$3:$B$52,MATCH($D115,정비항목!$A$3:$A$52,0)),"미등록항목"))</f>
        <v/>
      </c>
      <c r="F115" s="14"/>
      <c r="G115" s="14"/>
      <c r="H115" s="11"/>
    </row>
    <row r="116" customFormat="false" ht="15" hidden="false" customHeight="true" outlineLevel="0" collapsed="false">
      <c r="A116" s="15"/>
      <c r="B116" s="11"/>
      <c r="C116" s="18" t="str">
        <f aca="false">IF($B116="","",IFERROR(INDEX(차량목록!$B$3:$B$102,MATCH($B116,차량목록!$A$3:$A$102,0)),"미등록차량"))</f>
        <v/>
      </c>
      <c r="D116" s="11"/>
      <c r="E116" s="18" t="str">
        <f aca="false">IF($D116="","",IFERROR(INDEX(정비항목!$B$3:$B$52,MATCH($D116,정비항목!$A$3:$A$52,0)),"미등록항목"))</f>
        <v/>
      </c>
      <c r="F116" s="14"/>
      <c r="G116" s="14"/>
      <c r="H116" s="11"/>
    </row>
    <row r="117" customFormat="false" ht="15" hidden="false" customHeight="true" outlineLevel="0" collapsed="false">
      <c r="A117" s="15"/>
      <c r="B117" s="11"/>
      <c r="C117" s="18" t="str">
        <f aca="false">IF($B117="","",IFERROR(INDEX(차량목록!$B$3:$B$102,MATCH($B117,차량목록!$A$3:$A$102,0)),"미등록차량"))</f>
        <v/>
      </c>
      <c r="D117" s="11"/>
      <c r="E117" s="18" t="str">
        <f aca="false">IF($D117="","",IFERROR(INDEX(정비항목!$B$3:$B$52,MATCH($D117,정비항목!$A$3:$A$52,0)),"미등록항목"))</f>
        <v/>
      </c>
      <c r="F117" s="14"/>
      <c r="G117" s="14"/>
      <c r="H117" s="11"/>
    </row>
    <row r="118" customFormat="false" ht="15" hidden="false" customHeight="true" outlineLevel="0" collapsed="false">
      <c r="A118" s="15"/>
      <c r="B118" s="11"/>
      <c r="C118" s="18" t="str">
        <f aca="false">IF($B118="","",IFERROR(INDEX(차량목록!$B$3:$B$102,MATCH($B118,차량목록!$A$3:$A$102,0)),"미등록차량"))</f>
        <v/>
      </c>
      <c r="D118" s="11"/>
      <c r="E118" s="18" t="str">
        <f aca="false">IF($D118="","",IFERROR(INDEX(정비항목!$B$3:$B$52,MATCH($D118,정비항목!$A$3:$A$52,0)),"미등록항목"))</f>
        <v/>
      </c>
      <c r="F118" s="14"/>
      <c r="G118" s="14"/>
      <c r="H118" s="11"/>
    </row>
    <row r="119" customFormat="false" ht="15" hidden="false" customHeight="true" outlineLevel="0" collapsed="false">
      <c r="A119" s="15"/>
      <c r="B119" s="11"/>
      <c r="C119" s="18" t="str">
        <f aca="false">IF($B119="","",IFERROR(INDEX(차량목록!$B$3:$B$102,MATCH($B119,차량목록!$A$3:$A$102,0)),"미등록차량"))</f>
        <v/>
      </c>
      <c r="D119" s="11"/>
      <c r="E119" s="18" t="str">
        <f aca="false">IF($D119="","",IFERROR(INDEX(정비항목!$B$3:$B$52,MATCH($D119,정비항목!$A$3:$A$52,0)),"미등록항목"))</f>
        <v/>
      </c>
      <c r="F119" s="14"/>
      <c r="G119" s="14"/>
      <c r="H119" s="11"/>
    </row>
    <row r="120" customFormat="false" ht="15" hidden="false" customHeight="true" outlineLevel="0" collapsed="false">
      <c r="A120" s="15"/>
      <c r="B120" s="11"/>
      <c r="C120" s="18" t="str">
        <f aca="false">IF($B120="","",IFERROR(INDEX(차량목록!$B$3:$B$102,MATCH($B120,차량목록!$A$3:$A$102,0)),"미등록차량"))</f>
        <v/>
      </c>
      <c r="D120" s="11"/>
      <c r="E120" s="18" t="str">
        <f aca="false">IF($D120="","",IFERROR(INDEX(정비항목!$B$3:$B$52,MATCH($D120,정비항목!$A$3:$A$52,0)),"미등록항목"))</f>
        <v/>
      </c>
      <c r="F120" s="14"/>
      <c r="G120" s="14"/>
      <c r="H120" s="11"/>
    </row>
    <row r="121" customFormat="false" ht="15" hidden="false" customHeight="true" outlineLevel="0" collapsed="false">
      <c r="A121" s="15"/>
      <c r="B121" s="11"/>
      <c r="C121" s="18" t="str">
        <f aca="false">IF($B121="","",IFERROR(INDEX(차량목록!$B$3:$B$102,MATCH($B121,차량목록!$A$3:$A$102,0)),"미등록차량"))</f>
        <v/>
      </c>
      <c r="D121" s="11"/>
      <c r="E121" s="18" t="str">
        <f aca="false">IF($D121="","",IFERROR(INDEX(정비항목!$B$3:$B$52,MATCH($D121,정비항목!$A$3:$A$52,0)),"미등록항목"))</f>
        <v/>
      </c>
      <c r="F121" s="14"/>
      <c r="G121" s="14"/>
      <c r="H121" s="11"/>
    </row>
    <row r="122" customFormat="false" ht="15" hidden="false" customHeight="true" outlineLevel="0" collapsed="false">
      <c r="A122" s="15"/>
      <c r="B122" s="11"/>
      <c r="C122" s="18" t="str">
        <f aca="false">IF($B122="","",IFERROR(INDEX(차량목록!$B$3:$B$102,MATCH($B122,차량목록!$A$3:$A$102,0)),"미등록차량"))</f>
        <v/>
      </c>
      <c r="D122" s="11"/>
      <c r="E122" s="18" t="str">
        <f aca="false">IF($D122="","",IFERROR(INDEX(정비항목!$B$3:$B$52,MATCH($D122,정비항목!$A$3:$A$52,0)),"미등록항목"))</f>
        <v/>
      </c>
      <c r="F122" s="14"/>
      <c r="G122" s="14"/>
      <c r="H122" s="11"/>
    </row>
    <row r="123" customFormat="false" ht="15" hidden="false" customHeight="true" outlineLevel="0" collapsed="false">
      <c r="A123" s="15"/>
      <c r="B123" s="11"/>
      <c r="C123" s="18" t="str">
        <f aca="false">IF($B123="","",IFERROR(INDEX(차량목록!$B$3:$B$102,MATCH($B123,차량목록!$A$3:$A$102,0)),"미등록차량"))</f>
        <v/>
      </c>
      <c r="D123" s="11"/>
      <c r="E123" s="18" t="str">
        <f aca="false">IF($D123="","",IFERROR(INDEX(정비항목!$B$3:$B$52,MATCH($D123,정비항목!$A$3:$A$52,0)),"미등록항목"))</f>
        <v/>
      </c>
      <c r="F123" s="14"/>
      <c r="G123" s="14"/>
      <c r="H123" s="11"/>
    </row>
    <row r="124" customFormat="false" ht="15" hidden="false" customHeight="true" outlineLevel="0" collapsed="false">
      <c r="A124" s="15"/>
      <c r="B124" s="11"/>
      <c r="C124" s="18" t="str">
        <f aca="false">IF($B124="","",IFERROR(INDEX(차량목록!$B$3:$B$102,MATCH($B124,차량목록!$A$3:$A$102,0)),"미등록차량"))</f>
        <v/>
      </c>
      <c r="D124" s="11"/>
      <c r="E124" s="18" t="str">
        <f aca="false">IF($D124="","",IFERROR(INDEX(정비항목!$B$3:$B$52,MATCH($D124,정비항목!$A$3:$A$52,0)),"미등록항목"))</f>
        <v/>
      </c>
      <c r="F124" s="14"/>
      <c r="G124" s="14"/>
      <c r="H124" s="11"/>
    </row>
    <row r="125" customFormat="false" ht="15" hidden="false" customHeight="true" outlineLevel="0" collapsed="false">
      <c r="A125" s="15"/>
      <c r="B125" s="11"/>
      <c r="C125" s="18" t="str">
        <f aca="false">IF($B125="","",IFERROR(INDEX(차량목록!$B$3:$B$102,MATCH($B125,차량목록!$A$3:$A$102,0)),"미등록차량"))</f>
        <v/>
      </c>
      <c r="D125" s="11"/>
      <c r="E125" s="18" t="str">
        <f aca="false">IF($D125="","",IFERROR(INDEX(정비항목!$B$3:$B$52,MATCH($D125,정비항목!$A$3:$A$52,0)),"미등록항목"))</f>
        <v/>
      </c>
      <c r="F125" s="14"/>
      <c r="G125" s="14"/>
      <c r="H125" s="11"/>
    </row>
    <row r="126" customFormat="false" ht="15" hidden="false" customHeight="true" outlineLevel="0" collapsed="false">
      <c r="A126" s="15"/>
      <c r="B126" s="11"/>
      <c r="C126" s="18" t="str">
        <f aca="false">IF($B126="","",IFERROR(INDEX(차량목록!$B$3:$B$102,MATCH($B126,차량목록!$A$3:$A$102,0)),"미등록차량"))</f>
        <v/>
      </c>
      <c r="D126" s="11"/>
      <c r="E126" s="18" t="str">
        <f aca="false">IF($D126="","",IFERROR(INDEX(정비항목!$B$3:$B$52,MATCH($D126,정비항목!$A$3:$A$52,0)),"미등록항목"))</f>
        <v/>
      </c>
      <c r="F126" s="14"/>
      <c r="G126" s="14"/>
      <c r="H126" s="11"/>
    </row>
    <row r="127" customFormat="false" ht="15" hidden="false" customHeight="true" outlineLevel="0" collapsed="false">
      <c r="A127" s="15"/>
      <c r="B127" s="11"/>
      <c r="C127" s="18" t="str">
        <f aca="false">IF($B127="","",IFERROR(INDEX(차량목록!$B$3:$B$102,MATCH($B127,차량목록!$A$3:$A$102,0)),"미등록차량"))</f>
        <v/>
      </c>
      <c r="D127" s="11"/>
      <c r="E127" s="18" t="str">
        <f aca="false">IF($D127="","",IFERROR(INDEX(정비항목!$B$3:$B$52,MATCH($D127,정비항목!$A$3:$A$52,0)),"미등록항목"))</f>
        <v/>
      </c>
      <c r="F127" s="14"/>
      <c r="G127" s="14"/>
      <c r="H127" s="11"/>
    </row>
    <row r="128" customFormat="false" ht="15" hidden="false" customHeight="true" outlineLevel="0" collapsed="false">
      <c r="A128" s="15"/>
      <c r="B128" s="11"/>
      <c r="C128" s="18" t="str">
        <f aca="false">IF($B128="","",IFERROR(INDEX(차량목록!$B$3:$B$102,MATCH($B128,차량목록!$A$3:$A$102,0)),"미등록차량"))</f>
        <v/>
      </c>
      <c r="D128" s="11"/>
      <c r="E128" s="18" t="str">
        <f aca="false">IF($D128="","",IFERROR(INDEX(정비항목!$B$3:$B$52,MATCH($D128,정비항목!$A$3:$A$52,0)),"미등록항목"))</f>
        <v/>
      </c>
      <c r="F128" s="14"/>
      <c r="G128" s="14"/>
      <c r="H128" s="11"/>
    </row>
    <row r="129" customFormat="false" ht="15" hidden="false" customHeight="true" outlineLevel="0" collapsed="false">
      <c r="A129" s="15"/>
      <c r="B129" s="11"/>
      <c r="C129" s="18" t="str">
        <f aca="false">IF($B129="","",IFERROR(INDEX(차량목록!$B$3:$B$102,MATCH($B129,차량목록!$A$3:$A$102,0)),"미등록차량"))</f>
        <v/>
      </c>
      <c r="D129" s="11"/>
      <c r="E129" s="18" t="str">
        <f aca="false">IF($D129="","",IFERROR(INDEX(정비항목!$B$3:$B$52,MATCH($D129,정비항목!$A$3:$A$52,0)),"미등록항목"))</f>
        <v/>
      </c>
      <c r="F129" s="14"/>
      <c r="G129" s="14"/>
      <c r="H129" s="11"/>
    </row>
    <row r="130" customFormat="false" ht="15" hidden="false" customHeight="true" outlineLevel="0" collapsed="false">
      <c r="A130" s="15"/>
      <c r="B130" s="11"/>
      <c r="C130" s="18" t="str">
        <f aca="false">IF($B130="","",IFERROR(INDEX(차량목록!$B$3:$B$102,MATCH($B130,차량목록!$A$3:$A$102,0)),"미등록차량"))</f>
        <v/>
      </c>
      <c r="D130" s="11"/>
      <c r="E130" s="18" t="str">
        <f aca="false">IF($D130="","",IFERROR(INDEX(정비항목!$B$3:$B$52,MATCH($D130,정비항목!$A$3:$A$52,0)),"미등록항목"))</f>
        <v/>
      </c>
      <c r="F130" s="14"/>
      <c r="G130" s="14"/>
      <c r="H130" s="11"/>
    </row>
    <row r="131" customFormat="false" ht="15" hidden="false" customHeight="true" outlineLevel="0" collapsed="false">
      <c r="A131" s="15"/>
      <c r="B131" s="11"/>
      <c r="C131" s="18" t="str">
        <f aca="false">IF($B131="","",IFERROR(INDEX(차량목록!$B$3:$B$102,MATCH($B131,차량목록!$A$3:$A$102,0)),"미등록차량"))</f>
        <v/>
      </c>
      <c r="D131" s="11"/>
      <c r="E131" s="18" t="str">
        <f aca="false">IF($D131="","",IFERROR(INDEX(정비항목!$B$3:$B$52,MATCH($D131,정비항목!$A$3:$A$52,0)),"미등록항목"))</f>
        <v/>
      </c>
      <c r="F131" s="14"/>
      <c r="G131" s="14"/>
      <c r="H131" s="11"/>
    </row>
    <row r="132" customFormat="false" ht="15" hidden="false" customHeight="true" outlineLevel="0" collapsed="false">
      <c r="A132" s="15"/>
      <c r="B132" s="11"/>
      <c r="C132" s="18" t="str">
        <f aca="false">IF($B132="","",IFERROR(INDEX(차량목록!$B$3:$B$102,MATCH($B132,차량목록!$A$3:$A$102,0)),"미등록차량"))</f>
        <v/>
      </c>
      <c r="D132" s="11"/>
      <c r="E132" s="18" t="str">
        <f aca="false">IF($D132="","",IFERROR(INDEX(정비항목!$B$3:$B$52,MATCH($D132,정비항목!$A$3:$A$52,0)),"미등록항목"))</f>
        <v/>
      </c>
      <c r="F132" s="14"/>
      <c r="G132" s="14"/>
      <c r="H132" s="11"/>
    </row>
    <row r="133" customFormat="false" ht="15" hidden="false" customHeight="true" outlineLevel="0" collapsed="false">
      <c r="A133" s="15"/>
      <c r="B133" s="11"/>
      <c r="C133" s="18" t="str">
        <f aca="false">IF($B133="","",IFERROR(INDEX(차량목록!$B$3:$B$102,MATCH($B133,차량목록!$A$3:$A$102,0)),"미등록차량"))</f>
        <v/>
      </c>
      <c r="D133" s="11"/>
      <c r="E133" s="18" t="str">
        <f aca="false">IF($D133="","",IFERROR(INDEX(정비항목!$B$3:$B$52,MATCH($D133,정비항목!$A$3:$A$52,0)),"미등록항목"))</f>
        <v/>
      </c>
      <c r="F133" s="14"/>
      <c r="G133" s="14"/>
      <c r="H133" s="11"/>
    </row>
    <row r="134" customFormat="false" ht="15" hidden="false" customHeight="true" outlineLevel="0" collapsed="false">
      <c r="A134" s="15"/>
      <c r="B134" s="11"/>
      <c r="C134" s="18" t="str">
        <f aca="false">IF($B134="","",IFERROR(INDEX(차량목록!$B$3:$B$102,MATCH($B134,차량목록!$A$3:$A$102,0)),"미등록차량"))</f>
        <v/>
      </c>
      <c r="D134" s="11"/>
      <c r="E134" s="18" t="str">
        <f aca="false">IF($D134="","",IFERROR(INDEX(정비항목!$B$3:$B$52,MATCH($D134,정비항목!$A$3:$A$52,0)),"미등록항목"))</f>
        <v/>
      </c>
      <c r="F134" s="14"/>
      <c r="G134" s="14"/>
      <c r="H134" s="11"/>
    </row>
    <row r="135" customFormat="false" ht="15" hidden="false" customHeight="true" outlineLevel="0" collapsed="false">
      <c r="A135" s="15"/>
      <c r="B135" s="11"/>
      <c r="C135" s="18" t="str">
        <f aca="false">IF($B135="","",IFERROR(INDEX(차량목록!$B$3:$B$102,MATCH($B135,차량목록!$A$3:$A$102,0)),"미등록차량"))</f>
        <v/>
      </c>
      <c r="D135" s="11"/>
      <c r="E135" s="18" t="str">
        <f aca="false">IF($D135="","",IFERROR(INDEX(정비항목!$B$3:$B$52,MATCH($D135,정비항목!$A$3:$A$52,0)),"미등록항목"))</f>
        <v/>
      </c>
      <c r="F135" s="14"/>
      <c r="G135" s="14"/>
      <c r="H135" s="11"/>
    </row>
    <row r="136" customFormat="false" ht="15" hidden="false" customHeight="true" outlineLevel="0" collapsed="false">
      <c r="A136" s="15"/>
      <c r="B136" s="11"/>
      <c r="C136" s="18" t="str">
        <f aca="false">IF($B136="","",IFERROR(INDEX(차량목록!$B$3:$B$102,MATCH($B136,차량목록!$A$3:$A$102,0)),"미등록차량"))</f>
        <v/>
      </c>
      <c r="D136" s="11"/>
      <c r="E136" s="18" t="str">
        <f aca="false">IF($D136="","",IFERROR(INDEX(정비항목!$B$3:$B$52,MATCH($D136,정비항목!$A$3:$A$52,0)),"미등록항목"))</f>
        <v/>
      </c>
      <c r="F136" s="14"/>
      <c r="G136" s="14"/>
      <c r="H136" s="11"/>
    </row>
    <row r="137" customFormat="false" ht="15" hidden="false" customHeight="true" outlineLevel="0" collapsed="false">
      <c r="A137" s="15"/>
      <c r="B137" s="11"/>
      <c r="C137" s="18" t="str">
        <f aca="false">IF($B137="","",IFERROR(INDEX(차량목록!$B$3:$B$102,MATCH($B137,차량목록!$A$3:$A$102,0)),"미등록차량"))</f>
        <v/>
      </c>
      <c r="D137" s="11"/>
      <c r="E137" s="18" t="str">
        <f aca="false">IF($D137="","",IFERROR(INDEX(정비항목!$B$3:$B$52,MATCH($D137,정비항목!$A$3:$A$52,0)),"미등록항목"))</f>
        <v/>
      </c>
      <c r="F137" s="14"/>
      <c r="G137" s="14"/>
      <c r="H137" s="11"/>
    </row>
    <row r="138" customFormat="false" ht="15" hidden="false" customHeight="true" outlineLevel="0" collapsed="false">
      <c r="A138" s="15"/>
      <c r="B138" s="11"/>
      <c r="C138" s="18" t="str">
        <f aca="false">IF($B138="","",IFERROR(INDEX(차량목록!$B$3:$B$102,MATCH($B138,차량목록!$A$3:$A$102,0)),"미등록차량"))</f>
        <v/>
      </c>
      <c r="D138" s="11"/>
      <c r="E138" s="18" t="str">
        <f aca="false">IF($D138="","",IFERROR(INDEX(정비항목!$B$3:$B$52,MATCH($D138,정비항목!$A$3:$A$52,0)),"미등록항목"))</f>
        <v/>
      </c>
      <c r="F138" s="14"/>
      <c r="G138" s="14"/>
      <c r="H138" s="11"/>
    </row>
    <row r="139" customFormat="false" ht="15" hidden="false" customHeight="true" outlineLevel="0" collapsed="false">
      <c r="A139" s="15"/>
      <c r="B139" s="11"/>
      <c r="C139" s="18" t="str">
        <f aca="false">IF($B139="","",IFERROR(INDEX(차량목록!$B$3:$B$102,MATCH($B139,차량목록!$A$3:$A$102,0)),"미등록차량"))</f>
        <v/>
      </c>
      <c r="D139" s="11"/>
      <c r="E139" s="18" t="str">
        <f aca="false">IF($D139="","",IFERROR(INDEX(정비항목!$B$3:$B$52,MATCH($D139,정비항목!$A$3:$A$52,0)),"미등록항목"))</f>
        <v/>
      </c>
      <c r="F139" s="14"/>
      <c r="G139" s="14"/>
      <c r="H139" s="11"/>
    </row>
    <row r="140" customFormat="false" ht="15" hidden="false" customHeight="true" outlineLevel="0" collapsed="false">
      <c r="A140" s="15"/>
      <c r="B140" s="11"/>
      <c r="C140" s="18" t="str">
        <f aca="false">IF($B140="","",IFERROR(INDEX(차량목록!$B$3:$B$102,MATCH($B140,차량목록!$A$3:$A$102,0)),"미등록차량"))</f>
        <v/>
      </c>
      <c r="D140" s="11"/>
      <c r="E140" s="18" t="str">
        <f aca="false">IF($D140="","",IFERROR(INDEX(정비항목!$B$3:$B$52,MATCH($D140,정비항목!$A$3:$A$52,0)),"미등록항목"))</f>
        <v/>
      </c>
      <c r="F140" s="14"/>
      <c r="G140" s="14"/>
      <c r="H140" s="11"/>
    </row>
    <row r="141" customFormat="false" ht="15" hidden="false" customHeight="true" outlineLevel="0" collapsed="false">
      <c r="A141" s="15"/>
      <c r="B141" s="11"/>
      <c r="C141" s="18" t="str">
        <f aca="false">IF($B141="","",IFERROR(INDEX(차량목록!$B$3:$B$102,MATCH($B141,차량목록!$A$3:$A$102,0)),"미등록차량"))</f>
        <v/>
      </c>
      <c r="D141" s="11"/>
      <c r="E141" s="18" t="str">
        <f aca="false">IF($D141="","",IFERROR(INDEX(정비항목!$B$3:$B$52,MATCH($D141,정비항목!$A$3:$A$52,0)),"미등록항목"))</f>
        <v/>
      </c>
      <c r="F141" s="14"/>
      <c r="G141" s="14"/>
      <c r="H141" s="11"/>
    </row>
    <row r="142" customFormat="false" ht="15" hidden="false" customHeight="true" outlineLevel="0" collapsed="false">
      <c r="A142" s="15"/>
      <c r="B142" s="11"/>
      <c r="C142" s="18" t="str">
        <f aca="false">IF($B142="","",IFERROR(INDEX(차량목록!$B$3:$B$102,MATCH($B142,차량목록!$A$3:$A$102,0)),"미등록차량"))</f>
        <v/>
      </c>
      <c r="D142" s="11"/>
      <c r="E142" s="18" t="str">
        <f aca="false">IF($D142="","",IFERROR(INDEX(정비항목!$B$3:$B$52,MATCH($D142,정비항목!$A$3:$A$52,0)),"미등록항목"))</f>
        <v/>
      </c>
      <c r="F142" s="14"/>
      <c r="G142" s="14"/>
      <c r="H142" s="11"/>
    </row>
    <row r="143" customFormat="false" ht="15" hidden="false" customHeight="true" outlineLevel="0" collapsed="false">
      <c r="A143" s="15"/>
      <c r="B143" s="11"/>
      <c r="C143" s="18" t="str">
        <f aca="false">IF($B143="","",IFERROR(INDEX(차량목록!$B$3:$B$102,MATCH($B143,차량목록!$A$3:$A$102,0)),"미등록차량"))</f>
        <v/>
      </c>
      <c r="D143" s="11"/>
      <c r="E143" s="18" t="str">
        <f aca="false">IF($D143="","",IFERROR(INDEX(정비항목!$B$3:$B$52,MATCH($D143,정비항목!$A$3:$A$52,0)),"미등록항목"))</f>
        <v/>
      </c>
      <c r="F143" s="14"/>
      <c r="G143" s="14"/>
      <c r="H143" s="11"/>
    </row>
    <row r="144" customFormat="false" ht="15" hidden="false" customHeight="true" outlineLevel="0" collapsed="false">
      <c r="A144" s="15"/>
      <c r="B144" s="11"/>
      <c r="C144" s="18" t="str">
        <f aca="false">IF($B144="","",IFERROR(INDEX(차량목록!$B$3:$B$102,MATCH($B144,차량목록!$A$3:$A$102,0)),"미등록차량"))</f>
        <v/>
      </c>
      <c r="D144" s="11"/>
      <c r="E144" s="18" t="str">
        <f aca="false">IF($D144="","",IFERROR(INDEX(정비항목!$B$3:$B$52,MATCH($D144,정비항목!$A$3:$A$52,0)),"미등록항목"))</f>
        <v/>
      </c>
      <c r="F144" s="14"/>
      <c r="G144" s="14"/>
      <c r="H144" s="11"/>
    </row>
    <row r="145" customFormat="false" ht="15" hidden="false" customHeight="true" outlineLevel="0" collapsed="false">
      <c r="A145" s="15"/>
      <c r="B145" s="11"/>
      <c r="C145" s="18" t="str">
        <f aca="false">IF($B145="","",IFERROR(INDEX(차량목록!$B$3:$B$102,MATCH($B145,차량목록!$A$3:$A$102,0)),"미등록차량"))</f>
        <v/>
      </c>
      <c r="D145" s="11"/>
      <c r="E145" s="18" t="str">
        <f aca="false">IF($D145="","",IFERROR(INDEX(정비항목!$B$3:$B$52,MATCH($D145,정비항목!$A$3:$A$52,0)),"미등록항목"))</f>
        <v/>
      </c>
      <c r="F145" s="14"/>
      <c r="G145" s="14"/>
      <c r="H145" s="11"/>
    </row>
    <row r="146" customFormat="false" ht="15" hidden="false" customHeight="true" outlineLevel="0" collapsed="false">
      <c r="A146" s="15"/>
      <c r="B146" s="11"/>
      <c r="C146" s="18" t="str">
        <f aca="false">IF($B146="","",IFERROR(INDEX(차량목록!$B$3:$B$102,MATCH($B146,차량목록!$A$3:$A$102,0)),"미등록차량"))</f>
        <v/>
      </c>
      <c r="D146" s="11"/>
      <c r="E146" s="18" t="str">
        <f aca="false">IF($D146="","",IFERROR(INDEX(정비항목!$B$3:$B$52,MATCH($D146,정비항목!$A$3:$A$52,0)),"미등록항목"))</f>
        <v/>
      </c>
      <c r="F146" s="14"/>
      <c r="G146" s="14"/>
      <c r="H146" s="11"/>
    </row>
    <row r="147" customFormat="false" ht="15" hidden="false" customHeight="true" outlineLevel="0" collapsed="false">
      <c r="A147" s="15"/>
      <c r="B147" s="11"/>
      <c r="C147" s="18" t="str">
        <f aca="false">IF($B147="","",IFERROR(INDEX(차량목록!$B$3:$B$102,MATCH($B147,차량목록!$A$3:$A$102,0)),"미등록차량"))</f>
        <v/>
      </c>
      <c r="D147" s="11"/>
      <c r="E147" s="18" t="str">
        <f aca="false">IF($D147="","",IFERROR(INDEX(정비항목!$B$3:$B$52,MATCH($D147,정비항목!$A$3:$A$52,0)),"미등록항목"))</f>
        <v/>
      </c>
      <c r="F147" s="14"/>
      <c r="G147" s="14"/>
      <c r="H147" s="11"/>
    </row>
    <row r="148" customFormat="false" ht="15" hidden="false" customHeight="true" outlineLevel="0" collapsed="false">
      <c r="A148" s="15"/>
      <c r="B148" s="11"/>
      <c r="C148" s="18" t="str">
        <f aca="false">IF($B148="","",IFERROR(INDEX(차량목록!$B$3:$B$102,MATCH($B148,차량목록!$A$3:$A$102,0)),"미등록차량"))</f>
        <v/>
      </c>
      <c r="D148" s="11"/>
      <c r="E148" s="18" t="str">
        <f aca="false">IF($D148="","",IFERROR(INDEX(정비항목!$B$3:$B$52,MATCH($D148,정비항목!$A$3:$A$52,0)),"미등록항목"))</f>
        <v/>
      </c>
      <c r="F148" s="14"/>
      <c r="G148" s="14"/>
      <c r="H148" s="11"/>
    </row>
    <row r="149" customFormat="false" ht="15" hidden="false" customHeight="true" outlineLevel="0" collapsed="false">
      <c r="A149" s="15"/>
      <c r="B149" s="11"/>
      <c r="C149" s="18" t="str">
        <f aca="false">IF($B149="","",IFERROR(INDEX(차량목록!$B$3:$B$102,MATCH($B149,차량목록!$A$3:$A$102,0)),"미등록차량"))</f>
        <v/>
      </c>
      <c r="D149" s="11"/>
      <c r="E149" s="18" t="str">
        <f aca="false">IF($D149="","",IFERROR(INDEX(정비항목!$B$3:$B$52,MATCH($D149,정비항목!$A$3:$A$52,0)),"미등록항목"))</f>
        <v/>
      </c>
      <c r="F149" s="14"/>
      <c r="G149" s="14"/>
      <c r="H149" s="11"/>
    </row>
    <row r="150" customFormat="false" ht="15" hidden="false" customHeight="true" outlineLevel="0" collapsed="false">
      <c r="A150" s="15"/>
      <c r="B150" s="11"/>
      <c r="C150" s="18" t="str">
        <f aca="false">IF($B150="","",IFERROR(INDEX(차량목록!$B$3:$B$102,MATCH($B150,차량목록!$A$3:$A$102,0)),"미등록차량"))</f>
        <v/>
      </c>
      <c r="D150" s="11"/>
      <c r="E150" s="18" t="str">
        <f aca="false">IF($D150="","",IFERROR(INDEX(정비항목!$B$3:$B$52,MATCH($D150,정비항목!$A$3:$A$52,0)),"미등록항목"))</f>
        <v/>
      </c>
      <c r="F150" s="14"/>
      <c r="G150" s="14"/>
      <c r="H150" s="11"/>
    </row>
    <row r="151" customFormat="false" ht="15" hidden="false" customHeight="true" outlineLevel="0" collapsed="false">
      <c r="A151" s="15"/>
      <c r="B151" s="11"/>
      <c r="C151" s="18" t="str">
        <f aca="false">IF($B151="","",IFERROR(INDEX(차량목록!$B$3:$B$102,MATCH($B151,차량목록!$A$3:$A$102,0)),"미등록차량"))</f>
        <v/>
      </c>
      <c r="D151" s="11"/>
      <c r="E151" s="18" t="str">
        <f aca="false">IF($D151="","",IFERROR(INDEX(정비항목!$B$3:$B$52,MATCH($D151,정비항목!$A$3:$A$52,0)),"미등록항목"))</f>
        <v/>
      </c>
      <c r="F151" s="14"/>
      <c r="G151" s="14"/>
      <c r="H151" s="11"/>
    </row>
    <row r="152" customFormat="false" ht="15" hidden="false" customHeight="true" outlineLevel="0" collapsed="false">
      <c r="A152" s="15"/>
      <c r="B152" s="11"/>
      <c r="C152" s="18" t="str">
        <f aca="false">IF($B152="","",IFERROR(INDEX(차량목록!$B$3:$B$102,MATCH($B152,차량목록!$A$3:$A$102,0)),"미등록차량"))</f>
        <v/>
      </c>
      <c r="D152" s="11"/>
      <c r="E152" s="18" t="str">
        <f aca="false">IF($D152="","",IFERROR(INDEX(정비항목!$B$3:$B$52,MATCH($D152,정비항목!$A$3:$A$52,0)),"미등록항목"))</f>
        <v/>
      </c>
      <c r="F152" s="14"/>
      <c r="G152" s="14"/>
      <c r="H152" s="11"/>
    </row>
    <row r="153" customFormat="false" ht="15" hidden="false" customHeight="true" outlineLevel="0" collapsed="false">
      <c r="A153" s="15"/>
      <c r="B153" s="11"/>
      <c r="C153" s="18" t="str">
        <f aca="false">IF($B153="","",IFERROR(INDEX(차량목록!$B$3:$B$102,MATCH($B153,차량목록!$A$3:$A$102,0)),"미등록차량"))</f>
        <v/>
      </c>
      <c r="D153" s="11"/>
      <c r="E153" s="18" t="str">
        <f aca="false">IF($D153="","",IFERROR(INDEX(정비항목!$B$3:$B$52,MATCH($D153,정비항목!$A$3:$A$52,0)),"미등록항목"))</f>
        <v/>
      </c>
      <c r="F153" s="14"/>
      <c r="G153" s="14"/>
      <c r="H153" s="11"/>
    </row>
    <row r="154" customFormat="false" ht="15" hidden="false" customHeight="true" outlineLevel="0" collapsed="false">
      <c r="A154" s="15"/>
      <c r="B154" s="11"/>
      <c r="C154" s="18" t="str">
        <f aca="false">IF($B154="","",IFERROR(INDEX(차량목록!$B$3:$B$102,MATCH($B154,차량목록!$A$3:$A$102,0)),"미등록차량"))</f>
        <v/>
      </c>
      <c r="D154" s="11"/>
      <c r="E154" s="18" t="str">
        <f aca="false">IF($D154="","",IFERROR(INDEX(정비항목!$B$3:$B$52,MATCH($D154,정비항목!$A$3:$A$52,0)),"미등록항목"))</f>
        <v/>
      </c>
      <c r="F154" s="14"/>
      <c r="G154" s="14"/>
      <c r="H154" s="11"/>
    </row>
    <row r="155" customFormat="false" ht="15" hidden="false" customHeight="true" outlineLevel="0" collapsed="false">
      <c r="A155" s="15"/>
      <c r="B155" s="11"/>
      <c r="C155" s="18" t="str">
        <f aca="false">IF($B155="","",IFERROR(INDEX(차량목록!$B$3:$B$102,MATCH($B155,차량목록!$A$3:$A$102,0)),"미등록차량"))</f>
        <v/>
      </c>
      <c r="D155" s="11"/>
      <c r="E155" s="18" t="str">
        <f aca="false">IF($D155="","",IFERROR(INDEX(정비항목!$B$3:$B$52,MATCH($D155,정비항목!$A$3:$A$52,0)),"미등록항목"))</f>
        <v/>
      </c>
      <c r="F155" s="14"/>
      <c r="G155" s="14"/>
      <c r="H155" s="11"/>
    </row>
    <row r="156" customFormat="false" ht="15" hidden="false" customHeight="true" outlineLevel="0" collapsed="false">
      <c r="A156" s="15"/>
      <c r="B156" s="11"/>
      <c r="C156" s="18" t="str">
        <f aca="false">IF($B156="","",IFERROR(INDEX(차량목록!$B$3:$B$102,MATCH($B156,차량목록!$A$3:$A$102,0)),"미등록차량"))</f>
        <v/>
      </c>
      <c r="D156" s="11"/>
      <c r="E156" s="18" t="str">
        <f aca="false">IF($D156="","",IFERROR(INDEX(정비항목!$B$3:$B$52,MATCH($D156,정비항목!$A$3:$A$52,0)),"미등록항목"))</f>
        <v/>
      </c>
      <c r="F156" s="14"/>
      <c r="G156" s="14"/>
      <c r="H156" s="11"/>
    </row>
    <row r="157" customFormat="false" ht="15" hidden="false" customHeight="true" outlineLevel="0" collapsed="false">
      <c r="A157" s="15"/>
      <c r="B157" s="11"/>
      <c r="C157" s="18" t="str">
        <f aca="false">IF($B157="","",IFERROR(INDEX(차량목록!$B$3:$B$102,MATCH($B157,차량목록!$A$3:$A$102,0)),"미등록차량"))</f>
        <v/>
      </c>
      <c r="D157" s="11"/>
      <c r="E157" s="18" t="str">
        <f aca="false">IF($D157="","",IFERROR(INDEX(정비항목!$B$3:$B$52,MATCH($D157,정비항목!$A$3:$A$52,0)),"미등록항목"))</f>
        <v/>
      </c>
      <c r="F157" s="14"/>
      <c r="G157" s="14"/>
      <c r="H157" s="11"/>
    </row>
    <row r="158" customFormat="false" ht="15" hidden="false" customHeight="true" outlineLevel="0" collapsed="false">
      <c r="A158" s="15"/>
      <c r="B158" s="11"/>
      <c r="C158" s="18" t="str">
        <f aca="false">IF($B158="","",IFERROR(INDEX(차량목록!$B$3:$B$102,MATCH($B158,차량목록!$A$3:$A$102,0)),"미등록차량"))</f>
        <v/>
      </c>
      <c r="D158" s="11"/>
      <c r="E158" s="18" t="str">
        <f aca="false">IF($D158="","",IFERROR(INDEX(정비항목!$B$3:$B$52,MATCH($D158,정비항목!$A$3:$A$52,0)),"미등록항목"))</f>
        <v/>
      </c>
      <c r="F158" s="14"/>
      <c r="G158" s="14"/>
      <c r="H158" s="11"/>
    </row>
    <row r="159" customFormat="false" ht="15" hidden="false" customHeight="true" outlineLevel="0" collapsed="false">
      <c r="A159" s="15"/>
      <c r="B159" s="11"/>
      <c r="C159" s="18" t="str">
        <f aca="false">IF($B159="","",IFERROR(INDEX(차량목록!$B$3:$B$102,MATCH($B159,차량목록!$A$3:$A$102,0)),"미등록차량"))</f>
        <v/>
      </c>
      <c r="D159" s="11"/>
      <c r="E159" s="18" t="str">
        <f aca="false">IF($D159="","",IFERROR(INDEX(정비항목!$B$3:$B$52,MATCH($D159,정비항목!$A$3:$A$52,0)),"미등록항목"))</f>
        <v/>
      </c>
      <c r="F159" s="14"/>
      <c r="G159" s="14"/>
      <c r="H159" s="11"/>
    </row>
    <row r="160" customFormat="false" ht="15" hidden="false" customHeight="true" outlineLevel="0" collapsed="false">
      <c r="A160" s="15"/>
      <c r="B160" s="11"/>
      <c r="C160" s="18" t="str">
        <f aca="false">IF($B160="","",IFERROR(INDEX(차량목록!$B$3:$B$102,MATCH($B160,차량목록!$A$3:$A$102,0)),"미등록차량"))</f>
        <v/>
      </c>
      <c r="D160" s="11"/>
      <c r="E160" s="18" t="str">
        <f aca="false">IF($D160="","",IFERROR(INDEX(정비항목!$B$3:$B$52,MATCH($D160,정비항목!$A$3:$A$52,0)),"미등록항목"))</f>
        <v/>
      </c>
      <c r="F160" s="14"/>
      <c r="G160" s="14"/>
      <c r="H160" s="11"/>
    </row>
    <row r="161" customFormat="false" ht="15" hidden="false" customHeight="true" outlineLevel="0" collapsed="false">
      <c r="A161" s="15"/>
      <c r="B161" s="11"/>
      <c r="C161" s="18" t="str">
        <f aca="false">IF($B161="","",IFERROR(INDEX(차량목록!$B$3:$B$102,MATCH($B161,차량목록!$A$3:$A$102,0)),"미등록차량"))</f>
        <v/>
      </c>
      <c r="D161" s="11"/>
      <c r="E161" s="18" t="str">
        <f aca="false">IF($D161="","",IFERROR(INDEX(정비항목!$B$3:$B$52,MATCH($D161,정비항목!$A$3:$A$52,0)),"미등록항목"))</f>
        <v/>
      </c>
      <c r="F161" s="14"/>
      <c r="G161" s="14"/>
      <c r="H161" s="11"/>
    </row>
    <row r="162" customFormat="false" ht="15" hidden="false" customHeight="true" outlineLevel="0" collapsed="false">
      <c r="A162" s="15"/>
      <c r="B162" s="11"/>
      <c r="C162" s="18" t="str">
        <f aca="false">IF($B162="","",IFERROR(INDEX(차량목록!$B$3:$B$102,MATCH($B162,차량목록!$A$3:$A$102,0)),"미등록차량"))</f>
        <v/>
      </c>
      <c r="D162" s="11"/>
      <c r="E162" s="18" t="str">
        <f aca="false">IF($D162="","",IFERROR(INDEX(정비항목!$B$3:$B$52,MATCH($D162,정비항목!$A$3:$A$52,0)),"미등록항목"))</f>
        <v/>
      </c>
      <c r="F162" s="14"/>
      <c r="G162" s="14"/>
      <c r="H162" s="11"/>
    </row>
    <row r="163" customFormat="false" ht="15" hidden="false" customHeight="true" outlineLevel="0" collapsed="false">
      <c r="A163" s="15"/>
      <c r="B163" s="11"/>
      <c r="C163" s="18" t="str">
        <f aca="false">IF($B163="","",IFERROR(INDEX(차량목록!$B$3:$B$102,MATCH($B163,차량목록!$A$3:$A$102,0)),"미등록차량"))</f>
        <v/>
      </c>
      <c r="D163" s="11"/>
      <c r="E163" s="18" t="str">
        <f aca="false">IF($D163="","",IFERROR(INDEX(정비항목!$B$3:$B$52,MATCH($D163,정비항목!$A$3:$A$52,0)),"미등록항목"))</f>
        <v/>
      </c>
      <c r="F163" s="14"/>
      <c r="G163" s="14"/>
      <c r="H163" s="11"/>
    </row>
    <row r="164" customFormat="false" ht="15" hidden="false" customHeight="true" outlineLevel="0" collapsed="false">
      <c r="A164" s="15"/>
      <c r="B164" s="11"/>
      <c r="C164" s="18" t="str">
        <f aca="false">IF($B164="","",IFERROR(INDEX(차량목록!$B$3:$B$102,MATCH($B164,차량목록!$A$3:$A$102,0)),"미등록차량"))</f>
        <v/>
      </c>
      <c r="D164" s="11"/>
      <c r="E164" s="18" t="str">
        <f aca="false">IF($D164="","",IFERROR(INDEX(정비항목!$B$3:$B$52,MATCH($D164,정비항목!$A$3:$A$52,0)),"미등록항목"))</f>
        <v/>
      </c>
      <c r="F164" s="14"/>
      <c r="G164" s="14"/>
      <c r="H164" s="11"/>
    </row>
    <row r="165" customFormat="false" ht="15" hidden="false" customHeight="true" outlineLevel="0" collapsed="false">
      <c r="A165" s="15"/>
      <c r="B165" s="11"/>
      <c r="C165" s="18" t="str">
        <f aca="false">IF($B165="","",IFERROR(INDEX(차량목록!$B$3:$B$102,MATCH($B165,차량목록!$A$3:$A$102,0)),"미등록차량"))</f>
        <v/>
      </c>
      <c r="D165" s="11"/>
      <c r="E165" s="18" t="str">
        <f aca="false">IF($D165="","",IFERROR(INDEX(정비항목!$B$3:$B$52,MATCH($D165,정비항목!$A$3:$A$52,0)),"미등록항목"))</f>
        <v/>
      </c>
      <c r="F165" s="14"/>
      <c r="G165" s="14"/>
      <c r="H165" s="11"/>
    </row>
    <row r="166" customFormat="false" ht="15" hidden="false" customHeight="true" outlineLevel="0" collapsed="false">
      <c r="A166" s="15"/>
      <c r="B166" s="11"/>
      <c r="C166" s="18" t="str">
        <f aca="false">IF($B166="","",IFERROR(INDEX(차량목록!$B$3:$B$102,MATCH($B166,차량목록!$A$3:$A$102,0)),"미등록차량"))</f>
        <v/>
      </c>
      <c r="D166" s="11"/>
      <c r="E166" s="18" t="str">
        <f aca="false">IF($D166="","",IFERROR(INDEX(정비항목!$B$3:$B$52,MATCH($D166,정비항목!$A$3:$A$52,0)),"미등록항목"))</f>
        <v/>
      </c>
      <c r="F166" s="14"/>
      <c r="G166" s="14"/>
      <c r="H166" s="11"/>
    </row>
    <row r="167" customFormat="false" ht="15" hidden="false" customHeight="true" outlineLevel="0" collapsed="false">
      <c r="A167" s="15"/>
      <c r="B167" s="11"/>
      <c r="C167" s="18" t="str">
        <f aca="false">IF($B167="","",IFERROR(INDEX(차량목록!$B$3:$B$102,MATCH($B167,차량목록!$A$3:$A$102,0)),"미등록차량"))</f>
        <v/>
      </c>
      <c r="D167" s="11"/>
      <c r="E167" s="18" t="str">
        <f aca="false">IF($D167="","",IFERROR(INDEX(정비항목!$B$3:$B$52,MATCH($D167,정비항목!$A$3:$A$52,0)),"미등록항목"))</f>
        <v/>
      </c>
      <c r="F167" s="14"/>
      <c r="G167" s="14"/>
      <c r="H167" s="11"/>
    </row>
    <row r="168" customFormat="false" ht="15" hidden="false" customHeight="true" outlineLevel="0" collapsed="false">
      <c r="A168" s="15"/>
      <c r="B168" s="11"/>
      <c r="C168" s="18" t="str">
        <f aca="false">IF($B168="","",IFERROR(INDEX(차량목록!$B$3:$B$102,MATCH($B168,차량목록!$A$3:$A$102,0)),"미등록차량"))</f>
        <v/>
      </c>
      <c r="D168" s="11"/>
      <c r="E168" s="18" t="str">
        <f aca="false">IF($D168="","",IFERROR(INDEX(정비항목!$B$3:$B$52,MATCH($D168,정비항목!$A$3:$A$52,0)),"미등록항목"))</f>
        <v/>
      </c>
      <c r="F168" s="14"/>
      <c r="G168" s="14"/>
      <c r="H168" s="11"/>
    </row>
    <row r="169" customFormat="false" ht="15" hidden="false" customHeight="true" outlineLevel="0" collapsed="false">
      <c r="A169" s="15"/>
      <c r="B169" s="11"/>
      <c r="C169" s="18" t="str">
        <f aca="false">IF($B169="","",IFERROR(INDEX(차량목록!$B$3:$B$102,MATCH($B169,차량목록!$A$3:$A$102,0)),"미등록차량"))</f>
        <v/>
      </c>
      <c r="D169" s="11"/>
      <c r="E169" s="18" t="str">
        <f aca="false">IF($D169="","",IFERROR(INDEX(정비항목!$B$3:$B$52,MATCH($D169,정비항목!$A$3:$A$52,0)),"미등록항목"))</f>
        <v/>
      </c>
      <c r="F169" s="14"/>
      <c r="G169" s="14"/>
      <c r="H169" s="11"/>
    </row>
    <row r="170" customFormat="false" ht="15" hidden="false" customHeight="true" outlineLevel="0" collapsed="false">
      <c r="A170" s="15"/>
      <c r="B170" s="11"/>
      <c r="C170" s="18" t="str">
        <f aca="false">IF($B170="","",IFERROR(INDEX(차량목록!$B$3:$B$102,MATCH($B170,차량목록!$A$3:$A$102,0)),"미등록차량"))</f>
        <v/>
      </c>
      <c r="D170" s="11"/>
      <c r="E170" s="18" t="str">
        <f aca="false">IF($D170="","",IFERROR(INDEX(정비항목!$B$3:$B$52,MATCH($D170,정비항목!$A$3:$A$52,0)),"미등록항목"))</f>
        <v/>
      </c>
      <c r="F170" s="14"/>
      <c r="G170" s="14"/>
      <c r="H170" s="11"/>
    </row>
    <row r="171" customFormat="false" ht="15" hidden="false" customHeight="true" outlineLevel="0" collapsed="false">
      <c r="A171" s="15"/>
      <c r="B171" s="11"/>
      <c r="C171" s="18" t="str">
        <f aca="false">IF($B171="","",IFERROR(INDEX(차량목록!$B$3:$B$102,MATCH($B171,차량목록!$A$3:$A$102,0)),"미등록차량"))</f>
        <v/>
      </c>
      <c r="D171" s="11"/>
      <c r="E171" s="18" t="str">
        <f aca="false">IF($D171="","",IFERROR(INDEX(정비항목!$B$3:$B$52,MATCH($D171,정비항목!$A$3:$A$52,0)),"미등록항목"))</f>
        <v/>
      </c>
      <c r="F171" s="14"/>
      <c r="G171" s="14"/>
      <c r="H171" s="11"/>
    </row>
    <row r="172" customFormat="false" ht="15" hidden="false" customHeight="true" outlineLevel="0" collapsed="false">
      <c r="A172" s="15"/>
      <c r="B172" s="11"/>
      <c r="C172" s="18" t="str">
        <f aca="false">IF($B172="","",IFERROR(INDEX(차량목록!$B$3:$B$102,MATCH($B172,차량목록!$A$3:$A$102,0)),"미등록차량"))</f>
        <v/>
      </c>
      <c r="D172" s="11"/>
      <c r="E172" s="18" t="str">
        <f aca="false">IF($D172="","",IFERROR(INDEX(정비항목!$B$3:$B$52,MATCH($D172,정비항목!$A$3:$A$52,0)),"미등록항목"))</f>
        <v/>
      </c>
      <c r="F172" s="14"/>
      <c r="G172" s="14"/>
      <c r="H172" s="11"/>
    </row>
    <row r="173" customFormat="false" ht="15" hidden="false" customHeight="true" outlineLevel="0" collapsed="false">
      <c r="A173" s="15"/>
      <c r="B173" s="11"/>
      <c r="C173" s="18" t="str">
        <f aca="false">IF($B173="","",IFERROR(INDEX(차량목록!$B$3:$B$102,MATCH($B173,차량목록!$A$3:$A$102,0)),"미등록차량"))</f>
        <v/>
      </c>
      <c r="D173" s="11"/>
      <c r="E173" s="18" t="str">
        <f aca="false">IF($D173="","",IFERROR(INDEX(정비항목!$B$3:$B$52,MATCH($D173,정비항목!$A$3:$A$52,0)),"미등록항목"))</f>
        <v/>
      </c>
      <c r="F173" s="14"/>
      <c r="G173" s="14"/>
      <c r="H173" s="11"/>
    </row>
    <row r="174" customFormat="false" ht="15" hidden="false" customHeight="true" outlineLevel="0" collapsed="false">
      <c r="A174" s="15"/>
      <c r="B174" s="11"/>
      <c r="C174" s="18" t="str">
        <f aca="false">IF($B174="","",IFERROR(INDEX(차량목록!$B$3:$B$102,MATCH($B174,차량목록!$A$3:$A$102,0)),"미등록차량"))</f>
        <v/>
      </c>
      <c r="D174" s="11"/>
      <c r="E174" s="18" t="str">
        <f aca="false">IF($D174="","",IFERROR(INDEX(정비항목!$B$3:$B$52,MATCH($D174,정비항목!$A$3:$A$52,0)),"미등록항목"))</f>
        <v/>
      </c>
      <c r="F174" s="14"/>
      <c r="G174" s="14"/>
      <c r="H174" s="11"/>
    </row>
    <row r="175" customFormat="false" ht="15" hidden="false" customHeight="true" outlineLevel="0" collapsed="false">
      <c r="A175" s="15"/>
      <c r="B175" s="11"/>
      <c r="C175" s="18" t="str">
        <f aca="false">IF($B175="","",IFERROR(INDEX(차량목록!$B$3:$B$102,MATCH($B175,차량목록!$A$3:$A$102,0)),"미등록차량"))</f>
        <v/>
      </c>
      <c r="D175" s="11"/>
      <c r="E175" s="18" t="str">
        <f aca="false">IF($D175="","",IFERROR(INDEX(정비항목!$B$3:$B$52,MATCH($D175,정비항목!$A$3:$A$52,0)),"미등록항목"))</f>
        <v/>
      </c>
      <c r="F175" s="14"/>
      <c r="G175" s="14"/>
      <c r="H175" s="11"/>
    </row>
    <row r="176" customFormat="false" ht="15" hidden="false" customHeight="true" outlineLevel="0" collapsed="false">
      <c r="A176" s="15"/>
      <c r="B176" s="11"/>
      <c r="C176" s="18" t="str">
        <f aca="false">IF($B176="","",IFERROR(INDEX(차량목록!$B$3:$B$102,MATCH($B176,차량목록!$A$3:$A$102,0)),"미등록차량"))</f>
        <v/>
      </c>
      <c r="D176" s="11"/>
      <c r="E176" s="18" t="str">
        <f aca="false">IF($D176="","",IFERROR(INDEX(정비항목!$B$3:$B$52,MATCH($D176,정비항목!$A$3:$A$52,0)),"미등록항목"))</f>
        <v/>
      </c>
      <c r="F176" s="14"/>
      <c r="G176" s="14"/>
      <c r="H176" s="11"/>
    </row>
    <row r="177" customFormat="false" ht="15" hidden="false" customHeight="true" outlineLevel="0" collapsed="false">
      <c r="A177" s="15"/>
      <c r="B177" s="11"/>
      <c r="C177" s="18" t="str">
        <f aca="false">IF($B177="","",IFERROR(INDEX(차량목록!$B$3:$B$102,MATCH($B177,차량목록!$A$3:$A$102,0)),"미등록차량"))</f>
        <v/>
      </c>
      <c r="D177" s="11"/>
      <c r="E177" s="18" t="str">
        <f aca="false">IF($D177="","",IFERROR(INDEX(정비항목!$B$3:$B$52,MATCH($D177,정비항목!$A$3:$A$52,0)),"미등록항목"))</f>
        <v/>
      </c>
      <c r="F177" s="14"/>
      <c r="G177" s="14"/>
      <c r="H177" s="11"/>
    </row>
    <row r="178" customFormat="false" ht="15" hidden="false" customHeight="true" outlineLevel="0" collapsed="false">
      <c r="A178" s="15"/>
      <c r="B178" s="11"/>
      <c r="C178" s="18" t="str">
        <f aca="false">IF($B178="","",IFERROR(INDEX(차량목록!$B$3:$B$102,MATCH($B178,차량목록!$A$3:$A$102,0)),"미등록차량"))</f>
        <v/>
      </c>
      <c r="D178" s="11"/>
      <c r="E178" s="18" t="str">
        <f aca="false">IF($D178="","",IFERROR(INDEX(정비항목!$B$3:$B$52,MATCH($D178,정비항목!$A$3:$A$52,0)),"미등록항목"))</f>
        <v/>
      </c>
      <c r="F178" s="14"/>
      <c r="G178" s="14"/>
      <c r="H178" s="11"/>
    </row>
    <row r="179" customFormat="false" ht="15" hidden="false" customHeight="true" outlineLevel="0" collapsed="false">
      <c r="A179" s="15"/>
      <c r="B179" s="11"/>
      <c r="C179" s="18" t="str">
        <f aca="false">IF($B179="","",IFERROR(INDEX(차량목록!$B$3:$B$102,MATCH($B179,차량목록!$A$3:$A$102,0)),"미등록차량"))</f>
        <v/>
      </c>
      <c r="D179" s="11"/>
      <c r="E179" s="18" t="str">
        <f aca="false">IF($D179="","",IFERROR(INDEX(정비항목!$B$3:$B$52,MATCH($D179,정비항목!$A$3:$A$52,0)),"미등록항목"))</f>
        <v/>
      </c>
      <c r="F179" s="14"/>
      <c r="G179" s="14"/>
      <c r="H179" s="11"/>
    </row>
    <row r="180" customFormat="false" ht="15" hidden="false" customHeight="true" outlineLevel="0" collapsed="false">
      <c r="A180" s="15"/>
      <c r="B180" s="11"/>
      <c r="C180" s="18" t="str">
        <f aca="false">IF($B180="","",IFERROR(INDEX(차량목록!$B$3:$B$102,MATCH($B180,차량목록!$A$3:$A$102,0)),"미등록차량"))</f>
        <v/>
      </c>
      <c r="D180" s="11"/>
      <c r="E180" s="18" t="str">
        <f aca="false">IF($D180="","",IFERROR(INDEX(정비항목!$B$3:$B$52,MATCH($D180,정비항목!$A$3:$A$52,0)),"미등록항목"))</f>
        <v/>
      </c>
      <c r="F180" s="14"/>
      <c r="G180" s="14"/>
      <c r="H180" s="11"/>
    </row>
    <row r="181" customFormat="false" ht="15" hidden="false" customHeight="true" outlineLevel="0" collapsed="false">
      <c r="A181" s="15"/>
      <c r="B181" s="11"/>
      <c r="C181" s="18" t="str">
        <f aca="false">IF($B181="","",IFERROR(INDEX(차량목록!$B$3:$B$102,MATCH($B181,차량목록!$A$3:$A$102,0)),"미등록차량"))</f>
        <v/>
      </c>
      <c r="D181" s="11"/>
      <c r="E181" s="18" t="str">
        <f aca="false">IF($D181="","",IFERROR(INDEX(정비항목!$B$3:$B$52,MATCH($D181,정비항목!$A$3:$A$52,0)),"미등록항목"))</f>
        <v/>
      </c>
      <c r="F181" s="14"/>
      <c r="G181" s="14"/>
      <c r="H181" s="11"/>
    </row>
    <row r="182" customFormat="false" ht="15" hidden="false" customHeight="true" outlineLevel="0" collapsed="false">
      <c r="A182" s="15"/>
      <c r="B182" s="11"/>
      <c r="C182" s="18" t="str">
        <f aca="false">IF($B182="","",IFERROR(INDEX(차량목록!$B$3:$B$102,MATCH($B182,차량목록!$A$3:$A$102,0)),"미등록차량"))</f>
        <v/>
      </c>
      <c r="D182" s="11"/>
      <c r="E182" s="18" t="str">
        <f aca="false">IF($D182="","",IFERROR(INDEX(정비항목!$B$3:$B$52,MATCH($D182,정비항목!$A$3:$A$52,0)),"미등록항목"))</f>
        <v/>
      </c>
      <c r="F182" s="14"/>
      <c r="G182" s="14"/>
      <c r="H182" s="11"/>
    </row>
    <row r="183" customFormat="false" ht="15" hidden="false" customHeight="true" outlineLevel="0" collapsed="false">
      <c r="A183" s="15"/>
      <c r="B183" s="11"/>
      <c r="C183" s="18" t="str">
        <f aca="false">IF($B183="","",IFERROR(INDEX(차량목록!$B$3:$B$102,MATCH($B183,차량목록!$A$3:$A$102,0)),"미등록차량"))</f>
        <v/>
      </c>
      <c r="D183" s="11"/>
      <c r="E183" s="18" t="str">
        <f aca="false">IF($D183="","",IFERROR(INDEX(정비항목!$B$3:$B$52,MATCH($D183,정비항목!$A$3:$A$52,0)),"미등록항목"))</f>
        <v/>
      </c>
      <c r="F183" s="14"/>
      <c r="G183" s="14"/>
      <c r="H183" s="11"/>
    </row>
    <row r="184" customFormat="false" ht="15" hidden="false" customHeight="true" outlineLevel="0" collapsed="false">
      <c r="A184" s="15"/>
      <c r="B184" s="11"/>
      <c r="C184" s="18" t="str">
        <f aca="false">IF($B184="","",IFERROR(INDEX(차량목록!$B$3:$B$102,MATCH($B184,차량목록!$A$3:$A$102,0)),"미등록차량"))</f>
        <v/>
      </c>
      <c r="D184" s="11"/>
      <c r="E184" s="18" t="str">
        <f aca="false">IF($D184="","",IFERROR(INDEX(정비항목!$B$3:$B$52,MATCH($D184,정비항목!$A$3:$A$52,0)),"미등록항목"))</f>
        <v/>
      </c>
      <c r="F184" s="14"/>
      <c r="G184" s="14"/>
      <c r="H184" s="11"/>
    </row>
    <row r="185" customFormat="false" ht="15" hidden="false" customHeight="true" outlineLevel="0" collapsed="false">
      <c r="A185" s="15"/>
      <c r="B185" s="11"/>
      <c r="C185" s="18" t="str">
        <f aca="false">IF($B185="","",IFERROR(INDEX(차량목록!$B$3:$B$102,MATCH($B185,차량목록!$A$3:$A$102,0)),"미등록차량"))</f>
        <v/>
      </c>
      <c r="D185" s="11"/>
      <c r="E185" s="18" t="str">
        <f aca="false">IF($D185="","",IFERROR(INDEX(정비항목!$B$3:$B$52,MATCH($D185,정비항목!$A$3:$A$52,0)),"미등록항목"))</f>
        <v/>
      </c>
      <c r="F185" s="14"/>
      <c r="G185" s="14"/>
      <c r="H185" s="11"/>
    </row>
    <row r="186" customFormat="false" ht="15" hidden="false" customHeight="true" outlineLevel="0" collapsed="false">
      <c r="A186" s="15"/>
      <c r="B186" s="11"/>
      <c r="C186" s="18" t="str">
        <f aca="false">IF($B186="","",IFERROR(INDEX(차량목록!$B$3:$B$102,MATCH($B186,차량목록!$A$3:$A$102,0)),"미등록차량"))</f>
        <v/>
      </c>
      <c r="D186" s="11"/>
      <c r="E186" s="18" t="str">
        <f aca="false">IF($D186="","",IFERROR(INDEX(정비항목!$B$3:$B$52,MATCH($D186,정비항목!$A$3:$A$52,0)),"미등록항목"))</f>
        <v/>
      </c>
      <c r="F186" s="14"/>
      <c r="G186" s="14"/>
      <c r="H186" s="11"/>
    </row>
    <row r="187" customFormat="false" ht="15" hidden="false" customHeight="true" outlineLevel="0" collapsed="false">
      <c r="A187" s="15"/>
      <c r="B187" s="11"/>
      <c r="C187" s="18" t="str">
        <f aca="false">IF($B187="","",IFERROR(INDEX(차량목록!$B$3:$B$102,MATCH($B187,차량목록!$A$3:$A$102,0)),"미등록차량"))</f>
        <v/>
      </c>
      <c r="D187" s="11"/>
      <c r="E187" s="18" t="str">
        <f aca="false">IF($D187="","",IFERROR(INDEX(정비항목!$B$3:$B$52,MATCH($D187,정비항목!$A$3:$A$52,0)),"미등록항목"))</f>
        <v/>
      </c>
      <c r="F187" s="14"/>
      <c r="G187" s="14"/>
      <c r="H187" s="11"/>
    </row>
    <row r="188" customFormat="false" ht="15" hidden="false" customHeight="true" outlineLevel="0" collapsed="false">
      <c r="A188" s="15"/>
      <c r="B188" s="11"/>
      <c r="C188" s="18" t="str">
        <f aca="false">IF($B188="","",IFERROR(INDEX(차량목록!$B$3:$B$102,MATCH($B188,차량목록!$A$3:$A$102,0)),"미등록차량"))</f>
        <v/>
      </c>
      <c r="D188" s="11"/>
      <c r="E188" s="18" t="str">
        <f aca="false">IF($D188="","",IFERROR(INDEX(정비항목!$B$3:$B$52,MATCH($D188,정비항목!$A$3:$A$52,0)),"미등록항목"))</f>
        <v/>
      </c>
      <c r="F188" s="14"/>
      <c r="G188" s="14"/>
      <c r="H188" s="11"/>
    </row>
    <row r="189" customFormat="false" ht="15" hidden="false" customHeight="true" outlineLevel="0" collapsed="false">
      <c r="A189" s="15"/>
      <c r="B189" s="11"/>
      <c r="C189" s="18" t="str">
        <f aca="false">IF($B189="","",IFERROR(INDEX(차량목록!$B$3:$B$102,MATCH($B189,차량목록!$A$3:$A$102,0)),"미등록차량"))</f>
        <v/>
      </c>
      <c r="D189" s="11"/>
      <c r="E189" s="18" t="str">
        <f aca="false">IF($D189="","",IFERROR(INDEX(정비항목!$B$3:$B$52,MATCH($D189,정비항목!$A$3:$A$52,0)),"미등록항목"))</f>
        <v/>
      </c>
      <c r="F189" s="14"/>
      <c r="G189" s="14"/>
      <c r="H189" s="11"/>
    </row>
    <row r="190" customFormat="false" ht="15" hidden="false" customHeight="true" outlineLevel="0" collapsed="false">
      <c r="A190" s="15"/>
      <c r="B190" s="11"/>
      <c r="C190" s="18" t="str">
        <f aca="false">IF($B190="","",IFERROR(INDEX(차량목록!$B$3:$B$102,MATCH($B190,차량목록!$A$3:$A$102,0)),"미등록차량"))</f>
        <v/>
      </c>
      <c r="D190" s="11"/>
      <c r="E190" s="18" t="str">
        <f aca="false">IF($D190="","",IFERROR(INDEX(정비항목!$B$3:$B$52,MATCH($D190,정비항목!$A$3:$A$52,0)),"미등록항목"))</f>
        <v/>
      </c>
      <c r="F190" s="14"/>
      <c r="G190" s="14"/>
      <c r="H190" s="11"/>
    </row>
    <row r="191" customFormat="false" ht="15" hidden="false" customHeight="true" outlineLevel="0" collapsed="false">
      <c r="A191" s="15"/>
      <c r="B191" s="11"/>
      <c r="C191" s="18" t="str">
        <f aca="false">IF($B191="","",IFERROR(INDEX(차량목록!$B$3:$B$102,MATCH($B191,차량목록!$A$3:$A$102,0)),"미등록차량"))</f>
        <v/>
      </c>
      <c r="D191" s="11"/>
      <c r="E191" s="18" t="str">
        <f aca="false">IF($D191="","",IFERROR(INDEX(정비항목!$B$3:$B$52,MATCH($D191,정비항목!$A$3:$A$52,0)),"미등록항목"))</f>
        <v/>
      </c>
      <c r="F191" s="14"/>
      <c r="G191" s="14"/>
      <c r="H191" s="11"/>
    </row>
    <row r="192" customFormat="false" ht="15" hidden="false" customHeight="true" outlineLevel="0" collapsed="false">
      <c r="A192" s="15"/>
      <c r="B192" s="11"/>
      <c r="C192" s="18" t="str">
        <f aca="false">IF($B192="","",IFERROR(INDEX(차량목록!$B$3:$B$102,MATCH($B192,차량목록!$A$3:$A$102,0)),"미등록차량"))</f>
        <v/>
      </c>
      <c r="D192" s="11"/>
      <c r="E192" s="18" t="str">
        <f aca="false">IF($D192="","",IFERROR(INDEX(정비항목!$B$3:$B$52,MATCH($D192,정비항목!$A$3:$A$52,0)),"미등록항목"))</f>
        <v/>
      </c>
      <c r="F192" s="14"/>
      <c r="G192" s="14"/>
      <c r="H192" s="11"/>
    </row>
    <row r="193" customFormat="false" ht="15" hidden="false" customHeight="true" outlineLevel="0" collapsed="false">
      <c r="A193" s="15"/>
      <c r="B193" s="11"/>
      <c r="C193" s="18" t="str">
        <f aca="false">IF($B193="","",IFERROR(INDEX(차량목록!$B$3:$B$102,MATCH($B193,차량목록!$A$3:$A$102,0)),"미등록차량"))</f>
        <v/>
      </c>
      <c r="D193" s="11"/>
      <c r="E193" s="18" t="str">
        <f aca="false">IF($D193="","",IFERROR(INDEX(정비항목!$B$3:$B$52,MATCH($D193,정비항목!$A$3:$A$52,0)),"미등록항목"))</f>
        <v/>
      </c>
      <c r="F193" s="14"/>
      <c r="G193" s="14"/>
      <c r="H193" s="11"/>
    </row>
    <row r="194" customFormat="false" ht="15" hidden="false" customHeight="true" outlineLevel="0" collapsed="false">
      <c r="A194" s="15"/>
      <c r="B194" s="11"/>
      <c r="C194" s="18" t="str">
        <f aca="false">IF($B194="","",IFERROR(INDEX(차량목록!$B$3:$B$102,MATCH($B194,차량목록!$A$3:$A$102,0)),"미등록차량"))</f>
        <v/>
      </c>
      <c r="D194" s="11"/>
      <c r="E194" s="18" t="str">
        <f aca="false">IF($D194="","",IFERROR(INDEX(정비항목!$B$3:$B$52,MATCH($D194,정비항목!$A$3:$A$52,0)),"미등록항목"))</f>
        <v/>
      </c>
      <c r="F194" s="14"/>
      <c r="G194" s="14"/>
      <c r="H194" s="11"/>
    </row>
    <row r="195" customFormat="false" ht="15" hidden="false" customHeight="true" outlineLevel="0" collapsed="false">
      <c r="A195" s="15"/>
      <c r="B195" s="11"/>
      <c r="C195" s="18" t="str">
        <f aca="false">IF($B195="","",IFERROR(INDEX(차량목록!$B$3:$B$102,MATCH($B195,차량목록!$A$3:$A$102,0)),"미등록차량"))</f>
        <v/>
      </c>
      <c r="D195" s="11"/>
      <c r="E195" s="18" t="str">
        <f aca="false">IF($D195="","",IFERROR(INDEX(정비항목!$B$3:$B$52,MATCH($D195,정비항목!$A$3:$A$52,0)),"미등록항목"))</f>
        <v/>
      </c>
      <c r="F195" s="14"/>
      <c r="G195" s="14"/>
      <c r="H195" s="11"/>
    </row>
    <row r="196" customFormat="false" ht="15" hidden="false" customHeight="true" outlineLevel="0" collapsed="false">
      <c r="A196" s="15"/>
      <c r="B196" s="11"/>
      <c r="C196" s="18" t="str">
        <f aca="false">IF($B196="","",IFERROR(INDEX(차량목록!$B$3:$B$102,MATCH($B196,차량목록!$A$3:$A$102,0)),"미등록차량"))</f>
        <v/>
      </c>
      <c r="D196" s="11"/>
      <c r="E196" s="18" t="str">
        <f aca="false">IF($D196="","",IFERROR(INDEX(정비항목!$B$3:$B$52,MATCH($D196,정비항목!$A$3:$A$52,0)),"미등록항목"))</f>
        <v/>
      </c>
      <c r="F196" s="14"/>
      <c r="G196" s="14"/>
      <c r="H196" s="11"/>
    </row>
    <row r="197" customFormat="false" ht="15" hidden="false" customHeight="true" outlineLevel="0" collapsed="false">
      <c r="A197" s="15"/>
      <c r="B197" s="11"/>
      <c r="C197" s="18" t="str">
        <f aca="false">IF($B197="","",IFERROR(INDEX(차량목록!$B$3:$B$102,MATCH($B197,차량목록!$A$3:$A$102,0)),"미등록차량"))</f>
        <v/>
      </c>
      <c r="D197" s="11"/>
      <c r="E197" s="18" t="str">
        <f aca="false">IF($D197="","",IFERROR(INDEX(정비항목!$B$3:$B$52,MATCH($D197,정비항목!$A$3:$A$52,0)),"미등록항목"))</f>
        <v/>
      </c>
      <c r="F197" s="14"/>
      <c r="G197" s="14"/>
      <c r="H197" s="11"/>
    </row>
    <row r="198" customFormat="false" ht="15" hidden="false" customHeight="true" outlineLevel="0" collapsed="false">
      <c r="A198" s="15"/>
      <c r="B198" s="11"/>
      <c r="C198" s="18" t="str">
        <f aca="false">IF($B198="","",IFERROR(INDEX(차량목록!$B$3:$B$102,MATCH($B198,차량목록!$A$3:$A$102,0)),"미등록차량"))</f>
        <v/>
      </c>
      <c r="D198" s="11"/>
      <c r="E198" s="18" t="str">
        <f aca="false">IF($D198="","",IFERROR(INDEX(정비항목!$B$3:$B$52,MATCH($D198,정비항목!$A$3:$A$52,0)),"미등록항목"))</f>
        <v/>
      </c>
      <c r="F198" s="14"/>
      <c r="G198" s="14"/>
      <c r="H198" s="11"/>
    </row>
    <row r="199" customFormat="false" ht="15" hidden="false" customHeight="true" outlineLevel="0" collapsed="false">
      <c r="A199" s="15"/>
      <c r="B199" s="11"/>
      <c r="C199" s="18" t="str">
        <f aca="false">IF($B199="","",IFERROR(INDEX(차량목록!$B$3:$B$102,MATCH($B199,차량목록!$A$3:$A$102,0)),"미등록차량"))</f>
        <v/>
      </c>
      <c r="D199" s="11"/>
      <c r="E199" s="18" t="str">
        <f aca="false">IF($D199="","",IFERROR(INDEX(정비항목!$B$3:$B$52,MATCH($D199,정비항목!$A$3:$A$52,0)),"미등록항목"))</f>
        <v/>
      </c>
      <c r="F199" s="14"/>
      <c r="G199" s="14"/>
      <c r="H199" s="11"/>
    </row>
    <row r="200" customFormat="false" ht="15" hidden="false" customHeight="true" outlineLevel="0" collapsed="false">
      <c r="A200" s="15"/>
      <c r="B200" s="11"/>
      <c r="C200" s="18" t="str">
        <f aca="false">IF($B200="","",IFERROR(INDEX(차량목록!$B$3:$B$102,MATCH($B200,차량목록!$A$3:$A$102,0)),"미등록차량"))</f>
        <v/>
      </c>
      <c r="D200" s="11"/>
      <c r="E200" s="18" t="str">
        <f aca="false">IF($D200="","",IFERROR(INDEX(정비항목!$B$3:$B$52,MATCH($D200,정비항목!$A$3:$A$52,0)),"미등록항목"))</f>
        <v/>
      </c>
      <c r="F200" s="14"/>
      <c r="G200" s="14"/>
      <c r="H200" s="11"/>
    </row>
    <row r="201" customFormat="false" ht="15" hidden="false" customHeight="true" outlineLevel="0" collapsed="false">
      <c r="A201" s="15"/>
      <c r="B201" s="11"/>
      <c r="C201" s="18" t="str">
        <f aca="false">IF($B201="","",IFERROR(INDEX(차량목록!$B$3:$B$102,MATCH($B201,차량목록!$A$3:$A$102,0)),"미등록차량"))</f>
        <v/>
      </c>
      <c r="D201" s="11"/>
      <c r="E201" s="18" t="str">
        <f aca="false">IF($D201="","",IFERROR(INDEX(정비항목!$B$3:$B$52,MATCH($D201,정비항목!$A$3:$A$52,0)),"미등록항목"))</f>
        <v/>
      </c>
      <c r="F201" s="14"/>
      <c r="G201" s="14"/>
      <c r="H201" s="11"/>
    </row>
    <row r="202" customFormat="false" ht="15" hidden="false" customHeight="true" outlineLevel="0" collapsed="false">
      <c r="A202" s="15"/>
      <c r="B202" s="11"/>
      <c r="C202" s="18" t="str">
        <f aca="false">IF($B202="","",IFERROR(INDEX(차량목록!$B$3:$B$102,MATCH($B202,차량목록!$A$3:$A$102,0)),"미등록차량"))</f>
        <v/>
      </c>
      <c r="D202" s="11"/>
      <c r="E202" s="18" t="str">
        <f aca="false">IF($D202="","",IFERROR(INDEX(정비항목!$B$3:$B$52,MATCH($D202,정비항목!$A$3:$A$52,0)),"미등록항목"))</f>
        <v/>
      </c>
      <c r="F202" s="14"/>
      <c r="G202" s="14"/>
      <c r="H202" s="11"/>
    </row>
    <row r="203" customFormat="false" ht="15" hidden="false" customHeight="true" outlineLevel="0" collapsed="false">
      <c r="A203" s="15"/>
      <c r="B203" s="11"/>
      <c r="C203" s="18" t="str">
        <f aca="false">IF($B203="","",IFERROR(INDEX(차량목록!$B$3:$B$102,MATCH($B203,차량목록!$A$3:$A$102,0)),"미등록차량"))</f>
        <v/>
      </c>
      <c r="D203" s="11"/>
      <c r="E203" s="18" t="str">
        <f aca="false">IF($D203="","",IFERROR(INDEX(정비항목!$B$3:$B$52,MATCH($D203,정비항목!$A$3:$A$52,0)),"미등록항목"))</f>
        <v/>
      </c>
      <c r="F203" s="14"/>
      <c r="G203" s="14"/>
      <c r="H203" s="11"/>
    </row>
    <row r="204" customFormat="false" ht="15" hidden="false" customHeight="true" outlineLevel="0" collapsed="false">
      <c r="A204" s="15"/>
      <c r="B204" s="11"/>
      <c r="C204" s="18" t="str">
        <f aca="false">IF($B204="","",IFERROR(INDEX(차량목록!$B$3:$B$102,MATCH($B204,차량목록!$A$3:$A$102,0)),"미등록차량"))</f>
        <v/>
      </c>
      <c r="D204" s="11"/>
      <c r="E204" s="18" t="str">
        <f aca="false">IF($D204="","",IFERROR(INDEX(정비항목!$B$3:$B$52,MATCH($D204,정비항목!$A$3:$A$52,0)),"미등록항목"))</f>
        <v/>
      </c>
      <c r="F204" s="14"/>
      <c r="G204" s="14"/>
      <c r="H204" s="11"/>
    </row>
    <row r="205" customFormat="false" ht="15" hidden="false" customHeight="true" outlineLevel="0" collapsed="false">
      <c r="A205" s="15"/>
      <c r="B205" s="11"/>
      <c r="C205" s="18" t="str">
        <f aca="false">IF($B205="","",IFERROR(INDEX(차량목록!$B$3:$B$102,MATCH($B205,차량목록!$A$3:$A$102,0)),"미등록차량"))</f>
        <v/>
      </c>
      <c r="D205" s="11"/>
      <c r="E205" s="18" t="str">
        <f aca="false">IF($D205="","",IFERROR(INDEX(정비항목!$B$3:$B$52,MATCH($D205,정비항목!$A$3:$A$52,0)),"미등록항목"))</f>
        <v/>
      </c>
      <c r="F205" s="14"/>
      <c r="G205" s="14"/>
      <c r="H205" s="11"/>
    </row>
    <row r="206" customFormat="false" ht="15" hidden="false" customHeight="true" outlineLevel="0" collapsed="false">
      <c r="A206" s="15"/>
      <c r="B206" s="11"/>
      <c r="C206" s="18" t="str">
        <f aca="false">IF($B206="","",IFERROR(INDEX(차량목록!$B$3:$B$102,MATCH($B206,차량목록!$A$3:$A$102,0)),"미등록차량"))</f>
        <v/>
      </c>
      <c r="D206" s="11"/>
      <c r="E206" s="18" t="str">
        <f aca="false">IF($D206="","",IFERROR(INDEX(정비항목!$B$3:$B$52,MATCH($D206,정비항목!$A$3:$A$52,0)),"미등록항목"))</f>
        <v/>
      </c>
      <c r="F206" s="14"/>
      <c r="G206" s="14"/>
      <c r="H206" s="11"/>
    </row>
    <row r="207" customFormat="false" ht="15" hidden="false" customHeight="true" outlineLevel="0" collapsed="false">
      <c r="A207" s="15"/>
      <c r="B207" s="11"/>
      <c r="C207" s="18" t="str">
        <f aca="false">IF($B207="","",IFERROR(INDEX(차량목록!$B$3:$B$102,MATCH($B207,차량목록!$A$3:$A$102,0)),"미등록차량"))</f>
        <v/>
      </c>
      <c r="D207" s="11"/>
      <c r="E207" s="18" t="str">
        <f aca="false">IF($D207="","",IFERROR(INDEX(정비항목!$B$3:$B$52,MATCH($D207,정비항목!$A$3:$A$52,0)),"미등록항목"))</f>
        <v/>
      </c>
      <c r="F207" s="14"/>
      <c r="G207" s="14"/>
      <c r="H207" s="11"/>
    </row>
    <row r="208" customFormat="false" ht="15" hidden="false" customHeight="true" outlineLevel="0" collapsed="false">
      <c r="A208" s="15"/>
      <c r="B208" s="11"/>
      <c r="C208" s="18" t="str">
        <f aca="false">IF($B208="","",IFERROR(INDEX(차량목록!$B$3:$B$102,MATCH($B208,차량목록!$A$3:$A$102,0)),"미등록차량"))</f>
        <v/>
      </c>
      <c r="D208" s="11"/>
      <c r="E208" s="18" t="str">
        <f aca="false">IF($D208="","",IFERROR(INDEX(정비항목!$B$3:$B$52,MATCH($D208,정비항목!$A$3:$A$52,0)),"미등록항목"))</f>
        <v/>
      </c>
      <c r="F208" s="14"/>
      <c r="G208" s="14"/>
      <c r="H208" s="11"/>
    </row>
    <row r="209" customFormat="false" ht="15" hidden="false" customHeight="true" outlineLevel="0" collapsed="false">
      <c r="A209" s="15"/>
      <c r="B209" s="11"/>
      <c r="C209" s="18" t="str">
        <f aca="false">IF($B209="","",IFERROR(INDEX(차량목록!$B$3:$B$102,MATCH($B209,차량목록!$A$3:$A$102,0)),"미등록차량"))</f>
        <v/>
      </c>
      <c r="D209" s="11"/>
      <c r="E209" s="18" t="str">
        <f aca="false">IF($D209="","",IFERROR(INDEX(정비항목!$B$3:$B$52,MATCH($D209,정비항목!$A$3:$A$52,0)),"미등록항목"))</f>
        <v/>
      </c>
      <c r="F209" s="14"/>
      <c r="G209" s="14"/>
      <c r="H209" s="11"/>
    </row>
    <row r="210" customFormat="false" ht="15" hidden="false" customHeight="true" outlineLevel="0" collapsed="false">
      <c r="A210" s="15"/>
      <c r="B210" s="11"/>
      <c r="C210" s="18" t="str">
        <f aca="false">IF($B210="","",IFERROR(INDEX(차량목록!$B$3:$B$102,MATCH($B210,차량목록!$A$3:$A$102,0)),"미등록차량"))</f>
        <v/>
      </c>
      <c r="D210" s="11"/>
      <c r="E210" s="18" t="str">
        <f aca="false">IF($D210="","",IFERROR(INDEX(정비항목!$B$3:$B$52,MATCH($D210,정비항목!$A$3:$A$52,0)),"미등록항목"))</f>
        <v/>
      </c>
      <c r="F210" s="14"/>
      <c r="G210" s="14"/>
      <c r="H210" s="11"/>
    </row>
    <row r="211" customFormat="false" ht="15" hidden="false" customHeight="true" outlineLevel="0" collapsed="false">
      <c r="A211" s="15"/>
      <c r="B211" s="11"/>
      <c r="C211" s="18" t="str">
        <f aca="false">IF($B211="","",IFERROR(INDEX(차량목록!$B$3:$B$102,MATCH($B211,차량목록!$A$3:$A$102,0)),"미등록차량"))</f>
        <v/>
      </c>
      <c r="D211" s="11"/>
      <c r="E211" s="18" t="str">
        <f aca="false">IF($D211="","",IFERROR(INDEX(정비항목!$B$3:$B$52,MATCH($D211,정비항목!$A$3:$A$52,0)),"미등록항목"))</f>
        <v/>
      </c>
      <c r="F211" s="14"/>
      <c r="G211" s="14"/>
      <c r="H211" s="11"/>
    </row>
    <row r="212" customFormat="false" ht="15" hidden="false" customHeight="true" outlineLevel="0" collapsed="false">
      <c r="A212" s="15"/>
      <c r="B212" s="11"/>
      <c r="C212" s="18" t="str">
        <f aca="false">IF($B212="","",IFERROR(INDEX(차량목록!$B$3:$B$102,MATCH($B212,차량목록!$A$3:$A$102,0)),"미등록차량"))</f>
        <v/>
      </c>
      <c r="D212" s="11"/>
      <c r="E212" s="18" t="str">
        <f aca="false">IF($D212="","",IFERROR(INDEX(정비항목!$B$3:$B$52,MATCH($D212,정비항목!$A$3:$A$52,0)),"미등록항목"))</f>
        <v/>
      </c>
      <c r="F212" s="14"/>
      <c r="G212" s="14"/>
      <c r="H212" s="11"/>
    </row>
    <row r="213" customFormat="false" ht="15" hidden="false" customHeight="true" outlineLevel="0" collapsed="false">
      <c r="A213" s="15"/>
      <c r="B213" s="11"/>
      <c r="C213" s="18" t="str">
        <f aca="false">IF($B213="","",IFERROR(INDEX(차량목록!$B$3:$B$102,MATCH($B213,차량목록!$A$3:$A$102,0)),"미등록차량"))</f>
        <v/>
      </c>
      <c r="D213" s="11"/>
      <c r="E213" s="18" t="str">
        <f aca="false">IF($D213="","",IFERROR(INDEX(정비항목!$B$3:$B$52,MATCH($D213,정비항목!$A$3:$A$52,0)),"미등록항목"))</f>
        <v/>
      </c>
      <c r="F213" s="14"/>
      <c r="G213" s="14"/>
      <c r="H213" s="11"/>
    </row>
    <row r="214" customFormat="false" ht="15" hidden="false" customHeight="true" outlineLevel="0" collapsed="false">
      <c r="A214" s="15"/>
      <c r="B214" s="11"/>
      <c r="C214" s="18" t="str">
        <f aca="false">IF($B214="","",IFERROR(INDEX(차량목록!$B$3:$B$102,MATCH($B214,차량목록!$A$3:$A$102,0)),"미등록차량"))</f>
        <v/>
      </c>
      <c r="D214" s="11"/>
      <c r="E214" s="18" t="str">
        <f aca="false">IF($D214="","",IFERROR(INDEX(정비항목!$B$3:$B$52,MATCH($D214,정비항목!$A$3:$A$52,0)),"미등록항목"))</f>
        <v/>
      </c>
      <c r="F214" s="14"/>
      <c r="G214" s="14"/>
      <c r="H214" s="11"/>
    </row>
    <row r="215" customFormat="false" ht="15" hidden="false" customHeight="true" outlineLevel="0" collapsed="false">
      <c r="A215" s="15"/>
      <c r="B215" s="11"/>
      <c r="C215" s="18" t="str">
        <f aca="false">IF($B215="","",IFERROR(INDEX(차량목록!$B$3:$B$102,MATCH($B215,차량목록!$A$3:$A$102,0)),"미등록차량"))</f>
        <v/>
      </c>
      <c r="D215" s="11"/>
      <c r="E215" s="18" t="str">
        <f aca="false">IF($D215="","",IFERROR(INDEX(정비항목!$B$3:$B$52,MATCH($D215,정비항목!$A$3:$A$52,0)),"미등록항목"))</f>
        <v/>
      </c>
      <c r="F215" s="14"/>
      <c r="G215" s="14"/>
      <c r="H215" s="11"/>
    </row>
    <row r="216" customFormat="false" ht="15" hidden="false" customHeight="true" outlineLevel="0" collapsed="false">
      <c r="A216" s="15"/>
      <c r="B216" s="11"/>
      <c r="C216" s="18" t="str">
        <f aca="false">IF($B216="","",IFERROR(INDEX(차량목록!$B$3:$B$102,MATCH($B216,차량목록!$A$3:$A$102,0)),"미등록차량"))</f>
        <v/>
      </c>
      <c r="D216" s="11"/>
      <c r="E216" s="18" t="str">
        <f aca="false">IF($D216="","",IFERROR(INDEX(정비항목!$B$3:$B$52,MATCH($D216,정비항목!$A$3:$A$52,0)),"미등록항목"))</f>
        <v/>
      </c>
      <c r="F216" s="14"/>
      <c r="G216" s="14"/>
      <c r="H216" s="11"/>
    </row>
    <row r="217" customFormat="false" ht="15" hidden="false" customHeight="true" outlineLevel="0" collapsed="false">
      <c r="A217" s="15"/>
      <c r="B217" s="11"/>
      <c r="C217" s="18" t="str">
        <f aca="false">IF($B217="","",IFERROR(INDEX(차량목록!$B$3:$B$102,MATCH($B217,차량목록!$A$3:$A$102,0)),"미등록차량"))</f>
        <v/>
      </c>
      <c r="D217" s="11"/>
      <c r="E217" s="18" t="str">
        <f aca="false">IF($D217="","",IFERROR(INDEX(정비항목!$B$3:$B$52,MATCH($D217,정비항목!$A$3:$A$52,0)),"미등록항목"))</f>
        <v/>
      </c>
      <c r="F217" s="14"/>
      <c r="G217" s="14"/>
      <c r="H217" s="11"/>
    </row>
    <row r="218" customFormat="false" ht="15" hidden="false" customHeight="true" outlineLevel="0" collapsed="false">
      <c r="A218" s="15"/>
      <c r="B218" s="11"/>
      <c r="C218" s="18" t="str">
        <f aca="false">IF($B218="","",IFERROR(INDEX(차량목록!$B$3:$B$102,MATCH($B218,차량목록!$A$3:$A$102,0)),"미등록차량"))</f>
        <v/>
      </c>
      <c r="D218" s="11"/>
      <c r="E218" s="18" t="str">
        <f aca="false">IF($D218="","",IFERROR(INDEX(정비항목!$B$3:$B$52,MATCH($D218,정비항목!$A$3:$A$52,0)),"미등록항목"))</f>
        <v/>
      </c>
      <c r="F218" s="14"/>
      <c r="G218" s="14"/>
      <c r="H218" s="11"/>
    </row>
    <row r="219" customFormat="false" ht="15" hidden="false" customHeight="true" outlineLevel="0" collapsed="false">
      <c r="A219" s="15"/>
      <c r="B219" s="11"/>
      <c r="C219" s="18" t="str">
        <f aca="false">IF($B219="","",IFERROR(INDEX(차량목록!$B$3:$B$102,MATCH($B219,차량목록!$A$3:$A$102,0)),"미등록차량"))</f>
        <v/>
      </c>
      <c r="D219" s="11"/>
      <c r="E219" s="18" t="str">
        <f aca="false">IF($D219="","",IFERROR(INDEX(정비항목!$B$3:$B$52,MATCH($D219,정비항목!$A$3:$A$52,0)),"미등록항목"))</f>
        <v/>
      </c>
      <c r="F219" s="14"/>
      <c r="G219" s="14"/>
      <c r="H219" s="11"/>
    </row>
    <row r="220" customFormat="false" ht="15" hidden="false" customHeight="true" outlineLevel="0" collapsed="false">
      <c r="A220" s="15"/>
      <c r="B220" s="11"/>
      <c r="C220" s="18" t="str">
        <f aca="false">IF($B220="","",IFERROR(INDEX(차량목록!$B$3:$B$102,MATCH($B220,차량목록!$A$3:$A$102,0)),"미등록차량"))</f>
        <v/>
      </c>
      <c r="D220" s="11"/>
      <c r="E220" s="18" t="str">
        <f aca="false">IF($D220="","",IFERROR(INDEX(정비항목!$B$3:$B$52,MATCH($D220,정비항목!$A$3:$A$52,0)),"미등록항목"))</f>
        <v/>
      </c>
      <c r="F220" s="14"/>
      <c r="G220" s="14"/>
      <c r="H220" s="11"/>
    </row>
    <row r="221" customFormat="false" ht="15" hidden="false" customHeight="true" outlineLevel="0" collapsed="false">
      <c r="A221" s="15"/>
      <c r="B221" s="11"/>
      <c r="C221" s="18" t="str">
        <f aca="false">IF($B221="","",IFERROR(INDEX(차량목록!$B$3:$B$102,MATCH($B221,차량목록!$A$3:$A$102,0)),"미등록차량"))</f>
        <v/>
      </c>
      <c r="D221" s="11"/>
      <c r="E221" s="18" t="str">
        <f aca="false">IF($D221="","",IFERROR(INDEX(정비항목!$B$3:$B$52,MATCH($D221,정비항목!$A$3:$A$52,0)),"미등록항목"))</f>
        <v/>
      </c>
      <c r="F221" s="14"/>
      <c r="G221" s="14"/>
      <c r="H221" s="11"/>
    </row>
    <row r="222" customFormat="false" ht="15" hidden="false" customHeight="true" outlineLevel="0" collapsed="false">
      <c r="A222" s="15"/>
      <c r="B222" s="11"/>
      <c r="C222" s="18" t="str">
        <f aca="false">IF($B222="","",IFERROR(INDEX(차량목록!$B$3:$B$102,MATCH($B222,차량목록!$A$3:$A$102,0)),"미등록차량"))</f>
        <v/>
      </c>
      <c r="D222" s="11"/>
      <c r="E222" s="18" t="str">
        <f aca="false">IF($D222="","",IFERROR(INDEX(정비항목!$B$3:$B$52,MATCH($D222,정비항목!$A$3:$A$52,0)),"미등록항목"))</f>
        <v/>
      </c>
      <c r="F222" s="14"/>
      <c r="G222" s="14"/>
      <c r="H222" s="11"/>
    </row>
    <row r="223" customFormat="false" ht="15" hidden="false" customHeight="true" outlineLevel="0" collapsed="false">
      <c r="A223" s="15"/>
      <c r="B223" s="11"/>
      <c r="C223" s="18" t="str">
        <f aca="false">IF($B223="","",IFERROR(INDEX(차량목록!$B$3:$B$102,MATCH($B223,차량목록!$A$3:$A$102,0)),"미등록차량"))</f>
        <v/>
      </c>
      <c r="D223" s="11"/>
      <c r="E223" s="18" t="str">
        <f aca="false">IF($D223="","",IFERROR(INDEX(정비항목!$B$3:$B$52,MATCH($D223,정비항목!$A$3:$A$52,0)),"미등록항목"))</f>
        <v/>
      </c>
      <c r="F223" s="14"/>
      <c r="G223" s="14"/>
      <c r="H223" s="11"/>
    </row>
    <row r="224" customFormat="false" ht="15" hidden="false" customHeight="true" outlineLevel="0" collapsed="false">
      <c r="A224" s="15"/>
      <c r="B224" s="11"/>
      <c r="C224" s="18" t="str">
        <f aca="false">IF($B224="","",IFERROR(INDEX(차량목록!$B$3:$B$102,MATCH($B224,차량목록!$A$3:$A$102,0)),"미등록차량"))</f>
        <v/>
      </c>
      <c r="D224" s="11"/>
      <c r="E224" s="18" t="str">
        <f aca="false">IF($D224="","",IFERROR(INDEX(정비항목!$B$3:$B$52,MATCH($D224,정비항목!$A$3:$A$52,0)),"미등록항목"))</f>
        <v/>
      </c>
      <c r="F224" s="14"/>
      <c r="G224" s="14"/>
      <c r="H224" s="11"/>
    </row>
    <row r="225" customFormat="false" ht="15" hidden="false" customHeight="true" outlineLevel="0" collapsed="false">
      <c r="A225" s="15"/>
      <c r="B225" s="11"/>
      <c r="C225" s="18" t="str">
        <f aca="false">IF($B225="","",IFERROR(INDEX(차량목록!$B$3:$B$102,MATCH($B225,차량목록!$A$3:$A$102,0)),"미등록차량"))</f>
        <v/>
      </c>
      <c r="D225" s="11"/>
      <c r="E225" s="18" t="str">
        <f aca="false">IF($D225="","",IFERROR(INDEX(정비항목!$B$3:$B$52,MATCH($D225,정비항목!$A$3:$A$52,0)),"미등록항목"))</f>
        <v/>
      </c>
      <c r="F225" s="14"/>
      <c r="G225" s="14"/>
      <c r="H225" s="11"/>
    </row>
    <row r="226" customFormat="false" ht="15" hidden="false" customHeight="true" outlineLevel="0" collapsed="false">
      <c r="A226" s="15"/>
      <c r="B226" s="11"/>
      <c r="C226" s="18" t="str">
        <f aca="false">IF($B226="","",IFERROR(INDEX(차량목록!$B$3:$B$102,MATCH($B226,차량목록!$A$3:$A$102,0)),"미등록차량"))</f>
        <v/>
      </c>
      <c r="D226" s="11"/>
      <c r="E226" s="18" t="str">
        <f aca="false">IF($D226="","",IFERROR(INDEX(정비항목!$B$3:$B$52,MATCH($D226,정비항목!$A$3:$A$52,0)),"미등록항목"))</f>
        <v/>
      </c>
      <c r="F226" s="14"/>
      <c r="G226" s="14"/>
      <c r="H226" s="11"/>
    </row>
    <row r="227" customFormat="false" ht="15" hidden="false" customHeight="true" outlineLevel="0" collapsed="false">
      <c r="A227" s="15"/>
      <c r="B227" s="11"/>
      <c r="C227" s="18" t="str">
        <f aca="false">IF($B227="","",IFERROR(INDEX(차량목록!$B$3:$B$102,MATCH($B227,차량목록!$A$3:$A$102,0)),"미등록차량"))</f>
        <v/>
      </c>
      <c r="D227" s="11"/>
      <c r="E227" s="18" t="str">
        <f aca="false">IF($D227="","",IFERROR(INDEX(정비항목!$B$3:$B$52,MATCH($D227,정비항목!$A$3:$A$52,0)),"미등록항목"))</f>
        <v/>
      </c>
      <c r="F227" s="14"/>
      <c r="G227" s="14"/>
      <c r="H227" s="11"/>
    </row>
    <row r="228" customFormat="false" ht="15" hidden="false" customHeight="true" outlineLevel="0" collapsed="false">
      <c r="A228" s="15"/>
      <c r="B228" s="11"/>
      <c r="C228" s="18" t="str">
        <f aca="false">IF($B228="","",IFERROR(INDEX(차량목록!$B$3:$B$102,MATCH($B228,차량목록!$A$3:$A$102,0)),"미등록차량"))</f>
        <v/>
      </c>
      <c r="D228" s="11"/>
      <c r="E228" s="18" t="str">
        <f aca="false">IF($D228="","",IFERROR(INDEX(정비항목!$B$3:$B$52,MATCH($D228,정비항목!$A$3:$A$52,0)),"미등록항목"))</f>
        <v/>
      </c>
      <c r="F228" s="14"/>
      <c r="G228" s="14"/>
      <c r="H228" s="11"/>
    </row>
    <row r="229" customFormat="false" ht="15" hidden="false" customHeight="true" outlineLevel="0" collapsed="false">
      <c r="A229" s="15"/>
      <c r="B229" s="11"/>
      <c r="C229" s="18" t="str">
        <f aca="false">IF($B229="","",IFERROR(INDEX(차량목록!$B$3:$B$102,MATCH($B229,차량목록!$A$3:$A$102,0)),"미등록차량"))</f>
        <v/>
      </c>
      <c r="D229" s="11"/>
      <c r="E229" s="18" t="str">
        <f aca="false">IF($D229="","",IFERROR(INDEX(정비항목!$B$3:$B$52,MATCH($D229,정비항목!$A$3:$A$52,0)),"미등록항목"))</f>
        <v/>
      </c>
      <c r="F229" s="14"/>
      <c r="G229" s="14"/>
      <c r="H229" s="11"/>
    </row>
    <row r="230" customFormat="false" ht="15" hidden="false" customHeight="true" outlineLevel="0" collapsed="false">
      <c r="A230" s="15"/>
      <c r="B230" s="11"/>
      <c r="C230" s="18" t="str">
        <f aca="false">IF($B230="","",IFERROR(INDEX(차량목록!$B$3:$B$102,MATCH($B230,차량목록!$A$3:$A$102,0)),"미등록차량"))</f>
        <v/>
      </c>
      <c r="D230" s="11"/>
      <c r="E230" s="18" t="str">
        <f aca="false">IF($D230="","",IFERROR(INDEX(정비항목!$B$3:$B$52,MATCH($D230,정비항목!$A$3:$A$52,0)),"미등록항목"))</f>
        <v/>
      </c>
      <c r="F230" s="14"/>
      <c r="G230" s="14"/>
      <c r="H230" s="11"/>
    </row>
    <row r="231" customFormat="false" ht="15" hidden="false" customHeight="true" outlineLevel="0" collapsed="false">
      <c r="A231" s="15"/>
      <c r="B231" s="11"/>
      <c r="C231" s="18" t="str">
        <f aca="false">IF($B231="","",IFERROR(INDEX(차량목록!$B$3:$B$102,MATCH($B231,차량목록!$A$3:$A$102,0)),"미등록차량"))</f>
        <v/>
      </c>
      <c r="D231" s="11"/>
      <c r="E231" s="18" t="str">
        <f aca="false">IF($D231="","",IFERROR(INDEX(정비항목!$B$3:$B$52,MATCH($D231,정비항목!$A$3:$A$52,0)),"미등록항목"))</f>
        <v/>
      </c>
      <c r="F231" s="14"/>
      <c r="G231" s="14"/>
      <c r="H231" s="11"/>
    </row>
    <row r="232" customFormat="false" ht="15" hidden="false" customHeight="true" outlineLevel="0" collapsed="false">
      <c r="A232" s="15"/>
      <c r="B232" s="11"/>
      <c r="C232" s="18" t="str">
        <f aca="false">IF($B232="","",IFERROR(INDEX(차량목록!$B$3:$B$102,MATCH($B232,차량목록!$A$3:$A$102,0)),"미등록차량"))</f>
        <v/>
      </c>
      <c r="D232" s="11"/>
      <c r="E232" s="18" t="str">
        <f aca="false">IF($D232="","",IFERROR(INDEX(정비항목!$B$3:$B$52,MATCH($D232,정비항목!$A$3:$A$52,0)),"미등록항목"))</f>
        <v/>
      </c>
      <c r="F232" s="14"/>
      <c r="G232" s="14"/>
      <c r="H232" s="11"/>
    </row>
    <row r="233" customFormat="false" ht="15" hidden="false" customHeight="true" outlineLevel="0" collapsed="false">
      <c r="A233" s="15"/>
      <c r="B233" s="11"/>
      <c r="C233" s="18" t="str">
        <f aca="false">IF($B233="","",IFERROR(INDEX(차량목록!$B$3:$B$102,MATCH($B233,차량목록!$A$3:$A$102,0)),"미등록차량"))</f>
        <v/>
      </c>
      <c r="D233" s="11"/>
      <c r="E233" s="18" t="str">
        <f aca="false">IF($D233="","",IFERROR(INDEX(정비항목!$B$3:$B$52,MATCH($D233,정비항목!$A$3:$A$52,0)),"미등록항목"))</f>
        <v/>
      </c>
      <c r="F233" s="14"/>
      <c r="G233" s="14"/>
      <c r="H233" s="11"/>
    </row>
    <row r="234" customFormat="false" ht="15" hidden="false" customHeight="true" outlineLevel="0" collapsed="false">
      <c r="A234" s="15"/>
      <c r="B234" s="11"/>
      <c r="C234" s="18" t="str">
        <f aca="false">IF($B234="","",IFERROR(INDEX(차량목록!$B$3:$B$102,MATCH($B234,차량목록!$A$3:$A$102,0)),"미등록차량"))</f>
        <v/>
      </c>
      <c r="D234" s="11"/>
      <c r="E234" s="18" t="str">
        <f aca="false">IF($D234="","",IFERROR(INDEX(정비항목!$B$3:$B$52,MATCH($D234,정비항목!$A$3:$A$52,0)),"미등록항목"))</f>
        <v/>
      </c>
      <c r="F234" s="14"/>
      <c r="G234" s="14"/>
      <c r="H234" s="11"/>
    </row>
    <row r="235" customFormat="false" ht="15" hidden="false" customHeight="true" outlineLevel="0" collapsed="false">
      <c r="A235" s="15"/>
      <c r="B235" s="11"/>
      <c r="C235" s="18" t="str">
        <f aca="false">IF($B235="","",IFERROR(INDEX(차량목록!$B$3:$B$102,MATCH($B235,차량목록!$A$3:$A$102,0)),"미등록차량"))</f>
        <v/>
      </c>
      <c r="D235" s="11"/>
      <c r="E235" s="18" t="str">
        <f aca="false">IF($D235="","",IFERROR(INDEX(정비항목!$B$3:$B$52,MATCH($D235,정비항목!$A$3:$A$52,0)),"미등록항목"))</f>
        <v/>
      </c>
      <c r="F235" s="14"/>
      <c r="G235" s="14"/>
      <c r="H235" s="11"/>
    </row>
    <row r="236" customFormat="false" ht="15" hidden="false" customHeight="true" outlineLevel="0" collapsed="false">
      <c r="A236" s="15"/>
      <c r="B236" s="11"/>
      <c r="C236" s="18" t="str">
        <f aca="false">IF($B236="","",IFERROR(INDEX(차량목록!$B$3:$B$102,MATCH($B236,차량목록!$A$3:$A$102,0)),"미등록차량"))</f>
        <v/>
      </c>
      <c r="D236" s="11"/>
      <c r="E236" s="18" t="str">
        <f aca="false">IF($D236="","",IFERROR(INDEX(정비항목!$B$3:$B$52,MATCH($D236,정비항목!$A$3:$A$52,0)),"미등록항목"))</f>
        <v/>
      </c>
      <c r="F236" s="14"/>
      <c r="G236" s="14"/>
      <c r="H236" s="11"/>
    </row>
    <row r="237" customFormat="false" ht="15" hidden="false" customHeight="true" outlineLevel="0" collapsed="false">
      <c r="A237" s="15"/>
      <c r="B237" s="11"/>
      <c r="C237" s="18" t="str">
        <f aca="false">IF($B237="","",IFERROR(INDEX(차량목록!$B$3:$B$102,MATCH($B237,차량목록!$A$3:$A$102,0)),"미등록차량"))</f>
        <v/>
      </c>
      <c r="D237" s="11"/>
      <c r="E237" s="18" t="str">
        <f aca="false">IF($D237="","",IFERROR(INDEX(정비항목!$B$3:$B$52,MATCH($D237,정비항목!$A$3:$A$52,0)),"미등록항목"))</f>
        <v/>
      </c>
      <c r="F237" s="14"/>
      <c r="G237" s="14"/>
      <c r="H237" s="11"/>
    </row>
    <row r="238" customFormat="false" ht="15" hidden="false" customHeight="true" outlineLevel="0" collapsed="false">
      <c r="A238" s="15"/>
      <c r="B238" s="11"/>
      <c r="C238" s="18" t="str">
        <f aca="false">IF($B238="","",IFERROR(INDEX(차량목록!$B$3:$B$102,MATCH($B238,차량목록!$A$3:$A$102,0)),"미등록차량"))</f>
        <v/>
      </c>
      <c r="D238" s="11"/>
      <c r="E238" s="18" t="str">
        <f aca="false">IF($D238="","",IFERROR(INDEX(정비항목!$B$3:$B$52,MATCH($D238,정비항목!$A$3:$A$52,0)),"미등록항목"))</f>
        <v/>
      </c>
      <c r="F238" s="14"/>
      <c r="G238" s="14"/>
      <c r="H238" s="11"/>
    </row>
    <row r="239" customFormat="false" ht="15" hidden="false" customHeight="true" outlineLevel="0" collapsed="false">
      <c r="A239" s="15"/>
      <c r="B239" s="11"/>
      <c r="C239" s="18" t="str">
        <f aca="false">IF($B239="","",IFERROR(INDEX(차량목록!$B$3:$B$102,MATCH($B239,차량목록!$A$3:$A$102,0)),"미등록차량"))</f>
        <v/>
      </c>
      <c r="D239" s="11"/>
      <c r="E239" s="18" t="str">
        <f aca="false">IF($D239="","",IFERROR(INDEX(정비항목!$B$3:$B$52,MATCH($D239,정비항목!$A$3:$A$52,0)),"미등록항목"))</f>
        <v/>
      </c>
      <c r="F239" s="14"/>
      <c r="G239" s="14"/>
      <c r="H239" s="11"/>
    </row>
    <row r="240" customFormat="false" ht="15" hidden="false" customHeight="true" outlineLevel="0" collapsed="false">
      <c r="A240" s="15"/>
      <c r="B240" s="11"/>
      <c r="C240" s="18" t="str">
        <f aca="false">IF($B240="","",IFERROR(INDEX(차량목록!$B$3:$B$102,MATCH($B240,차량목록!$A$3:$A$102,0)),"미등록차량"))</f>
        <v/>
      </c>
      <c r="D240" s="11"/>
      <c r="E240" s="18" t="str">
        <f aca="false">IF($D240="","",IFERROR(INDEX(정비항목!$B$3:$B$52,MATCH($D240,정비항목!$A$3:$A$52,0)),"미등록항목"))</f>
        <v/>
      </c>
      <c r="F240" s="14"/>
      <c r="G240" s="14"/>
      <c r="H240" s="11"/>
    </row>
    <row r="241" customFormat="false" ht="15" hidden="false" customHeight="true" outlineLevel="0" collapsed="false">
      <c r="A241" s="15"/>
      <c r="B241" s="11"/>
      <c r="C241" s="18" t="str">
        <f aca="false">IF($B241="","",IFERROR(INDEX(차량목록!$B$3:$B$102,MATCH($B241,차량목록!$A$3:$A$102,0)),"미등록차량"))</f>
        <v/>
      </c>
      <c r="D241" s="11"/>
      <c r="E241" s="18" t="str">
        <f aca="false">IF($D241="","",IFERROR(INDEX(정비항목!$B$3:$B$52,MATCH($D241,정비항목!$A$3:$A$52,0)),"미등록항목"))</f>
        <v/>
      </c>
      <c r="F241" s="14"/>
      <c r="G241" s="14"/>
      <c r="H241" s="11"/>
    </row>
    <row r="242" customFormat="false" ht="15" hidden="false" customHeight="true" outlineLevel="0" collapsed="false">
      <c r="A242" s="15"/>
      <c r="B242" s="11"/>
      <c r="C242" s="18" t="str">
        <f aca="false">IF($B242="","",IFERROR(INDEX(차량목록!$B$3:$B$102,MATCH($B242,차량목록!$A$3:$A$102,0)),"미등록차량"))</f>
        <v/>
      </c>
      <c r="D242" s="11"/>
      <c r="E242" s="18" t="str">
        <f aca="false">IF($D242="","",IFERROR(INDEX(정비항목!$B$3:$B$52,MATCH($D242,정비항목!$A$3:$A$52,0)),"미등록항목"))</f>
        <v/>
      </c>
      <c r="F242" s="14"/>
      <c r="G242" s="14"/>
      <c r="H242" s="11"/>
    </row>
    <row r="243" customFormat="false" ht="15" hidden="false" customHeight="true" outlineLevel="0" collapsed="false">
      <c r="A243" s="15"/>
      <c r="B243" s="11"/>
      <c r="C243" s="18" t="str">
        <f aca="false">IF($B243="","",IFERROR(INDEX(차량목록!$B$3:$B$102,MATCH($B243,차량목록!$A$3:$A$102,0)),"미등록차량"))</f>
        <v/>
      </c>
      <c r="D243" s="11"/>
      <c r="E243" s="18" t="str">
        <f aca="false">IF($D243="","",IFERROR(INDEX(정비항목!$B$3:$B$52,MATCH($D243,정비항목!$A$3:$A$52,0)),"미등록항목"))</f>
        <v/>
      </c>
      <c r="F243" s="14"/>
      <c r="G243" s="14"/>
      <c r="H243" s="11"/>
    </row>
    <row r="244" customFormat="false" ht="15" hidden="false" customHeight="true" outlineLevel="0" collapsed="false">
      <c r="A244" s="15"/>
      <c r="B244" s="11"/>
      <c r="C244" s="18" t="str">
        <f aca="false">IF($B244="","",IFERROR(INDEX(차량목록!$B$3:$B$102,MATCH($B244,차량목록!$A$3:$A$102,0)),"미등록차량"))</f>
        <v/>
      </c>
      <c r="D244" s="11"/>
      <c r="E244" s="18" t="str">
        <f aca="false">IF($D244="","",IFERROR(INDEX(정비항목!$B$3:$B$52,MATCH($D244,정비항목!$A$3:$A$52,0)),"미등록항목"))</f>
        <v/>
      </c>
      <c r="F244" s="14"/>
      <c r="G244" s="14"/>
      <c r="H244" s="11"/>
    </row>
    <row r="245" customFormat="false" ht="15" hidden="false" customHeight="true" outlineLevel="0" collapsed="false">
      <c r="A245" s="15"/>
      <c r="B245" s="11"/>
      <c r="C245" s="18" t="str">
        <f aca="false">IF($B245="","",IFERROR(INDEX(차량목록!$B$3:$B$102,MATCH($B245,차량목록!$A$3:$A$102,0)),"미등록차량"))</f>
        <v/>
      </c>
      <c r="D245" s="11"/>
      <c r="E245" s="18" t="str">
        <f aca="false">IF($D245="","",IFERROR(INDEX(정비항목!$B$3:$B$52,MATCH($D245,정비항목!$A$3:$A$52,0)),"미등록항목"))</f>
        <v/>
      </c>
      <c r="F245" s="14"/>
      <c r="G245" s="14"/>
      <c r="H245" s="11"/>
    </row>
    <row r="246" customFormat="false" ht="15" hidden="false" customHeight="true" outlineLevel="0" collapsed="false">
      <c r="A246" s="15"/>
      <c r="B246" s="11"/>
      <c r="C246" s="18" t="str">
        <f aca="false">IF($B246="","",IFERROR(INDEX(차량목록!$B$3:$B$102,MATCH($B246,차량목록!$A$3:$A$102,0)),"미등록차량"))</f>
        <v/>
      </c>
      <c r="D246" s="11"/>
      <c r="E246" s="18" t="str">
        <f aca="false">IF($D246="","",IFERROR(INDEX(정비항목!$B$3:$B$52,MATCH($D246,정비항목!$A$3:$A$52,0)),"미등록항목"))</f>
        <v/>
      </c>
      <c r="F246" s="14"/>
      <c r="G246" s="14"/>
      <c r="H246" s="11"/>
    </row>
    <row r="247" customFormat="false" ht="15" hidden="false" customHeight="true" outlineLevel="0" collapsed="false">
      <c r="A247" s="15"/>
      <c r="B247" s="11"/>
      <c r="C247" s="18" t="str">
        <f aca="false">IF($B247="","",IFERROR(INDEX(차량목록!$B$3:$B$102,MATCH($B247,차량목록!$A$3:$A$102,0)),"미등록차량"))</f>
        <v/>
      </c>
      <c r="D247" s="11"/>
      <c r="E247" s="18" t="str">
        <f aca="false">IF($D247="","",IFERROR(INDEX(정비항목!$B$3:$B$52,MATCH($D247,정비항목!$A$3:$A$52,0)),"미등록항목"))</f>
        <v/>
      </c>
      <c r="F247" s="14"/>
      <c r="G247" s="14"/>
      <c r="H247" s="11"/>
    </row>
    <row r="248" customFormat="false" ht="15" hidden="false" customHeight="true" outlineLevel="0" collapsed="false">
      <c r="A248" s="15"/>
      <c r="B248" s="11"/>
      <c r="C248" s="18" t="str">
        <f aca="false">IF($B248="","",IFERROR(INDEX(차량목록!$B$3:$B$102,MATCH($B248,차량목록!$A$3:$A$102,0)),"미등록차량"))</f>
        <v/>
      </c>
      <c r="D248" s="11"/>
      <c r="E248" s="18" t="str">
        <f aca="false">IF($D248="","",IFERROR(INDEX(정비항목!$B$3:$B$52,MATCH($D248,정비항목!$A$3:$A$52,0)),"미등록항목"))</f>
        <v/>
      </c>
      <c r="F248" s="14"/>
      <c r="G248" s="14"/>
      <c r="H248" s="11"/>
    </row>
    <row r="249" customFormat="false" ht="15" hidden="false" customHeight="true" outlineLevel="0" collapsed="false">
      <c r="A249" s="15"/>
      <c r="B249" s="11"/>
      <c r="C249" s="18" t="str">
        <f aca="false">IF($B249="","",IFERROR(INDEX(차량목록!$B$3:$B$102,MATCH($B249,차량목록!$A$3:$A$102,0)),"미등록차량"))</f>
        <v/>
      </c>
      <c r="D249" s="11"/>
      <c r="E249" s="18" t="str">
        <f aca="false">IF($D249="","",IFERROR(INDEX(정비항목!$B$3:$B$52,MATCH($D249,정비항목!$A$3:$A$52,0)),"미등록항목"))</f>
        <v/>
      </c>
      <c r="F249" s="14"/>
      <c r="G249" s="14"/>
      <c r="H249" s="11"/>
    </row>
    <row r="250" customFormat="false" ht="15" hidden="false" customHeight="true" outlineLevel="0" collapsed="false">
      <c r="A250" s="15"/>
      <c r="B250" s="11"/>
      <c r="C250" s="18" t="str">
        <f aca="false">IF($B250="","",IFERROR(INDEX(차량목록!$B$3:$B$102,MATCH($B250,차량목록!$A$3:$A$102,0)),"미등록차량"))</f>
        <v/>
      </c>
      <c r="D250" s="11"/>
      <c r="E250" s="18" t="str">
        <f aca="false">IF($D250="","",IFERROR(INDEX(정비항목!$B$3:$B$52,MATCH($D250,정비항목!$A$3:$A$52,0)),"미등록항목"))</f>
        <v/>
      </c>
      <c r="F250" s="14"/>
      <c r="G250" s="14"/>
      <c r="H250" s="11"/>
    </row>
    <row r="251" customFormat="false" ht="15" hidden="false" customHeight="true" outlineLevel="0" collapsed="false">
      <c r="A251" s="15"/>
      <c r="B251" s="11"/>
      <c r="C251" s="18" t="str">
        <f aca="false">IF($B251="","",IFERROR(INDEX(차량목록!$B$3:$B$102,MATCH($B251,차량목록!$A$3:$A$102,0)),"미등록차량"))</f>
        <v/>
      </c>
      <c r="D251" s="11"/>
      <c r="E251" s="18" t="str">
        <f aca="false">IF($D251="","",IFERROR(INDEX(정비항목!$B$3:$B$52,MATCH($D251,정비항목!$A$3:$A$52,0)),"미등록항목"))</f>
        <v/>
      </c>
      <c r="F251" s="14"/>
      <c r="G251" s="14"/>
      <c r="H251" s="11"/>
    </row>
    <row r="252" customFormat="false" ht="15" hidden="false" customHeight="true" outlineLevel="0" collapsed="false">
      <c r="A252" s="15"/>
      <c r="B252" s="11"/>
      <c r="C252" s="18" t="str">
        <f aca="false">IF($B252="","",IFERROR(INDEX(차량목록!$B$3:$B$102,MATCH($B252,차량목록!$A$3:$A$102,0)),"미등록차량"))</f>
        <v/>
      </c>
      <c r="D252" s="11"/>
      <c r="E252" s="18" t="str">
        <f aca="false">IF($D252="","",IFERROR(INDEX(정비항목!$B$3:$B$52,MATCH($D252,정비항목!$A$3:$A$52,0)),"미등록항목"))</f>
        <v/>
      </c>
      <c r="F252" s="14"/>
      <c r="G252" s="14"/>
      <c r="H252" s="11"/>
    </row>
    <row r="253" customFormat="false" ht="15" hidden="false" customHeight="true" outlineLevel="0" collapsed="false">
      <c r="A253" s="15"/>
      <c r="B253" s="11"/>
      <c r="C253" s="18" t="str">
        <f aca="false">IF($B253="","",IFERROR(INDEX(차량목록!$B$3:$B$102,MATCH($B253,차량목록!$A$3:$A$102,0)),"미등록차량"))</f>
        <v/>
      </c>
      <c r="D253" s="11"/>
      <c r="E253" s="18" t="str">
        <f aca="false">IF($D253="","",IFERROR(INDEX(정비항목!$B$3:$B$52,MATCH($D253,정비항목!$A$3:$A$52,0)),"미등록항목"))</f>
        <v/>
      </c>
      <c r="F253" s="14"/>
      <c r="G253" s="14"/>
      <c r="H253" s="11"/>
    </row>
    <row r="254" customFormat="false" ht="15" hidden="false" customHeight="true" outlineLevel="0" collapsed="false">
      <c r="A254" s="15"/>
      <c r="B254" s="11"/>
      <c r="C254" s="18" t="str">
        <f aca="false">IF($B254="","",IFERROR(INDEX(차량목록!$B$3:$B$102,MATCH($B254,차량목록!$A$3:$A$102,0)),"미등록차량"))</f>
        <v/>
      </c>
      <c r="D254" s="11"/>
      <c r="E254" s="18" t="str">
        <f aca="false">IF($D254="","",IFERROR(INDEX(정비항목!$B$3:$B$52,MATCH($D254,정비항목!$A$3:$A$52,0)),"미등록항목"))</f>
        <v/>
      </c>
      <c r="F254" s="14"/>
      <c r="G254" s="14"/>
      <c r="H254" s="11"/>
    </row>
    <row r="255" customFormat="false" ht="15" hidden="false" customHeight="true" outlineLevel="0" collapsed="false">
      <c r="A255" s="15"/>
      <c r="B255" s="11"/>
      <c r="C255" s="18" t="str">
        <f aca="false">IF($B255="","",IFERROR(INDEX(차량목록!$B$3:$B$102,MATCH($B255,차량목록!$A$3:$A$102,0)),"미등록차량"))</f>
        <v/>
      </c>
      <c r="D255" s="11"/>
      <c r="E255" s="18" t="str">
        <f aca="false">IF($D255="","",IFERROR(INDEX(정비항목!$B$3:$B$52,MATCH($D255,정비항목!$A$3:$A$52,0)),"미등록항목"))</f>
        <v/>
      </c>
      <c r="F255" s="14"/>
      <c r="G255" s="14"/>
      <c r="H255" s="11"/>
    </row>
    <row r="256" customFormat="false" ht="15" hidden="false" customHeight="true" outlineLevel="0" collapsed="false">
      <c r="A256" s="15"/>
      <c r="B256" s="11"/>
      <c r="C256" s="18" t="str">
        <f aca="false">IF($B256="","",IFERROR(INDEX(차량목록!$B$3:$B$102,MATCH($B256,차량목록!$A$3:$A$102,0)),"미등록차량"))</f>
        <v/>
      </c>
      <c r="D256" s="11"/>
      <c r="E256" s="18" t="str">
        <f aca="false">IF($D256="","",IFERROR(INDEX(정비항목!$B$3:$B$52,MATCH($D256,정비항목!$A$3:$A$52,0)),"미등록항목"))</f>
        <v/>
      </c>
      <c r="F256" s="14"/>
      <c r="G256" s="14"/>
      <c r="H256" s="11"/>
    </row>
    <row r="257" customFormat="false" ht="15" hidden="false" customHeight="true" outlineLevel="0" collapsed="false">
      <c r="A257" s="15"/>
      <c r="B257" s="11"/>
      <c r="C257" s="18" t="str">
        <f aca="false">IF($B257="","",IFERROR(INDEX(차량목록!$B$3:$B$102,MATCH($B257,차량목록!$A$3:$A$102,0)),"미등록차량"))</f>
        <v/>
      </c>
      <c r="D257" s="11"/>
      <c r="E257" s="18" t="str">
        <f aca="false">IF($D257="","",IFERROR(INDEX(정비항목!$B$3:$B$52,MATCH($D257,정비항목!$A$3:$A$52,0)),"미등록항목"))</f>
        <v/>
      </c>
      <c r="F257" s="14"/>
      <c r="G257" s="14"/>
      <c r="H257" s="11"/>
    </row>
    <row r="258" customFormat="false" ht="15" hidden="false" customHeight="true" outlineLevel="0" collapsed="false">
      <c r="A258" s="15"/>
      <c r="B258" s="11"/>
      <c r="C258" s="18" t="str">
        <f aca="false">IF($B258="","",IFERROR(INDEX(차량목록!$B$3:$B$102,MATCH($B258,차량목록!$A$3:$A$102,0)),"미등록차량"))</f>
        <v/>
      </c>
      <c r="D258" s="11"/>
      <c r="E258" s="18" t="str">
        <f aca="false">IF($D258="","",IFERROR(INDEX(정비항목!$B$3:$B$52,MATCH($D258,정비항목!$A$3:$A$52,0)),"미등록항목"))</f>
        <v/>
      </c>
      <c r="F258" s="14"/>
      <c r="G258" s="14"/>
      <c r="H258" s="11"/>
    </row>
    <row r="259" customFormat="false" ht="15" hidden="false" customHeight="true" outlineLevel="0" collapsed="false">
      <c r="A259" s="15"/>
      <c r="B259" s="11"/>
      <c r="C259" s="18" t="str">
        <f aca="false">IF($B259="","",IFERROR(INDEX(차량목록!$B$3:$B$102,MATCH($B259,차량목록!$A$3:$A$102,0)),"미등록차량"))</f>
        <v/>
      </c>
      <c r="D259" s="11"/>
      <c r="E259" s="18" t="str">
        <f aca="false">IF($D259="","",IFERROR(INDEX(정비항목!$B$3:$B$52,MATCH($D259,정비항목!$A$3:$A$52,0)),"미등록항목"))</f>
        <v/>
      </c>
      <c r="F259" s="14"/>
      <c r="G259" s="14"/>
      <c r="H259" s="11"/>
    </row>
    <row r="260" customFormat="false" ht="15" hidden="false" customHeight="true" outlineLevel="0" collapsed="false">
      <c r="A260" s="15"/>
      <c r="B260" s="11"/>
      <c r="C260" s="18" t="str">
        <f aca="false">IF($B260="","",IFERROR(INDEX(차량목록!$B$3:$B$102,MATCH($B260,차량목록!$A$3:$A$102,0)),"미등록차량"))</f>
        <v/>
      </c>
      <c r="D260" s="11"/>
      <c r="E260" s="18" t="str">
        <f aca="false">IF($D260="","",IFERROR(INDEX(정비항목!$B$3:$B$52,MATCH($D260,정비항목!$A$3:$A$52,0)),"미등록항목"))</f>
        <v/>
      </c>
      <c r="F260" s="14"/>
      <c r="G260" s="14"/>
      <c r="H260" s="11"/>
    </row>
    <row r="261" customFormat="false" ht="15" hidden="false" customHeight="true" outlineLevel="0" collapsed="false">
      <c r="A261" s="15"/>
      <c r="B261" s="11"/>
      <c r="C261" s="18" t="str">
        <f aca="false">IF($B261="","",IFERROR(INDEX(차량목록!$B$3:$B$102,MATCH($B261,차량목록!$A$3:$A$102,0)),"미등록차량"))</f>
        <v/>
      </c>
      <c r="D261" s="11"/>
      <c r="E261" s="18" t="str">
        <f aca="false">IF($D261="","",IFERROR(INDEX(정비항목!$B$3:$B$52,MATCH($D261,정비항목!$A$3:$A$52,0)),"미등록항목"))</f>
        <v/>
      </c>
      <c r="F261" s="14"/>
      <c r="G261" s="14"/>
      <c r="H261" s="11"/>
    </row>
    <row r="262" customFormat="false" ht="15" hidden="false" customHeight="true" outlineLevel="0" collapsed="false">
      <c r="A262" s="15"/>
      <c r="B262" s="11"/>
      <c r="C262" s="18" t="str">
        <f aca="false">IF($B262="","",IFERROR(INDEX(차량목록!$B$3:$B$102,MATCH($B262,차량목록!$A$3:$A$102,0)),"미등록차량"))</f>
        <v/>
      </c>
      <c r="D262" s="11"/>
      <c r="E262" s="18" t="str">
        <f aca="false">IF($D262="","",IFERROR(INDEX(정비항목!$B$3:$B$52,MATCH($D262,정비항목!$A$3:$A$52,0)),"미등록항목"))</f>
        <v/>
      </c>
      <c r="F262" s="14"/>
      <c r="G262" s="14"/>
      <c r="H262" s="11"/>
    </row>
    <row r="263" customFormat="false" ht="15" hidden="false" customHeight="true" outlineLevel="0" collapsed="false">
      <c r="A263" s="15"/>
      <c r="B263" s="11"/>
      <c r="C263" s="18" t="str">
        <f aca="false">IF($B263="","",IFERROR(INDEX(차량목록!$B$3:$B$102,MATCH($B263,차량목록!$A$3:$A$102,0)),"미등록차량"))</f>
        <v/>
      </c>
      <c r="D263" s="11"/>
      <c r="E263" s="18" t="str">
        <f aca="false">IF($D263="","",IFERROR(INDEX(정비항목!$B$3:$B$52,MATCH($D263,정비항목!$A$3:$A$52,0)),"미등록항목"))</f>
        <v/>
      </c>
      <c r="F263" s="14"/>
      <c r="G263" s="14"/>
      <c r="H263" s="11"/>
    </row>
    <row r="264" customFormat="false" ht="15" hidden="false" customHeight="true" outlineLevel="0" collapsed="false">
      <c r="A264" s="15"/>
      <c r="B264" s="11"/>
      <c r="C264" s="18" t="str">
        <f aca="false">IF($B264="","",IFERROR(INDEX(차량목록!$B$3:$B$102,MATCH($B264,차량목록!$A$3:$A$102,0)),"미등록차량"))</f>
        <v/>
      </c>
      <c r="D264" s="11"/>
      <c r="E264" s="18" t="str">
        <f aca="false">IF($D264="","",IFERROR(INDEX(정비항목!$B$3:$B$52,MATCH($D264,정비항목!$A$3:$A$52,0)),"미등록항목"))</f>
        <v/>
      </c>
      <c r="F264" s="14"/>
      <c r="G264" s="14"/>
      <c r="H264" s="11"/>
    </row>
    <row r="265" customFormat="false" ht="15" hidden="false" customHeight="true" outlineLevel="0" collapsed="false">
      <c r="A265" s="15"/>
      <c r="B265" s="11"/>
      <c r="C265" s="18" t="str">
        <f aca="false">IF($B265="","",IFERROR(INDEX(차량목록!$B$3:$B$102,MATCH($B265,차량목록!$A$3:$A$102,0)),"미등록차량"))</f>
        <v/>
      </c>
      <c r="D265" s="11"/>
      <c r="E265" s="18" t="str">
        <f aca="false">IF($D265="","",IFERROR(INDEX(정비항목!$B$3:$B$52,MATCH($D265,정비항목!$A$3:$A$52,0)),"미등록항목"))</f>
        <v/>
      </c>
      <c r="F265" s="14"/>
      <c r="G265" s="14"/>
      <c r="H265" s="11"/>
    </row>
    <row r="266" customFormat="false" ht="15" hidden="false" customHeight="true" outlineLevel="0" collapsed="false">
      <c r="A266" s="15"/>
      <c r="B266" s="11"/>
      <c r="C266" s="18" t="str">
        <f aca="false">IF($B266="","",IFERROR(INDEX(차량목록!$B$3:$B$102,MATCH($B266,차량목록!$A$3:$A$102,0)),"미등록차량"))</f>
        <v/>
      </c>
      <c r="D266" s="11"/>
      <c r="E266" s="18" t="str">
        <f aca="false">IF($D266="","",IFERROR(INDEX(정비항목!$B$3:$B$52,MATCH($D266,정비항목!$A$3:$A$52,0)),"미등록항목"))</f>
        <v/>
      </c>
      <c r="F266" s="14"/>
      <c r="G266" s="14"/>
      <c r="H266" s="11"/>
    </row>
    <row r="267" customFormat="false" ht="15" hidden="false" customHeight="true" outlineLevel="0" collapsed="false">
      <c r="A267" s="15"/>
      <c r="B267" s="11"/>
      <c r="C267" s="18" t="str">
        <f aca="false">IF($B267="","",IFERROR(INDEX(차량목록!$B$3:$B$102,MATCH($B267,차량목록!$A$3:$A$102,0)),"미등록차량"))</f>
        <v/>
      </c>
      <c r="D267" s="11"/>
      <c r="E267" s="18" t="str">
        <f aca="false">IF($D267="","",IFERROR(INDEX(정비항목!$B$3:$B$52,MATCH($D267,정비항목!$A$3:$A$52,0)),"미등록항목"))</f>
        <v/>
      </c>
      <c r="F267" s="14"/>
      <c r="G267" s="14"/>
      <c r="H267" s="11"/>
    </row>
    <row r="268" customFormat="false" ht="15" hidden="false" customHeight="true" outlineLevel="0" collapsed="false">
      <c r="A268" s="15"/>
      <c r="B268" s="11"/>
      <c r="C268" s="18" t="str">
        <f aca="false">IF($B268="","",IFERROR(INDEX(차량목록!$B$3:$B$102,MATCH($B268,차량목록!$A$3:$A$102,0)),"미등록차량"))</f>
        <v/>
      </c>
      <c r="D268" s="11"/>
      <c r="E268" s="18" t="str">
        <f aca="false">IF($D268="","",IFERROR(INDEX(정비항목!$B$3:$B$52,MATCH($D268,정비항목!$A$3:$A$52,0)),"미등록항목"))</f>
        <v/>
      </c>
      <c r="F268" s="14"/>
      <c r="G268" s="14"/>
      <c r="H268" s="11"/>
    </row>
    <row r="269" customFormat="false" ht="15" hidden="false" customHeight="true" outlineLevel="0" collapsed="false">
      <c r="A269" s="15"/>
      <c r="B269" s="11"/>
      <c r="C269" s="18" t="str">
        <f aca="false">IF($B269="","",IFERROR(INDEX(차량목록!$B$3:$B$102,MATCH($B269,차량목록!$A$3:$A$102,0)),"미등록차량"))</f>
        <v/>
      </c>
      <c r="D269" s="11"/>
      <c r="E269" s="18" t="str">
        <f aca="false">IF($D269="","",IFERROR(INDEX(정비항목!$B$3:$B$52,MATCH($D269,정비항목!$A$3:$A$52,0)),"미등록항목"))</f>
        <v/>
      </c>
      <c r="F269" s="14"/>
      <c r="G269" s="14"/>
      <c r="H269" s="11"/>
    </row>
    <row r="270" customFormat="false" ht="15" hidden="false" customHeight="true" outlineLevel="0" collapsed="false">
      <c r="A270" s="15"/>
      <c r="B270" s="11"/>
      <c r="C270" s="18" t="str">
        <f aca="false">IF($B270="","",IFERROR(INDEX(차량목록!$B$3:$B$102,MATCH($B270,차량목록!$A$3:$A$102,0)),"미등록차량"))</f>
        <v/>
      </c>
      <c r="D270" s="11"/>
      <c r="E270" s="18" t="str">
        <f aca="false">IF($D270="","",IFERROR(INDEX(정비항목!$B$3:$B$52,MATCH($D270,정비항목!$A$3:$A$52,0)),"미등록항목"))</f>
        <v/>
      </c>
      <c r="F270" s="14"/>
      <c r="G270" s="14"/>
      <c r="H270" s="11"/>
    </row>
    <row r="271" customFormat="false" ht="15" hidden="false" customHeight="true" outlineLevel="0" collapsed="false">
      <c r="A271" s="15"/>
      <c r="B271" s="11"/>
      <c r="C271" s="18" t="str">
        <f aca="false">IF($B271="","",IFERROR(INDEX(차량목록!$B$3:$B$102,MATCH($B271,차량목록!$A$3:$A$102,0)),"미등록차량"))</f>
        <v/>
      </c>
      <c r="D271" s="11"/>
      <c r="E271" s="18" t="str">
        <f aca="false">IF($D271="","",IFERROR(INDEX(정비항목!$B$3:$B$52,MATCH($D271,정비항목!$A$3:$A$52,0)),"미등록항목"))</f>
        <v/>
      </c>
      <c r="F271" s="14"/>
      <c r="G271" s="14"/>
      <c r="H271" s="11"/>
    </row>
    <row r="272" customFormat="false" ht="15" hidden="false" customHeight="true" outlineLevel="0" collapsed="false">
      <c r="A272" s="15"/>
      <c r="B272" s="11"/>
      <c r="C272" s="18" t="str">
        <f aca="false">IF($B272="","",IFERROR(INDEX(차량목록!$B$3:$B$102,MATCH($B272,차량목록!$A$3:$A$102,0)),"미등록차량"))</f>
        <v/>
      </c>
      <c r="D272" s="11"/>
      <c r="E272" s="18" t="str">
        <f aca="false">IF($D272="","",IFERROR(INDEX(정비항목!$B$3:$B$52,MATCH($D272,정비항목!$A$3:$A$52,0)),"미등록항목"))</f>
        <v/>
      </c>
      <c r="F272" s="14"/>
      <c r="G272" s="14"/>
      <c r="H272" s="11"/>
    </row>
    <row r="273" customFormat="false" ht="15" hidden="false" customHeight="true" outlineLevel="0" collapsed="false">
      <c r="A273" s="15"/>
      <c r="B273" s="11"/>
      <c r="C273" s="18" t="str">
        <f aca="false">IF($B273="","",IFERROR(INDEX(차량목록!$B$3:$B$102,MATCH($B273,차량목록!$A$3:$A$102,0)),"미등록차량"))</f>
        <v/>
      </c>
      <c r="D273" s="11"/>
      <c r="E273" s="18" t="str">
        <f aca="false">IF($D273="","",IFERROR(INDEX(정비항목!$B$3:$B$52,MATCH($D273,정비항목!$A$3:$A$52,0)),"미등록항목"))</f>
        <v/>
      </c>
      <c r="F273" s="14"/>
      <c r="G273" s="14"/>
      <c r="H273" s="11"/>
    </row>
    <row r="274" customFormat="false" ht="15" hidden="false" customHeight="true" outlineLevel="0" collapsed="false">
      <c r="A274" s="15"/>
      <c r="B274" s="11"/>
      <c r="C274" s="18" t="str">
        <f aca="false">IF($B274="","",IFERROR(INDEX(차량목록!$B$3:$B$102,MATCH($B274,차량목록!$A$3:$A$102,0)),"미등록차량"))</f>
        <v/>
      </c>
      <c r="D274" s="11"/>
      <c r="E274" s="18" t="str">
        <f aca="false">IF($D274="","",IFERROR(INDEX(정비항목!$B$3:$B$52,MATCH($D274,정비항목!$A$3:$A$52,0)),"미등록항목"))</f>
        <v/>
      </c>
      <c r="F274" s="14"/>
      <c r="G274" s="14"/>
      <c r="H274" s="11"/>
    </row>
    <row r="275" customFormat="false" ht="15" hidden="false" customHeight="true" outlineLevel="0" collapsed="false">
      <c r="A275" s="15"/>
      <c r="B275" s="11"/>
      <c r="C275" s="18" t="str">
        <f aca="false">IF($B275="","",IFERROR(INDEX(차량목록!$B$3:$B$102,MATCH($B275,차량목록!$A$3:$A$102,0)),"미등록차량"))</f>
        <v/>
      </c>
      <c r="D275" s="11"/>
      <c r="E275" s="18" t="str">
        <f aca="false">IF($D275="","",IFERROR(INDEX(정비항목!$B$3:$B$52,MATCH($D275,정비항목!$A$3:$A$52,0)),"미등록항목"))</f>
        <v/>
      </c>
      <c r="F275" s="14"/>
      <c r="G275" s="14"/>
      <c r="H275" s="11"/>
    </row>
    <row r="276" customFormat="false" ht="15" hidden="false" customHeight="true" outlineLevel="0" collapsed="false">
      <c r="A276" s="15"/>
      <c r="B276" s="11"/>
      <c r="C276" s="18" t="str">
        <f aca="false">IF($B276="","",IFERROR(INDEX(차량목록!$B$3:$B$102,MATCH($B276,차량목록!$A$3:$A$102,0)),"미등록차량"))</f>
        <v/>
      </c>
      <c r="D276" s="11"/>
      <c r="E276" s="18" t="str">
        <f aca="false">IF($D276="","",IFERROR(INDEX(정비항목!$B$3:$B$52,MATCH($D276,정비항목!$A$3:$A$52,0)),"미등록항목"))</f>
        <v/>
      </c>
      <c r="F276" s="14"/>
      <c r="G276" s="14"/>
      <c r="H276" s="11"/>
    </row>
    <row r="277" customFormat="false" ht="15" hidden="false" customHeight="true" outlineLevel="0" collapsed="false">
      <c r="A277" s="15"/>
      <c r="B277" s="11"/>
      <c r="C277" s="18" t="str">
        <f aca="false">IF($B277="","",IFERROR(INDEX(차량목록!$B$3:$B$102,MATCH($B277,차량목록!$A$3:$A$102,0)),"미등록차량"))</f>
        <v/>
      </c>
      <c r="D277" s="11"/>
      <c r="E277" s="18" t="str">
        <f aca="false">IF($D277="","",IFERROR(INDEX(정비항목!$B$3:$B$52,MATCH($D277,정비항목!$A$3:$A$52,0)),"미등록항목"))</f>
        <v/>
      </c>
      <c r="F277" s="14"/>
      <c r="G277" s="14"/>
      <c r="H277" s="11"/>
    </row>
    <row r="278" customFormat="false" ht="15" hidden="false" customHeight="true" outlineLevel="0" collapsed="false">
      <c r="A278" s="15"/>
      <c r="B278" s="11"/>
      <c r="C278" s="18" t="str">
        <f aca="false">IF($B278="","",IFERROR(INDEX(차량목록!$B$3:$B$102,MATCH($B278,차량목록!$A$3:$A$102,0)),"미등록차량"))</f>
        <v/>
      </c>
      <c r="D278" s="11"/>
      <c r="E278" s="18" t="str">
        <f aca="false">IF($D278="","",IFERROR(INDEX(정비항목!$B$3:$B$52,MATCH($D278,정비항목!$A$3:$A$52,0)),"미등록항목"))</f>
        <v/>
      </c>
      <c r="F278" s="14"/>
      <c r="G278" s="14"/>
      <c r="H278" s="11"/>
    </row>
    <row r="279" customFormat="false" ht="15" hidden="false" customHeight="true" outlineLevel="0" collapsed="false">
      <c r="A279" s="15"/>
      <c r="B279" s="11"/>
      <c r="C279" s="18" t="str">
        <f aca="false">IF($B279="","",IFERROR(INDEX(차량목록!$B$3:$B$102,MATCH($B279,차량목록!$A$3:$A$102,0)),"미등록차량"))</f>
        <v/>
      </c>
      <c r="D279" s="11"/>
      <c r="E279" s="18" t="str">
        <f aca="false">IF($D279="","",IFERROR(INDEX(정비항목!$B$3:$B$52,MATCH($D279,정비항목!$A$3:$A$52,0)),"미등록항목"))</f>
        <v/>
      </c>
      <c r="F279" s="14"/>
      <c r="G279" s="14"/>
      <c r="H279" s="11"/>
    </row>
    <row r="280" customFormat="false" ht="15" hidden="false" customHeight="true" outlineLevel="0" collapsed="false">
      <c r="A280" s="15"/>
      <c r="B280" s="11"/>
      <c r="C280" s="18" t="str">
        <f aca="false">IF($B280="","",IFERROR(INDEX(차량목록!$B$3:$B$102,MATCH($B280,차량목록!$A$3:$A$102,0)),"미등록차량"))</f>
        <v/>
      </c>
      <c r="D280" s="11"/>
      <c r="E280" s="18" t="str">
        <f aca="false">IF($D280="","",IFERROR(INDEX(정비항목!$B$3:$B$52,MATCH($D280,정비항목!$A$3:$A$52,0)),"미등록항목"))</f>
        <v/>
      </c>
      <c r="F280" s="14"/>
      <c r="G280" s="14"/>
      <c r="H280" s="11"/>
    </row>
    <row r="281" customFormat="false" ht="15" hidden="false" customHeight="true" outlineLevel="0" collapsed="false">
      <c r="A281" s="15"/>
      <c r="B281" s="11"/>
      <c r="C281" s="18" t="str">
        <f aca="false">IF($B281="","",IFERROR(INDEX(차량목록!$B$3:$B$102,MATCH($B281,차량목록!$A$3:$A$102,0)),"미등록차량"))</f>
        <v/>
      </c>
      <c r="D281" s="11"/>
      <c r="E281" s="18" t="str">
        <f aca="false">IF($D281="","",IFERROR(INDEX(정비항목!$B$3:$B$52,MATCH($D281,정비항목!$A$3:$A$52,0)),"미등록항목"))</f>
        <v/>
      </c>
      <c r="F281" s="14"/>
      <c r="G281" s="14"/>
      <c r="H281" s="11"/>
    </row>
    <row r="282" customFormat="false" ht="15" hidden="false" customHeight="true" outlineLevel="0" collapsed="false">
      <c r="A282" s="15"/>
      <c r="B282" s="11"/>
      <c r="C282" s="18" t="str">
        <f aca="false">IF($B282="","",IFERROR(INDEX(차량목록!$B$3:$B$102,MATCH($B282,차량목록!$A$3:$A$102,0)),"미등록차량"))</f>
        <v/>
      </c>
      <c r="D282" s="11"/>
      <c r="E282" s="18" t="str">
        <f aca="false">IF($D282="","",IFERROR(INDEX(정비항목!$B$3:$B$52,MATCH($D282,정비항목!$A$3:$A$52,0)),"미등록항목"))</f>
        <v/>
      </c>
      <c r="F282" s="14"/>
      <c r="G282" s="14"/>
      <c r="H282" s="11"/>
    </row>
    <row r="283" customFormat="false" ht="15" hidden="false" customHeight="true" outlineLevel="0" collapsed="false">
      <c r="A283" s="15"/>
      <c r="B283" s="11"/>
      <c r="C283" s="18" t="str">
        <f aca="false">IF($B283="","",IFERROR(INDEX(차량목록!$B$3:$B$102,MATCH($B283,차량목록!$A$3:$A$102,0)),"미등록차량"))</f>
        <v/>
      </c>
      <c r="D283" s="11"/>
      <c r="E283" s="18" t="str">
        <f aca="false">IF($D283="","",IFERROR(INDEX(정비항목!$B$3:$B$52,MATCH($D283,정비항목!$A$3:$A$52,0)),"미등록항목"))</f>
        <v/>
      </c>
      <c r="F283" s="14"/>
      <c r="G283" s="14"/>
      <c r="H283" s="11"/>
    </row>
    <row r="284" customFormat="false" ht="15" hidden="false" customHeight="true" outlineLevel="0" collapsed="false">
      <c r="A284" s="15"/>
      <c r="B284" s="11"/>
      <c r="C284" s="18" t="str">
        <f aca="false">IF($B284="","",IFERROR(INDEX(차량목록!$B$3:$B$102,MATCH($B284,차량목록!$A$3:$A$102,0)),"미등록차량"))</f>
        <v/>
      </c>
      <c r="D284" s="11"/>
      <c r="E284" s="18" t="str">
        <f aca="false">IF($D284="","",IFERROR(INDEX(정비항목!$B$3:$B$52,MATCH($D284,정비항목!$A$3:$A$52,0)),"미등록항목"))</f>
        <v/>
      </c>
      <c r="F284" s="14"/>
      <c r="G284" s="14"/>
      <c r="H284" s="11"/>
    </row>
    <row r="285" customFormat="false" ht="15" hidden="false" customHeight="true" outlineLevel="0" collapsed="false">
      <c r="A285" s="15"/>
      <c r="B285" s="11"/>
      <c r="C285" s="18" t="str">
        <f aca="false">IF($B285="","",IFERROR(INDEX(차량목록!$B$3:$B$102,MATCH($B285,차량목록!$A$3:$A$102,0)),"미등록차량"))</f>
        <v/>
      </c>
      <c r="D285" s="11"/>
      <c r="E285" s="18" t="str">
        <f aca="false">IF($D285="","",IFERROR(INDEX(정비항목!$B$3:$B$52,MATCH($D285,정비항목!$A$3:$A$52,0)),"미등록항목"))</f>
        <v/>
      </c>
      <c r="F285" s="14"/>
      <c r="G285" s="14"/>
      <c r="H285" s="11"/>
    </row>
    <row r="286" customFormat="false" ht="15" hidden="false" customHeight="true" outlineLevel="0" collapsed="false">
      <c r="A286" s="15"/>
      <c r="B286" s="11"/>
      <c r="C286" s="18" t="str">
        <f aca="false">IF($B286="","",IFERROR(INDEX(차량목록!$B$3:$B$102,MATCH($B286,차량목록!$A$3:$A$102,0)),"미등록차량"))</f>
        <v/>
      </c>
      <c r="D286" s="11"/>
      <c r="E286" s="18" t="str">
        <f aca="false">IF($D286="","",IFERROR(INDEX(정비항목!$B$3:$B$52,MATCH($D286,정비항목!$A$3:$A$52,0)),"미등록항목"))</f>
        <v/>
      </c>
      <c r="F286" s="14"/>
      <c r="G286" s="14"/>
      <c r="H286" s="11"/>
    </row>
    <row r="287" customFormat="false" ht="15" hidden="false" customHeight="true" outlineLevel="0" collapsed="false">
      <c r="A287" s="15"/>
      <c r="B287" s="11"/>
      <c r="C287" s="18" t="str">
        <f aca="false">IF($B287="","",IFERROR(INDEX(차량목록!$B$3:$B$102,MATCH($B287,차량목록!$A$3:$A$102,0)),"미등록차량"))</f>
        <v/>
      </c>
      <c r="D287" s="11"/>
      <c r="E287" s="18" t="str">
        <f aca="false">IF($D287="","",IFERROR(INDEX(정비항목!$B$3:$B$52,MATCH($D287,정비항목!$A$3:$A$52,0)),"미등록항목"))</f>
        <v/>
      </c>
      <c r="F287" s="14"/>
      <c r="G287" s="14"/>
      <c r="H287" s="11"/>
    </row>
    <row r="288" customFormat="false" ht="15" hidden="false" customHeight="true" outlineLevel="0" collapsed="false">
      <c r="A288" s="15"/>
      <c r="B288" s="11"/>
      <c r="C288" s="18" t="str">
        <f aca="false">IF($B288="","",IFERROR(INDEX(차량목록!$B$3:$B$102,MATCH($B288,차량목록!$A$3:$A$102,0)),"미등록차량"))</f>
        <v/>
      </c>
      <c r="D288" s="11"/>
      <c r="E288" s="18" t="str">
        <f aca="false">IF($D288="","",IFERROR(INDEX(정비항목!$B$3:$B$52,MATCH($D288,정비항목!$A$3:$A$52,0)),"미등록항목"))</f>
        <v/>
      </c>
      <c r="F288" s="14"/>
      <c r="G288" s="14"/>
      <c r="H288" s="11"/>
    </row>
    <row r="289" customFormat="false" ht="15" hidden="false" customHeight="true" outlineLevel="0" collapsed="false">
      <c r="A289" s="15"/>
      <c r="B289" s="11"/>
      <c r="C289" s="18" t="str">
        <f aca="false">IF($B289="","",IFERROR(INDEX(차량목록!$B$3:$B$102,MATCH($B289,차량목록!$A$3:$A$102,0)),"미등록차량"))</f>
        <v/>
      </c>
      <c r="D289" s="11"/>
      <c r="E289" s="18" t="str">
        <f aca="false">IF($D289="","",IFERROR(INDEX(정비항목!$B$3:$B$52,MATCH($D289,정비항목!$A$3:$A$52,0)),"미등록항목"))</f>
        <v/>
      </c>
      <c r="F289" s="14"/>
      <c r="G289" s="14"/>
      <c r="H289" s="11"/>
    </row>
    <row r="290" customFormat="false" ht="15" hidden="false" customHeight="true" outlineLevel="0" collapsed="false">
      <c r="A290" s="15"/>
      <c r="B290" s="11"/>
      <c r="C290" s="18" t="str">
        <f aca="false">IF($B290="","",IFERROR(INDEX(차량목록!$B$3:$B$102,MATCH($B290,차량목록!$A$3:$A$102,0)),"미등록차량"))</f>
        <v/>
      </c>
      <c r="D290" s="11"/>
      <c r="E290" s="18" t="str">
        <f aca="false">IF($D290="","",IFERROR(INDEX(정비항목!$B$3:$B$52,MATCH($D290,정비항목!$A$3:$A$52,0)),"미등록항목"))</f>
        <v/>
      </c>
      <c r="F290" s="14"/>
      <c r="G290" s="14"/>
      <c r="H290" s="11"/>
    </row>
    <row r="291" customFormat="false" ht="15" hidden="false" customHeight="true" outlineLevel="0" collapsed="false">
      <c r="A291" s="15"/>
      <c r="B291" s="11"/>
      <c r="C291" s="18" t="str">
        <f aca="false">IF($B291="","",IFERROR(INDEX(차량목록!$B$3:$B$102,MATCH($B291,차량목록!$A$3:$A$102,0)),"미등록차량"))</f>
        <v/>
      </c>
      <c r="D291" s="11"/>
      <c r="E291" s="18" t="str">
        <f aca="false">IF($D291="","",IFERROR(INDEX(정비항목!$B$3:$B$52,MATCH($D291,정비항목!$A$3:$A$52,0)),"미등록항목"))</f>
        <v/>
      </c>
      <c r="F291" s="14"/>
      <c r="G291" s="14"/>
      <c r="H291" s="11"/>
    </row>
    <row r="292" customFormat="false" ht="15" hidden="false" customHeight="true" outlineLevel="0" collapsed="false">
      <c r="A292" s="15"/>
      <c r="B292" s="11"/>
      <c r="C292" s="18" t="str">
        <f aca="false">IF($B292="","",IFERROR(INDEX(차량목록!$B$3:$B$102,MATCH($B292,차량목록!$A$3:$A$102,0)),"미등록차량"))</f>
        <v/>
      </c>
      <c r="D292" s="11"/>
      <c r="E292" s="18" t="str">
        <f aca="false">IF($D292="","",IFERROR(INDEX(정비항목!$B$3:$B$52,MATCH($D292,정비항목!$A$3:$A$52,0)),"미등록항목"))</f>
        <v/>
      </c>
      <c r="F292" s="14"/>
      <c r="G292" s="14"/>
      <c r="H292" s="11"/>
    </row>
    <row r="293" customFormat="false" ht="15" hidden="false" customHeight="true" outlineLevel="0" collapsed="false">
      <c r="A293" s="15"/>
      <c r="B293" s="11"/>
      <c r="C293" s="18" t="str">
        <f aca="false">IF($B293="","",IFERROR(INDEX(차량목록!$B$3:$B$102,MATCH($B293,차량목록!$A$3:$A$102,0)),"미등록차량"))</f>
        <v/>
      </c>
      <c r="D293" s="11"/>
      <c r="E293" s="18" t="str">
        <f aca="false">IF($D293="","",IFERROR(INDEX(정비항목!$B$3:$B$52,MATCH($D293,정비항목!$A$3:$A$52,0)),"미등록항목"))</f>
        <v/>
      </c>
      <c r="F293" s="14"/>
      <c r="G293" s="14"/>
      <c r="H293" s="11"/>
    </row>
    <row r="294" customFormat="false" ht="15" hidden="false" customHeight="true" outlineLevel="0" collapsed="false">
      <c r="A294" s="15"/>
      <c r="B294" s="11"/>
      <c r="C294" s="18" t="str">
        <f aca="false">IF($B294="","",IFERROR(INDEX(차량목록!$B$3:$B$102,MATCH($B294,차량목록!$A$3:$A$102,0)),"미등록차량"))</f>
        <v/>
      </c>
      <c r="D294" s="11"/>
      <c r="E294" s="18" t="str">
        <f aca="false">IF($D294="","",IFERROR(INDEX(정비항목!$B$3:$B$52,MATCH($D294,정비항목!$A$3:$A$52,0)),"미등록항목"))</f>
        <v/>
      </c>
      <c r="F294" s="14"/>
      <c r="G294" s="14"/>
      <c r="H294" s="11"/>
    </row>
    <row r="295" customFormat="false" ht="15" hidden="false" customHeight="true" outlineLevel="0" collapsed="false">
      <c r="A295" s="15"/>
      <c r="B295" s="11"/>
      <c r="C295" s="18" t="str">
        <f aca="false">IF($B295="","",IFERROR(INDEX(차량목록!$B$3:$B$102,MATCH($B295,차량목록!$A$3:$A$102,0)),"미등록차량"))</f>
        <v/>
      </c>
      <c r="D295" s="11"/>
      <c r="E295" s="18" t="str">
        <f aca="false">IF($D295="","",IFERROR(INDEX(정비항목!$B$3:$B$52,MATCH($D295,정비항목!$A$3:$A$52,0)),"미등록항목"))</f>
        <v/>
      </c>
      <c r="F295" s="14"/>
      <c r="G295" s="14"/>
      <c r="H295" s="11"/>
    </row>
    <row r="296" customFormat="false" ht="15" hidden="false" customHeight="true" outlineLevel="0" collapsed="false">
      <c r="A296" s="15"/>
      <c r="B296" s="11"/>
      <c r="C296" s="18" t="str">
        <f aca="false">IF($B296="","",IFERROR(INDEX(차량목록!$B$3:$B$102,MATCH($B296,차량목록!$A$3:$A$102,0)),"미등록차량"))</f>
        <v/>
      </c>
      <c r="D296" s="11"/>
      <c r="E296" s="18" t="str">
        <f aca="false">IF($D296="","",IFERROR(INDEX(정비항목!$B$3:$B$52,MATCH($D296,정비항목!$A$3:$A$52,0)),"미등록항목"))</f>
        <v/>
      </c>
      <c r="F296" s="14"/>
      <c r="G296" s="14"/>
      <c r="H296" s="11"/>
    </row>
    <row r="297" customFormat="false" ht="15" hidden="false" customHeight="true" outlineLevel="0" collapsed="false">
      <c r="A297" s="15"/>
      <c r="B297" s="11"/>
      <c r="C297" s="18" t="str">
        <f aca="false">IF($B297="","",IFERROR(INDEX(차량목록!$B$3:$B$102,MATCH($B297,차량목록!$A$3:$A$102,0)),"미등록차량"))</f>
        <v/>
      </c>
      <c r="D297" s="11"/>
      <c r="E297" s="18" t="str">
        <f aca="false">IF($D297="","",IFERROR(INDEX(정비항목!$B$3:$B$52,MATCH($D297,정비항목!$A$3:$A$52,0)),"미등록항목"))</f>
        <v/>
      </c>
      <c r="F297" s="14"/>
      <c r="G297" s="14"/>
      <c r="H297" s="11"/>
    </row>
    <row r="298" customFormat="false" ht="15" hidden="false" customHeight="true" outlineLevel="0" collapsed="false">
      <c r="A298" s="15"/>
      <c r="B298" s="11"/>
      <c r="C298" s="18" t="str">
        <f aca="false">IF($B298="","",IFERROR(INDEX(차량목록!$B$3:$B$102,MATCH($B298,차량목록!$A$3:$A$102,0)),"미등록차량"))</f>
        <v/>
      </c>
      <c r="D298" s="11"/>
      <c r="E298" s="18" t="str">
        <f aca="false">IF($D298="","",IFERROR(INDEX(정비항목!$B$3:$B$52,MATCH($D298,정비항목!$A$3:$A$52,0)),"미등록항목"))</f>
        <v/>
      </c>
      <c r="F298" s="14"/>
      <c r="G298" s="14"/>
      <c r="H298" s="11"/>
    </row>
    <row r="299" customFormat="false" ht="15" hidden="false" customHeight="true" outlineLevel="0" collapsed="false">
      <c r="A299" s="15"/>
      <c r="B299" s="11"/>
      <c r="C299" s="18" t="str">
        <f aca="false">IF($B299="","",IFERROR(INDEX(차량목록!$B$3:$B$102,MATCH($B299,차량목록!$A$3:$A$102,0)),"미등록차량"))</f>
        <v/>
      </c>
      <c r="D299" s="11"/>
      <c r="E299" s="18" t="str">
        <f aca="false">IF($D299="","",IFERROR(INDEX(정비항목!$B$3:$B$52,MATCH($D299,정비항목!$A$3:$A$52,0)),"미등록항목"))</f>
        <v/>
      </c>
      <c r="F299" s="14"/>
      <c r="G299" s="14"/>
      <c r="H299" s="11"/>
    </row>
    <row r="300" customFormat="false" ht="15" hidden="false" customHeight="true" outlineLevel="0" collapsed="false">
      <c r="A300" s="15"/>
      <c r="B300" s="11"/>
      <c r="C300" s="18" t="str">
        <f aca="false">IF($B300="","",IFERROR(INDEX(차량목록!$B$3:$B$102,MATCH($B300,차량목록!$A$3:$A$102,0)),"미등록차량"))</f>
        <v/>
      </c>
      <c r="D300" s="11"/>
      <c r="E300" s="18" t="str">
        <f aca="false">IF($D300="","",IFERROR(INDEX(정비항목!$B$3:$B$52,MATCH($D300,정비항목!$A$3:$A$52,0)),"미등록항목"))</f>
        <v/>
      </c>
      <c r="F300" s="14"/>
      <c r="G300" s="14"/>
      <c r="H300" s="11"/>
    </row>
    <row r="301" customFormat="false" ht="15" hidden="false" customHeight="true" outlineLevel="0" collapsed="false">
      <c r="A301" s="15"/>
      <c r="B301" s="11"/>
      <c r="C301" s="18" t="str">
        <f aca="false">IF($B301="","",IFERROR(INDEX(차량목록!$B$3:$B$102,MATCH($B301,차량목록!$A$3:$A$102,0)),"미등록차량"))</f>
        <v/>
      </c>
      <c r="D301" s="11"/>
      <c r="E301" s="18" t="str">
        <f aca="false">IF($D301="","",IFERROR(INDEX(정비항목!$B$3:$B$52,MATCH($D301,정비항목!$A$3:$A$52,0)),"미등록항목"))</f>
        <v/>
      </c>
      <c r="F301" s="14"/>
      <c r="G301" s="14"/>
      <c r="H301" s="11"/>
    </row>
    <row r="302" customFormat="false" ht="15" hidden="false" customHeight="true" outlineLevel="0" collapsed="false">
      <c r="A302" s="15"/>
      <c r="B302" s="11"/>
      <c r="C302" s="18" t="str">
        <f aca="false">IF($B302="","",IFERROR(INDEX(차량목록!$B$3:$B$102,MATCH($B302,차량목록!$A$3:$A$102,0)),"미등록차량"))</f>
        <v/>
      </c>
      <c r="D302" s="11"/>
      <c r="E302" s="18" t="str">
        <f aca="false">IF($D302="","",IFERROR(INDEX(정비항목!$B$3:$B$52,MATCH($D302,정비항목!$A$3:$A$52,0)),"미등록항목"))</f>
        <v/>
      </c>
      <c r="F302" s="14"/>
      <c r="G302" s="14"/>
      <c r="H302" s="11"/>
    </row>
    <row r="303" customFormat="false" ht="15" hidden="false" customHeight="true" outlineLevel="0" collapsed="false">
      <c r="A303" s="15"/>
      <c r="B303" s="11"/>
      <c r="C303" s="18" t="str">
        <f aca="false">IF($B303="","",IFERROR(INDEX(차량목록!$B$3:$B$102,MATCH($B303,차량목록!$A$3:$A$102,0)),"미등록차량"))</f>
        <v/>
      </c>
      <c r="D303" s="11"/>
      <c r="E303" s="18" t="str">
        <f aca="false">IF($D303="","",IFERROR(INDEX(정비항목!$B$3:$B$52,MATCH($D303,정비항목!$A$3:$A$52,0)),"미등록항목"))</f>
        <v/>
      </c>
      <c r="F303" s="14"/>
      <c r="G303" s="14"/>
      <c r="H303" s="11"/>
    </row>
    <row r="304" customFormat="false" ht="15" hidden="false" customHeight="true" outlineLevel="0" collapsed="false">
      <c r="A304" s="15"/>
      <c r="B304" s="11"/>
      <c r="C304" s="18" t="str">
        <f aca="false">IF($B304="","",IFERROR(INDEX(차량목록!$B$3:$B$102,MATCH($B304,차량목록!$A$3:$A$102,0)),"미등록차량"))</f>
        <v/>
      </c>
      <c r="D304" s="11"/>
      <c r="E304" s="18" t="str">
        <f aca="false">IF($D304="","",IFERROR(INDEX(정비항목!$B$3:$B$52,MATCH($D304,정비항목!$A$3:$A$52,0)),"미등록항목"))</f>
        <v/>
      </c>
      <c r="F304" s="14"/>
      <c r="G304" s="14"/>
      <c r="H304" s="11"/>
    </row>
    <row r="305" customFormat="false" ht="15" hidden="false" customHeight="true" outlineLevel="0" collapsed="false">
      <c r="A305" s="15"/>
      <c r="B305" s="11"/>
      <c r="C305" s="18" t="str">
        <f aca="false">IF($B305="","",IFERROR(INDEX(차량목록!$B$3:$B$102,MATCH($B305,차량목록!$A$3:$A$102,0)),"미등록차량"))</f>
        <v/>
      </c>
      <c r="D305" s="11"/>
      <c r="E305" s="18" t="str">
        <f aca="false">IF($D305="","",IFERROR(INDEX(정비항목!$B$3:$B$52,MATCH($D305,정비항목!$A$3:$A$52,0)),"미등록항목"))</f>
        <v/>
      </c>
      <c r="F305" s="14"/>
      <c r="G305" s="14"/>
      <c r="H305" s="11"/>
    </row>
    <row r="306" customFormat="false" ht="15" hidden="false" customHeight="true" outlineLevel="0" collapsed="false">
      <c r="A306" s="15"/>
      <c r="B306" s="11"/>
      <c r="C306" s="18" t="str">
        <f aca="false">IF($B306="","",IFERROR(INDEX(차량목록!$B$3:$B$102,MATCH($B306,차량목록!$A$3:$A$102,0)),"미등록차량"))</f>
        <v/>
      </c>
      <c r="D306" s="11"/>
      <c r="E306" s="18" t="str">
        <f aca="false">IF($D306="","",IFERROR(INDEX(정비항목!$B$3:$B$52,MATCH($D306,정비항목!$A$3:$A$52,0)),"미등록항목"))</f>
        <v/>
      </c>
      <c r="F306" s="14"/>
      <c r="G306" s="14"/>
      <c r="H306" s="11"/>
    </row>
    <row r="307" customFormat="false" ht="15" hidden="false" customHeight="true" outlineLevel="0" collapsed="false">
      <c r="A307" s="15"/>
      <c r="B307" s="11"/>
      <c r="C307" s="18" t="str">
        <f aca="false">IF($B307="","",IFERROR(INDEX(차량목록!$B$3:$B$102,MATCH($B307,차량목록!$A$3:$A$102,0)),"미등록차량"))</f>
        <v/>
      </c>
      <c r="D307" s="11"/>
      <c r="E307" s="18" t="str">
        <f aca="false">IF($D307="","",IFERROR(INDEX(정비항목!$B$3:$B$52,MATCH($D307,정비항목!$A$3:$A$52,0)),"미등록항목"))</f>
        <v/>
      </c>
      <c r="F307" s="14"/>
      <c r="G307" s="14"/>
      <c r="H307" s="11"/>
    </row>
    <row r="308" customFormat="false" ht="15" hidden="false" customHeight="true" outlineLevel="0" collapsed="false">
      <c r="A308" s="15"/>
      <c r="B308" s="11"/>
      <c r="C308" s="18" t="str">
        <f aca="false">IF($B308="","",IFERROR(INDEX(차량목록!$B$3:$B$102,MATCH($B308,차량목록!$A$3:$A$102,0)),"미등록차량"))</f>
        <v/>
      </c>
      <c r="D308" s="11"/>
      <c r="E308" s="18" t="str">
        <f aca="false">IF($D308="","",IFERROR(INDEX(정비항목!$B$3:$B$52,MATCH($D308,정비항목!$A$3:$A$52,0)),"미등록항목"))</f>
        <v/>
      </c>
      <c r="F308" s="14"/>
      <c r="G308" s="14"/>
      <c r="H308" s="11"/>
    </row>
    <row r="309" customFormat="false" ht="15" hidden="false" customHeight="true" outlineLevel="0" collapsed="false">
      <c r="A309" s="15"/>
      <c r="B309" s="11"/>
      <c r="C309" s="18" t="str">
        <f aca="false">IF($B309="","",IFERROR(INDEX(차량목록!$B$3:$B$102,MATCH($B309,차량목록!$A$3:$A$102,0)),"미등록차량"))</f>
        <v/>
      </c>
      <c r="D309" s="11"/>
      <c r="E309" s="18" t="str">
        <f aca="false">IF($D309="","",IFERROR(INDEX(정비항목!$B$3:$B$52,MATCH($D309,정비항목!$A$3:$A$52,0)),"미등록항목"))</f>
        <v/>
      </c>
      <c r="F309" s="14"/>
      <c r="G309" s="14"/>
      <c r="H309" s="11"/>
    </row>
    <row r="310" customFormat="false" ht="15" hidden="false" customHeight="true" outlineLevel="0" collapsed="false">
      <c r="A310" s="15"/>
      <c r="B310" s="11"/>
      <c r="C310" s="18" t="str">
        <f aca="false">IF($B310="","",IFERROR(INDEX(차량목록!$B$3:$B$102,MATCH($B310,차량목록!$A$3:$A$102,0)),"미등록차량"))</f>
        <v/>
      </c>
      <c r="D310" s="11"/>
      <c r="E310" s="18" t="str">
        <f aca="false">IF($D310="","",IFERROR(INDEX(정비항목!$B$3:$B$52,MATCH($D310,정비항목!$A$3:$A$52,0)),"미등록항목"))</f>
        <v/>
      </c>
      <c r="F310" s="14"/>
      <c r="G310" s="14"/>
      <c r="H310" s="11"/>
    </row>
    <row r="311" customFormat="false" ht="15" hidden="false" customHeight="true" outlineLevel="0" collapsed="false">
      <c r="A311" s="15"/>
      <c r="B311" s="11"/>
      <c r="C311" s="18" t="str">
        <f aca="false">IF($B311="","",IFERROR(INDEX(차량목록!$B$3:$B$102,MATCH($B311,차량목록!$A$3:$A$102,0)),"미등록차량"))</f>
        <v/>
      </c>
      <c r="D311" s="11"/>
      <c r="E311" s="18" t="str">
        <f aca="false">IF($D311="","",IFERROR(INDEX(정비항목!$B$3:$B$52,MATCH($D311,정비항목!$A$3:$A$52,0)),"미등록항목"))</f>
        <v/>
      </c>
      <c r="F311" s="14"/>
      <c r="G311" s="14"/>
      <c r="H311" s="11"/>
    </row>
    <row r="312" customFormat="false" ht="15" hidden="false" customHeight="true" outlineLevel="0" collapsed="false">
      <c r="A312" s="15"/>
      <c r="B312" s="11"/>
      <c r="C312" s="18" t="str">
        <f aca="false">IF($B312="","",IFERROR(INDEX(차량목록!$B$3:$B$102,MATCH($B312,차량목록!$A$3:$A$102,0)),"미등록차량"))</f>
        <v/>
      </c>
      <c r="D312" s="11"/>
      <c r="E312" s="18" t="str">
        <f aca="false">IF($D312="","",IFERROR(INDEX(정비항목!$B$3:$B$52,MATCH($D312,정비항목!$A$3:$A$52,0)),"미등록항목"))</f>
        <v/>
      </c>
      <c r="F312" s="14"/>
      <c r="G312" s="14"/>
      <c r="H312" s="11"/>
    </row>
    <row r="313" customFormat="false" ht="15" hidden="false" customHeight="true" outlineLevel="0" collapsed="false">
      <c r="A313" s="15"/>
      <c r="B313" s="11"/>
      <c r="C313" s="18" t="str">
        <f aca="false">IF($B313="","",IFERROR(INDEX(차량목록!$B$3:$B$102,MATCH($B313,차량목록!$A$3:$A$102,0)),"미등록차량"))</f>
        <v/>
      </c>
      <c r="D313" s="11"/>
      <c r="E313" s="18" t="str">
        <f aca="false">IF($D313="","",IFERROR(INDEX(정비항목!$B$3:$B$52,MATCH($D313,정비항목!$A$3:$A$52,0)),"미등록항목"))</f>
        <v/>
      </c>
      <c r="F313" s="14"/>
      <c r="G313" s="14"/>
      <c r="H313" s="11"/>
    </row>
    <row r="314" customFormat="false" ht="15" hidden="false" customHeight="true" outlineLevel="0" collapsed="false">
      <c r="A314" s="15"/>
      <c r="B314" s="11"/>
      <c r="C314" s="18" t="str">
        <f aca="false">IF($B314="","",IFERROR(INDEX(차량목록!$B$3:$B$102,MATCH($B314,차량목록!$A$3:$A$102,0)),"미등록차량"))</f>
        <v/>
      </c>
      <c r="D314" s="11"/>
      <c r="E314" s="18" t="str">
        <f aca="false">IF($D314="","",IFERROR(INDEX(정비항목!$B$3:$B$52,MATCH($D314,정비항목!$A$3:$A$52,0)),"미등록항목"))</f>
        <v/>
      </c>
      <c r="F314" s="14"/>
      <c r="G314" s="14"/>
      <c r="H314" s="11"/>
    </row>
    <row r="315" customFormat="false" ht="15" hidden="false" customHeight="true" outlineLevel="0" collapsed="false">
      <c r="A315" s="15"/>
      <c r="B315" s="11"/>
      <c r="C315" s="18" t="str">
        <f aca="false">IF($B315="","",IFERROR(INDEX(차량목록!$B$3:$B$102,MATCH($B315,차량목록!$A$3:$A$102,0)),"미등록차량"))</f>
        <v/>
      </c>
      <c r="D315" s="11"/>
      <c r="E315" s="18" t="str">
        <f aca="false">IF($D315="","",IFERROR(INDEX(정비항목!$B$3:$B$52,MATCH($D315,정비항목!$A$3:$A$52,0)),"미등록항목"))</f>
        <v/>
      </c>
      <c r="F315" s="14"/>
      <c r="G315" s="14"/>
      <c r="H315" s="11"/>
    </row>
    <row r="316" customFormat="false" ht="15" hidden="false" customHeight="true" outlineLevel="0" collapsed="false">
      <c r="A316" s="15"/>
      <c r="B316" s="11"/>
      <c r="C316" s="18" t="str">
        <f aca="false">IF($B316="","",IFERROR(INDEX(차량목록!$B$3:$B$102,MATCH($B316,차량목록!$A$3:$A$102,0)),"미등록차량"))</f>
        <v/>
      </c>
      <c r="D316" s="11"/>
      <c r="E316" s="18" t="str">
        <f aca="false">IF($D316="","",IFERROR(INDEX(정비항목!$B$3:$B$52,MATCH($D316,정비항목!$A$3:$A$52,0)),"미등록항목"))</f>
        <v/>
      </c>
      <c r="F316" s="14"/>
      <c r="G316" s="14"/>
      <c r="H316" s="11"/>
    </row>
    <row r="317" customFormat="false" ht="15" hidden="false" customHeight="true" outlineLevel="0" collapsed="false">
      <c r="A317" s="15"/>
      <c r="B317" s="11"/>
      <c r="C317" s="18" t="str">
        <f aca="false">IF($B317="","",IFERROR(INDEX(차량목록!$B$3:$B$102,MATCH($B317,차량목록!$A$3:$A$102,0)),"미등록차량"))</f>
        <v/>
      </c>
      <c r="D317" s="11"/>
      <c r="E317" s="18" t="str">
        <f aca="false">IF($D317="","",IFERROR(INDEX(정비항목!$B$3:$B$52,MATCH($D317,정비항목!$A$3:$A$52,0)),"미등록항목"))</f>
        <v/>
      </c>
      <c r="F317" s="14"/>
      <c r="G317" s="14"/>
      <c r="H317" s="11"/>
    </row>
    <row r="318" customFormat="false" ht="15" hidden="false" customHeight="true" outlineLevel="0" collapsed="false">
      <c r="A318" s="15"/>
      <c r="B318" s="11"/>
      <c r="C318" s="18" t="str">
        <f aca="false">IF($B318="","",IFERROR(INDEX(차량목록!$B$3:$B$102,MATCH($B318,차량목록!$A$3:$A$102,0)),"미등록차량"))</f>
        <v/>
      </c>
      <c r="D318" s="11"/>
      <c r="E318" s="18" t="str">
        <f aca="false">IF($D318="","",IFERROR(INDEX(정비항목!$B$3:$B$52,MATCH($D318,정비항목!$A$3:$A$52,0)),"미등록항목"))</f>
        <v/>
      </c>
      <c r="F318" s="14"/>
      <c r="G318" s="14"/>
      <c r="H318" s="11"/>
    </row>
    <row r="319" customFormat="false" ht="15" hidden="false" customHeight="true" outlineLevel="0" collapsed="false">
      <c r="A319" s="15"/>
      <c r="B319" s="11"/>
      <c r="C319" s="18" t="str">
        <f aca="false">IF($B319="","",IFERROR(INDEX(차량목록!$B$3:$B$102,MATCH($B319,차량목록!$A$3:$A$102,0)),"미등록차량"))</f>
        <v/>
      </c>
      <c r="D319" s="11"/>
      <c r="E319" s="18" t="str">
        <f aca="false">IF($D319="","",IFERROR(INDEX(정비항목!$B$3:$B$52,MATCH($D319,정비항목!$A$3:$A$52,0)),"미등록항목"))</f>
        <v/>
      </c>
      <c r="F319" s="14"/>
      <c r="G319" s="14"/>
      <c r="H319" s="11"/>
    </row>
    <row r="320" customFormat="false" ht="15" hidden="false" customHeight="true" outlineLevel="0" collapsed="false">
      <c r="A320" s="15"/>
      <c r="B320" s="11"/>
      <c r="C320" s="18" t="str">
        <f aca="false">IF($B320="","",IFERROR(INDEX(차량목록!$B$3:$B$102,MATCH($B320,차량목록!$A$3:$A$102,0)),"미등록차량"))</f>
        <v/>
      </c>
      <c r="D320" s="11"/>
      <c r="E320" s="18" t="str">
        <f aca="false">IF($D320="","",IFERROR(INDEX(정비항목!$B$3:$B$52,MATCH($D320,정비항목!$A$3:$A$52,0)),"미등록항목"))</f>
        <v/>
      </c>
      <c r="F320" s="14"/>
      <c r="G320" s="14"/>
      <c r="H320" s="11"/>
    </row>
    <row r="321" customFormat="false" ht="15" hidden="false" customHeight="true" outlineLevel="0" collapsed="false">
      <c r="A321" s="15"/>
      <c r="B321" s="11"/>
      <c r="C321" s="18" t="str">
        <f aca="false">IF($B321="","",IFERROR(INDEX(차량목록!$B$3:$B$102,MATCH($B321,차량목록!$A$3:$A$102,0)),"미등록차량"))</f>
        <v/>
      </c>
      <c r="D321" s="11"/>
      <c r="E321" s="18" t="str">
        <f aca="false">IF($D321="","",IFERROR(INDEX(정비항목!$B$3:$B$52,MATCH($D321,정비항목!$A$3:$A$52,0)),"미등록항목"))</f>
        <v/>
      </c>
      <c r="F321" s="14"/>
      <c r="G321" s="14"/>
      <c r="H321" s="11"/>
    </row>
    <row r="322" customFormat="false" ht="15" hidden="false" customHeight="true" outlineLevel="0" collapsed="false">
      <c r="A322" s="15"/>
      <c r="B322" s="11"/>
      <c r="C322" s="18" t="str">
        <f aca="false">IF($B322="","",IFERROR(INDEX(차량목록!$B$3:$B$102,MATCH($B322,차량목록!$A$3:$A$102,0)),"미등록차량"))</f>
        <v/>
      </c>
      <c r="D322" s="11"/>
      <c r="E322" s="18" t="str">
        <f aca="false">IF($D322="","",IFERROR(INDEX(정비항목!$B$3:$B$52,MATCH($D322,정비항목!$A$3:$A$52,0)),"미등록항목"))</f>
        <v/>
      </c>
      <c r="F322" s="14"/>
      <c r="G322" s="14"/>
      <c r="H322" s="11"/>
    </row>
    <row r="323" customFormat="false" ht="15" hidden="false" customHeight="true" outlineLevel="0" collapsed="false">
      <c r="A323" s="15"/>
      <c r="B323" s="11"/>
      <c r="C323" s="18" t="str">
        <f aca="false">IF($B323="","",IFERROR(INDEX(차량목록!$B$3:$B$102,MATCH($B323,차량목록!$A$3:$A$102,0)),"미등록차량"))</f>
        <v/>
      </c>
      <c r="D323" s="11"/>
      <c r="E323" s="18" t="str">
        <f aca="false">IF($D323="","",IFERROR(INDEX(정비항목!$B$3:$B$52,MATCH($D323,정비항목!$A$3:$A$52,0)),"미등록항목"))</f>
        <v/>
      </c>
      <c r="F323" s="14"/>
      <c r="G323" s="14"/>
      <c r="H323" s="11"/>
    </row>
    <row r="324" customFormat="false" ht="15" hidden="false" customHeight="true" outlineLevel="0" collapsed="false">
      <c r="A324" s="15"/>
      <c r="B324" s="11"/>
      <c r="C324" s="18" t="str">
        <f aca="false">IF($B324="","",IFERROR(INDEX(차량목록!$B$3:$B$102,MATCH($B324,차량목록!$A$3:$A$102,0)),"미등록차량"))</f>
        <v/>
      </c>
      <c r="D324" s="11"/>
      <c r="E324" s="18" t="str">
        <f aca="false">IF($D324="","",IFERROR(INDEX(정비항목!$B$3:$B$52,MATCH($D324,정비항목!$A$3:$A$52,0)),"미등록항목"))</f>
        <v/>
      </c>
      <c r="F324" s="14"/>
      <c r="G324" s="14"/>
      <c r="H324" s="11"/>
    </row>
    <row r="325" customFormat="false" ht="15" hidden="false" customHeight="true" outlineLevel="0" collapsed="false">
      <c r="A325" s="15"/>
      <c r="B325" s="11"/>
      <c r="C325" s="18" t="str">
        <f aca="false">IF($B325="","",IFERROR(INDEX(차량목록!$B$3:$B$102,MATCH($B325,차량목록!$A$3:$A$102,0)),"미등록차량"))</f>
        <v/>
      </c>
      <c r="D325" s="11"/>
      <c r="E325" s="18" t="str">
        <f aca="false">IF($D325="","",IFERROR(INDEX(정비항목!$B$3:$B$52,MATCH($D325,정비항목!$A$3:$A$52,0)),"미등록항목"))</f>
        <v/>
      </c>
      <c r="F325" s="14"/>
      <c r="G325" s="14"/>
      <c r="H325" s="11"/>
    </row>
    <row r="326" customFormat="false" ht="15" hidden="false" customHeight="true" outlineLevel="0" collapsed="false">
      <c r="A326" s="15"/>
      <c r="B326" s="11"/>
      <c r="C326" s="18" t="str">
        <f aca="false">IF($B326="","",IFERROR(INDEX(차량목록!$B$3:$B$102,MATCH($B326,차량목록!$A$3:$A$102,0)),"미등록차량"))</f>
        <v/>
      </c>
      <c r="D326" s="11"/>
      <c r="E326" s="18" t="str">
        <f aca="false">IF($D326="","",IFERROR(INDEX(정비항목!$B$3:$B$52,MATCH($D326,정비항목!$A$3:$A$52,0)),"미등록항목"))</f>
        <v/>
      </c>
      <c r="F326" s="14"/>
      <c r="G326" s="14"/>
      <c r="H326" s="11"/>
    </row>
    <row r="327" customFormat="false" ht="15" hidden="false" customHeight="true" outlineLevel="0" collapsed="false">
      <c r="A327" s="15"/>
      <c r="B327" s="11"/>
      <c r="C327" s="18" t="str">
        <f aca="false">IF($B327="","",IFERROR(INDEX(차량목록!$B$3:$B$102,MATCH($B327,차량목록!$A$3:$A$102,0)),"미등록차량"))</f>
        <v/>
      </c>
      <c r="D327" s="11"/>
      <c r="E327" s="18" t="str">
        <f aca="false">IF($D327="","",IFERROR(INDEX(정비항목!$B$3:$B$52,MATCH($D327,정비항목!$A$3:$A$52,0)),"미등록항목"))</f>
        <v/>
      </c>
      <c r="F327" s="14"/>
      <c r="G327" s="14"/>
      <c r="H327" s="11"/>
    </row>
    <row r="328" customFormat="false" ht="15" hidden="false" customHeight="true" outlineLevel="0" collapsed="false">
      <c r="A328" s="15"/>
      <c r="B328" s="11"/>
      <c r="C328" s="18" t="str">
        <f aca="false">IF($B328="","",IFERROR(INDEX(차량목록!$B$3:$B$102,MATCH($B328,차량목록!$A$3:$A$102,0)),"미등록차량"))</f>
        <v/>
      </c>
      <c r="D328" s="11"/>
      <c r="E328" s="18" t="str">
        <f aca="false">IF($D328="","",IFERROR(INDEX(정비항목!$B$3:$B$52,MATCH($D328,정비항목!$A$3:$A$52,0)),"미등록항목"))</f>
        <v/>
      </c>
      <c r="F328" s="14"/>
      <c r="G328" s="14"/>
      <c r="H328" s="11"/>
    </row>
    <row r="329" customFormat="false" ht="15" hidden="false" customHeight="true" outlineLevel="0" collapsed="false">
      <c r="A329" s="15"/>
      <c r="B329" s="11"/>
      <c r="C329" s="18" t="str">
        <f aca="false">IF($B329="","",IFERROR(INDEX(차량목록!$B$3:$B$102,MATCH($B329,차량목록!$A$3:$A$102,0)),"미등록차량"))</f>
        <v/>
      </c>
      <c r="D329" s="11"/>
      <c r="E329" s="18" t="str">
        <f aca="false">IF($D329="","",IFERROR(INDEX(정비항목!$B$3:$B$52,MATCH($D329,정비항목!$A$3:$A$52,0)),"미등록항목"))</f>
        <v/>
      </c>
      <c r="F329" s="14"/>
      <c r="G329" s="14"/>
      <c r="H329" s="11"/>
    </row>
    <row r="330" customFormat="false" ht="15" hidden="false" customHeight="true" outlineLevel="0" collapsed="false">
      <c r="A330" s="15"/>
      <c r="B330" s="11"/>
      <c r="C330" s="18" t="str">
        <f aca="false">IF($B330="","",IFERROR(INDEX(차량목록!$B$3:$B$102,MATCH($B330,차량목록!$A$3:$A$102,0)),"미등록차량"))</f>
        <v/>
      </c>
      <c r="D330" s="11"/>
      <c r="E330" s="18" t="str">
        <f aca="false">IF($D330="","",IFERROR(INDEX(정비항목!$B$3:$B$52,MATCH($D330,정비항목!$A$3:$A$52,0)),"미등록항목"))</f>
        <v/>
      </c>
      <c r="F330" s="14"/>
      <c r="G330" s="14"/>
      <c r="H330" s="11"/>
    </row>
    <row r="331" customFormat="false" ht="15" hidden="false" customHeight="true" outlineLevel="0" collapsed="false">
      <c r="A331" s="15"/>
      <c r="B331" s="11"/>
      <c r="C331" s="18" t="str">
        <f aca="false">IF($B331="","",IFERROR(INDEX(차량목록!$B$3:$B$102,MATCH($B331,차량목록!$A$3:$A$102,0)),"미등록차량"))</f>
        <v/>
      </c>
      <c r="D331" s="11"/>
      <c r="E331" s="18" t="str">
        <f aca="false">IF($D331="","",IFERROR(INDEX(정비항목!$B$3:$B$52,MATCH($D331,정비항목!$A$3:$A$52,0)),"미등록항목"))</f>
        <v/>
      </c>
      <c r="F331" s="14"/>
      <c r="G331" s="14"/>
      <c r="H331" s="11"/>
    </row>
    <row r="332" customFormat="false" ht="15" hidden="false" customHeight="true" outlineLevel="0" collapsed="false">
      <c r="A332" s="15"/>
      <c r="B332" s="11"/>
      <c r="C332" s="18" t="str">
        <f aca="false">IF($B332="","",IFERROR(INDEX(차량목록!$B$3:$B$102,MATCH($B332,차량목록!$A$3:$A$102,0)),"미등록차량"))</f>
        <v/>
      </c>
      <c r="D332" s="11"/>
      <c r="E332" s="18" t="str">
        <f aca="false">IF($D332="","",IFERROR(INDEX(정비항목!$B$3:$B$52,MATCH($D332,정비항목!$A$3:$A$52,0)),"미등록항목"))</f>
        <v/>
      </c>
      <c r="F332" s="14"/>
      <c r="G332" s="14"/>
      <c r="H332" s="11"/>
    </row>
    <row r="333" customFormat="false" ht="15" hidden="false" customHeight="true" outlineLevel="0" collapsed="false">
      <c r="A333" s="15"/>
      <c r="B333" s="11"/>
      <c r="C333" s="18" t="str">
        <f aca="false">IF($B333="","",IFERROR(INDEX(차량목록!$B$3:$B$102,MATCH($B333,차량목록!$A$3:$A$102,0)),"미등록차량"))</f>
        <v/>
      </c>
      <c r="D333" s="11"/>
      <c r="E333" s="18" t="str">
        <f aca="false">IF($D333="","",IFERROR(INDEX(정비항목!$B$3:$B$52,MATCH($D333,정비항목!$A$3:$A$52,0)),"미등록항목"))</f>
        <v/>
      </c>
      <c r="F333" s="14"/>
      <c r="G333" s="14"/>
      <c r="H333" s="11"/>
    </row>
    <row r="334" customFormat="false" ht="15" hidden="false" customHeight="true" outlineLevel="0" collapsed="false">
      <c r="A334" s="15"/>
      <c r="B334" s="11"/>
      <c r="C334" s="18" t="str">
        <f aca="false">IF($B334="","",IFERROR(INDEX(차량목록!$B$3:$B$102,MATCH($B334,차량목록!$A$3:$A$102,0)),"미등록차량"))</f>
        <v/>
      </c>
      <c r="D334" s="11"/>
      <c r="E334" s="18" t="str">
        <f aca="false">IF($D334="","",IFERROR(INDEX(정비항목!$B$3:$B$52,MATCH($D334,정비항목!$A$3:$A$52,0)),"미등록항목"))</f>
        <v/>
      </c>
      <c r="F334" s="14"/>
      <c r="G334" s="14"/>
      <c r="H334" s="11"/>
    </row>
    <row r="335" customFormat="false" ht="15" hidden="false" customHeight="true" outlineLevel="0" collapsed="false">
      <c r="A335" s="15"/>
      <c r="B335" s="11"/>
      <c r="C335" s="18" t="str">
        <f aca="false">IF($B335="","",IFERROR(INDEX(차량목록!$B$3:$B$102,MATCH($B335,차량목록!$A$3:$A$102,0)),"미등록차량"))</f>
        <v/>
      </c>
      <c r="D335" s="11"/>
      <c r="E335" s="18" t="str">
        <f aca="false">IF($D335="","",IFERROR(INDEX(정비항목!$B$3:$B$52,MATCH($D335,정비항목!$A$3:$A$52,0)),"미등록항목"))</f>
        <v/>
      </c>
      <c r="F335" s="14"/>
      <c r="G335" s="14"/>
      <c r="H335" s="11"/>
    </row>
    <row r="336" customFormat="false" ht="15" hidden="false" customHeight="true" outlineLevel="0" collapsed="false">
      <c r="A336" s="15"/>
      <c r="B336" s="11"/>
      <c r="C336" s="18" t="str">
        <f aca="false">IF($B336="","",IFERROR(INDEX(차량목록!$B$3:$B$102,MATCH($B336,차량목록!$A$3:$A$102,0)),"미등록차량"))</f>
        <v/>
      </c>
      <c r="D336" s="11"/>
      <c r="E336" s="18" t="str">
        <f aca="false">IF($D336="","",IFERROR(INDEX(정비항목!$B$3:$B$52,MATCH($D336,정비항목!$A$3:$A$52,0)),"미등록항목"))</f>
        <v/>
      </c>
      <c r="F336" s="14"/>
      <c r="G336" s="14"/>
      <c r="H336" s="11"/>
    </row>
    <row r="337" customFormat="false" ht="15" hidden="false" customHeight="true" outlineLevel="0" collapsed="false">
      <c r="A337" s="15"/>
      <c r="B337" s="11"/>
      <c r="C337" s="18" t="str">
        <f aca="false">IF($B337="","",IFERROR(INDEX(차량목록!$B$3:$B$102,MATCH($B337,차량목록!$A$3:$A$102,0)),"미등록차량"))</f>
        <v/>
      </c>
      <c r="D337" s="11"/>
      <c r="E337" s="18" t="str">
        <f aca="false">IF($D337="","",IFERROR(INDEX(정비항목!$B$3:$B$52,MATCH($D337,정비항목!$A$3:$A$52,0)),"미등록항목"))</f>
        <v/>
      </c>
      <c r="F337" s="14"/>
      <c r="G337" s="14"/>
      <c r="H337" s="11"/>
    </row>
    <row r="338" customFormat="false" ht="15" hidden="false" customHeight="true" outlineLevel="0" collapsed="false">
      <c r="A338" s="15"/>
      <c r="B338" s="11"/>
      <c r="C338" s="18" t="str">
        <f aca="false">IF($B338="","",IFERROR(INDEX(차량목록!$B$3:$B$102,MATCH($B338,차량목록!$A$3:$A$102,0)),"미등록차량"))</f>
        <v/>
      </c>
      <c r="D338" s="11"/>
      <c r="E338" s="18" t="str">
        <f aca="false">IF($D338="","",IFERROR(INDEX(정비항목!$B$3:$B$52,MATCH($D338,정비항목!$A$3:$A$52,0)),"미등록항목"))</f>
        <v/>
      </c>
      <c r="F338" s="14"/>
      <c r="G338" s="14"/>
      <c r="H338" s="11"/>
    </row>
    <row r="339" customFormat="false" ht="15" hidden="false" customHeight="true" outlineLevel="0" collapsed="false">
      <c r="A339" s="15"/>
      <c r="B339" s="11"/>
      <c r="C339" s="18" t="str">
        <f aca="false">IF($B339="","",IFERROR(INDEX(차량목록!$B$3:$B$102,MATCH($B339,차량목록!$A$3:$A$102,0)),"미등록차량"))</f>
        <v/>
      </c>
      <c r="D339" s="11"/>
      <c r="E339" s="18" t="str">
        <f aca="false">IF($D339="","",IFERROR(INDEX(정비항목!$B$3:$B$52,MATCH($D339,정비항목!$A$3:$A$52,0)),"미등록항목"))</f>
        <v/>
      </c>
      <c r="F339" s="14"/>
      <c r="G339" s="14"/>
      <c r="H339" s="11"/>
    </row>
    <row r="340" customFormat="false" ht="15" hidden="false" customHeight="true" outlineLevel="0" collapsed="false">
      <c r="A340" s="15"/>
      <c r="B340" s="11"/>
      <c r="C340" s="18" t="str">
        <f aca="false">IF($B340="","",IFERROR(INDEX(차량목록!$B$3:$B$102,MATCH($B340,차량목록!$A$3:$A$102,0)),"미등록차량"))</f>
        <v/>
      </c>
      <c r="D340" s="11"/>
      <c r="E340" s="18" t="str">
        <f aca="false">IF($D340="","",IFERROR(INDEX(정비항목!$B$3:$B$52,MATCH($D340,정비항목!$A$3:$A$52,0)),"미등록항목"))</f>
        <v/>
      </c>
      <c r="F340" s="14"/>
      <c r="G340" s="14"/>
      <c r="H340" s="11"/>
    </row>
    <row r="341" customFormat="false" ht="15" hidden="false" customHeight="true" outlineLevel="0" collapsed="false">
      <c r="A341" s="15"/>
      <c r="B341" s="11"/>
      <c r="C341" s="18" t="str">
        <f aca="false">IF($B341="","",IFERROR(INDEX(차량목록!$B$3:$B$102,MATCH($B341,차량목록!$A$3:$A$102,0)),"미등록차량"))</f>
        <v/>
      </c>
      <c r="D341" s="11"/>
      <c r="E341" s="18" t="str">
        <f aca="false">IF($D341="","",IFERROR(INDEX(정비항목!$B$3:$B$52,MATCH($D341,정비항목!$A$3:$A$52,0)),"미등록항목"))</f>
        <v/>
      </c>
      <c r="F341" s="14"/>
      <c r="G341" s="14"/>
      <c r="H341" s="11"/>
    </row>
    <row r="342" customFormat="false" ht="15" hidden="false" customHeight="true" outlineLevel="0" collapsed="false">
      <c r="A342" s="15"/>
      <c r="B342" s="11"/>
      <c r="C342" s="18" t="str">
        <f aca="false">IF($B342="","",IFERROR(INDEX(차량목록!$B$3:$B$102,MATCH($B342,차량목록!$A$3:$A$102,0)),"미등록차량"))</f>
        <v/>
      </c>
      <c r="D342" s="11"/>
      <c r="E342" s="18" t="str">
        <f aca="false">IF($D342="","",IFERROR(INDEX(정비항목!$B$3:$B$52,MATCH($D342,정비항목!$A$3:$A$52,0)),"미등록항목"))</f>
        <v/>
      </c>
      <c r="F342" s="14"/>
      <c r="G342" s="14"/>
      <c r="H342" s="11"/>
    </row>
    <row r="343" customFormat="false" ht="15" hidden="false" customHeight="true" outlineLevel="0" collapsed="false">
      <c r="A343" s="15"/>
      <c r="B343" s="11"/>
      <c r="C343" s="18" t="str">
        <f aca="false">IF($B343="","",IFERROR(INDEX(차량목록!$B$3:$B$102,MATCH($B343,차량목록!$A$3:$A$102,0)),"미등록차량"))</f>
        <v/>
      </c>
      <c r="D343" s="11"/>
      <c r="E343" s="18" t="str">
        <f aca="false">IF($D343="","",IFERROR(INDEX(정비항목!$B$3:$B$52,MATCH($D343,정비항목!$A$3:$A$52,0)),"미등록항목"))</f>
        <v/>
      </c>
      <c r="F343" s="14"/>
      <c r="G343" s="14"/>
      <c r="H343" s="11"/>
    </row>
    <row r="344" customFormat="false" ht="15" hidden="false" customHeight="true" outlineLevel="0" collapsed="false">
      <c r="A344" s="15"/>
      <c r="B344" s="11"/>
      <c r="C344" s="18" t="str">
        <f aca="false">IF($B344="","",IFERROR(INDEX(차량목록!$B$3:$B$102,MATCH($B344,차량목록!$A$3:$A$102,0)),"미등록차량"))</f>
        <v/>
      </c>
      <c r="D344" s="11"/>
      <c r="E344" s="18" t="str">
        <f aca="false">IF($D344="","",IFERROR(INDEX(정비항목!$B$3:$B$52,MATCH($D344,정비항목!$A$3:$A$52,0)),"미등록항목"))</f>
        <v/>
      </c>
      <c r="F344" s="14"/>
      <c r="G344" s="14"/>
      <c r="H344" s="11"/>
    </row>
    <row r="345" customFormat="false" ht="15" hidden="false" customHeight="true" outlineLevel="0" collapsed="false">
      <c r="A345" s="15"/>
      <c r="B345" s="11"/>
      <c r="C345" s="18" t="str">
        <f aca="false">IF($B345="","",IFERROR(INDEX(차량목록!$B$3:$B$102,MATCH($B345,차량목록!$A$3:$A$102,0)),"미등록차량"))</f>
        <v/>
      </c>
      <c r="D345" s="11"/>
      <c r="E345" s="18" t="str">
        <f aca="false">IF($D345="","",IFERROR(INDEX(정비항목!$B$3:$B$52,MATCH($D345,정비항목!$A$3:$A$52,0)),"미등록항목"))</f>
        <v/>
      </c>
      <c r="F345" s="14"/>
      <c r="G345" s="14"/>
      <c r="H345" s="11"/>
    </row>
    <row r="346" customFormat="false" ht="15" hidden="false" customHeight="true" outlineLevel="0" collapsed="false">
      <c r="A346" s="15"/>
      <c r="B346" s="11"/>
      <c r="C346" s="18" t="str">
        <f aca="false">IF($B346="","",IFERROR(INDEX(차량목록!$B$3:$B$102,MATCH($B346,차량목록!$A$3:$A$102,0)),"미등록차량"))</f>
        <v/>
      </c>
      <c r="D346" s="11"/>
      <c r="E346" s="18" t="str">
        <f aca="false">IF($D346="","",IFERROR(INDEX(정비항목!$B$3:$B$52,MATCH($D346,정비항목!$A$3:$A$52,0)),"미등록항목"))</f>
        <v/>
      </c>
      <c r="F346" s="14"/>
      <c r="G346" s="14"/>
      <c r="H346" s="11"/>
    </row>
    <row r="347" customFormat="false" ht="15" hidden="false" customHeight="true" outlineLevel="0" collapsed="false">
      <c r="A347" s="15"/>
      <c r="B347" s="11"/>
      <c r="C347" s="18" t="str">
        <f aca="false">IF($B347="","",IFERROR(INDEX(차량목록!$B$3:$B$102,MATCH($B347,차량목록!$A$3:$A$102,0)),"미등록차량"))</f>
        <v/>
      </c>
      <c r="D347" s="11"/>
      <c r="E347" s="18" t="str">
        <f aca="false">IF($D347="","",IFERROR(INDEX(정비항목!$B$3:$B$52,MATCH($D347,정비항목!$A$3:$A$52,0)),"미등록항목"))</f>
        <v/>
      </c>
      <c r="F347" s="14"/>
      <c r="G347" s="14"/>
      <c r="H347" s="11"/>
    </row>
    <row r="348" customFormat="false" ht="15" hidden="false" customHeight="true" outlineLevel="0" collapsed="false">
      <c r="A348" s="15"/>
      <c r="B348" s="11"/>
      <c r="C348" s="18" t="str">
        <f aca="false">IF($B348="","",IFERROR(INDEX(차량목록!$B$3:$B$102,MATCH($B348,차량목록!$A$3:$A$102,0)),"미등록차량"))</f>
        <v/>
      </c>
      <c r="D348" s="11"/>
      <c r="E348" s="18" t="str">
        <f aca="false">IF($D348="","",IFERROR(INDEX(정비항목!$B$3:$B$52,MATCH($D348,정비항목!$A$3:$A$52,0)),"미등록항목"))</f>
        <v/>
      </c>
      <c r="F348" s="14"/>
      <c r="G348" s="14"/>
      <c r="H348" s="11"/>
    </row>
    <row r="349" customFormat="false" ht="15" hidden="false" customHeight="true" outlineLevel="0" collapsed="false">
      <c r="A349" s="15"/>
      <c r="B349" s="11"/>
      <c r="C349" s="18" t="str">
        <f aca="false">IF($B349="","",IFERROR(INDEX(차량목록!$B$3:$B$102,MATCH($B349,차량목록!$A$3:$A$102,0)),"미등록차량"))</f>
        <v/>
      </c>
      <c r="D349" s="11"/>
      <c r="E349" s="18" t="str">
        <f aca="false">IF($D349="","",IFERROR(INDEX(정비항목!$B$3:$B$52,MATCH($D349,정비항목!$A$3:$A$52,0)),"미등록항목"))</f>
        <v/>
      </c>
      <c r="F349" s="14"/>
      <c r="G349" s="14"/>
      <c r="H349" s="11"/>
    </row>
    <row r="350" customFormat="false" ht="15" hidden="false" customHeight="true" outlineLevel="0" collapsed="false">
      <c r="A350" s="15"/>
      <c r="B350" s="11"/>
      <c r="C350" s="18" t="str">
        <f aca="false">IF($B350="","",IFERROR(INDEX(차량목록!$B$3:$B$102,MATCH($B350,차량목록!$A$3:$A$102,0)),"미등록차량"))</f>
        <v/>
      </c>
      <c r="D350" s="11"/>
      <c r="E350" s="18" t="str">
        <f aca="false">IF($D350="","",IFERROR(INDEX(정비항목!$B$3:$B$52,MATCH($D350,정비항목!$A$3:$A$52,0)),"미등록항목"))</f>
        <v/>
      </c>
      <c r="F350" s="14"/>
      <c r="G350" s="14"/>
      <c r="H350" s="11"/>
    </row>
    <row r="351" customFormat="false" ht="15" hidden="false" customHeight="true" outlineLevel="0" collapsed="false">
      <c r="A351" s="15"/>
      <c r="B351" s="11"/>
      <c r="C351" s="18" t="str">
        <f aca="false">IF($B351="","",IFERROR(INDEX(차량목록!$B$3:$B$102,MATCH($B351,차량목록!$A$3:$A$102,0)),"미등록차량"))</f>
        <v/>
      </c>
      <c r="D351" s="11"/>
      <c r="E351" s="18" t="str">
        <f aca="false">IF($D351="","",IFERROR(INDEX(정비항목!$B$3:$B$52,MATCH($D351,정비항목!$A$3:$A$52,0)),"미등록항목"))</f>
        <v/>
      </c>
      <c r="F351" s="14"/>
      <c r="G351" s="14"/>
      <c r="H351" s="11"/>
    </row>
    <row r="352" customFormat="false" ht="15" hidden="false" customHeight="true" outlineLevel="0" collapsed="false">
      <c r="A352" s="15"/>
      <c r="B352" s="11"/>
      <c r="C352" s="18" t="str">
        <f aca="false">IF($B352="","",IFERROR(INDEX(차량목록!$B$3:$B$102,MATCH($B352,차량목록!$A$3:$A$102,0)),"미등록차량"))</f>
        <v/>
      </c>
      <c r="D352" s="11"/>
      <c r="E352" s="18" t="str">
        <f aca="false">IF($D352="","",IFERROR(INDEX(정비항목!$B$3:$B$52,MATCH($D352,정비항목!$A$3:$A$52,0)),"미등록항목"))</f>
        <v/>
      </c>
      <c r="F352" s="14"/>
      <c r="G352" s="14"/>
      <c r="H352" s="11"/>
    </row>
    <row r="353" customFormat="false" ht="15" hidden="false" customHeight="true" outlineLevel="0" collapsed="false">
      <c r="A353" s="15"/>
      <c r="B353" s="11"/>
      <c r="C353" s="18" t="str">
        <f aca="false">IF($B353="","",IFERROR(INDEX(차량목록!$B$3:$B$102,MATCH($B353,차량목록!$A$3:$A$102,0)),"미등록차량"))</f>
        <v/>
      </c>
      <c r="D353" s="11"/>
      <c r="E353" s="18" t="str">
        <f aca="false">IF($D353="","",IFERROR(INDEX(정비항목!$B$3:$B$52,MATCH($D353,정비항목!$A$3:$A$52,0)),"미등록항목"))</f>
        <v/>
      </c>
      <c r="F353" s="14"/>
      <c r="G353" s="14"/>
      <c r="H353" s="11"/>
    </row>
    <row r="354" customFormat="false" ht="15" hidden="false" customHeight="true" outlineLevel="0" collapsed="false">
      <c r="A354" s="15"/>
      <c r="B354" s="11"/>
      <c r="C354" s="18" t="str">
        <f aca="false">IF($B354="","",IFERROR(INDEX(차량목록!$B$3:$B$102,MATCH($B354,차량목록!$A$3:$A$102,0)),"미등록차량"))</f>
        <v/>
      </c>
      <c r="D354" s="11"/>
      <c r="E354" s="18" t="str">
        <f aca="false">IF($D354="","",IFERROR(INDEX(정비항목!$B$3:$B$52,MATCH($D354,정비항목!$A$3:$A$52,0)),"미등록항목"))</f>
        <v/>
      </c>
      <c r="F354" s="14"/>
      <c r="G354" s="14"/>
      <c r="H354" s="11"/>
    </row>
    <row r="355" customFormat="false" ht="15" hidden="false" customHeight="true" outlineLevel="0" collapsed="false">
      <c r="A355" s="15"/>
      <c r="B355" s="11"/>
      <c r="C355" s="18" t="str">
        <f aca="false">IF($B355="","",IFERROR(INDEX(차량목록!$B$3:$B$102,MATCH($B355,차량목록!$A$3:$A$102,0)),"미등록차량"))</f>
        <v/>
      </c>
      <c r="D355" s="11"/>
      <c r="E355" s="18" t="str">
        <f aca="false">IF($D355="","",IFERROR(INDEX(정비항목!$B$3:$B$52,MATCH($D355,정비항목!$A$3:$A$52,0)),"미등록항목"))</f>
        <v/>
      </c>
      <c r="F355" s="14"/>
      <c r="G355" s="14"/>
      <c r="H355" s="11"/>
    </row>
    <row r="356" customFormat="false" ht="15" hidden="false" customHeight="true" outlineLevel="0" collapsed="false">
      <c r="A356" s="15"/>
      <c r="B356" s="11"/>
      <c r="C356" s="18" t="str">
        <f aca="false">IF($B356="","",IFERROR(INDEX(차량목록!$B$3:$B$102,MATCH($B356,차량목록!$A$3:$A$102,0)),"미등록차량"))</f>
        <v/>
      </c>
      <c r="D356" s="11"/>
      <c r="E356" s="18" t="str">
        <f aca="false">IF($D356="","",IFERROR(INDEX(정비항목!$B$3:$B$52,MATCH($D356,정비항목!$A$3:$A$52,0)),"미등록항목"))</f>
        <v/>
      </c>
      <c r="F356" s="14"/>
      <c r="G356" s="14"/>
      <c r="H356" s="11"/>
    </row>
    <row r="357" customFormat="false" ht="15" hidden="false" customHeight="true" outlineLevel="0" collapsed="false">
      <c r="A357" s="15"/>
      <c r="B357" s="11"/>
      <c r="C357" s="18" t="str">
        <f aca="false">IF($B357="","",IFERROR(INDEX(차량목록!$B$3:$B$102,MATCH($B357,차량목록!$A$3:$A$102,0)),"미등록차량"))</f>
        <v/>
      </c>
      <c r="D357" s="11"/>
      <c r="E357" s="18" t="str">
        <f aca="false">IF($D357="","",IFERROR(INDEX(정비항목!$B$3:$B$52,MATCH($D357,정비항목!$A$3:$A$52,0)),"미등록항목"))</f>
        <v/>
      </c>
      <c r="F357" s="14"/>
      <c r="G357" s="14"/>
      <c r="H357" s="11"/>
    </row>
    <row r="358" customFormat="false" ht="15" hidden="false" customHeight="true" outlineLevel="0" collapsed="false">
      <c r="A358" s="15"/>
      <c r="B358" s="11"/>
      <c r="C358" s="18" t="str">
        <f aca="false">IF($B358="","",IFERROR(INDEX(차량목록!$B$3:$B$102,MATCH($B358,차량목록!$A$3:$A$102,0)),"미등록차량"))</f>
        <v/>
      </c>
      <c r="D358" s="11"/>
      <c r="E358" s="18" t="str">
        <f aca="false">IF($D358="","",IFERROR(INDEX(정비항목!$B$3:$B$52,MATCH($D358,정비항목!$A$3:$A$52,0)),"미등록항목"))</f>
        <v/>
      </c>
      <c r="F358" s="14"/>
      <c r="G358" s="14"/>
      <c r="H358" s="11"/>
    </row>
    <row r="359" customFormat="false" ht="15" hidden="false" customHeight="true" outlineLevel="0" collapsed="false">
      <c r="A359" s="15"/>
      <c r="B359" s="11"/>
      <c r="C359" s="18" t="str">
        <f aca="false">IF($B359="","",IFERROR(INDEX(차량목록!$B$3:$B$102,MATCH($B359,차량목록!$A$3:$A$102,0)),"미등록차량"))</f>
        <v/>
      </c>
      <c r="D359" s="11"/>
      <c r="E359" s="18" t="str">
        <f aca="false">IF($D359="","",IFERROR(INDEX(정비항목!$B$3:$B$52,MATCH($D359,정비항목!$A$3:$A$52,0)),"미등록항목"))</f>
        <v/>
      </c>
      <c r="F359" s="14"/>
      <c r="G359" s="14"/>
      <c r="H359" s="11"/>
    </row>
    <row r="360" customFormat="false" ht="15" hidden="false" customHeight="true" outlineLevel="0" collapsed="false">
      <c r="A360" s="15"/>
      <c r="B360" s="11"/>
      <c r="C360" s="18" t="str">
        <f aca="false">IF($B360="","",IFERROR(INDEX(차량목록!$B$3:$B$102,MATCH($B360,차량목록!$A$3:$A$102,0)),"미등록차량"))</f>
        <v/>
      </c>
      <c r="D360" s="11"/>
      <c r="E360" s="18" t="str">
        <f aca="false">IF($D360="","",IFERROR(INDEX(정비항목!$B$3:$B$52,MATCH($D360,정비항목!$A$3:$A$52,0)),"미등록항목"))</f>
        <v/>
      </c>
      <c r="F360" s="14"/>
      <c r="G360" s="14"/>
      <c r="H360" s="11"/>
    </row>
    <row r="361" customFormat="false" ht="15" hidden="false" customHeight="true" outlineLevel="0" collapsed="false">
      <c r="A361" s="15"/>
      <c r="B361" s="11"/>
      <c r="C361" s="18" t="str">
        <f aca="false">IF($B361="","",IFERROR(INDEX(차량목록!$B$3:$B$102,MATCH($B361,차량목록!$A$3:$A$102,0)),"미등록차량"))</f>
        <v/>
      </c>
      <c r="D361" s="11"/>
      <c r="E361" s="18" t="str">
        <f aca="false">IF($D361="","",IFERROR(INDEX(정비항목!$B$3:$B$52,MATCH($D361,정비항목!$A$3:$A$52,0)),"미등록항목"))</f>
        <v/>
      </c>
      <c r="F361" s="14"/>
      <c r="G361" s="14"/>
      <c r="H361" s="11"/>
    </row>
    <row r="362" customFormat="false" ht="15" hidden="false" customHeight="true" outlineLevel="0" collapsed="false">
      <c r="A362" s="15"/>
      <c r="B362" s="11"/>
      <c r="C362" s="18" t="str">
        <f aca="false">IF($B362="","",IFERROR(INDEX(차량목록!$B$3:$B$102,MATCH($B362,차량목록!$A$3:$A$102,0)),"미등록차량"))</f>
        <v/>
      </c>
      <c r="D362" s="11"/>
      <c r="E362" s="18" t="str">
        <f aca="false">IF($D362="","",IFERROR(INDEX(정비항목!$B$3:$B$52,MATCH($D362,정비항목!$A$3:$A$52,0)),"미등록항목"))</f>
        <v/>
      </c>
      <c r="F362" s="14"/>
      <c r="G362" s="14"/>
      <c r="H362" s="11"/>
    </row>
    <row r="363" customFormat="false" ht="15" hidden="false" customHeight="true" outlineLevel="0" collapsed="false">
      <c r="A363" s="15"/>
      <c r="B363" s="11"/>
      <c r="C363" s="18" t="str">
        <f aca="false">IF($B363="","",IFERROR(INDEX(차량목록!$B$3:$B$102,MATCH($B363,차량목록!$A$3:$A$102,0)),"미등록차량"))</f>
        <v/>
      </c>
      <c r="D363" s="11"/>
      <c r="E363" s="18" t="str">
        <f aca="false">IF($D363="","",IFERROR(INDEX(정비항목!$B$3:$B$52,MATCH($D363,정비항목!$A$3:$A$52,0)),"미등록항목"))</f>
        <v/>
      </c>
      <c r="F363" s="14"/>
      <c r="G363" s="14"/>
      <c r="H363" s="11"/>
    </row>
    <row r="364" customFormat="false" ht="15" hidden="false" customHeight="true" outlineLevel="0" collapsed="false">
      <c r="A364" s="15"/>
      <c r="B364" s="11"/>
      <c r="C364" s="18" t="str">
        <f aca="false">IF($B364="","",IFERROR(INDEX(차량목록!$B$3:$B$102,MATCH($B364,차량목록!$A$3:$A$102,0)),"미등록차량"))</f>
        <v/>
      </c>
      <c r="D364" s="11"/>
      <c r="E364" s="18" t="str">
        <f aca="false">IF($D364="","",IFERROR(INDEX(정비항목!$B$3:$B$52,MATCH($D364,정비항목!$A$3:$A$52,0)),"미등록항목"))</f>
        <v/>
      </c>
      <c r="F364" s="14"/>
      <c r="G364" s="14"/>
      <c r="H364" s="11"/>
    </row>
    <row r="365" customFormat="false" ht="15" hidden="false" customHeight="true" outlineLevel="0" collapsed="false">
      <c r="A365" s="15"/>
      <c r="B365" s="11"/>
      <c r="C365" s="18" t="str">
        <f aca="false">IF($B365="","",IFERROR(INDEX(차량목록!$B$3:$B$102,MATCH($B365,차량목록!$A$3:$A$102,0)),"미등록차량"))</f>
        <v/>
      </c>
      <c r="D365" s="11"/>
      <c r="E365" s="18" t="str">
        <f aca="false">IF($D365="","",IFERROR(INDEX(정비항목!$B$3:$B$52,MATCH($D365,정비항목!$A$3:$A$52,0)),"미등록항목"))</f>
        <v/>
      </c>
      <c r="F365" s="14"/>
      <c r="G365" s="14"/>
      <c r="H365" s="11"/>
    </row>
    <row r="366" customFormat="false" ht="15" hidden="false" customHeight="true" outlineLevel="0" collapsed="false">
      <c r="A366" s="15"/>
      <c r="B366" s="11"/>
      <c r="C366" s="18" t="str">
        <f aca="false">IF($B366="","",IFERROR(INDEX(차량목록!$B$3:$B$102,MATCH($B366,차량목록!$A$3:$A$102,0)),"미등록차량"))</f>
        <v/>
      </c>
      <c r="D366" s="11"/>
      <c r="E366" s="18" t="str">
        <f aca="false">IF($D366="","",IFERROR(INDEX(정비항목!$B$3:$B$52,MATCH($D366,정비항목!$A$3:$A$52,0)),"미등록항목"))</f>
        <v/>
      </c>
      <c r="F366" s="14"/>
      <c r="G366" s="14"/>
      <c r="H366" s="11"/>
    </row>
    <row r="367" customFormat="false" ht="15" hidden="false" customHeight="true" outlineLevel="0" collapsed="false">
      <c r="A367" s="15"/>
      <c r="B367" s="11"/>
      <c r="C367" s="18" t="str">
        <f aca="false">IF($B367="","",IFERROR(INDEX(차량목록!$B$3:$B$102,MATCH($B367,차량목록!$A$3:$A$102,0)),"미등록차량"))</f>
        <v/>
      </c>
      <c r="D367" s="11"/>
      <c r="E367" s="18" t="str">
        <f aca="false">IF($D367="","",IFERROR(INDEX(정비항목!$B$3:$B$52,MATCH($D367,정비항목!$A$3:$A$52,0)),"미등록항목"))</f>
        <v/>
      </c>
      <c r="F367" s="14"/>
      <c r="G367" s="14"/>
      <c r="H367" s="11"/>
    </row>
    <row r="368" customFormat="false" ht="15" hidden="false" customHeight="true" outlineLevel="0" collapsed="false">
      <c r="A368" s="15"/>
      <c r="B368" s="11"/>
      <c r="C368" s="18" t="str">
        <f aca="false">IF($B368="","",IFERROR(INDEX(차량목록!$B$3:$B$102,MATCH($B368,차량목록!$A$3:$A$102,0)),"미등록차량"))</f>
        <v/>
      </c>
      <c r="D368" s="11"/>
      <c r="E368" s="18" t="str">
        <f aca="false">IF($D368="","",IFERROR(INDEX(정비항목!$B$3:$B$52,MATCH($D368,정비항목!$A$3:$A$52,0)),"미등록항목"))</f>
        <v/>
      </c>
      <c r="F368" s="14"/>
      <c r="G368" s="14"/>
      <c r="H368" s="11"/>
    </row>
    <row r="369" customFormat="false" ht="15" hidden="false" customHeight="true" outlineLevel="0" collapsed="false">
      <c r="A369" s="15"/>
      <c r="B369" s="11"/>
      <c r="C369" s="18" t="str">
        <f aca="false">IF($B369="","",IFERROR(INDEX(차량목록!$B$3:$B$102,MATCH($B369,차량목록!$A$3:$A$102,0)),"미등록차량"))</f>
        <v/>
      </c>
      <c r="D369" s="11"/>
      <c r="E369" s="18" t="str">
        <f aca="false">IF($D369="","",IFERROR(INDEX(정비항목!$B$3:$B$52,MATCH($D369,정비항목!$A$3:$A$52,0)),"미등록항목"))</f>
        <v/>
      </c>
      <c r="F369" s="14"/>
      <c r="G369" s="14"/>
      <c r="H369" s="11"/>
    </row>
    <row r="370" customFormat="false" ht="15" hidden="false" customHeight="true" outlineLevel="0" collapsed="false">
      <c r="A370" s="15"/>
      <c r="B370" s="11"/>
      <c r="C370" s="18" t="str">
        <f aca="false">IF($B370="","",IFERROR(INDEX(차량목록!$B$3:$B$102,MATCH($B370,차량목록!$A$3:$A$102,0)),"미등록차량"))</f>
        <v/>
      </c>
      <c r="D370" s="11"/>
      <c r="E370" s="18" t="str">
        <f aca="false">IF($D370="","",IFERROR(INDEX(정비항목!$B$3:$B$52,MATCH($D370,정비항목!$A$3:$A$52,0)),"미등록항목"))</f>
        <v/>
      </c>
      <c r="F370" s="14"/>
      <c r="G370" s="14"/>
      <c r="H370" s="11"/>
    </row>
    <row r="371" customFormat="false" ht="15" hidden="false" customHeight="true" outlineLevel="0" collapsed="false">
      <c r="A371" s="15"/>
      <c r="B371" s="11"/>
      <c r="C371" s="18" t="str">
        <f aca="false">IF($B371="","",IFERROR(INDEX(차량목록!$B$3:$B$102,MATCH($B371,차량목록!$A$3:$A$102,0)),"미등록차량"))</f>
        <v/>
      </c>
      <c r="D371" s="11"/>
      <c r="E371" s="18" t="str">
        <f aca="false">IF($D371="","",IFERROR(INDEX(정비항목!$B$3:$B$52,MATCH($D371,정비항목!$A$3:$A$52,0)),"미등록항목"))</f>
        <v/>
      </c>
      <c r="F371" s="14"/>
      <c r="G371" s="14"/>
      <c r="H371" s="11"/>
    </row>
    <row r="372" customFormat="false" ht="15" hidden="false" customHeight="true" outlineLevel="0" collapsed="false">
      <c r="A372" s="15"/>
      <c r="B372" s="11"/>
      <c r="C372" s="18" t="str">
        <f aca="false">IF($B372="","",IFERROR(INDEX(차량목록!$B$3:$B$102,MATCH($B372,차량목록!$A$3:$A$102,0)),"미등록차량"))</f>
        <v/>
      </c>
      <c r="D372" s="11"/>
      <c r="E372" s="18" t="str">
        <f aca="false">IF($D372="","",IFERROR(INDEX(정비항목!$B$3:$B$52,MATCH($D372,정비항목!$A$3:$A$52,0)),"미등록항목"))</f>
        <v/>
      </c>
      <c r="F372" s="14"/>
      <c r="G372" s="14"/>
      <c r="H372" s="11"/>
    </row>
    <row r="373" customFormat="false" ht="15" hidden="false" customHeight="true" outlineLevel="0" collapsed="false">
      <c r="A373" s="15"/>
      <c r="B373" s="11"/>
      <c r="C373" s="18" t="str">
        <f aca="false">IF($B373="","",IFERROR(INDEX(차량목록!$B$3:$B$102,MATCH($B373,차량목록!$A$3:$A$102,0)),"미등록차량"))</f>
        <v/>
      </c>
      <c r="D373" s="11"/>
      <c r="E373" s="18" t="str">
        <f aca="false">IF($D373="","",IFERROR(INDEX(정비항목!$B$3:$B$52,MATCH($D373,정비항목!$A$3:$A$52,0)),"미등록항목"))</f>
        <v/>
      </c>
      <c r="F373" s="14"/>
      <c r="G373" s="14"/>
      <c r="H373" s="11"/>
    </row>
    <row r="374" customFormat="false" ht="15" hidden="false" customHeight="true" outlineLevel="0" collapsed="false">
      <c r="A374" s="15"/>
      <c r="B374" s="11"/>
      <c r="C374" s="18" t="str">
        <f aca="false">IF($B374="","",IFERROR(INDEX(차량목록!$B$3:$B$102,MATCH($B374,차량목록!$A$3:$A$102,0)),"미등록차량"))</f>
        <v/>
      </c>
      <c r="D374" s="11"/>
      <c r="E374" s="18" t="str">
        <f aca="false">IF($D374="","",IFERROR(INDEX(정비항목!$B$3:$B$52,MATCH($D374,정비항목!$A$3:$A$52,0)),"미등록항목"))</f>
        <v/>
      </c>
      <c r="F374" s="14"/>
      <c r="G374" s="14"/>
      <c r="H374" s="11"/>
    </row>
    <row r="375" customFormat="false" ht="15" hidden="false" customHeight="true" outlineLevel="0" collapsed="false">
      <c r="A375" s="15"/>
      <c r="B375" s="11"/>
      <c r="C375" s="18" t="str">
        <f aca="false">IF($B375="","",IFERROR(INDEX(차량목록!$B$3:$B$102,MATCH($B375,차량목록!$A$3:$A$102,0)),"미등록차량"))</f>
        <v/>
      </c>
      <c r="D375" s="11"/>
      <c r="E375" s="18" t="str">
        <f aca="false">IF($D375="","",IFERROR(INDEX(정비항목!$B$3:$B$52,MATCH($D375,정비항목!$A$3:$A$52,0)),"미등록항목"))</f>
        <v/>
      </c>
      <c r="F375" s="14"/>
      <c r="G375" s="14"/>
      <c r="H375" s="11"/>
    </row>
    <row r="376" customFormat="false" ht="15" hidden="false" customHeight="true" outlineLevel="0" collapsed="false">
      <c r="A376" s="15"/>
      <c r="B376" s="11"/>
      <c r="C376" s="18" t="str">
        <f aca="false">IF($B376="","",IFERROR(INDEX(차량목록!$B$3:$B$102,MATCH($B376,차량목록!$A$3:$A$102,0)),"미등록차량"))</f>
        <v/>
      </c>
      <c r="D376" s="11"/>
      <c r="E376" s="18" t="str">
        <f aca="false">IF($D376="","",IFERROR(INDEX(정비항목!$B$3:$B$52,MATCH($D376,정비항목!$A$3:$A$52,0)),"미등록항목"))</f>
        <v/>
      </c>
      <c r="F376" s="14"/>
      <c r="G376" s="14"/>
      <c r="H376" s="11"/>
    </row>
    <row r="377" customFormat="false" ht="15" hidden="false" customHeight="true" outlineLevel="0" collapsed="false">
      <c r="A377" s="15"/>
      <c r="B377" s="11"/>
      <c r="C377" s="18" t="str">
        <f aca="false">IF($B377="","",IFERROR(INDEX(차량목록!$B$3:$B$102,MATCH($B377,차량목록!$A$3:$A$102,0)),"미등록차량"))</f>
        <v/>
      </c>
      <c r="D377" s="11"/>
      <c r="E377" s="18" t="str">
        <f aca="false">IF($D377="","",IFERROR(INDEX(정비항목!$B$3:$B$52,MATCH($D377,정비항목!$A$3:$A$52,0)),"미등록항목"))</f>
        <v/>
      </c>
      <c r="F377" s="14"/>
      <c r="G377" s="14"/>
      <c r="H377" s="11"/>
    </row>
    <row r="378" customFormat="false" ht="15" hidden="false" customHeight="true" outlineLevel="0" collapsed="false">
      <c r="A378" s="15"/>
      <c r="B378" s="11"/>
      <c r="C378" s="18" t="str">
        <f aca="false">IF($B378="","",IFERROR(INDEX(차량목록!$B$3:$B$102,MATCH($B378,차량목록!$A$3:$A$102,0)),"미등록차량"))</f>
        <v/>
      </c>
      <c r="D378" s="11"/>
      <c r="E378" s="18" t="str">
        <f aca="false">IF($D378="","",IFERROR(INDEX(정비항목!$B$3:$B$52,MATCH($D378,정비항목!$A$3:$A$52,0)),"미등록항목"))</f>
        <v/>
      </c>
      <c r="F378" s="14"/>
      <c r="G378" s="14"/>
      <c r="H378" s="11"/>
    </row>
    <row r="379" customFormat="false" ht="15" hidden="false" customHeight="true" outlineLevel="0" collapsed="false">
      <c r="A379" s="15"/>
      <c r="B379" s="11"/>
      <c r="C379" s="18" t="str">
        <f aca="false">IF($B379="","",IFERROR(INDEX(차량목록!$B$3:$B$102,MATCH($B379,차량목록!$A$3:$A$102,0)),"미등록차량"))</f>
        <v/>
      </c>
      <c r="D379" s="11"/>
      <c r="E379" s="18" t="str">
        <f aca="false">IF($D379="","",IFERROR(INDEX(정비항목!$B$3:$B$52,MATCH($D379,정비항목!$A$3:$A$52,0)),"미등록항목"))</f>
        <v/>
      </c>
      <c r="F379" s="14"/>
      <c r="G379" s="14"/>
      <c r="H379" s="11"/>
    </row>
    <row r="380" customFormat="false" ht="15" hidden="false" customHeight="true" outlineLevel="0" collapsed="false">
      <c r="A380" s="15"/>
      <c r="B380" s="11"/>
      <c r="C380" s="18" t="str">
        <f aca="false">IF($B380="","",IFERROR(INDEX(차량목록!$B$3:$B$102,MATCH($B380,차량목록!$A$3:$A$102,0)),"미등록차량"))</f>
        <v/>
      </c>
      <c r="D380" s="11"/>
      <c r="E380" s="18" t="str">
        <f aca="false">IF($D380="","",IFERROR(INDEX(정비항목!$B$3:$B$52,MATCH($D380,정비항목!$A$3:$A$52,0)),"미등록항목"))</f>
        <v/>
      </c>
      <c r="F380" s="14"/>
      <c r="G380" s="14"/>
      <c r="H380" s="11"/>
    </row>
    <row r="381" customFormat="false" ht="15" hidden="false" customHeight="true" outlineLevel="0" collapsed="false">
      <c r="A381" s="15"/>
      <c r="B381" s="11"/>
      <c r="C381" s="18" t="str">
        <f aca="false">IF($B381="","",IFERROR(INDEX(차량목록!$B$3:$B$102,MATCH($B381,차량목록!$A$3:$A$102,0)),"미등록차량"))</f>
        <v/>
      </c>
      <c r="D381" s="11"/>
      <c r="E381" s="18" t="str">
        <f aca="false">IF($D381="","",IFERROR(INDEX(정비항목!$B$3:$B$52,MATCH($D381,정비항목!$A$3:$A$52,0)),"미등록항목"))</f>
        <v/>
      </c>
      <c r="F381" s="14"/>
      <c r="G381" s="14"/>
      <c r="H381" s="11"/>
    </row>
    <row r="382" customFormat="false" ht="15" hidden="false" customHeight="true" outlineLevel="0" collapsed="false">
      <c r="A382" s="15"/>
      <c r="B382" s="11"/>
      <c r="C382" s="18" t="str">
        <f aca="false">IF($B382="","",IFERROR(INDEX(차량목록!$B$3:$B$102,MATCH($B382,차량목록!$A$3:$A$102,0)),"미등록차량"))</f>
        <v/>
      </c>
      <c r="D382" s="11"/>
      <c r="E382" s="18" t="str">
        <f aca="false">IF($D382="","",IFERROR(INDEX(정비항목!$B$3:$B$52,MATCH($D382,정비항목!$A$3:$A$52,0)),"미등록항목"))</f>
        <v/>
      </c>
      <c r="F382" s="14"/>
      <c r="G382" s="14"/>
      <c r="H382" s="11"/>
    </row>
    <row r="383" customFormat="false" ht="15" hidden="false" customHeight="true" outlineLevel="0" collapsed="false">
      <c r="A383" s="15"/>
      <c r="B383" s="11"/>
      <c r="C383" s="18" t="str">
        <f aca="false">IF($B383="","",IFERROR(INDEX(차량목록!$B$3:$B$102,MATCH($B383,차량목록!$A$3:$A$102,0)),"미등록차량"))</f>
        <v/>
      </c>
      <c r="D383" s="11"/>
      <c r="E383" s="18" t="str">
        <f aca="false">IF($D383="","",IFERROR(INDEX(정비항목!$B$3:$B$52,MATCH($D383,정비항목!$A$3:$A$52,0)),"미등록항목"))</f>
        <v/>
      </c>
      <c r="F383" s="14"/>
      <c r="G383" s="14"/>
      <c r="H383" s="11"/>
    </row>
    <row r="384" customFormat="false" ht="15" hidden="false" customHeight="true" outlineLevel="0" collapsed="false">
      <c r="A384" s="15"/>
      <c r="B384" s="11"/>
      <c r="C384" s="18" t="str">
        <f aca="false">IF($B384="","",IFERROR(INDEX(차량목록!$B$3:$B$102,MATCH($B384,차량목록!$A$3:$A$102,0)),"미등록차량"))</f>
        <v/>
      </c>
      <c r="D384" s="11"/>
      <c r="E384" s="18" t="str">
        <f aca="false">IF($D384="","",IFERROR(INDEX(정비항목!$B$3:$B$52,MATCH($D384,정비항목!$A$3:$A$52,0)),"미등록항목"))</f>
        <v/>
      </c>
      <c r="F384" s="14"/>
      <c r="G384" s="14"/>
      <c r="H384" s="11"/>
    </row>
    <row r="385" customFormat="false" ht="15" hidden="false" customHeight="true" outlineLevel="0" collapsed="false">
      <c r="A385" s="15"/>
      <c r="B385" s="11"/>
      <c r="C385" s="18" t="str">
        <f aca="false">IF($B385="","",IFERROR(INDEX(차량목록!$B$3:$B$102,MATCH($B385,차량목록!$A$3:$A$102,0)),"미등록차량"))</f>
        <v/>
      </c>
      <c r="D385" s="11"/>
      <c r="E385" s="18" t="str">
        <f aca="false">IF($D385="","",IFERROR(INDEX(정비항목!$B$3:$B$52,MATCH($D385,정비항목!$A$3:$A$52,0)),"미등록항목"))</f>
        <v/>
      </c>
      <c r="F385" s="14"/>
      <c r="G385" s="14"/>
      <c r="H385" s="11"/>
    </row>
    <row r="386" customFormat="false" ht="15" hidden="false" customHeight="true" outlineLevel="0" collapsed="false">
      <c r="A386" s="15"/>
      <c r="B386" s="11"/>
      <c r="C386" s="18" t="str">
        <f aca="false">IF($B386="","",IFERROR(INDEX(차량목록!$B$3:$B$102,MATCH($B386,차량목록!$A$3:$A$102,0)),"미등록차량"))</f>
        <v/>
      </c>
      <c r="D386" s="11"/>
      <c r="E386" s="18" t="str">
        <f aca="false">IF($D386="","",IFERROR(INDEX(정비항목!$B$3:$B$52,MATCH($D386,정비항목!$A$3:$A$52,0)),"미등록항목"))</f>
        <v/>
      </c>
      <c r="F386" s="14"/>
      <c r="G386" s="14"/>
      <c r="H386" s="11"/>
    </row>
    <row r="387" customFormat="false" ht="15" hidden="false" customHeight="true" outlineLevel="0" collapsed="false">
      <c r="A387" s="15"/>
      <c r="B387" s="11"/>
      <c r="C387" s="18" t="str">
        <f aca="false">IF($B387="","",IFERROR(INDEX(차량목록!$B$3:$B$102,MATCH($B387,차량목록!$A$3:$A$102,0)),"미등록차량"))</f>
        <v/>
      </c>
      <c r="D387" s="11"/>
      <c r="E387" s="18" t="str">
        <f aca="false">IF($D387="","",IFERROR(INDEX(정비항목!$B$3:$B$52,MATCH($D387,정비항목!$A$3:$A$52,0)),"미등록항목"))</f>
        <v/>
      </c>
      <c r="F387" s="14"/>
      <c r="G387" s="14"/>
      <c r="H387" s="11"/>
    </row>
    <row r="388" customFormat="false" ht="15" hidden="false" customHeight="true" outlineLevel="0" collapsed="false">
      <c r="A388" s="15"/>
      <c r="B388" s="11"/>
      <c r="C388" s="18" t="str">
        <f aca="false">IF($B388="","",IFERROR(INDEX(차량목록!$B$3:$B$102,MATCH($B388,차량목록!$A$3:$A$102,0)),"미등록차량"))</f>
        <v/>
      </c>
      <c r="D388" s="11"/>
      <c r="E388" s="18" t="str">
        <f aca="false">IF($D388="","",IFERROR(INDEX(정비항목!$B$3:$B$52,MATCH($D388,정비항목!$A$3:$A$52,0)),"미등록항목"))</f>
        <v/>
      </c>
      <c r="F388" s="14"/>
      <c r="G388" s="14"/>
      <c r="H388" s="11"/>
    </row>
    <row r="389" customFormat="false" ht="15" hidden="false" customHeight="true" outlineLevel="0" collapsed="false">
      <c r="A389" s="15"/>
      <c r="B389" s="11"/>
      <c r="C389" s="18" t="str">
        <f aca="false">IF($B389="","",IFERROR(INDEX(차량목록!$B$3:$B$102,MATCH($B389,차량목록!$A$3:$A$102,0)),"미등록차량"))</f>
        <v/>
      </c>
      <c r="D389" s="11"/>
      <c r="E389" s="18" t="str">
        <f aca="false">IF($D389="","",IFERROR(INDEX(정비항목!$B$3:$B$52,MATCH($D389,정비항목!$A$3:$A$52,0)),"미등록항목"))</f>
        <v/>
      </c>
      <c r="F389" s="14"/>
      <c r="G389" s="14"/>
      <c r="H389" s="11"/>
    </row>
    <row r="390" customFormat="false" ht="15" hidden="false" customHeight="true" outlineLevel="0" collapsed="false">
      <c r="A390" s="15"/>
      <c r="B390" s="11"/>
      <c r="C390" s="18" t="str">
        <f aca="false">IF($B390="","",IFERROR(INDEX(차량목록!$B$3:$B$102,MATCH($B390,차량목록!$A$3:$A$102,0)),"미등록차량"))</f>
        <v/>
      </c>
      <c r="D390" s="11"/>
      <c r="E390" s="18" t="str">
        <f aca="false">IF($D390="","",IFERROR(INDEX(정비항목!$B$3:$B$52,MATCH($D390,정비항목!$A$3:$A$52,0)),"미등록항목"))</f>
        <v/>
      </c>
      <c r="F390" s="14"/>
      <c r="G390" s="14"/>
      <c r="H390" s="11"/>
    </row>
    <row r="391" customFormat="false" ht="15" hidden="false" customHeight="true" outlineLevel="0" collapsed="false">
      <c r="A391" s="15"/>
      <c r="B391" s="11"/>
      <c r="C391" s="18" t="str">
        <f aca="false">IF($B391="","",IFERROR(INDEX(차량목록!$B$3:$B$102,MATCH($B391,차량목록!$A$3:$A$102,0)),"미등록차량"))</f>
        <v/>
      </c>
      <c r="D391" s="11"/>
      <c r="E391" s="18" t="str">
        <f aca="false">IF($D391="","",IFERROR(INDEX(정비항목!$B$3:$B$52,MATCH($D391,정비항목!$A$3:$A$52,0)),"미등록항목"))</f>
        <v/>
      </c>
      <c r="F391" s="14"/>
      <c r="G391" s="14"/>
      <c r="H391" s="11"/>
    </row>
    <row r="392" customFormat="false" ht="15" hidden="false" customHeight="true" outlineLevel="0" collapsed="false">
      <c r="A392" s="15"/>
      <c r="B392" s="11"/>
      <c r="C392" s="18" t="str">
        <f aca="false">IF($B392="","",IFERROR(INDEX(차량목록!$B$3:$B$102,MATCH($B392,차량목록!$A$3:$A$102,0)),"미등록차량"))</f>
        <v/>
      </c>
      <c r="D392" s="11"/>
      <c r="E392" s="18" t="str">
        <f aca="false">IF($D392="","",IFERROR(INDEX(정비항목!$B$3:$B$52,MATCH($D392,정비항목!$A$3:$A$52,0)),"미등록항목"))</f>
        <v/>
      </c>
      <c r="F392" s="14"/>
      <c r="G392" s="14"/>
      <c r="H392" s="11"/>
    </row>
    <row r="393" customFormat="false" ht="15" hidden="false" customHeight="true" outlineLevel="0" collapsed="false">
      <c r="A393" s="15"/>
      <c r="B393" s="11"/>
      <c r="C393" s="18" t="str">
        <f aca="false">IF($B393="","",IFERROR(INDEX(차량목록!$B$3:$B$102,MATCH($B393,차량목록!$A$3:$A$102,0)),"미등록차량"))</f>
        <v/>
      </c>
      <c r="D393" s="11"/>
      <c r="E393" s="18" t="str">
        <f aca="false">IF($D393="","",IFERROR(INDEX(정비항목!$B$3:$B$52,MATCH($D393,정비항목!$A$3:$A$52,0)),"미등록항목"))</f>
        <v/>
      </c>
      <c r="F393" s="14"/>
      <c r="G393" s="14"/>
      <c r="H393" s="11"/>
    </row>
    <row r="394" customFormat="false" ht="15" hidden="false" customHeight="true" outlineLevel="0" collapsed="false">
      <c r="A394" s="15"/>
      <c r="B394" s="11"/>
      <c r="C394" s="18" t="str">
        <f aca="false">IF($B394="","",IFERROR(INDEX(차량목록!$B$3:$B$102,MATCH($B394,차량목록!$A$3:$A$102,0)),"미등록차량"))</f>
        <v/>
      </c>
      <c r="D394" s="11"/>
      <c r="E394" s="18" t="str">
        <f aca="false">IF($D394="","",IFERROR(INDEX(정비항목!$B$3:$B$52,MATCH($D394,정비항목!$A$3:$A$52,0)),"미등록항목"))</f>
        <v/>
      </c>
      <c r="F394" s="14"/>
      <c r="G394" s="14"/>
      <c r="H394" s="11"/>
    </row>
    <row r="395" customFormat="false" ht="15" hidden="false" customHeight="true" outlineLevel="0" collapsed="false">
      <c r="A395" s="15"/>
      <c r="B395" s="11"/>
      <c r="C395" s="18" t="str">
        <f aca="false">IF($B395="","",IFERROR(INDEX(차량목록!$B$3:$B$102,MATCH($B395,차량목록!$A$3:$A$102,0)),"미등록차량"))</f>
        <v/>
      </c>
      <c r="D395" s="11"/>
      <c r="E395" s="18" t="str">
        <f aca="false">IF($D395="","",IFERROR(INDEX(정비항목!$B$3:$B$52,MATCH($D395,정비항목!$A$3:$A$52,0)),"미등록항목"))</f>
        <v/>
      </c>
      <c r="F395" s="14"/>
      <c r="G395" s="14"/>
      <c r="H395" s="11"/>
    </row>
    <row r="396" customFormat="false" ht="15" hidden="false" customHeight="true" outlineLevel="0" collapsed="false">
      <c r="A396" s="15"/>
      <c r="B396" s="11"/>
      <c r="C396" s="18" t="str">
        <f aca="false">IF($B396="","",IFERROR(INDEX(차량목록!$B$3:$B$102,MATCH($B396,차량목록!$A$3:$A$102,0)),"미등록차량"))</f>
        <v/>
      </c>
      <c r="D396" s="11"/>
      <c r="E396" s="18" t="str">
        <f aca="false">IF($D396="","",IFERROR(INDEX(정비항목!$B$3:$B$52,MATCH($D396,정비항목!$A$3:$A$52,0)),"미등록항목"))</f>
        <v/>
      </c>
      <c r="F396" s="14"/>
      <c r="G396" s="14"/>
      <c r="H396" s="11"/>
    </row>
    <row r="397" customFormat="false" ht="15" hidden="false" customHeight="true" outlineLevel="0" collapsed="false">
      <c r="A397" s="15"/>
      <c r="B397" s="11"/>
      <c r="C397" s="18" t="str">
        <f aca="false">IF($B397="","",IFERROR(INDEX(차량목록!$B$3:$B$102,MATCH($B397,차량목록!$A$3:$A$102,0)),"미등록차량"))</f>
        <v/>
      </c>
      <c r="D397" s="11"/>
      <c r="E397" s="18" t="str">
        <f aca="false">IF($D397="","",IFERROR(INDEX(정비항목!$B$3:$B$52,MATCH($D397,정비항목!$A$3:$A$52,0)),"미등록항목"))</f>
        <v/>
      </c>
      <c r="F397" s="14"/>
      <c r="G397" s="14"/>
      <c r="H397" s="11"/>
    </row>
    <row r="398" customFormat="false" ht="15" hidden="false" customHeight="true" outlineLevel="0" collapsed="false">
      <c r="A398" s="15"/>
      <c r="B398" s="11"/>
      <c r="C398" s="18" t="str">
        <f aca="false">IF($B398="","",IFERROR(INDEX(차량목록!$B$3:$B$102,MATCH($B398,차량목록!$A$3:$A$102,0)),"미등록차량"))</f>
        <v/>
      </c>
      <c r="D398" s="11"/>
      <c r="E398" s="18" t="str">
        <f aca="false">IF($D398="","",IFERROR(INDEX(정비항목!$B$3:$B$52,MATCH($D398,정비항목!$A$3:$A$52,0)),"미등록항목"))</f>
        <v/>
      </c>
      <c r="F398" s="14"/>
      <c r="G398" s="14"/>
      <c r="H398" s="11"/>
    </row>
    <row r="399" customFormat="false" ht="15" hidden="false" customHeight="true" outlineLevel="0" collapsed="false">
      <c r="A399" s="15"/>
      <c r="B399" s="11"/>
      <c r="C399" s="18" t="str">
        <f aca="false">IF($B399="","",IFERROR(INDEX(차량목록!$B$3:$B$102,MATCH($B399,차량목록!$A$3:$A$102,0)),"미등록차량"))</f>
        <v/>
      </c>
      <c r="D399" s="11"/>
      <c r="E399" s="18" t="str">
        <f aca="false">IF($D399="","",IFERROR(INDEX(정비항목!$B$3:$B$52,MATCH($D399,정비항목!$A$3:$A$52,0)),"미등록항목"))</f>
        <v/>
      </c>
      <c r="F399" s="14"/>
      <c r="G399" s="14"/>
      <c r="H399" s="11"/>
    </row>
    <row r="400" customFormat="false" ht="15" hidden="false" customHeight="true" outlineLevel="0" collapsed="false">
      <c r="A400" s="15"/>
      <c r="B400" s="11"/>
      <c r="C400" s="18" t="str">
        <f aca="false">IF($B400="","",IFERROR(INDEX(차량목록!$B$3:$B$102,MATCH($B400,차량목록!$A$3:$A$102,0)),"미등록차량"))</f>
        <v/>
      </c>
      <c r="D400" s="11"/>
      <c r="E400" s="18" t="str">
        <f aca="false">IF($D400="","",IFERROR(INDEX(정비항목!$B$3:$B$52,MATCH($D400,정비항목!$A$3:$A$52,0)),"미등록항목"))</f>
        <v/>
      </c>
      <c r="F400" s="14"/>
      <c r="G400" s="14"/>
      <c r="H400" s="11"/>
    </row>
    <row r="401" customFormat="false" ht="15" hidden="false" customHeight="true" outlineLevel="0" collapsed="false">
      <c r="A401" s="15"/>
      <c r="B401" s="11"/>
      <c r="C401" s="18" t="str">
        <f aca="false">IF($B401="","",IFERROR(INDEX(차량목록!$B$3:$B$102,MATCH($B401,차량목록!$A$3:$A$102,0)),"미등록차량"))</f>
        <v/>
      </c>
      <c r="D401" s="11"/>
      <c r="E401" s="18" t="str">
        <f aca="false">IF($D401="","",IFERROR(INDEX(정비항목!$B$3:$B$52,MATCH($D401,정비항목!$A$3:$A$52,0)),"미등록항목"))</f>
        <v/>
      </c>
      <c r="F401" s="14"/>
      <c r="G401" s="14"/>
      <c r="H401" s="11"/>
    </row>
    <row r="402" customFormat="false" ht="15" hidden="false" customHeight="true" outlineLevel="0" collapsed="false">
      <c r="A402" s="15"/>
      <c r="B402" s="11"/>
      <c r="C402" s="18" t="str">
        <f aca="false">IF($B402="","",IFERROR(INDEX(차량목록!$B$3:$B$102,MATCH($B402,차량목록!$A$3:$A$102,0)),"미등록차량"))</f>
        <v/>
      </c>
      <c r="D402" s="11"/>
      <c r="E402" s="18" t="str">
        <f aca="false">IF($D402="","",IFERROR(INDEX(정비항목!$B$3:$B$52,MATCH($D402,정비항목!$A$3:$A$52,0)),"미등록항목"))</f>
        <v/>
      </c>
      <c r="F402" s="14"/>
      <c r="G402" s="14"/>
      <c r="H402" s="11"/>
    </row>
    <row r="403" customFormat="false" ht="15" hidden="false" customHeight="true" outlineLevel="0" collapsed="false">
      <c r="A403" s="15"/>
      <c r="B403" s="11"/>
      <c r="C403" s="18" t="str">
        <f aca="false">IF($B403="","",IFERROR(INDEX(차량목록!$B$3:$B$102,MATCH($B403,차량목록!$A$3:$A$102,0)),"미등록차량"))</f>
        <v/>
      </c>
      <c r="D403" s="11"/>
      <c r="E403" s="18" t="str">
        <f aca="false">IF($D403="","",IFERROR(INDEX(정비항목!$B$3:$B$52,MATCH($D403,정비항목!$A$3:$A$52,0)),"미등록항목"))</f>
        <v/>
      </c>
      <c r="F403" s="14"/>
      <c r="G403" s="14"/>
      <c r="H403" s="11"/>
    </row>
    <row r="404" customFormat="false" ht="15" hidden="false" customHeight="true" outlineLevel="0" collapsed="false">
      <c r="A404" s="15"/>
      <c r="B404" s="11"/>
      <c r="C404" s="18" t="str">
        <f aca="false">IF($B404="","",IFERROR(INDEX(차량목록!$B$3:$B$102,MATCH($B404,차량목록!$A$3:$A$102,0)),"미등록차량"))</f>
        <v/>
      </c>
      <c r="D404" s="11"/>
      <c r="E404" s="18" t="str">
        <f aca="false">IF($D404="","",IFERROR(INDEX(정비항목!$B$3:$B$52,MATCH($D404,정비항목!$A$3:$A$52,0)),"미등록항목"))</f>
        <v/>
      </c>
      <c r="F404" s="14"/>
      <c r="G404" s="14"/>
      <c r="H404" s="11"/>
    </row>
    <row r="405" customFormat="false" ht="15" hidden="false" customHeight="true" outlineLevel="0" collapsed="false">
      <c r="A405" s="15"/>
      <c r="B405" s="11"/>
      <c r="C405" s="18" t="str">
        <f aca="false">IF($B405="","",IFERROR(INDEX(차량목록!$B$3:$B$102,MATCH($B405,차량목록!$A$3:$A$102,0)),"미등록차량"))</f>
        <v/>
      </c>
      <c r="D405" s="11"/>
      <c r="E405" s="18" t="str">
        <f aca="false">IF($D405="","",IFERROR(INDEX(정비항목!$B$3:$B$52,MATCH($D405,정비항목!$A$3:$A$52,0)),"미등록항목"))</f>
        <v/>
      </c>
      <c r="F405" s="14"/>
      <c r="G405" s="14"/>
      <c r="H405" s="11"/>
    </row>
    <row r="406" customFormat="false" ht="15" hidden="false" customHeight="true" outlineLevel="0" collapsed="false">
      <c r="A406" s="15"/>
      <c r="B406" s="11"/>
      <c r="C406" s="18" t="str">
        <f aca="false">IF($B406="","",IFERROR(INDEX(차량목록!$B$3:$B$102,MATCH($B406,차량목록!$A$3:$A$102,0)),"미등록차량"))</f>
        <v/>
      </c>
      <c r="D406" s="11"/>
      <c r="E406" s="18" t="str">
        <f aca="false">IF($D406="","",IFERROR(INDEX(정비항목!$B$3:$B$52,MATCH($D406,정비항목!$A$3:$A$52,0)),"미등록항목"))</f>
        <v/>
      </c>
      <c r="F406" s="14"/>
      <c r="G406" s="14"/>
      <c r="H406" s="11"/>
    </row>
    <row r="407" customFormat="false" ht="15" hidden="false" customHeight="true" outlineLevel="0" collapsed="false">
      <c r="A407" s="15"/>
      <c r="B407" s="11"/>
      <c r="C407" s="18" t="str">
        <f aca="false">IF($B407="","",IFERROR(INDEX(차량목록!$B$3:$B$102,MATCH($B407,차량목록!$A$3:$A$102,0)),"미등록차량"))</f>
        <v/>
      </c>
      <c r="D407" s="11"/>
      <c r="E407" s="18" t="str">
        <f aca="false">IF($D407="","",IFERROR(INDEX(정비항목!$B$3:$B$52,MATCH($D407,정비항목!$A$3:$A$52,0)),"미등록항목"))</f>
        <v/>
      </c>
      <c r="F407" s="14"/>
      <c r="G407" s="14"/>
      <c r="H407" s="11"/>
    </row>
    <row r="408" customFormat="false" ht="15" hidden="false" customHeight="true" outlineLevel="0" collapsed="false">
      <c r="A408" s="15"/>
      <c r="B408" s="11"/>
      <c r="C408" s="18" t="str">
        <f aca="false">IF($B408="","",IFERROR(INDEX(차량목록!$B$3:$B$102,MATCH($B408,차량목록!$A$3:$A$102,0)),"미등록차량"))</f>
        <v/>
      </c>
      <c r="D408" s="11"/>
      <c r="E408" s="18" t="str">
        <f aca="false">IF($D408="","",IFERROR(INDEX(정비항목!$B$3:$B$52,MATCH($D408,정비항목!$A$3:$A$52,0)),"미등록항목"))</f>
        <v/>
      </c>
      <c r="F408" s="14"/>
      <c r="G408" s="14"/>
      <c r="H408" s="11"/>
    </row>
    <row r="409" customFormat="false" ht="15" hidden="false" customHeight="true" outlineLevel="0" collapsed="false">
      <c r="A409" s="15"/>
      <c r="B409" s="11"/>
      <c r="C409" s="18" t="str">
        <f aca="false">IF($B409="","",IFERROR(INDEX(차량목록!$B$3:$B$102,MATCH($B409,차량목록!$A$3:$A$102,0)),"미등록차량"))</f>
        <v/>
      </c>
      <c r="D409" s="11"/>
      <c r="E409" s="18" t="str">
        <f aca="false">IF($D409="","",IFERROR(INDEX(정비항목!$B$3:$B$52,MATCH($D409,정비항목!$A$3:$A$52,0)),"미등록항목"))</f>
        <v/>
      </c>
      <c r="F409" s="14"/>
      <c r="G409" s="14"/>
      <c r="H409" s="11"/>
    </row>
    <row r="410" customFormat="false" ht="15" hidden="false" customHeight="true" outlineLevel="0" collapsed="false">
      <c r="A410" s="15"/>
      <c r="B410" s="11"/>
      <c r="C410" s="18" t="str">
        <f aca="false">IF($B410="","",IFERROR(INDEX(차량목록!$B$3:$B$102,MATCH($B410,차량목록!$A$3:$A$102,0)),"미등록차량"))</f>
        <v/>
      </c>
      <c r="D410" s="11"/>
      <c r="E410" s="18" t="str">
        <f aca="false">IF($D410="","",IFERROR(INDEX(정비항목!$B$3:$B$52,MATCH($D410,정비항목!$A$3:$A$52,0)),"미등록항목"))</f>
        <v/>
      </c>
      <c r="F410" s="14"/>
      <c r="G410" s="14"/>
      <c r="H410" s="11"/>
    </row>
    <row r="411" customFormat="false" ht="15" hidden="false" customHeight="true" outlineLevel="0" collapsed="false">
      <c r="A411" s="15"/>
      <c r="B411" s="11"/>
      <c r="C411" s="18" t="str">
        <f aca="false">IF($B411="","",IFERROR(INDEX(차량목록!$B$3:$B$102,MATCH($B411,차량목록!$A$3:$A$102,0)),"미등록차량"))</f>
        <v/>
      </c>
      <c r="D411" s="11"/>
      <c r="E411" s="18" t="str">
        <f aca="false">IF($D411="","",IFERROR(INDEX(정비항목!$B$3:$B$52,MATCH($D411,정비항목!$A$3:$A$52,0)),"미등록항목"))</f>
        <v/>
      </c>
      <c r="F411" s="14"/>
      <c r="G411" s="14"/>
      <c r="H411" s="11"/>
    </row>
    <row r="412" customFormat="false" ht="15" hidden="false" customHeight="true" outlineLevel="0" collapsed="false">
      <c r="A412" s="15"/>
      <c r="B412" s="11"/>
      <c r="C412" s="18" t="str">
        <f aca="false">IF($B412="","",IFERROR(INDEX(차량목록!$B$3:$B$102,MATCH($B412,차량목록!$A$3:$A$102,0)),"미등록차량"))</f>
        <v/>
      </c>
      <c r="D412" s="11"/>
      <c r="E412" s="18" t="str">
        <f aca="false">IF($D412="","",IFERROR(INDEX(정비항목!$B$3:$B$52,MATCH($D412,정비항목!$A$3:$A$52,0)),"미등록항목"))</f>
        <v/>
      </c>
      <c r="F412" s="14"/>
      <c r="G412" s="14"/>
      <c r="H412" s="11"/>
    </row>
    <row r="413" customFormat="false" ht="15" hidden="false" customHeight="true" outlineLevel="0" collapsed="false">
      <c r="A413" s="15"/>
      <c r="B413" s="11"/>
      <c r="C413" s="18" t="str">
        <f aca="false">IF($B413="","",IFERROR(INDEX(차량목록!$B$3:$B$102,MATCH($B413,차량목록!$A$3:$A$102,0)),"미등록차량"))</f>
        <v/>
      </c>
      <c r="D413" s="11"/>
      <c r="E413" s="18" t="str">
        <f aca="false">IF($D413="","",IFERROR(INDEX(정비항목!$B$3:$B$52,MATCH($D413,정비항목!$A$3:$A$52,0)),"미등록항목"))</f>
        <v/>
      </c>
      <c r="F413" s="14"/>
      <c r="G413" s="14"/>
      <c r="H413" s="11"/>
    </row>
    <row r="414" customFormat="false" ht="15" hidden="false" customHeight="true" outlineLevel="0" collapsed="false">
      <c r="A414" s="15"/>
      <c r="B414" s="11"/>
      <c r="C414" s="18" t="str">
        <f aca="false">IF($B414="","",IFERROR(INDEX(차량목록!$B$3:$B$102,MATCH($B414,차량목록!$A$3:$A$102,0)),"미등록차량"))</f>
        <v/>
      </c>
      <c r="D414" s="11"/>
      <c r="E414" s="18" t="str">
        <f aca="false">IF($D414="","",IFERROR(INDEX(정비항목!$B$3:$B$52,MATCH($D414,정비항목!$A$3:$A$52,0)),"미등록항목"))</f>
        <v/>
      </c>
      <c r="F414" s="14"/>
      <c r="G414" s="14"/>
      <c r="H414" s="11"/>
    </row>
    <row r="415" customFormat="false" ht="15" hidden="false" customHeight="true" outlineLevel="0" collapsed="false">
      <c r="A415" s="15"/>
      <c r="B415" s="11"/>
      <c r="C415" s="18" t="str">
        <f aca="false">IF($B415="","",IFERROR(INDEX(차량목록!$B$3:$B$102,MATCH($B415,차량목록!$A$3:$A$102,0)),"미등록차량"))</f>
        <v/>
      </c>
      <c r="D415" s="11"/>
      <c r="E415" s="18" t="str">
        <f aca="false">IF($D415="","",IFERROR(INDEX(정비항목!$B$3:$B$52,MATCH($D415,정비항목!$A$3:$A$52,0)),"미등록항목"))</f>
        <v/>
      </c>
      <c r="F415" s="14"/>
      <c r="G415" s="14"/>
      <c r="H415" s="11"/>
    </row>
    <row r="416" customFormat="false" ht="15" hidden="false" customHeight="true" outlineLevel="0" collapsed="false">
      <c r="A416" s="15"/>
      <c r="B416" s="11"/>
      <c r="C416" s="18" t="str">
        <f aca="false">IF($B416="","",IFERROR(INDEX(차량목록!$B$3:$B$102,MATCH($B416,차량목록!$A$3:$A$102,0)),"미등록차량"))</f>
        <v/>
      </c>
      <c r="D416" s="11"/>
      <c r="E416" s="18" t="str">
        <f aca="false">IF($D416="","",IFERROR(INDEX(정비항목!$B$3:$B$52,MATCH($D416,정비항목!$A$3:$A$52,0)),"미등록항목"))</f>
        <v/>
      </c>
      <c r="F416" s="14"/>
      <c r="G416" s="14"/>
      <c r="H416" s="11"/>
    </row>
    <row r="417" customFormat="false" ht="15" hidden="false" customHeight="true" outlineLevel="0" collapsed="false">
      <c r="A417" s="15"/>
      <c r="B417" s="11"/>
      <c r="C417" s="18" t="str">
        <f aca="false">IF($B417="","",IFERROR(INDEX(차량목록!$B$3:$B$102,MATCH($B417,차량목록!$A$3:$A$102,0)),"미등록차량"))</f>
        <v/>
      </c>
      <c r="D417" s="11"/>
      <c r="E417" s="18" t="str">
        <f aca="false">IF($D417="","",IFERROR(INDEX(정비항목!$B$3:$B$52,MATCH($D417,정비항목!$A$3:$A$52,0)),"미등록항목"))</f>
        <v/>
      </c>
      <c r="F417" s="14"/>
      <c r="G417" s="14"/>
      <c r="H417" s="11"/>
    </row>
    <row r="418" customFormat="false" ht="15" hidden="false" customHeight="true" outlineLevel="0" collapsed="false">
      <c r="A418" s="15"/>
      <c r="B418" s="11"/>
      <c r="C418" s="18" t="str">
        <f aca="false">IF($B418="","",IFERROR(INDEX(차량목록!$B$3:$B$102,MATCH($B418,차량목록!$A$3:$A$102,0)),"미등록차량"))</f>
        <v/>
      </c>
      <c r="D418" s="11"/>
      <c r="E418" s="18" t="str">
        <f aca="false">IF($D418="","",IFERROR(INDEX(정비항목!$B$3:$B$52,MATCH($D418,정비항목!$A$3:$A$52,0)),"미등록항목"))</f>
        <v/>
      </c>
      <c r="F418" s="14"/>
      <c r="G418" s="14"/>
      <c r="H418" s="11"/>
    </row>
    <row r="419" customFormat="false" ht="15" hidden="false" customHeight="true" outlineLevel="0" collapsed="false">
      <c r="A419" s="15"/>
      <c r="B419" s="11"/>
      <c r="C419" s="18" t="str">
        <f aca="false">IF($B419="","",IFERROR(INDEX(차량목록!$B$3:$B$102,MATCH($B419,차량목록!$A$3:$A$102,0)),"미등록차량"))</f>
        <v/>
      </c>
      <c r="D419" s="11"/>
      <c r="E419" s="18" t="str">
        <f aca="false">IF($D419="","",IFERROR(INDEX(정비항목!$B$3:$B$52,MATCH($D419,정비항목!$A$3:$A$52,0)),"미등록항목"))</f>
        <v/>
      </c>
      <c r="F419" s="14"/>
      <c r="G419" s="14"/>
      <c r="H419" s="11"/>
    </row>
    <row r="420" customFormat="false" ht="15" hidden="false" customHeight="true" outlineLevel="0" collapsed="false">
      <c r="A420" s="15"/>
      <c r="B420" s="11"/>
      <c r="C420" s="18" t="str">
        <f aca="false">IF($B420="","",IFERROR(INDEX(차량목록!$B$3:$B$102,MATCH($B420,차량목록!$A$3:$A$102,0)),"미등록차량"))</f>
        <v/>
      </c>
      <c r="D420" s="11"/>
      <c r="E420" s="18" t="str">
        <f aca="false">IF($D420="","",IFERROR(INDEX(정비항목!$B$3:$B$52,MATCH($D420,정비항목!$A$3:$A$52,0)),"미등록항목"))</f>
        <v/>
      </c>
      <c r="F420" s="14"/>
      <c r="G420" s="14"/>
      <c r="H420" s="11"/>
    </row>
    <row r="421" customFormat="false" ht="15" hidden="false" customHeight="true" outlineLevel="0" collapsed="false">
      <c r="A421" s="15"/>
      <c r="B421" s="11"/>
      <c r="C421" s="18" t="str">
        <f aca="false">IF($B421="","",IFERROR(INDEX(차량목록!$B$3:$B$102,MATCH($B421,차량목록!$A$3:$A$102,0)),"미등록차량"))</f>
        <v/>
      </c>
      <c r="D421" s="11"/>
      <c r="E421" s="18" t="str">
        <f aca="false">IF($D421="","",IFERROR(INDEX(정비항목!$B$3:$B$52,MATCH($D421,정비항목!$A$3:$A$52,0)),"미등록항목"))</f>
        <v/>
      </c>
      <c r="F421" s="14"/>
      <c r="G421" s="14"/>
      <c r="H421" s="11"/>
    </row>
    <row r="422" customFormat="false" ht="15" hidden="false" customHeight="true" outlineLevel="0" collapsed="false">
      <c r="A422" s="15"/>
      <c r="B422" s="11"/>
      <c r="C422" s="18" t="str">
        <f aca="false">IF($B422="","",IFERROR(INDEX(차량목록!$B$3:$B$102,MATCH($B422,차량목록!$A$3:$A$102,0)),"미등록차량"))</f>
        <v/>
      </c>
      <c r="D422" s="11"/>
      <c r="E422" s="18" t="str">
        <f aca="false">IF($D422="","",IFERROR(INDEX(정비항목!$B$3:$B$52,MATCH($D422,정비항목!$A$3:$A$52,0)),"미등록항목"))</f>
        <v/>
      </c>
      <c r="F422" s="14"/>
      <c r="G422" s="14"/>
      <c r="H422" s="11"/>
    </row>
    <row r="423" customFormat="false" ht="15" hidden="false" customHeight="true" outlineLevel="0" collapsed="false">
      <c r="A423" s="15"/>
      <c r="B423" s="11"/>
      <c r="C423" s="18" t="str">
        <f aca="false">IF($B423="","",IFERROR(INDEX(차량목록!$B$3:$B$102,MATCH($B423,차량목록!$A$3:$A$102,0)),"미등록차량"))</f>
        <v/>
      </c>
      <c r="D423" s="11"/>
      <c r="E423" s="18" t="str">
        <f aca="false">IF($D423="","",IFERROR(INDEX(정비항목!$B$3:$B$52,MATCH($D423,정비항목!$A$3:$A$52,0)),"미등록항목"))</f>
        <v/>
      </c>
      <c r="F423" s="14"/>
      <c r="G423" s="14"/>
      <c r="H423" s="11"/>
    </row>
    <row r="424" customFormat="false" ht="15" hidden="false" customHeight="true" outlineLevel="0" collapsed="false">
      <c r="A424" s="15"/>
      <c r="B424" s="11"/>
      <c r="C424" s="18" t="str">
        <f aca="false">IF($B424="","",IFERROR(INDEX(차량목록!$B$3:$B$102,MATCH($B424,차량목록!$A$3:$A$102,0)),"미등록차량"))</f>
        <v/>
      </c>
      <c r="D424" s="11"/>
      <c r="E424" s="18" t="str">
        <f aca="false">IF($D424="","",IFERROR(INDEX(정비항목!$B$3:$B$52,MATCH($D424,정비항목!$A$3:$A$52,0)),"미등록항목"))</f>
        <v/>
      </c>
      <c r="F424" s="14"/>
      <c r="G424" s="14"/>
      <c r="H424" s="11"/>
    </row>
    <row r="425" customFormat="false" ht="15" hidden="false" customHeight="true" outlineLevel="0" collapsed="false">
      <c r="A425" s="15"/>
      <c r="B425" s="11"/>
      <c r="C425" s="18" t="str">
        <f aca="false">IF($B425="","",IFERROR(INDEX(차량목록!$B$3:$B$102,MATCH($B425,차량목록!$A$3:$A$102,0)),"미등록차량"))</f>
        <v/>
      </c>
      <c r="D425" s="11"/>
      <c r="E425" s="18" t="str">
        <f aca="false">IF($D425="","",IFERROR(INDEX(정비항목!$B$3:$B$52,MATCH($D425,정비항목!$A$3:$A$52,0)),"미등록항목"))</f>
        <v/>
      </c>
      <c r="F425" s="14"/>
      <c r="G425" s="14"/>
      <c r="H425" s="11"/>
    </row>
    <row r="426" customFormat="false" ht="15" hidden="false" customHeight="true" outlineLevel="0" collapsed="false">
      <c r="A426" s="15"/>
      <c r="B426" s="11"/>
      <c r="C426" s="18" t="str">
        <f aca="false">IF($B426="","",IFERROR(INDEX(차량목록!$B$3:$B$102,MATCH($B426,차량목록!$A$3:$A$102,0)),"미등록차량"))</f>
        <v/>
      </c>
      <c r="D426" s="11"/>
      <c r="E426" s="18" t="str">
        <f aca="false">IF($D426="","",IFERROR(INDEX(정비항목!$B$3:$B$52,MATCH($D426,정비항목!$A$3:$A$52,0)),"미등록항목"))</f>
        <v/>
      </c>
      <c r="F426" s="14"/>
      <c r="G426" s="14"/>
      <c r="H426" s="11"/>
    </row>
    <row r="427" customFormat="false" ht="15" hidden="false" customHeight="true" outlineLevel="0" collapsed="false">
      <c r="A427" s="15"/>
      <c r="B427" s="11"/>
      <c r="C427" s="18" t="str">
        <f aca="false">IF($B427="","",IFERROR(INDEX(차량목록!$B$3:$B$102,MATCH($B427,차량목록!$A$3:$A$102,0)),"미등록차량"))</f>
        <v/>
      </c>
      <c r="D427" s="11"/>
      <c r="E427" s="18" t="str">
        <f aca="false">IF($D427="","",IFERROR(INDEX(정비항목!$B$3:$B$52,MATCH($D427,정비항목!$A$3:$A$52,0)),"미등록항목"))</f>
        <v/>
      </c>
      <c r="F427" s="14"/>
      <c r="G427" s="14"/>
      <c r="H427" s="11"/>
    </row>
    <row r="428" customFormat="false" ht="15" hidden="false" customHeight="true" outlineLevel="0" collapsed="false">
      <c r="A428" s="15"/>
      <c r="B428" s="11"/>
      <c r="C428" s="18" t="str">
        <f aca="false">IF($B428="","",IFERROR(INDEX(차량목록!$B$3:$B$102,MATCH($B428,차량목록!$A$3:$A$102,0)),"미등록차량"))</f>
        <v/>
      </c>
      <c r="D428" s="11"/>
      <c r="E428" s="18" t="str">
        <f aca="false">IF($D428="","",IFERROR(INDEX(정비항목!$B$3:$B$52,MATCH($D428,정비항목!$A$3:$A$52,0)),"미등록항목"))</f>
        <v/>
      </c>
      <c r="F428" s="14"/>
      <c r="G428" s="14"/>
      <c r="H428" s="11"/>
    </row>
    <row r="429" customFormat="false" ht="15" hidden="false" customHeight="true" outlineLevel="0" collapsed="false">
      <c r="A429" s="15"/>
      <c r="B429" s="11"/>
      <c r="C429" s="18" t="str">
        <f aca="false">IF($B429="","",IFERROR(INDEX(차량목록!$B$3:$B$102,MATCH($B429,차량목록!$A$3:$A$102,0)),"미등록차량"))</f>
        <v/>
      </c>
      <c r="D429" s="11"/>
      <c r="E429" s="18" t="str">
        <f aca="false">IF($D429="","",IFERROR(INDEX(정비항목!$B$3:$B$52,MATCH($D429,정비항목!$A$3:$A$52,0)),"미등록항목"))</f>
        <v/>
      </c>
      <c r="F429" s="14"/>
      <c r="G429" s="14"/>
      <c r="H429" s="11"/>
    </row>
    <row r="430" customFormat="false" ht="15" hidden="false" customHeight="true" outlineLevel="0" collapsed="false">
      <c r="A430" s="15"/>
      <c r="B430" s="11"/>
      <c r="C430" s="18" t="str">
        <f aca="false">IF($B430="","",IFERROR(INDEX(차량목록!$B$3:$B$102,MATCH($B430,차량목록!$A$3:$A$102,0)),"미등록차량"))</f>
        <v/>
      </c>
      <c r="D430" s="11"/>
      <c r="E430" s="18" t="str">
        <f aca="false">IF($D430="","",IFERROR(INDEX(정비항목!$B$3:$B$52,MATCH($D430,정비항목!$A$3:$A$52,0)),"미등록항목"))</f>
        <v/>
      </c>
      <c r="F430" s="14"/>
      <c r="G430" s="14"/>
      <c r="H430" s="11"/>
    </row>
    <row r="431" customFormat="false" ht="15" hidden="false" customHeight="true" outlineLevel="0" collapsed="false">
      <c r="A431" s="15"/>
      <c r="B431" s="11"/>
      <c r="C431" s="18" t="str">
        <f aca="false">IF($B431="","",IFERROR(INDEX(차량목록!$B$3:$B$102,MATCH($B431,차량목록!$A$3:$A$102,0)),"미등록차량"))</f>
        <v/>
      </c>
      <c r="D431" s="11"/>
      <c r="E431" s="18" t="str">
        <f aca="false">IF($D431="","",IFERROR(INDEX(정비항목!$B$3:$B$52,MATCH($D431,정비항목!$A$3:$A$52,0)),"미등록항목"))</f>
        <v/>
      </c>
      <c r="F431" s="14"/>
      <c r="G431" s="14"/>
      <c r="H431" s="11"/>
    </row>
    <row r="432" customFormat="false" ht="15" hidden="false" customHeight="true" outlineLevel="0" collapsed="false">
      <c r="A432" s="15"/>
      <c r="B432" s="11"/>
      <c r="C432" s="18" t="str">
        <f aca="false">IF($B432="","",IFERROR(INDEX(차량목록!$B$3:$B$102,MATCH($B432,차량목록!$A$3:$A$102,0)),"미등록차량"))</f>
        <v/>
      </c>
      <c r="D432" s="11"/>
      <c r="E432" s="18" t="str">
        <f aca="false">IF($D432="","",IFERROR(INDEX(정비항목!$B$3:$B$52,MATCH($D432,정비항목!$A$3:$A$52,0)),"미등록항목"))</f>
        <v/>
      </c>
      <c r="F432" s="14"/>
      <c r="G432" s="14"/>
      <c r="H432" s="11"/>
    </row>
    <row r="433" customFormat="false" ht="15" hidden="false" customHeight="true" outlineLevel="0" collapsed="false">
      <c r="A433" s="15"/>
      <c r="B433" s="11"/>
      <c r="C433" s="18" t="str">
        <f aca="false">IF($B433="","",IFERROR(INDEX(차량목록!$B$3:$B$102,MATCH($B433,차량목록!$A$3:$A$102,0)),"미등록차량"))</f>
        <v/>
      </c>
      <c r="D433" s="11"/>
      <c r="E433" s="18" t="str">
        <f aca="false">IF($D433="","",IFERROR(INDEX(정비항목!$B$3:$B$52,MATCH($D433,정비항목!$A$3:$A$52,0)),"미등록항목"))</f>
        <v/>
      </c>
      <c r="F433" s="14"/>
      <c r="G433" s="14"/>
      <c r="H433" s="11"/>
    </row>
    <row r="434" customFormat="false" ht="15" hidden="false" customHeight="true" outlineLevel="0" collapsed="false">
      <c r="A434" s="15"/>
      <c r="B434" s="11"/>
      <c r="C434" s="18" t="str">
        <f aca="false">IF($B434="","",IFERROR(INDEX(차량목록!$B$3:$B$102,MATCH($B434,차량목록!$A$3:$A$102,0)),"미등록차량"))</f>
        <v/>
      </c>
      <c r="D434" s="11"/>
      <c r="E434" s="18" t="str">
        <f aca="false">IF($D434="","",IFERROR(INDEX(정비항목!$B$3:$B$52,MATCH($D434,정비항목!$A$3:$A$52,0)),"미등록항목"))</f>
        <v/>
      </c>
      <c r="F434" s="14"/>
      <c r="G434" s="14"/>
      <c r="H434" s="11"/>
    </row>
    <row r="435" customFormat="false" ht="15" hidden="false" customHeight="true" outlineLevel="0" collapsed="false">
      <c r="A435" s="15"/>
      <c r="B435" s="11"/>
      <c r="C435" s="18" t="str">
        <f aca="false">IF($B435="","",IFERROR(INDEX(차량목록!$B$3:$B$102,MATCH($B435,차량목록!$A$3:$A$102,0)),"미등록차량"))</f>
        <v/>
      </c>
      <c r="D435" s="11"/>
      <c r="E435" s="18" t="str">
        <f aca="false">IF($D435="","",IFERROR(INDEX(정비항목!$B$3:$B$52,MATCH($D435,정비항목!$A$3:$A$52,0)),"미등록항목"))</f>
        <v/>
      </c>
      <c r="F435" s="14"/>
      <c r="G435" s="14"/>
      <c r="H435" s="11"/>
    </row>
    <row r="436" customFormat="false" ht="15" hidden="false" customHeight="true" outlineLevel="0" collapsed="false">
      <c r="A436" s="15"/>
      <c r="B436" s="11"/>
      <c r="C436" s="18" t="str">
        <f aca="false">IF($B436="","",IFERROR(INDEX(차량목록!$B$3:$B$102,MATCH($B436,차량목록!$A$3:$A$102,0)),"미등록차량"))</f>
        <v/>
      </c>
      <c r="D436" s="11"/>
      <c r="E436" s="18" t="str">
        <f aca="false">IF($D436="","",IFERROR(INDEX(정비항목!$B$3:$B$52,MATCH($D436,정비항목!$A$3:$A$52,0)),"미등록항목"))</f>
        <v/>
      </c>
      <c r="F436" s="14"/>
      <c r="G436" s="14"/>
      <c r="H436" s="11"/>
    </row>
    <row r="437" customFormat="false" ht="15" hidden="false" customHeight="true" outlineLevel="0" collapsed="false">
      <c r="A437" s="15"/>
      <c r="B437" s="11"/>
      <c r="C437" s="18" t="str">
        <f aca="false">IF($B437="","",IFERROR(INDEX(차량목록!$B$3:$B$102,MATCH($B437,차량목록!$A$3:$A$102,0)),"미등록차량"))</f>
        <v/>
      </c>
      <c r="D437" s="11"/>
      <c r="E437" s="18" t="str">
        <f aca="false">IF($D437="","",IFERROR(INDEX(정비항목!$B$3:$B$52,MATCH($D437,정비항목!$A$3:$A$52,0)),"미등록항목"))</f>
        <v/>
      </c>
      <c r="F437" s="14"/>
      <c r="G437" s="14"/>
      <c r="H437" s="11"/>
    </row>
    <row r="438" customFormat="false" ht="15" hidden="false" customHeight="true" outlineLevel="0" collapsed="false">
      <c r="A438" s="15"/>
      <c r="B438" s="11"/>
      <c r="C438" s="18" t="str">
        <f aca="false">IF($B438="","",IFERROR(INDEX(차량목록!$B$3:$B$102,MATCH($B438,차량목록!$A$3:$A$102,0)),"미등록차량"))</f>
        <v/>
      </c>
      <c r="D438" s="11"/>
      <c r="E438" s="18" t="str">
        <f aca="false">IF($D438="","",IFERROR(INDEX(정비항목!$B$3:$B$52,MATCH($D438,정비항목!$A$3:$A$52,0)),"미등록항목"))</f>
        <v/>
      </c>
      <c r="F438" s="14"/>
      <c r="G438" s="14"/>
      <c r="H438" s="11"/>
    </row>
    <row r="439" customFormat="false" ht="15" hidden="false" customHeight="true" outlineLevel="0" collapsed="false">
      <c r="A439" s="15"/>
      <c r="B439" s="11"/>
      <c r="C439" s="18" t="str">
        <f aca="false">IF($B439="","",IFERROR(INDEX(차량목록!$B$3:$B$102,MATCH($B439,차량목록!$A$3:$A$102,0)),"미등록차량"))</f>
        <v/>
      </c>
      <c r="D439" s="11"/>
      <c r="E439" s="18" t="str">
        <f aca="false">IF($D439="","",IFERROR(INDEX(정비항목!$B$3:$B$52,MATCH($D439,정비항목!$A$3:$A$52,0)),"미등록항목"))</f>
        <v/>
      </c>
      <c r="F439" s="14"/>
      <c r="G439" s="14"/>
      <c r="H439" s="11"/>
    </row>
    <row r="440" customFormat="false" ht="15" hidden="false" customHeight="true" outlineLevel="0" collapsed="false">
      <c r="A440" s="15"/>
      <c r="B440" s="11"/>
      <c r="C440" s="18" t="str">
        <f aca="false">IF($B440="","",IFERROR(INDEX(차량목록!$B$3:$B$102,MATCH($B440,차량목록!$A$3:$A$102,0)),"미등록차량"))</f>
        <v/>
      </c>
      <c r="D440" s="11"/>
      <c r="E440" s="18" t="str">
        <f aca="false">IF($D440="","",IFERROR(INDEX(정비항목!$B$3:$B$52,MATCH($D440,정비항목!$A$3:$A$52,0)),"미등록항목"))</f>
        <v/>
      </c>
      <c r="F440" s="14"/>
      <c r="G440" s="14"/>
      <c r="H440" s="11"/>
    </row>
    <row r="441" customFormat="false" ht="15" hidden="false" customHeight="true" outlineLevel="0" collapsed="false">
      <c r="A441" s="15"/>
      <c r="B441" s="11"/>
      <c r="C441" s="18" t="str">
        <f aca="false">IF($B441="","",IFERROR(INDEX(차량목록!$B$3:$B$102,MATCH($B441,차량목록!$A$3:$A$102,0)),"미등록차량"))</f>
        <v/>
      </c>
      <c r="D441" s="11"/>
      <c r="E441" s="18" t="str">
        <f aca="false">IF($D441="","",IFERROR(INDEX(정비항목!$B$3:$B$52,MATCH($D441,정비항목!$A$3:$A$52,0)),"미등록항목"))</f>
        <v/>
      </c>
      <c r="F441" s="14"/>
      <c r="G441" s="14"/>
      <c r="H441" s="11"/>
    </row>
    <row r="442" customFormat="false" ht="15" hidden="false" customHeight="true" outlineLevel="0" collapsed="false">
      <c r="A442" s="15"/>
      <c r="B442" s="11"/>
      <c r="C442" s="18" t="str">
        <f aca="false">IF($B442="","",IFERROR(INDEX(차량목록!$B$3:$B$102,MATCH($B442,차량목록!$A$3:$A$102,0)),"미등록차량"))</f>
        <v/>
      </c>
      <c r="D442" s="11"/>
      <c r="E442" s="18" t="str">
        <f aca="false">IF($D442="","",IFERROR(INDEX(정비항목!$B$3:$B$52,MATCH($D442,정비항목!$A$3:$A$52,0)),"미등록항목"))</f>
        <v/>
      </c>
      <c r="F442" s="14"/>
      <c r="G442" s="14"/>
      <c r="H442" s="11"/>
    </row>
    <row r="443" customFormat="false" ht="15" hidden="false" customHeight="true" outlineLevel="0" collapsed="false">
      <c r="A443" s="15"/>
      <c r="B443" s="11"/>
      <c r="C443" s="18" t="str">
        <f aca="false">IF($B443="","",IFERROR(INDEX(차량목록!$B$3:$B$102,MATCH($B443,차량목록!$A$3:$A$102,0)),"미등록차량"))</f>
        <v/>
      </c>
      <c r="D443" s="11"/>
      <c r="E443" s="18" t="str">
        <f aca="false">IF($D443="","",IFERROR(INDEX(정비항목!$B$3:$B$52,MATCH($D443,정비항목!$A$3:$A$52,0)),"미등록항목"))</f>
        <v/>
      </c>
      <c r="F443" s="14"/>
      <c r="G443" s="14"/>
      <c r="H443" s="11"/>
    </row>
    <row r="444" customFormat="false" ht="15" hidden="false" customHeight="true" outlineLevel="0" collapsed="false">
      <c r="A444" s="15"/>
      <c r="B444" s="11"/>
      <c r="C444" s="18" t="str">
        <f aca="false">IF($B444="","",IFERROR(INDEX(차량목록!$B$3:$B$102,MATCH($B444,차량목록!$A$3:$A$102,0)),"미등록차량"))</f>
        <v/>
      </c>
      <c r="D444" s="11"/>
      <c r="E444" s="18" t="str">
        <f aca="false">IF($D444="","",IFERROR(INDEX(정비항목!$B$3:$B$52,MATCH($D444,정비항목!$A$3:$A$52,0)),"미등록항목"))</f>
        <v/>
      </c>
      <c r="F444" s="14"/>
      <c r="G444" s="14"/>
      <c r="H444" s="11"/>
    </row>
    <row r="445" customFormat="false" ht="15" hidden="false" customHeight="true" outlineLevel="0" collapsed="false">
      <c r="A445" s="15"/>
      <c r="B445" s="11"/>
      <c r="C445" s="18" t="str">
        <f aca="false">IF($B445="","",IFERROR(INDEX(차량목록!$B$3:$B$102,MATCH($B445,차량목록!$A$3:$A$102,0)),"미등록차량"))</f>
        <v/>
      </c>
      <c r="D445" s="11"/>
      <c r="E445" s="18" t="str">
        <f aca="false">IF($D445="","",IFERROR(INDEX(정비항목!$B$3:$B$52,MATCH($D445,정비항목!$A$3:$A$52,0)),"미등록항목"))</f>
        <v/>
      </c>
      <c r="F445" s="14"/>
      <c r="G445" s="14"/>
      <c r="H445" s="11"/>
    </row>
    <row r="446" customFormat="false" ht="15" hidden="false" customHeight="true" outlineLevel="0" collapsed="false">
      <c r="A446" s="15"/>
      <c r="B446" s="11"/>
      <c r="C446" s="18" t="str">
        <f aca="false">IF($B446="","",IFERROR(INDEX(차량목록!$B$3:$B$102,MATCH($B446,차량목록!$A$3:$A$102,0)),"미등록차량"))</f>
        <v/>
      </c>
      <c r="D446" s="11"/>
      <c r="E446" s="18" t="str">
        <f aca="false">IF($D446="","",IFERROR(INDEX(정비항목!$B$3:$B$52,MATCH($D446,정비항목!$A$3:$A$52,0)),"미등록항목"))</f>
        <v/>
      </c>
      <c r="F446" s="14"/>
      <c r="G446" s="14"/>
      <c r="H446" s="11"/>
    </row>
    <row r="447" customFormat="false" ht="15" hidden="false" customHeight="true" outlineLevel="0" collapsed="false">
      <c r="A447" s="15"/>
      <c r="B447" s="11"/>
      <c r="C447" s="18" t="str">
        <f aca="false">IF($B447="","",IFERROR(INDEX(차량목록!$B$3:$B$102,MATCH($B447,차량목록!$A$3:$A$102,0)),"미등록차량"))</f>
        <v/>
      </c>
      <c r="D447" s="11"/>
      <c r="E447" s="18" t="str">
        <f aca="false">IF($D447="","",IFERROR(INDEX(정비항목!$B$3:$B$52,MATCH($D447,정비항목!$A$3:$A$52,0)),"미등록항목"))</f>
        <v/>
      </c>
      <c r="F447" s="14"/>
      <c r="G447" s="14"/>
      <c r="H447" s="11"/>
    </row>
    <row r="448" customFormat="false" ht="15" hidden="false" customHeight="true" outlineLevel="0" collapsed="false">
      <c r="A448" s="15"/>
      <c r="B448" s="11"/>
      <c r="C448" s="18" t="str">
        <f aca="false">IF($B448="","",IFERROR(INDEX(차량목록!$B$3:$B$102,MATCH($B448,차량목록!$A$3:$A$102,0)),"미등록차량"))</f>
        <v/>
      </c>
      <c r="D448" s="11"/>
      <c r="E448" s="18" t="str">
        <f aca="false">IF($D448="","",IFERROR(INDEX(정비항목!$B$3:$B$52,MATCH($D448,정비항목!$A$3:$A$52,0)),"미등록항목"))</f>
        <v/>
      </c>
      <c r="F448" s="14"/>
      <c r="G448" s="14"/>
      <c r="H448" s="11"/>
    </row>
    <row r="449" customFormat="false" ht="15" hidden="false" customHeight="true" outlineLevel="0" collapsed="false">
      <c r="A449" s="15"/>
      <c r="B449" s="11"/>
      <c r="C449" s="18" t="str">
        <f aca="false">IF($B449="","",IFERROR(INDEX(차량목록!$B$3:$B$102,MATCH($B449,차량목록!$A$3:$A$102,0)),"미등록차량"))</f>
        <v/>
      </c>
      <c r="D449" s="11"/>
      <c r="E449" s="18" t="str">
        <f aca="false">IF($D449="","",IFERROR(INDEX(정비항목!$B$3:$B$52,MATCH($D449,정비항목!$A$3:$A$52,0)),"미등록항목"))</f>
        <v/>
      </c>
      <c r="F449" s="14"/>
      <c r="G449" s="14"/>
      <c r="H449" s="11"/>
    </row>
    <row r="450" customFormat="false" ht="15" hidden="false" customHeight="true" outlineLevel="0" collapsed="false">
      <c r="A450" s="15"/>
      <c r="B450" s="11"/>
      <c r="C450" s="18" t="str">
        <f aca="false">IF($B450="","",IFERROR(INDEX(차량목록!$B$3:$B$102,MATCH($B450,차량목록!$A$3:$A$102,0)),"미등록차량"))</f>
        <v/>
      </c>
      <c r="D450" s="11"/>
      <c r="E450" s="18" t="str">
        <f aca="false">IF($D450="","",IFERROR(INDEX(정비항목!$B$3:$B$52,MATCH($D450,정비항목!$A$3:$A$52,0)),"미등록항목"))</f>
        <v/>
      </c>
      <c r="F450" s="14"/>
      <c r="G450" s="14"/>
      <c r="H450" s="11"/>
    </row>
    <row r="451" customFormat="false" ht="15" hidden="false" customHeight="true" outlineLevel="0" collapsed="false">
      <c r="A451" s="15"/>
      <c r="B451" s="11"/>
      <c r="C451" s="18" t="str">
        <f aca="false">IF($B451="","",IFERROR(INDEX(차량목록!$B$3:$B$102,MATCH($B451,차량목록!$A$3:$A$102,0)),"미등록차량"))</f>
        <v/>
      </c>
      <c r="D451" s="11"/>
      <c r="E451" s="18" t="str">
        <f aca="false">IF($D451="","",IFERROR(INDEX(정비항목!$B$3:$B$52,MATCH($D451,정비항목!$A$3:$A$52,0)),"미등록항목"))</f>
        <v/>
      </c>
      <c r="F451" s="14"/>
      <c r="G451" s="14"/>
      <c r="H451" s="11"/>
    </row>
    <row r="452" customFormat="false" ht="15" hidden="false" customHeight="true" outlineLevel="0" collapsed="false">
      <c r="A452" s="15"/>
      <c r="B452" s="11"/>
      <c r="C452" s="18" t="str">
        <f aca="false">IF($B452="","",IFERROR(INDEX(차량목록!$B$3:$B$102,MATCH($B452,차량목록!$A$3:$A$102,0)),"미등록차량"))</f>
        <v/>
      </c>
      <c r="D452" s="11"/>
      <c r="E452" s="18" t="str">
        <f aca="false">IF($D452="","",IFERROR(INDEX(정비항목!$B$3:$B$52,MATCH($D452,정비항목!$A$3:$A$52,0)),"미등록항목"))</f>
        <v/>
      </c>
      <c r="F452" s="14"/>
      <c r="G452" s="14"/>
      <c r="H452" s="11"/>
    </row>
    <row r="453" customFormat="false" ht="15" hidden="false" customHeight="true" outlineLevel="0" collapsed="false">
      <c r="A453" s="15"/>
      <c r="B453" s="11"/>
      <c r="C453" s="18" t="str">
        <f aca="false">IF($B453="","",IFERROR(INDEX(차량목록!$B$3:$B$102,MATCH($B453,차량목록!$A$3:$A$102,0)),"미등록차량"))</f>
        <v/>
      </c>
      <c r="D453" s="11"/>
      <c r="E453" s="18" t="str">
        <f aca="false">IF($D453="","",IFERROR(INDEX(정비항목!$B$3:$B$52,MATCH($D453,정비항목!$A$3:$A$52,0)),"미등록항목"))</f>
        <v/>
      </c>
      <c r="F453" s="14"/>
      <c r="G453" s="14"/>
      <c r="H453" s="11"/>
    </row>
    <row r="454" customFormat="false" ht="15" hidden="false" customHeight="true" outlineLevel="0" collapsed="false">
      <c r="A454" s="15"/>
      <c r="B454" s="11"/>
      <c r="C454" s="18" t="str">
        <f aca="false">IF($B454="","",IFERROR(INDEX(차량목록!$B$3:$B$102,MATCH($B454,차량목록!$A$3:$A$102,0)),"미등록차량"))</f>
        <v/>
      </c>
      <c r="D454" s="11"/>
      <c r="E454" s="18" t="str">
        <f aca="false">IF($D454="","",IFERROR(INDEX(정비항목!$B$3:$B$52,MATCH($D454,정비항목!$A$3:$A$52,0)),"미등록항목"))</f>
        <v/>
      </c>
      <c r="F454" s="14"/>
      <c r="G454" s="14"/>
      <c r="H454" s="11"/>
    </row>
    <row r="455" customFormat="false" ht="15" hidden="false" customHeight="true" outlineLevel="0" collapsed="false">
      <c r="A455" s="15"/>
      <c r="B455" s="11"/>
      <c r="C455" s="18" t="str">
        <f aca="false">IF($B455="","",IFERROR(INDEX(차량목록!$B$3:$B$102,MATCH($B455,차량목록!$A$3:$A$102,0)),"미등록차량"))</f>
        <v/>
      </c>
      <c r="D455" s="11"/>
      <c r="E455" s="18" t="str">
        <f aca="false">IF($D455="","",IFERROR(INDEX(정비항목!$B$3:$B$52,MATCH($D455,정비항목!$A$3:$A$52,0)),"미등록항목"))</f>
        <v/>
      </c>
      <c r="F455" s="14"/>
      <c r="G455" s="14"/>
      <c r="H455" s="11"/>
    </row>
    <row r="456" customFormat="false" ht="15" hidden="false" customHeight="true" outlineLevel="0" collapsed="false">
      <c r="A456" s="15"/>
      <c r="B456" s="11"/>
      <c r="C456" s="18" t="str">
        <f aca="false">IF($B456="","",IFERROR(INDEX(차량목록!$B$3:$B$102,MATCH($B456,차량목록!$A$3:$A$102,0)),"미등록차량"))</f>
        <v/>
      </c>
      <c r="D456" s="11"/>
      <c r="E456" s="18" t="str">
        <f aca="false">IF($D456="","",IFERROR(INDEX(정비항목!$B$3:$B$52,MATCH($D456,정비항목!$A$3:$A$52,0)),"미등록항목"))</f>
        <v/>
      </c>
      <c r="F456" s="14"/>
      <c r="G456" s="14"/>
      <c r="H456" s="11"/>
    </row>
    <row r="457" customFormat="false" ht="15" hidden="false" customHeight="true" outlineLevel="0" collapsed="false">
      <c r="A457" s="15"/>
      <c r="B457" s="11"/>
      <c r="C457" s="18" t="str">
        <f aca="false">IF($B457="","",IFERROR(INDEX(차량목록!$B$3:$B$102,MATCH($B457,차량목록!$A$3:$A$102,0)),"미등록차량"))</f>
        <v/>
      </c>
      <c r="D457" s="11"/>
      <c r="E457" s="18" t="str">
        <f aca="false">IF($D457="","",IFERROR(INDEX(정비항목!$B$3:$B$52,MATCH($D457,정비항목!$A$3:$A$52,0)),"미등록항목"))</f>
        <v/>
      </c>
      <c r="F457" s="14"/>
      <c r="G457" s="14"/>
      <c r="H457" s="11"/>
    </row>
    <row r="458" customFormat="false" ht="15" hidden="false" customHeight="true" outlineLevel="0" collapsed="false">
      <c r="A458" s="15"/>
      <c r="B458" s="11"/>
      <c r="C458" s="18" t="str">
        <f aca="false">IF($B458="","",IFERROR(INDEX(차량목록!$B$3:$B$102,MATCH($B458,차량목록!$A$3:$A$102,0)),"미등록차량"))</f>
        <v/>
      </c>
      <c r="D458" s="11"/>
      <c r="E458" s="18" t="str">
        <f aca="false">IF($D458="","",IFERROR(INDEX(정비항목!$B$3:$B$52,MATCH($D458,정비항목!$A$3:$A$52,0)),"미등록항목"))</f>
        <v/>
      </c>
      <c r="F458" s="14"/>
      <c r="G458" s="14"/>
      <c r="H458" s="11"/>
    </row>
    <row r="459" customFormat="false" ht="15" hidden="false" customHeight="true" outlineLevel="0" collapsed="false">
      <c r="A459" s="15"/>
      <c r="B459" s="11"/>
      <c r="C459" s="18" t="str">
        <f aca="false">IF($B459="","",IFERROR(INDEX(차량목록!$B$3:$B$102,MATCH($B459,차량목록!$A$3:$A$102,0)),"미등록차량"))</f>
        <v/>
      </c>
      <c r="D459" s="11"/>
      <c r="E459" s="18" t="str">
        <f aca="false">IF($D459="","",IFERROR(INDEX(정비항목!$B$3:$B$52,MATCH($D459,정비항목!$A$3:$A$52,0)),"미등록항목"))</f>
        <v/>
      </c>
      <c r="F459" s="14"/>
      <c r="G459" s="14"/>
      <c r="H459" s="11"/>
    </row>
    <row r="460" customFormat="false" ht="15" hidden="false" customHeight="true" outlineLevel="0" collapsed="false">
      <c r="A460" s="15"/>
      <c r="B460" s="11"/>
      <c r="C460" s="18" t="str">
        <f aca="false">IF($B460="","",IFERROR(INDEX(차량목록!$B$3:$B$102,MATCH($B460,차량목록!$A$3:$A$102,0)),"미등록차량"))</f>
        <v/>
      </c>
      <c r="D460" s="11"/>
      <c r="E460" s="18" t="str">
        <f aca="false">IF($D460="","",IFERROR(INDEX(정비항목!$B$3:$B$52,MATCH($D460,정비항목!$A$3:$A$52,0)),"미등록항목"))</f>
        <v/>
      </c>
      <c r="F460" s="14"/>
      <c r="G460" s="14"/>
      <c r="H460" s="11"/>
    </row>
    <row r="461" customFormat="false" ht="15" hidden="false" customHeight="true" outlineLevel="0" collapsed="false">
      <c r="A461" s="15"/>
      <c r="B461" s="11"/>
      <c r="C461" s="18" t="str">
        <f aca="false">IF($B461="","",IFERROR(INDEX(차량목록!$B$3:$B$102,MATCH($B461,차량목록!$A$3:$A$102,0)),"미등록차량"))</f>
        <v/>
      </c>
      <c r="D461" s="11"/>
      <c r="E461" s="18" t="str">
        <f aca="false">IF($D461="","",IFERROR(INDEX(정비항목!$B$3:$B$52,MATCH($D461,정비항목!$A$3:$A$52,0)),"미등록항목"))</f>
        <v/>
      </c>
      <c r="F461" s="14"/>
      <c r="G461" s="14"/>
      <c r="H461" s="11"/>
    </row>
    <row r="462" customFormat="false" ht="15" hidden="false" customHeight="true" outlineLevel="0" collapsed="false">
      <c r="A462" s="15"/>
      <c r="B462" s="11"/>
      <c r="C462" s="18" t="str">
        <f aca="false">IF($B462="","",IFERROR(INDEX(차량목록!$B$3:$B$102,MATCH($B462,차량목록!$A$3:$A$102,0)),"미등록차량"))</f>
        <v/>
      </c>
      <c r="D462" s="11"/>
      <c r="E462" s="18" t="str">
        <f aca="false">IF($D462="","",IFERROR(INDEX(정비항목!$B$3:$B$52,MATCH($D462,정비항목!$A$3:$A$52,0)),"미등록항목"))</f>
        <v/>
      </c>
      <c r="F462" s="14"/>
      <c r="G462" s="14"/>
      <c r="H462" s="11"/>
    </row>
    <row r="463" customFormat="false" ht="15" hidden="false" customHeight="true" outlineLevel="0" collapsed="false">
      <c r="A463" s="15"/>
      <c r="B463" s="11"/>
      <c r="C463" s="18" t="str">
        <f aca="false">IF($B463="","",IFERROR(INDEX(차량목록!$B$3:$B$102,MATCH($B463,차량목록!$A$3:$A$102,0)),"미등록차량"))</f>
        <v/>
      </c>
      <c r="D463" s="11"/>
      <c r="E463" s="18" t="str">
        <f aca="false">IF($D463="","",IFERROR(INDEX(정비항목!$B$3:$B$52,MATCH($D463,정비항목!$A$3:$A$52,0)),"미등록항목"))</f>
        <v/>
      </c>
      <c r="F463" s="14"/>
      <c r="G463" s="14"/>
      <c r="H463" s="11"/>
    </row>
    <row r="464" customFormat="false" ht="15" hidden="false" customHeight="true" outlineLevel="0" collapsed="false">
      <c r="A464" s="15"/>
      <c r="B464" s="11"/>
      <c r="C464" s="18" t="str">
        <f aca="false">IF($B464="","",IFERROR(INDEX(차량목록!$B$3:$B$102,MATCH($B464,차량목록!$A$3:$A$102,0)),"미등록차량"))</f>
        <v/>
      </c>
      <c r="D464" s="11"/>
      <c r="E464" s="18" t="str">
        <f aca="false">IF($D464="","",IFERROR(INDEX(정비항목!$B$3:$B$52,MATCH($D464,정비항목!$A$3:$A$52,0)),"미등록항목"))</f>
        <v/>
      </c>
      <c r="F464" s="14"/>
      <c r="G464" s="14"/>
      <c r="H464" s="11"/>
    </row>
    <row r="465" customFormat="false" ht="15" hidden="false" customHeight="true" outlineLevel="0" collapsed="false">
      <c r="A465" s="15"/>
      <c r="B465" s="11"/>
      <c r="C465" s="18" t="str">
        <f aca="false">IF($B465="","",IFERROR(INDEX(차량목록!$B$3:$B$102,MATCH($B465,차량목록!$A$3:$A$102,0)),"미등록차량"))</f>
        <v/>
      </c>
      <c r="D465" s="11"/>
      <c r="E465" s="18" t="str">
        <f aca="false">IF($D465="","",IFERROR(INDEX(정비항목!$B$3:$B$52,MATCH($D465,정비항목!$A$3:$A$52,0)),"미등록항목"))</f>
        <v/>
      </c>
      <c r="F465" s="14"/>
      <c r="G465" s="14"/>
      <c r="H465" s="11"/>
    </row>
    <row r="466" customFormat="false" ht="15" hidden="false" customHeight="true" outlineLevel="0" collapsed="false">
      <c r="A466" s="15"/>
      <c r="B466" s="11"/>
      <c r="C466" s="18" t="str">
        <f aca="false">IF($B466="","",IFERROR(INDEX(차량목록!$B$3:$B$102,MATCH($B466,차량목록!$A$3:$A$102,0)),"미등록차량"))</f>
        <v/>
      </c>
      <c r="D466" s="11"/>
      <c r="E466" s="18" t="str">
        <f aca="false">IF($D466="","",IFERROR(INDEX(정비항목!$B$3:$B$52,MATCH($D466,정비항목!$A$3:$A$52,0)),"미등록항목"))</f>
        <v/>
      </c>
      <c r="F466" s="14"/>
      <c r="G466" s="14"/>
      <c r="H466" s="11"/>
    </row>
    <row r="467" customFormat="false" ht="15" hidden="false" customHeight="true" outlineLevel="0" collapsed="false">
      <c r="A467" s="15"/>
      <c r="B467" s="11"/>
      <c r="C467" s="18" t="str">
        <f aca="false">IF($B467="","",IFERROR(INDEX(차량목록!$B$3:$B$102,MATCH($B467,차량목록!$A$3:$A$102,0)),"미등록차량"))</f>
        <v/>
      </c>
      <c r="D467" s="11"/>
      <c r="E467" s="18" t="str">
        <f aca="false">IF($D467="","",IFERROR(INDEX(정비항목!$B$3:$B$52,MATCH($D467,정비항목!$A$3:$A$52,0)),"미등록항목"))</f>
        <v/>
      </c>
      <c r="F467" s="14"/>
      <c r="G467" s="14"/>
      <c r="H467" s="11"/>
    </row>
    <row r="468" customFormat="false" ht="15" hidden="false" customHeight="true" outlineLevel="0" collapsed="false">
      <c r="A468" s="15"/>
      <c r="B468" s="11"/>
      <c r="C468" s="18" t="str">
        <f aca="false">IF($B468="","",IFERROR(INDEX(차량목록!$B$3:$B$102,MATCH($B468,차량목록!$A$3:$A$102,0)),"미등록차량"))</f>
        <v/>
      </c>
      <c r="D468" s="11"/>
      <c r="E468" s="18" t="str">
        <f aca="false">IF($D468="","",IFERROR(INDEX(정비항목!$B$3:$B$52,MATCH($D468,정비항목!$A$3:$A$52,0)),"미등록항목"))</f>
        <v/>
      </c>
      <c r="F468" s="14"/>
      <c r="G468" s="14"/>
      <c r="H468" s="11"/>
    </row>
    <row r="469" customFormat="false" ht="15" hidden="false" customHeight="true" outlineLevel="0" collapsed="false">
      <c r="A469" s="15"/>
      <c r="B469" s="11"/>
      <c r="C469" s="18" t="str">
        <f aca="false">IF($B469="","",IFERROR(INDEX(차량목록!$B$3:$B$102,MATCH($B469,차량목록!$A$3:$A$102,0)),"미등록차량"))</f>
        <v/>
      </c>
      <c r="D469" s="11"/>
      <c r="E469" s="18" t="str">
        <f aca="false">IF($D469="","",IFERROR(INDEX(정비항목!$B$3:$B$52,MATCH($D469,정비항목!$A$3:$A$52,0)),"미등록항목"))</f>
        <v/>
      </c>
      <c r="F469" s="14"/>
      <c r="G469" s="14"/>
      <c r="H469" s="11"/>
    </row>
    <row r="470" customFormat="false" ht="15" hidden="false" customHeight="true" outlineLevel="0" collapsed="false">
      <c r="A470" s="15"/>
      <c r="B470" s="11"/>
      <c r="C470" s="18" t="str">
        <f aca="false">IF($B470="","",IFERROR(INDEX(차량목록!$B$3:$B$102,MATCH($B470,차량목록!$A$3:$A$102,0)),"미등록차량"))</f>
        <v/>
      </c>
      <c r="D470" s="11"/>
      <c r="E470" s="18" t="str">
        <f aca="false">IF($D470="","",IFERROR(INDEX(정비항목!$B$3:$B$52,MATCH($D470,정비항목!$A$3:$A$52,0)),"미등록항목"))</f>
        <v/>
      </c>
      <c r="F470" s="14"/>
      <c r="G470" s="14"/>
      <c r="H470" s="11"/>
    </row>
    <row r="471" customFormat="false" ht="15" hidden="false" customHeight="true" outlineLevel="0" collapsed="false">
      <c r="A471" s="15"/>
      <c r="B471" s="11"/>
      <c r="C471" s="18" t="str">
        <f aca="false">IF($B471="","",IFERROR(INDEX(차량목록!$B$3:$B$102,MATCH($B471,차량목록!$A$3:$A$102,0)),"미등록차량"))</f>
        <v/>
      </c>
      <c r="D471" s="11"/>
      <c r="E471" s="18" t="str">
        <f aca="false">IF($D471="","",IFERROR(INDEX(정비항목!$B$3:$B$52,MATCH($D471,정비항목!$A$3:$A$52,0)),"미등록항목"))</f>
        <v/>
      </c>
      <c r="F471" s="14"/>
      <c r="G471" s="14"/>
      <c r="H471" s="11"/>
    </row>
    <row r="472" customFormat="false" ht="15" hidden="false" customHeight="true" outlineLevel="0" collapsed="false">
      <c r="A472" s="15"/>
      <c r="B472" s="11"/>
      <c r="C472" s="18" t="str">
        <f aca="false">IF($B472="","",IFERROR(INDEX(차량목록!$B$3:$B$102,MATCH($B472,차량목록!$A$3:$A$102,0)),"미등록차량"))</f>
        <v/>
      </c>
      <c r="D472" s="11"/>
      <c r="E472" s="18" t="str">
        <f aca="false">IF($D472="","",IFERROR(INDEX(정비항목!$B$3:$B$52,MATCH($D472,정비항목!$A$3:$A$52,0)),"미등록항목"))</f>
        <v/>
      </c>
      <c r="F472" s="14"/>
      <c r="G472" s="14"/>
      <c r="H472" s="11"/>
    </row>
    <row r="473" customFormat="false" ht="15" hidden="false" customHeight="true" outlineLevel="0" collapsed="false">
      <c r="A473" s="15"/>
      <c r="B473" s="11"/>
      <c r="C473" s="18" t="str">
        <f aca="false">IF($B473="","",IFERROR(INDEX(차량목록!$B$3:$B$102,MATCH($B473,차량목록!$A$3:$A$102,0)),"미등록차량"))</f>
        <v/>
      </c>
      <c r="D473" s="11"/>
      <c r="E473" s="18" t="str">
        <f aca="false">IF($D473="","",IFERROR(INDEX(정비항목!$B$3:$B$52,MATCH($D473,정비항목!$A$3:$A$52,0)),"미등록항목"))</f>
        <v/>
      </c>
      <c r="F473" s="14"/>
      <c r="G473" s="14"/>
      <c r="H473" s="11"/>
    </row>
    <row r="474" customFormat="false" ht="15" hidden="false" customHeight="true" outlineLevel="0" collapsed="false">
      <c r="A474" s="15"/>
      <c r="B474" s="11"/>
      <c r="C474" s="18" t="str">
        <f aca="false">IF($B474="","",IFERROR(INDEX(차량목록!$B$3:$B$102,MATCH($B474,차량목록!$A$3:$A$102,0)),"미등록차량"))</f>
        <v/>
      </c>
      <c r="D474" s="11"/>
      <c r="E474" s="18" t="str">
        <f aca="false">IF($D474="","",IFERROR(INDEX(정비항목!$B$3:$B$52,MATCH($D474,정비항목!$A$3:$A$52,0)),"미등록항목"))</f>
        <v/>
      </c>
      <c r="F474" s="14"/>
      <c r="G474" s="14"/>
      <c r="H474" s="11"/>
    </row>
    <row r="475" customFormat="false" ht="15" hidden="false" customHeight="true" outlineLevel="0" collapsed="false">
      <c r="A475" s="15"/>
      <c r="B475" s="11"/>
      <c r="C475" s="18" t="str">
        <f aca="false">IF($B475="","",IFERROR(INDEX(차량목록!$B$3:$B$102,MATCH($B475,차량목록!$A$3:$A$102,0)),"미등록차량"))</f>
        <v/>
      </c>
      <c r="D475" s="11"/>
      <c r="E475" s="18" t="str">
        <f aca="false">IF($D475="","",IFERROR(INDEX(정비항목!$B$3:$B$52,MATCH($D475,정비항목!$A$3:$A$52,0)),"미등록항목"))</f>
        <v/>
      </c>
      <c r="F475" s="14"/>
      <c r="G475" s="14"/>
      <c r="H475" s="11"/>
    </row>
    <row r="476" customFormat="false" ht="15" hidden="false" customHeight="true" outlineLevel="0" collapsed="false">
      <c r="A476" s="15"/>
      <c r="B476" s="11"/>
      <c r="C476" s="18" t="str">
        <f aca="false">IF($B476="","",IFERROR(INDEX(차량목록!$B$3:$B$102,MATCH($B476,차량목록!$A$3:$A$102,0)),"미등록차량"))</f>
        <v/>
      </c>
      <c r="D476" s="11"/>
      <c r="E476" s="18" t="str">
        <f aca="false">IF($D476="","",IFERROR(INDEX(정비항목!$B$3:$B$52,MATCH($D476,정비항목!$A$3:$A$52,0)),"미등록항목"))</f>
        <v/>
      </c>
      <c r="F476" s="14"/>
      <c r="G476" s="14"/>
      <c r="H476" s="11"/>
    </row>
    <row r="477" customFormat="false" ht="15" hidden="false" customHeight="true" outlineLevel="0" collapsed="false">
      <c r="A477" s="15"/>
      <c r="B477" s="11"/>
      <c r="C477" s="18" t="str">
        <f aca="false">IF($B477="","",IFERROR(INDEX(차량목록!$B$3:$B$102,MATCH($B477,차량목록!$A$3:$A$102,0)),"미등록차량"))</f>
        <v/>
      </c>
      <c r="D477" s="11"/>
      <c r="E477" s="18" t="str">
        <f aca="false">IF($D477="","",IFERROR(INDEX(정비항목!$B$3:$B$52,MATCH($D477,정비항목!$A$3:$A$52,0)),"미등록항목"))</f>
        <v/>
      </c>
      <c r="F477" s="14"/>
      <c r="G477" s="14"/>
      <c r="H477" s="11"/>
    </row>
    <row r="478" customFormat="false" ht="15" hidden="false" customHeight="true" outlineLevel="0" collapsed="false">
      <c r="A478" s="15"/>
      <c r="B478" s="11"/>
      <c r="C478" s="18" t="str">
        <f aca="false">IF($B478="","",IFERROR(INDEX(차량목록!$B$3:$B$102,MATCH($B478,차량목록!$A$3:$A$102,0)),"미등록차량"))</f>
        <v/>
      </c>
      <c r="D478" s="11"/>
      <c r="E478" s="18" t="str">
        <f aca="false">IF($D478="","",IFERROR(INDEX(정비항목!$B$3:$B$52,MATCH($D478,정비항목!$A$3:$A$52,0)),"미등록항목"))</f>
        <v/>
      </c>
      <c r="F478" s="14"/>
      <c r="G478" s="14"/>
      <c r="H478" s="11"/>
    </row>
    <row r="479" customFormat="false" ht="15" hidden="false" customHeight="true" outlineLevel="0" collapsed="false">
      <c r="A479" s="15"/>
      <c r="B479" s="11"/>
      <c r="C479" s="18" t="str">
        <f aca="false">IF($B479="","",IFERROR(INDEX(차량목록!$B$3:$B$102,MATCH($B479,차량목록!$A$3:$A$102,0)),"미등록차량"))</f>
        <v/>
      </c>
      <c r="D479" s="11"/>
      <c r="E479" s="18" t="str">
        <f aca="false">IF($D479="","",IFERROR(INDEX(정비항목!$B$3:$B$52,MATCH($D479,정비항목!$A$3:$A$52,0)),"미등록항목"))</f>
        <v/>
      </c>
      <c r="F479" s="14"/>
      <c r="G479" s="14"/>
      <c r="H479" s="11"/>
    </row>
    <row r="480" customFormat="false" ht="15" hidden="false" customHeight="true" outlineLevel="0" collapsed="false">
      <c r="A480" s="15"/>
      <c r="B480" s="11"/>
      <c r="C480" s="18" t="str">
        <f aca="false">IF($B480="","",IFERROR(INDEX(차량목록!$B$3:$B$102,MATCH($B480,차량목록!$A$3:$A$102,0)),"미등록차량"))</f>
        <v/>
      </c>
      <c r="D480" s="11"/>
      <c r="E480" s="18" t="str">
        <f aca="false">IF($D480="","",IFERROR(INDEX(정비항목!$B$3:$B$52,MATCH($D480,정비항목!$A$3:$A$52,0)),"미등록항목"))</f>
        <v/>
      </c>
      <c r="F480" s="14"/>
      <c r="G480" s="14"/>
      <c r="H480" s="11"/>
    </row>
    <row r="481" customFormat="false" ht="15" hidden="false" customHeight="true" outlineLevel="0" collapsed="false">
      <c r="A481" s="15"/>
      <c r="B481" s="11"/>
      <c r="C481" s="18" t="str">
        <f aca="false">IF($B481="","",IFERROR(INDEX(차량목록!$B$3:$B$102,MATCH($B481,차량목록!$A$3:$A$102,0)),"미등록차량"))</f>
        <v/>
      </c>
      <c r="D481" s="11"/>
      <c r="E481" s="18" t="str">
        <f aca="false">IF($D481="","",IFERROR(INDEX(정비항목!$B$3:$B$52,MATCH($D481,정비항목!$A$3:$A$52,0)),"미등록항목"))</f>
        <v/>
      </c>
      <c r="F481" s="14"/>
      <c r="G481" s="14"/>
      <c r="H481" s="11"/>
    </row>
    <row r="482" customFormat="false" ht="15" hidden="false" customHeight="true" outlineLevel="0" collapsed="false">
      <c r="A482" s="15"/>
      <c r="B482" s="11"/>
      <c r="C482" s="18" t="str">
        <f aca="false">IF($B482="","",IFERROR(INDEX(차량목록!$B$3:$B$102,MATCH($B482,차량목록!$A$3:$A$102,0)),"미등록차량"))</f>
        <v/>
      </c>
      <c r="D482" s="11"/>
      <c r="E482" s="18" t="str">
        <f aca="false">IF($D482="","",IFERROR(INDEX(정비항목!$B$3:$B$52,MATCH($D482,정비항목!$A$3:$A$52,0)),"미등록항목"))</f>
        <v/>
      </c>
      <c r="F482" s="14"/>
      <c r="G482" s="14"/>
      <c r="H482" s="11"/>
    </row>
    <row r="483" customFormat="false" ht="15" hidden="false" customHeight="true" outlineLevel="0" collapsed="false">
      <c r="A483" s="15"/>
      <c r="B483" s="11"/>
      <c r="C483" s="18" t="str">
        <f aca="false">IF($B483="","",IFERROR(INDEX(차량목록!$B$3:$B$102,MATCH($B483,차량목록!$A$3:$A$102,0)),"미등록차량"))</f>
        <v/>
      </c>
      <c r="D483" s="11"/>
      <c r="E483" s="18" t="str">
        <f aca="false">IF($D483="","",IFERROR(INDEX(정비항목!$B$3:$B$52,MATCH($D483,정비항목!$A$3:$A$52,0)),"미등록항목"))</f>
        <v/>
      </c>
      <c r="F483" s="14"/>
      <c r="G483" s="14"/>
      <c r="H483" s="11"/>
    </row>
    <row r="484" customFormat="false" ht="15" hidden="false" customHeight="true" outlineLevel="0" collapsed="false">
      <c r="A484" s="15"/>
      <c r="B484" s="11"/>
      <c r="C484" s="18" t="str">
        <f aca="false">IF($B484="","",IFERROR(INDEX(차량목록!$B$3:$B$102,MATCH($B484,차량목록!$A$3:$A$102,0)),"미등록차량"))</f>
        <v/>
      </c>
      <c r="D484" s="11"/>
      <c r="E484" s="18" t="str">
        <f aca="false">IF($D484="","",IFERROR(INDEX(정비항목!$B$3:$B$52,MATCH($D484,정비항목!$A$3:$A$52,0)),"미등록항목"))</f>
        <v/>
      </c>
      <c r="F484" s="14"/>
      <c r="G484" s="14"/>
      <c r="H484" s="11"/>
    </row>
    <row r="485" customFormat="false" ht="15" hidden="false" customHeight="true" outlineLevel="0" collapsed="false">
      <c r="A485" s="15"/>
      <c r="B485" s="11"/>
      <c r="C485" s="18" t="str">
        <f aca="false">IF($B485="","",IFERROR(INDEX(차량목록!$B$3:$B$102,MATCH($B485,차량목록!$A$3:$A$102,0)),"미등록차량"))</f>
        <v/>
      </c>
      <c r="D485" s="11"/>
      <c r="E485" s="18" t="str">
        <f aca="false">IF($D485="","",IFERROR(INDEX(정비항목!$B$3:$B$52,MATCH($D485,정비항목!$A$3:$A$52,0)),"미등록항목"))</f>
        <v/>
      </c>
      <c r="F485" s="14"/>
      <c r="G485" s="14"/>
      <c r="H485" s="11"/>
    </row>
    <row r="486" customFormat="false" ht="15" hidden="false" customHeight="true" outlineLevel="0" collapsed="false">
      <c r="A486" s="15"/>
      <c r="B486" s="11"/>
      <c r="C486" s="18" t="str">
        <f aca="false">IF($B486="","",IFERROR(INDEX(차량목록!$B$3:$B$102,MATCH($B486,차량목록!$A$3:$A$102,0)),"미등록차량"))</f>
        <v/>
      </c>
      <c r="D486" s="11"/>
      <c r="E486" s="18" t="str">
        <f aca="false">IF($D486="","",IFERROR(INDEX(정비항목!$B$3:$B$52,MATCH($D486,정비항목!$A$3:$A$52,0)),"미등록항목"))</f>
        <v/>
      </c>
      <c r="F486" s="14"/>
      <c r="G486" s="14"/>
      <c r="H486" s="11"/>
    </row>
    <row r="487" customFormat="false" ht="15" hidden="false" customHeight="true" outlineLevel="0" collapsed="false">
      <c r="A487" s="15"/>
      <c r="B487" s="11"/>
      <c r="C487" s="18" t="str">
        <f aca="false">IF($B487="","",IFERROR(INDEX(차량목록!$B$3:$B$102,MATCH($B487,차량목록!$A$3:$A$102,0)),"미등록차량"))</f>
        <v/>
      </c>
      <c r="D487" s="11"/>
      <c r="E487" s="18" t="str">
        <f aca="false">IF($D487="","",IFERROR(INDEX(정비항목!$B$3:$B$52,MATCH($D487,정비항목!$A$3:$A$52,0)),"미등록항목"))</f>
        <v/>
      </c>
      <c r="F487" s="14"/>
      <c r="G487" s="14"/>
      <c r="H487" s="11"/>
    </row>
    <row r="488" customFormat="false" ht="15" hidden="false" customHeight="true" outlineLevel="0" collapsed="false">
      <c r="A488" s="15"/>
      <c r="B488" s="11"/>
      <c r="C488" s="18" t="str">
        <f aca="false">IF($B488="","",IFERROR(INDEX(차량목록!$B$3:$B$102,MATCH($B488,차량목록!$A$3:$A$102,0)),"미등록차량"))</f>
        <v/>
      </c>
      <c r="D488" s="11"/>
      <c r="E488" s="18" t="str">
        <f aca="false">IF($D488="","",IFERROR(INDEX(정비항목!$B$3:$B$52,MATCH($D488,정비항목!$A$3:$A$52,0)),"미등록항목"))</f>
        <v/>
      </c>
      <c r="F488" s="14"/>
      <c r="G488" s="14"/>
      <c r="H488" s="11"/>
    </row>
    <row r="489" customFormat="false" ht="15" hidden="false" customHeight="true" outlineLevel="0" collapsed="false">
      <c r="A489" s="15"/>
      <c r="B489" s="11"/>
      <c r="C489" s="18" t="str">
        <f aca="false">IF($B489="","",IFERROR(INDEX(차량목록!$B$3:$B$102,MATCH($B489,차량목록!$A$3:$A$102,0)),"미등록차량"))</f>
        <v/>
      </c>
      <c r="D489" s="11"/>
      <c r="E489" s="18" t="str">
        <f aca="false">IF($D489="","",IFERROR(INDEX(정비항목!$B$3:$B$52,MATCH($D489,정비항목!$A$3:$A$52,0)),"미등록항목"))</f>
        <v/>
      </c>
      <c r="F489" s="14"/>
      <c r="G489" s="14"/>
      <c r="H489" s="11"/>
    </row>
    <row r="490" customFormat="false" ht="15" hidden="false" customHeight="true" outlineLevel="0" collapsed="false">
      <c r="A490" s="15"/>
      <c r="B490" s="11"/>
      <c r="C490" s="18" t="str">
        <f aca="false">IF($B490="","",IFERROR(INDEX(차량목록!$B$3:$B$102,MATCH($B490,차량목록!$A$3:$A$102,0)),"미등록차량"))</f>
        <v/>
      </c>
      <c r="D490" s="11"/>
      <c r="E490" s="18" t="str">
        <f aca="false">IF($D490="","",IFERROR(INDEX(정비항목!$B$3:$B$52,MATCH($D490,정비항목!$A$3:$A$52,0)),"미등록항목"))</f>
        <v/>
      </c>
      <c r="F490" s="14"/>
      <c r="G490" s="14"/>
      <c r="H490" s="11"/>
    </row>
    <row r="491" customFormat="false" ht="15" hidden="false" customHeight="true" outlineLevel="0" collapsed="false">
      <c r="A491" s="15"/>
      <c r="B491" s="11"/>
      <c r="C491" s="18" t="str">
        <f aca="false">IF($B491="","",IFERROR(INDEX(차량목록!$B$3:$B$102,MATCH($B491,차량목록!$A$3:$A$102,0)),"미등록차량"))</f>
        <v/>
      </c>
      <c r="D491" s="11"/>
      <c r="E491" s="18" t="str">
        <f aca="false">IF($D491="","",IFERROR(INDEX(정비항목!$B$3:$B$52,MATCH($D491,정비항목!$A$3:$A$52,0)),"미등록항목"))</f>
        <v/>
      </c>
      <c r="F491" s="14"/>
      <c r="G491" s="14"/>
      <c r="H491" s="11"/>
    </row>
    <row r="492" customFormat="false" ht="15" hidden="false" customHeight="true" outlineLevel="0" collapsed="false">
      <c r="A492" s="15"/>
      <c r="B492" s="11"/>
      <c r="C492" s="18" t="str">
        <f aca="false">IF($B492="","",IFERROR(INDEX(차량목록!$B$3:$B$102,MATCH($B492,차량목록!$A$3:$A$102,0)),"미등록차량"))</f>
        <v/>
      </c>
      <c r="D492" s="11"/>
      <c r="E492" s="18" t="str">
        <f aca="false">IF($D492="","",IFERROR(INDEX(정비항목!$B$3:$B$52,MATCH($D492,정비항목!$A$3:$A$52,0)),"미등록항목"))</f>
        <v/>
      </c>
      <c r="F492" s="14"/>
      <c r="G492" s="14"/>
      <c r="H492" s="11"/>
    </row>
    <row r="493" customFormat="false" ht="15" hidden="false" customHeight="true" outlineLevel="0" collapsed="false">
      <c r="A493" s="15"/>
      <c r="B493" s="11"/>
      <c r="C493" s="18" t="str">
        <f aca="false">IF($B493="","",IFERROR(INDEX(차량목록!$B$3:$B$102,MATCH($B493,차량목록!$A$3:$A$102,0)),"미등록차량"))</f>
        <v/>
      </c>
      <c r="D493" s="11"/>
      <c r="E493" s="18" t="str">
        <f aca="false">IF($D493="","",IFERROR(INDEX(정비항목!$B$3:$B$52,MATCH($D493,정비항목!$A$3:$A$52,0)),"미등록항목"))</f>
        <v/>
      </c>
      <c r="F493" s="14"/>
      <c r="G493" s="14"/>
      <c r="H493" s="11"/>
    </row>
    <row r="494" customFormat="false" ht="15" hidden="false" customHeight="true" outlineLevel="0" collapsed="false">
      <c r="A494" s="15"/>
      <c r="B494" s="11"/>
      <c r="C494" s="18" t="str">
        <f aca="false">IF($B494="","",IFERROR(INDEX(차량목록!$B$3:$B$102,MATCH($B494,차량목록!$A$3:$A$102,0)),"미등록차량"))</f>
        <v/>
      </c>
      <c r="D494" s="11"/>
      <c r="E494" s="18" t="str">
        <f aca="false">IF($D494="","",IFERROR(INDEX(정비항목!$B$3:$B$52,MATCH($D494,정비항목!$A$3:$A$52,0)),"미등록항목"))</f>
        <v/>
      </c>
      <c r="F494" s="14"/>
      <c r="G494" s="14"/>
      <c r="H494" s="11"/>
    </row>
    <row r="495" customFormat="false" ht="15" hidden="false" customHeight="true" outlineLevel="0" collapsed="false">
      <c r="A495" s="15"/>
      <c r="B495" s="11"/>
      <c r="C495" s="18" t="str">
        <f aca="false">IF($B495="","",IFERROR(INDEX(차량목록!$B$3:$B$102,MATCH($B495,차량목록!$A$3:$A$102,0)),"미등록차량"))</f>
        <v/>
      </c>
      <c r="D495" s="11"/>
      <c r="E495" s="18" t="str">
        <f aca="false">IF($D495="","",IFERROR(INDEX(정비항목!$B$3:$B$52,MATCH($D495,정비항목!$A$3:$A$52,0)),"미등록항목"))</f>
        <v/>
      </c>
      <c r="F495" s="14"/>
      <c r="G495" s="14"/>
      <c r="H495" s="11"/>
    </row>
    <row r="496" customFormat="false" ht="15" hidden="false" customHeight="true" outlineLevel="0" collapsed="false">
      <c r="A496" s="15"/>
      <c r="B496" s="11"/>
      <c r="C496" s="18" t="str">
        <f aca="false">IF($B496="","",IFERROR(INDEX(차량목록!$B$3:$B$102,MATCH($B496,차량목록!$A$3:$A$102,0)),"미등록차량"))</f>
        <v/>
      </c>
      <c r="D496" s="11"/>
      <c r="E496" s="18" t="str">
        <f aca="false">IF($D496="","",IFERROR(INDEX(정비항목!$B$3:$B$52,MATCH($D496,정비항목!$A$3:$A$52,0)),"미등록항목"))</f>
        <v/>
      </c>
      <c r="F496" s="14"/>
      <c r="G496" s="14"/>
      <c r="H496" s="11"/>
    </row>
    <row r="497" customFormat="false" ht="15" hidden="false" customHeight="true" outlineLevel="0" collapsed="false">
      <c r="A497" s="15"/>
      <c r="B497" s="11"/>
      <c r="C497" s="18" t="str">
        <f aca="false">IF($B497="","",IFERROR(INDEX(차량목록!$B$3:$B$102,MATCH($B497,차량목록!$A$3:$A$102,0)),"미등록차량"))</f>
        <v/>
      </c>
      <c r="D497" s="11"/>
      <c r="E497" s="18" t="str">
        <f aca="false">IF($D497="","",IFERROR(INDEX(정비항목!$B$3:$B$52,MATCH($D497,정비항목!$A$3:$A$52,0)),"미등록항목"))</f>
        <v/>
      </c>
      <c r="F497" s="14"/>
      <c r="G497" s="14"/>
      <c r="H497" s="11"/>
    </row>
    <row r="498" customFormat="false" ht="15" hidden="false" customHeight="true" outlineLevel="0" collapsed="false">
      <c r="A498" s="15"/>
      <c r="B498" s="11"/>
      <c r="C498" s="18" t="str">
        <f aca="false">IF($B498="","",IFERROR(INDEX(차량목록!$B$3:$B$102,MATCH($B498,차량목록!$A$3:$A$102,0)),"미등록차량"))</f>
        <v/>
      </c>
      <c r="D498" s="11"/>
      <c r="E498" s="18" t="str">
        <f aca="false">IF($D498="","",IFERROR(INDEX(정비항목!$B$3:$B$52,MATCH($D498,정비항목!$A$3:$A$52,0)),"미등록항목"))</f>
        <v/>
      </c>
      <c r="F498" s="14"/>
      <c r="G498" s="14"/>
      <c r="H498" s="11"/>
    </row>
    <row r="499" customFormat="false" ht="15" hidden="false" customHeight="true" outlineLevel="0" collapsed="false">
      <c r="A499" s="15"/>
      <c r="B499" s="11"/>
      <c r="C499" s="18" t="str">
        <f aca="false">IF($B499="","",IFERROR(INDEX(차량목록!$B$3:$B$102,MATCH($B499,차량목록!$A$3:$A$102,0)),"미등록차량"))</f>
        <v/>
      </c>
      <c r="D499" s="11"/>
      <c r="E499" s="18" t="str">
        <f aca="false">IF($D499="","",IFERROR(INDEX(정비항목!$B$3:$B$52,MATCH($D499,정비항목!$A$3:$A$52,0)),"미등록항목"))</f>
        <v/>
      </c>
      <c r="F499" s="14"/>
      <c r="G499" s="14"/>
      <c r="H499" s="11"/>
    </row>
    <row r="500" customFormat="false" ht="15" hidden="false" customHeight="true" outlineLevel="0" collapsed="false">
      <c r="A500" s="15"/>
      <c r="B500" s="11"/>
      <c r="C500" s="18" t="str">
        <f aca="false">IF($B500="","",IFERROR(INDEX(차량목록!$B$3:$B$102,MATCH($B500,차량목록!$A$3:$A$102,0)),"미등록차량"))</f>
        <v/>
      </c>
      <c r="D500" s="11"/>
      <c r="E500" s="18" t="str">
        <f aca="false">IF($D500="","",IFERROR(INDEX(정비항목!$B$3:$B$52,MATCH($D500,정비항목!$A$3:$A$52,0)),"미등록항목"))</f>
        <v/>
      </c>
      <c r="F500" s="14"/>
      <c r="G500" s="14"/>
      <c r="H500" s="11"/>
    </row>
    <row r="501" customFormat="false" ht="15" hidden="false" customHeight="true" outlineLevel="0" collapsed="false">
      <c r="A501" s="15"/>
      <c r="B501" s="11"/>
      <c r="C501" s="18" t="str">
        <f aca="false">IF($B501="","",IFERROR(INDEX(차량목록!$B$3:$B$102,MATCH($B501,차량목록!$A$3:$A$102,0)),"미등록차량"))</f>
        <v/>
      </c>
      <c r="D501" s="11"/>
      <c r="E501" s="18" t="str">
        <f aca="false">IF($D501="","",IFERROR(INDEX(정비항목!$B$3:$B$52,MATCH($D501,정비항목!$A$3:$A$52,0)),"미등록항목"))</f>
        <v/>
      </c>
      <c r="F501" s="14"/>
      <c r="G501" s="14"/>
      <c r="H501" s="11"/>
    </row>
    <row r="502" customFormat="false" ht="15" hidden="false" customHeight="true" outlineLevel="0" collapsed="false">
      <c r="A502" s="15"/>
      <c r="B502" s="11"/>
      <c r="C502" s="18" t="str">
        <f aca="false">IF($B502="","",IFERROR(INDEX(차량목록!$B$3:$B$102,MATCH($B502,차량목록!$A$3:$A$102,0)),"미등록차량"))</f>
        <v/>
      </c>
      <c r="D502" s="11"/>
      <c r="E502" s="18" t="str">
        <f aca="false">IF($D502="","",IFERROR(INDEX(정비항목!$B$3:$B$52,MATCH($D502,정비항목!$A$3:$A$52,0)),"미등록항목"))</f>
        <v/>
      </c>
      <c r="F502" s="14"/>
      <c r="G502" s="14"/>
      <c r="H502" s="11"/>
    </row>
    <row r="503" customFormat="false" ht="15" hidden="false" customHeight="true" outlineLevel="0" collapsed="false">
      <c r="A503" s="15"/>
      <c r="B503" s="11"/>
      <c r="C503" s="18" t="str">
        <f aca="false">IF($B503="","",IFERROR(INDEX(차량목록!$B$3:$B$102,MATCH($B503,차량목록!$A$3:$A$102,0)),"미등록차량"))</f>
        <v/>
      </c>
      <c r="D503" s="11"/>
      <c r="E503" s="18" t="str">
        <f aca="false">IF($D503="","",IFERROR(INDEX(정비항목!$B$3:$B$52,MATCH($D503,정비항목!$A$3:$A$52,0)),"미등록항목"))</f>
        <v/>
      </c>
      <c r="F503" s="14"/>
      <c r="G503" s="14"/>
      <c r="H503" s="11"/>
    </row>
    <row r="504" customFormat="false" ht="15" hidden="false" customHeight="true" outlineLevel="0" collapsed="false">
      <c r="A504" s="15"/>
      <c r="B504" s="11"/>
      <c r="C504" s="18" t="str">
        <f aca="false">IF($B504="","",IFERROR(INDEX(차량목록!$B$3:$B$102,MATCH($B504,차량목록!$A$3:$A$102,0)),"미등록차량"))</f>
        <v/>
      </c>
      <c r="D504" s="11"/>
      <c r="E504" s="18" t="str">
        <f aca="false">IF($D504="","",IFERROR(INDEX(정비항목!$B$3:$B$52,MATCH($D504,정비항목!$A$3:$A$52,0)),"미등록항목"))</f>
        <v/>
      </c>
      <c r="F504" s="14"/>
      <c r="G504" s="14"/>
      <c r="H504" s="11"/>
    </row>
    <row r="505" customFormat="false" ht="15" hidden="false" customHeight="true" outlineLevel="0" collapsed="false">
      <c r="A505" s="15"/>
      <c r="B505" s="11"/>
      <c r="C505" s="18" t="str">
        <f aca="false">IF($B505="","",IFERROR(INDEX(차량목록!$B$3:$B$102,MATCH($B505,차량목록!$A$3:$A$102,0)),"미등록차량"))</f>
        <v/>
      </c>
      <c r="D505" s="11"/>
      <c r="E505" s="18" t="str">
        <f aca="false">IF($D505="","",IFERROR(INDEX(정비항목!$B$3:$B$52,MATCH($D505,정비항목!$A$3:$A$52,0)),"미등록항목"))</f>
        <v/>
      </c>
      <c r="F505" s="14"/>
      <c r="G505" s="14"/>
      <c r="H505" s="11"/>
    </row>
    <row r="506" customFormat="false" ht="15" hidden="false" customHeight="true" outlineLevel="0" collapsed="false">
      <c r="A506" s="15"/>
      <c r="B506" s="11"/>
      <c r="C506" s="18" t="str">
        <f aca="false">IF($B506="","",IFERROR(INDEX(차량목록!$B$3:$B$102,MATCH($B506,차량목록!$A$3:$A$102,0)),"미등록차량"))</f>
        <v/>
      </c>
      <c r="D506" s="11"/>
      <c r="E506" s="18" t="str">
        <f aca="false">IF($D506="","",IFERROR(INDEX(정비항목!$B$3:$B$52,MATCH($D506,정비항목!$A$3:$A$52,0)),"미등록항목"))</f>
        <v/>
      </c>
      <c r="F506" s="14"/>
      <c r="G506" s="14"/>
      <c r="H506" s="11"/>
    </row>
    <row r="507" customFormat="false" ht="15" hidden="false" customHeight="true" outlineLevel="0" collapsed="false">
      <c r="A507" s="15"/>
      <c r="B507" s="11"/>
      <c r="C507" s="18" t="str">
        <f aca="false">IF($B507="","",IFERROR(INDEX(차량목록!$B$3:$B$102,MATCH($B507,차량목록!$A$3:$A$102,0)),"미등록차량"))</f>
        <v/>
      </c>
      <c r="D507" s="11"/>
      <c r="E507" s="18" t="str">
        <f aca="false">IF($D507="","",IFERROR(INDEX(정비항목!$B$3:$B$52,MATCH($D507,정비항목!$A$3:$A$52,0)),"미등록항목"))</f>
        <v/>
      </c>
      <c r="F507" s="14"/>
      <c r="G507" s="14"/>
      <c r="H507" s="11"/>
    </row>
    <row r="508" customFormat="false" ht="15" hidden="false" customHeight="true" outlineLevel="0" collapsed="false">
      <c r="A508" s="15"/>
      <c r="B508" s="11"/>
      <c r="C508" s="18" t="str">
        <f aca="false">IF($B508="","",IFERROR(INDEX(차량목록!$B$3:$B$102,MATCH($B508,차량목록!$A$3:$A$102,0)),"미등록차량"))</f>
        <v/>
      </c>
      <c r="D508" s="11"/>
      <c r="E508" s="18" t="str">
        <f aca="false">IF($D508="","",IFERROR(INDEX(정비항목!$B$3:$B$52,MATCH($D508,정비항목!$A$3:$A$52,0)),"미등록항목"))</f>
        <v/>
      </c>
      <c r="F508" s="14"/>
      <c r="G508" s="14"/>
      <c r="H508" s="11"/>
    </row>
    <row r="509" customFormat="false" ht="15" hidden="false" customHeight="true" outlineLevel="0" collapsed="false">
      <c r="A509" s="15"/>
      <c r="B509" s="11"/>
      <c r="C509" s="18" t="str">
        <f aca="false">IF($B509="","",IFERROR(INDEX(차량목록!$B$3:$B$102,MATCH($B509,차량목록!$A$3:$A$102,0)),"미등록차량"))</f>
        <v/>
      </c>
      <c r="D509" s="11"/>
      <c r="E509" s="18" t="str">
        <f aca="false">IF($D509="","",IFERROR(INDEX(정비항목!$B$3:$B$52,MATCH($D509,정비항목!$A$3:$A$52,0)),"미등록항목"))</f>
        <v/>
      </c>
      <c r="F509" s="14"/>
      <c r="G509" s="14"/>
      <c r="H509" s="11"/>
    </row>
    <row r="510" customFormat="false" ht="15" hidden="false" customHeight="true" outlineLevel="0" collapsed="false">
      <c r="A510" s="15"/>
      <c r="B510" s="11"/>
      <c r="C510" s="18" t="str">
        <f aca="false">IF($B510="","",IFERROR(INDEX(차량목록!$B$3:$B$102,MATCH($B510,차량목록!$A$3:$A$102,0)),"미등록차량"))</f>
        <v/>
      </c>
      <c r="D510" s="11"/>
      <c r="E510" s="18" t="str">
        <f aca="false">IF($D510="","",IFERROR(INDEX(정비항목!$B$3:$B$52,MATCH($D510,정비항목!$A$3:$A$52,0)),"미등록항목"))</f>
        <v/>
      </c>
      <c r="F510" s="14"/>
      <c r="G510" s="14"/>
      <c r="H510" s="11"/>
    </row>
    <row r="511" customFormat="false" ht="15" hidden="false" customHeight="true" outlineLevel="0" collapsed="false">
      <c r="A511" s="15"/>
      <c r="B511" s="11"/>
      <c r="C511" s="18" t="str">
        <f aca="false">IF($B511="","",IFERROR(INDEX(차량목록!$B$3:$B$102,MATCH($B511,차량목록!$A$3:$A$102,0)),"미등록차량"))</f>
        <v/>
      </c>
      <c r="D511" s="11"/>
      <c r="E511" s="18" t="str">
        <f aca="false">IF($D511="","",IFERROR(INDEX(정비항목!$B$3:$B$52,MATCH($D511,정비항목!$A$3:$A$52,0)),"미등록항목"))</f>
        <v/>
      </c>
      <c r="F511" s="14"/>
      <c r="G511" s="14"/>
      <c r="H511" s="11"/>
    </row>
    <row r="512" customFormat="false" ht="15" hidden="false" customHeight="true" outlineLevel="0" collapsed="false">
      <c r="A512" s="15"/>
      <c r="B512" s="11"/>
      <c r="C512" s="18" t="str">
        <f aca="false">IF($B512="","",IFERROR(INDEX(차량목록!$B$3:$B$102,MATCH($B512,차량목록!$A$3:$A$102,0)),"미등록차량"))</f>
        <v/>
      </c>
      <c r="D512" s="11"/>
      <c r="E512" s="18" t="str">
        <f aca="false">IF($D512="","",IFERROR(INDEX(정비항목!$B$3:$B$52,MATCH($D512,정비항목!$A$3:$A$52,0)),"미등록항목"))</f>
        <v/>
      </c>
      <c r="F512" s="14"/>
      <c r="G512" s="14"/>
      <c r="H512" s="11"/>
    </row>
    <row r="513" customFormat="false" ht="15" hidden="false" customHeight="true" outlineLevel="0" collapsed="false">
      <c r="A513" s="15"/>
      <c r="B513" s="11"/>
      <c r="C513" s="18" t="str">
        <f aca="false">IF($B513="","",IFERROR(INDEX(차량목록!$B$3:$B$102,MATCH($B513,차량목록!$A$3:$A$102,0)),"미등록차량"))</f>
        <v/>
      </c>
      <c r="D513" s="11"/>
      <c r="E513" s="18" t="str">
        <f aca="false">IF($D513="","",IFERROR(INDEX(정비항목!$B$3:$B$52,MATCH($D513,정비항목!$A$3:$A$52,0)),"미등록항목"))</f>
        <v/>
      </c>
      <c r="F513" s="14"/>
      <c r="G513" s="14"/>
      <c r="H513" s="11"/>
    </row>
    <row r="514" customFormat="false" ht="15" hidden="false" customHeight="true" outlineLevel="0" collapsed="false">
      <c r="A514" s="15"/>
      <c r="B514" s="11"/>
      <c r="C514" s="18" t="str">
        <f aca="false">IF($B514="","",IFERROR(INDEX(차량목록!$B$3:$B$102,MATCH($B514,차량목록!$A$3:$A$102,0)),"미등록차량"))</f>
        <v/>
      </c>
      <c r="D514" s="11"/>
      <c r="E514" s="18" t="str">
        <f aca="false">IF($D514="","",IFERROR(INDEX(정비항목!$B$3:$B$52,MATCH($D514,정비항목!$A$3:$A$52,0)),"미등록항목"))</f>
        <v/>
      </c>
      <c r="F514" s="14"/>
      <c r="G514" s="14"/>
      <c r="H514" s="11"/>
    </row>
    <row r="515" customFormat="false" ht="15" hidden="false" customHeight="true" outlineLevel="0" collapsed="false">
      <c r="A515" s="15"/>
      <c r="B515" s="11"/>
      <c r="C515" s="18" t="str">
        <f aca="false">IF($B515="","",IFERROR(INDEX(차량목록!$B$3:$B$102,MATCH($B515,차량목록!$A$3:$A$102,0)),"미등록차량"))</f>
        <v/>
      </c>
      <c r="D515" s="11"/>
      <c r="E515" s="18" t="str">
        <f aca="false">IF($D515="","",IFERROR(INDEX(정비항목!$B$3:$B$52,MATCH($D515,정비항목!$A$3:$A$52,0)),"미등록항목"))</f>
        <v/>
      </c>
      <c r="F515" s="14"/>
      <c r="G515" s="14"/>
      <c r="H515" s="11"/>
    </row>
    <row r="516" customFormat="false" ht="15" hidden="false" customHeight="true" outlineLevel="0" collapsed="false">
      <c r="A516" s="15"/>
      <c r="B516" s="11"/>
      <c r="C516" s="18" t="str">
        <f aca="false">IF($B516="","",IFERROR(INDEX(차량목록!$B$3:$B$102,MATCH($B516,차량목록!$A$3:$A$102,0)),"미등록차량"))</f>
        <v/>
      </c>
      <c r="D516" s="11"/>
      <c r="E516" s="18" t="str">
        <f aca="false">IF($D516="","",IFERROR(INDEX(정비항목!$B$3:$B$52,MATCH($D516,정비항목!$A$3:$A$52,0)),"미등록항목"))</f>
        <v/>
      </c>
      <c r="F516" s="14"/>
      <c r="G516" s="14"/>
      <c r="H516" s="11"/>
    </row>
    <row r="517" customFormat="false" ht="15" hidden="false" customHeight="true" outlineLevel="0" collapsed="false">
      <c r="A517" s="15"/>
      <c r="B517" s="11"/>
      <c r="C517" s="18" t="str">
        <f aca="false">IF($B517="","",IFERROR(INDEX(차량목록!$B$3:$B$102,MATCH($B517,차량목록!$A$3:$A$102,0)),"미등록차량"))</f>
        <v/>
      </c>
      <c r="D517" s="11"/>
      <c r="E517" s="18" t="str">
        <f aca="false">IF($D517="","",IFERROR(INDEX(정비항목!$B$3:$B$52,MATCH($D517,정비항목!$A$3:$A$52,0)),"미등록항목"))</f>
        <v/>
      </c>
      <c r="F517" s="14"/>
      <c r="G517" s="14"/>
      <c r="H517" s="11"/>
    </row>
    <row r="518" customFormat="false" ht="15" hidden="false" customHeight="true" outlineLevel="0" collapsed="false">
      <c r="A518" s="15"/>
      <c r="B518" s="11"/>
      <c r="C518" s="18" t="str">
        <f aca="false">IF($B518="","",IFERROR(INDEX(차량목록!$B$3:$B$102,MATCH($B518,차량목록!$A$3:$A$102,0)),"미등록차량"))</f>
        <v/>
      </c>
      <c r="D518" s="11"/>
      <c r="E518" s="18" t="str">
        <f aca="false">IF($D518="","",IFERROR(INDEX(정비항목!$B$3:$B$52,MATCH($D518,정비항목!$A$3:$A$52,0)),"미등록항목"))</f>
        <v/>
      </c>
      <c r="F518" s="14"/>
      <c r="G518" s="14"/>
      <c r="H518" s="11"/>
    </row>
    <row r="519" customFormat="false" ht="15" hidden="false" customHeight="true" outlineLevel="0" collapsed="false">
      <c r="A519" s="15"/>
      <c r="B519" s="11"/>
      <c r="C519" s="18" t="str">
        <f aca="false">IF($B519="","",IFERROR(INDEX(차량목록!$B$3:$B$102,MATCH($B519,차량목록!$A$3:$A$102,0)),"미등록차량"))</f>
        <v/>
      </c>
      <c r="D519" s="11"/>
      <c r="E519" s="18" t="str">
        <f aca="false">IF($D519="","",IFERROR(INDEX(정비항목!$B$3:$B$52,MATCH($D519,정비항목!$A$3:$A$52,0)),"미등록항목"))</f>
        <v/>
      </c>
      <c r="F519" s="14"/>
      <c r="G519" s="14"/>
      <c r="H519" s="11"/>
    </row>
    <row r="520" customFormat="false" ht="15" hidden="false" customHeight="true" outlineLevel="0" collapsed="false">
      <c r="A520" s="15"/>
      <c r="B520" s="11"/>
      <c r="C520" s="18" t="str">
        <f aca="false">IF($B520="","",IFERROR(INDEX(차량목록!$B$3:$B$102,MATCH($B520,차량목록!$A$3:$A$102,0)),"미등록차량"))</f>
        <v/>
      </c>
      <c r="D520" s="11"/>
      <c r="E520" s="18" t="str">
        <f aca="false">IF($D520="","",IFERROR(INDEX(정비항목!$B$3:$B$52,MATCH($D520,정비항목!$A$3:$A$52,0)),"미등록항목"))</f>
        <v/>
      </c>
      <c r="F520" s="14"/>
      <c r="G520" s="14"/>
      <c r="H520" s="11"/>
    </row>
    <row r="521" customFormat="false" ht="15" hidden="false" customHeight="true" outlineLevel="0" collapsed="false">
      <c r="A521" s="15"/>
      <c r="B521" s="11"/>
      <c r="C521" s="18" t="str">
        <f aca="false">IF($B521="","",IFERROR(INDEX(차량목록!$B$3:$B$102,MATCH($B521,차량목록!$A$3:$A$102,0)),"미등록차량"))</f>
        <v/>
      </c>
      <c r="D521" s="11"/>
      <c r="E521" s="18" t="str">
        <f aca="false">IF($D521="","",IFERROR(INDEX(정비항목!$B$3:$B$52,MATCH($D521,정비항목!$A$3:$A$52,0)),"미등록항목"))</f>
        <v/>
      </c>
      <c r="F521" s="14"/>
      <c r="G521" s="14"/>
      <c r="H521" s="11"/>
    </row>
    <row r="522" customFormat="false" ht="15" hidden="false" customHeight="true" outlineLevel="0" collapsed="false">
      <c r="A522" s="15"/>
      <c r="B522" s="11"/>
      <c r="C522" s="18" t="str">
        <f aca="false">IF($B522="","",IFERROR(INDEX(차량목록!$B$3:$B$102,MATCH($B522,차량목록!$A$3:$A$102,0)),"미등록차량"))</f>
        <v/>
      </c>
      <c r="D522" s="11"/>
      <c r="E522" s="18" t="str">
        <f aca="false">IF($D522="","",IFERROR(INDEX(정비항목!$B$3:$B$52,MATCH($D522,정비항목!$A$3:$A$52,0)),"미등록항목"))</f>
        <v/>
      </c>
      <c r="F522" s="14"/>
      <c r="G522" s="14"/>
      <c r="H522" s="11"/>
    </row>
    <row r="523" customFormat="false" ht="15" hidden="false" customHeight="true" outlineLevel="0" collapsed="false">
      <c r="A523" s="15"/>
      <c r="B523" s="11"/>
      <c r="C523" s="18" t="str">
        <f aca="false">IF($B523="","",IFERROR(INDEX(차량목록!$B$3:$B$102,MATCH($B523,차량목록!$A$3:$A$102,0)),"미등록차량"))</f>
        <v/>
      </c>
      <c r="D523" s="11"/>
      <c r="E523" s="18" t="str">
        <f aca="false">IF($D523="","",IFERROR(INDEX(정비항목!$B$3:$B$52,MATCH($D523,정비항목!$A$3:$A$52,0)),"미등록항목"))</f>
        <v/>
      </c>
      <c r="F523" s="14"/>
      <c r="G523" s="14"/>
      <c r="H523" s="11"/>
    </row>
    <row r="524" customFormat="false" ht="15" hidden="false" customHeight="true" outlineLevel="0" collapsed="false">
      <c r="A524" s="15"/>
      <c r="B524" s="11"/>
      <c r="C524" s="18" t="str">
        <f aca="false">IF($B524="","",IFERROR(INDEX(차량목록!$B$3:$B$102,MATCH($B524,차량목록!$A$3:$A$102,0)),"미등록차량"))</f>
        <v/>
      </c>
      <c r="D524" s="11"/>
      <c r="E524" s="18" t="str">
        <f aca="false">IF($D524="","",IFERROR(INDEX(정비항목!$B$3:$B$52,MATCH($D524,정비항목!$A$3:$A$52,0)),"미등록항목"))</f>
        <v/>
      </c>
      <c r="F524" s="14"/>
      <c r="G524" s="14"/>
      <c r="H524" s="11"/>
    </row>
    <row r="525" customFormat="false" ht="15" hidden="false" customHeight="true" outlineLevel="0" collapsed="false">
      <c r="A525" s="15"/>
      <c r="B525" s="11"/>
      <c r="C525" s="18" t="str">
        <f aca="false">IF($B525="","",IFERROR(INDEX(차량목록!$B$3:$B$102,MATCH($B525,차량목록!$A$3:$A$102,0)),"미등록차량"))</f>
        <v/>
      </c>
      <c r="D525" s="11"/>
      <c r="E525" s="18" t="str">
        <f aca="false">IF($D525="","",IFERROR(INDEX(정비항목!$B$3:$B$52,MATCH($D525,정비항목!$A$3:$A$52,0)),"미등록항목"))</f>
        <v/>
      </c>
      <c r="F525" s="14"/>
      <c r="G525" s="14"/>
      <c r="H525" s="11"/>
    </row>
    <row r="526" customFormat="false" ht="15" hidden="false" customHeight="true" outlineLevel="0" collapsed="false">
      <c r="A526" s="15"/>
      <c r="B526" s="11"/>
      <c r="C526" s="18" t="str">
        <f aca="false">IF($B526="","",IFERROR(INDEX(차량목록!$B$3:$B$102,MATCH($B526,차량목록!$A$3:$A$102,0)),"미등록차량"))</f>
        <v/>
      </c>
      <c r="D526" s="11"/>
      <c r="E526" s="18" t="str">
        <f aca="false">IF($D526="","",IFERROR(INDEX(정비항목!$B$3:$B$52,MATCH($D526,정비항목!$A$3:$A$52,0)),"미등록항목"))</f>
        <v/>
      </c>
      <c r="F526" s="14"/>
      <c r="G526" s="14"/>
      <c r="H526" s="11"/>
    </row>
    <row r="527" customFormat="false" ht="15" hidden="false" customHeight="true" outlineLevel="0" collapsed="false">
      <c r="A527" s="15"/>
      <c r="B527" s="11"/>
      <c r="C527" s="18" t="str">
        <f aca="false">IF($B527="","",IFERROR(INDEX(차량목록!$B$3:$B$102,MATCH($B527,차량목록!$A$3:$A$102,0)),"미등록차량"))</f>
        <v/>
      </c>
      <c r="D527" s="11"/>
      <c r="E527" s="18" t="str">
        <f aca="false">IF($D527="","",IFERROR(INDEX(정비항목!$B$3:$B$52,MATCH($D527,정비항목!$A$3:$A$52,0)),"미등록항목"))</f>
        <v/>
      </c>
      <c r="F527" s="14"/>
      <c r="G527" s="14"/>
      <c r="H527" s="11"/>
    </row>
    <row r="528" customFormat="false" ht="15" hidden="false" customHeight="true" outlineLevel="0" collapsed="false">
      <c r="A528" s="15"/>
      <c r="B528" s="11"/>
      <c r="C528" s="18" t="str">
        <f aca="false">IF($B528="","",IFERROR(INDEX(차량목록!$B$3:$B$102,MATCH($B528,차량목록!$A$3:$A$102,0)),"미등록차량"))</f>
        <v/>
      </c>
      <c r="D528" s="11"/>
      <c r="E528" s="18" t="str">
        <f aca="false">IF($D528="","",IFERROR(INDEX(정비항목!$B$3:$B$52,MATCH($D528,정비항목!$A$3:$A$52,0)),"미등록항목"))</f>
        <v/>
      </c>
      <c r="F528" s="14"/>
      <c r="G528" s="14"/>
      <c r="H528" s="11"/>
    </row>
    <row r="529" customFormat="false" ht="15" hidden="false" customHeight="true" outlineLevel="0" collapsed="false">
      <c r="A529" s="15"/>
      <c r="B529" s="11"/>
      <c r="C529" s="18" t="str">
        <f aca="false">IF($B529="","",IFERROR(INDEX(차량목록!$B$3:$B$102,MATCH($B529,차량목록!$A$3:$A$102,0)),"미등록차량"))</f>
        <v/>
      </c>
      <c r="D529" s="11"/>
      <c r="E529" s="18" t="str">
        <f aca="false">IF($D529="","",IFERROR(INDEX(정비항목!$B$3:$B$52,MATCH($D529,정비항목!$A$3:$A$52,0)),"미등록항목"))</f>
        <v/>
      </c>
      <c r="F529" s="14"/>
      <c r="G529" s="14"/>
      <c r="H529" s="11"/>
    </row>
    <row r="530" customFormat="false" ht="15" hidden="false" customHeight="true" outlineLevel="0" collapsed="false">
      <c r="A530" s="15"/>
      <c r="B530" s="11"/>
      <c r="C530" s="18" t="str">
        <f aca="false">IF($B530="","",IFERROR(INDEX(차량목록!$B$3:$B$102,MATCH($B530,차량목록!$A$3:$A$102,0)),"미등록차량"))</f>
        <v/>
      </c>
      <c r="D530" s="11"/>
      <c r="E530" s="18" t="str">
        <f aca="false">IF($D530="","",IFERROR(INDEX(정비항목!$B$3:$B$52,MATCH($D530,정비항목!$A$3:$A$52,0)),"미등록항목"))</f>
        <v/>
      </c>
      <c r="F530" s="14"/>
      <c r="G530" s="14"/>
      <c r="H530" s="11"/>
    </row>
    <row r="531" customFormat="false" ht="15" hidden="false" customHeight="true" outlineLevel="0" collapsed="false">
      <c r="A531" s="15"/>
      <c r="B531" s="11"/>
      <c r="C531" s="18" t="str">
        <f aca="false">IF($B531="","",IFERROR(INDEX(차량목록!$B$3:$B$102,MATCH($B531,차량목록!$A$3:$A$102,0)),"미등록차량"))</f>
        <v/>
      </c>
      <c r="D531" s="11"/>
      <c r="E531" s="18" t="str">
        <f aca="false">IF($D531="","",IFERROR(INDEX(정비항목!$B$3:$B$52,MATCH($D531,정비항목!$A$3:$A$52,0)),"미등록항목"))</f>
        <v/>
      </c>
      <c r="F531" s="14"/>
      <c r="G531" s="14"/>
      <c r="H531" s="11"/>
    </row>
    <row r="532" customFormat="false" ht="15" hidden="false" customHeight="true" outlineLevel="0" collapsed="false">
      <c r="A532" s="15"/>
      <c r="B532" s="11"/>
      <c r="C532" s="18" t="str">
        <f aca="false">IF($B532="","",IFERROR(INDEX(차량목록!$B$3:$B$102,MATCH($B532,차량목록!$A$3:$A$102,0)),"미등록차량"))</f>
        <v/>
      </c>
      <c r="D532" s="11"/>
      <c r="E532" s="18" t="str">
        <f aca="false">IF($D532="","",IFERROR(INDEX(정비항목!$B$3:$B$52,MATCH($D532,정비항목!$A$3:$A$52,0)),"미등록항목"))</f>
        <v/>
      </c>
      <c r="F532" s="14"/>
      <c r="G532" s="14"/>
      <c r="H532" s="11"/>
    </row>
    <row r="533" customFormat="false" ht="15" hidden="false" customHeight="true" outlineLevel="0" collapsed="false">
      <c r="A533" s="15"/>
      <c r="B533" s="11"/>
      <c r="C533" s="18" t="str">
        <f aca="false">IF($B533="","",IFERROR(INDEX(차량목록!$B$3:$B$102,MATCH($B533,차량목록!$A$3:$A$102,0)),"미등록차량"))</f>
        <v/>
      </c>
      <c r="D533" s="11"/>
      <c r="E533" s="18" t="str">
        <f aca="false">IF($D533="","",IFERROR(INDEX(정비항목!$B$3:$B$52,MATCH($D533,정비항목!$A$3:$A$52,0)),"미등록항목"))</f>
        <v/>
      </c>
      <c r="F533" s="14"/>
      <c r="G533" s="14"/>
      <c r="H533" s="11"/>
    </row>
    <row r="534" customFormat="false" ht="15" hidden="false" customHeight="true" outlineLevel="0" collapsed="false">
      <c r="A534" s="15"/>
      <c r="B534" s="11"/>
      <c r="C534" s="18" t="str">
        <f aca="false">IF($B534="","",IFERROR(INDEX(차량목록!$B$3:$B$102,MATCH($B534,차량목록!$A$3:$A$102,0)),"미등록차량"))</f>
        <v/>
      </c>
      <c r="D534" s="11"/>
      <c r="E534" s="18" t="str">
        <f aca="false">IF($D534="","",IFERROR(INDEX(정비항목!$B$3:$B$52,MATCH($D534,정비항목!$A$3:$A$52,0)),"미등록항목"))</f>
        <v/>
      </c>
      <c r="F534" s="14"/>
      <c r="G534" s="14"/>
      <c r="H534" s="11"/>
    </row>
    <row r="535" customFormat="false" ht="15" hidden="false" customHeight="true" outlineLevel="0" collapsed="false">
      <c r="A535" s="15"/>
      <c r="B535" s="11"/>
      <c r="C535" s="18" t="str">
        <f aca="false">IF($B535="","",IFERROR(INDEX(차량목록!$B$3:$B$102,MATCH($B535,차량목록!$A$3:$A$102,0)),"미등록차량"))</f>
        <v/>
      </c>
      <c r="D535" s="11"/>
      <c r="E535" s="18" t="str">
        <f aca="false">IF($D535="","",IFERROR(INDEX(정비항목!$B$3:$B$52,MATCH($D535,정비항목!$A$3:$A$52,0)),"미등록항목"))</f>
        <v/>
      </c>
      <c r="F535" s="14"/>
      <c r="G535" s="14"/>
      <c r="H535" s="11"/>
    </row>
    <row r="536" customFormat="false" ht="15" hidden="false" customHeight="true" outlineLevel="0" collapsed="false">
      <c r="A536" s="15"/>
      <c r="B536" s="11"/>
      <c r="C536" s="18" t="str">
        <f aca="false">IF($B536="","",IFERROR(INDEX(차량목록!$B$3:$B$102,MATCH($B536,차량목록!$A$3:$A$102,0)),"미등록차량"))</f>
        <v/>
      </c>
      <c r="D536" s="11"/>
      <c r="E536" s="18" t="str">
        <f aca="false">IF($D536="","",IFERROR(INDEX(정비항목!$B$3:$B$52,MATCH($D536,정비항목!$A$3:$A$52,0)),"미등록항목"))</f>
        <v/>
      </c>
      <c r="F536" s="14"/>
      <c r="G536" s="14"/>
      <c r="H536" s="11"/>
    </row>
    <row r="537" customFormat="false" ht="15" hidden="false" customHeight="true" outlineLevel="0" collapsed="false">
      <c r="A537" s="15"/>
      <c r="B537" s="11"/>
      <c r="C537" s="18" t="str">
        <f aca="false">IF($B537="","",IFERROR(INDEX(차량목록!$B$3:$B$102,MATCH($B537,차량목록!$A$3:$A$102,0)),"미등록차량"))</f>
        <v/>
      </c>
      <c r="D537" s="11"/>
      <c r="E537" s="18" t="str">
        <f aca="false">IF($D537="","",IFERROR(INDEX(정비항목!$B$3:$B$52,MATCH($D537,정비항목!$A$3:$A$52,0)),"미등록항목"))</f>
        <v/>
      </c>
      <c r="F537" s="14"/>
      <c r="G537" s="14"/>
      <c r="H537" s="11"/>
    </row>
    <row r="538" customFormat="false" ht="15" hidden="false" customHeight="true" outlineLevel="0" collapsed="false">
      <c r="A538" s="15"/>
      <c r="B538" s="11"/>
      <c r="C538" s="18" t="str">
        <f aca="false">IF($B538="","",IFERROR(INDEX(차량목록!$B$3:$B$102,MATCH($B538,차량목록!$A$3:$A$102,0)),"미등록차량"))</f>
        <v/>
      </c>
      <c r="D538" s="11"/>
      <c r="E538" s="18" t="str">
        <f aca="false">IF($D538="","",IFERROR(INDEX(정비항목!$B$3:$B$52,MATCH($D538,정비항목!$A$3:$A$52,0)),"미등록항목"))</f>
        <v/>
      </c>
      <c r="F538" s="14"/>
      <c r="G538" s="14"/>
      <c r="H538" s="11"/>
    </row>
    <row r="539" customFormat="false" ht="15" hidden="false" customHeight="true" outlineLevel="0" collapsed="false">
      <c r="A539" s="15"/>
      <c r="B539" s="11"/>
      <c r="C539" s="18" t="str">
        <f aca="false">IF($B539="","",IFERROR(INDEX(차량목록!$B$3:$B$102,MATCH($B539,차량목록!$A$3:$A$102,0)),"미등록차량"))</f>
        <v/>
      </c>
      <c r="D539" s="11"/>
      <c r="E539" s="18" t="str">
        <f aca="false">IF($D539="","",IFERROR(INDEX(정비항목!$B$3:$B$52,MATCH($D539,정비항목!$A$3:$A$52,0)),"미등록항목"))</f>
        <v/>
      </c>
      <c r="F539" s="14"/>
      <c r="G539" s="14"/>
      <c r="H539" s="11"/>
    </row>
    <row r="540" customFormat="false" ht="15" hidden="false" customHeight="true" outlineLevel="0" collapsed="false">
      <c r="A540" s="15"/>
      <c r="B540" s="11"/>
      <c r="C540" s="18" t="str">
        <f aca="false">IF($B540="","",IFERROR(INDEX(차량목록!$B$3:$B$102,MATCH($B540,차량목록!$A$3:$A$102,0)),"미등록차량"))</f>
        <v/>
      </c>
      <c r="D540" s="11"/>
      <c r="E540" s="18" t="str">
        <f aca="false">IF($D540="","",IFERROR(INDEX(정비항목!$B$3:$B$52,MATCH($D540,정비항목!$A$3:$A$52,0)),"미등록항목"))</f>
        <v/>
      </c>
      <c r="F540" s="14"/>
      <c r="G540" s="14"/>
      <c r="H540" s="11"/>
    </row>
    <row r="541" customFormat="false" ht="15" hidden="false" customHeight="true" outlineLevel="0" collapsed="false">
      <c r="A541" s="15"/>
      <c r="B541" s="11"/>
      <c r="C541" s="18" t="str">
        <f aca="false">IF($B541="","",IFERROR(INDEX(차량목록!$B$3:$B$102,MATCH($B541,차량목록!$A$3:$A$102,0)),"미등록차량"))</f>
        <v/>
      </c>
      <c r="D541" s="11"/>
      <c r="E541" s="18" t="str">
        <f aca="false">IF($D541="","",IFERROR(INDEX(정비항목!$B$3:$B$52,MATCH($D541,정비항목!$A$3:$A$52,0)),"미등록항목"))</f>
        <v/>
      </c>
      <c r="F541" s="14"/>
      <c r="G541" s="14"/>
      <c r="H541" s="11"/>
    </row>
    <row r="542" customFormat="false" ht="15" hidden="false" customHeight="true" outlineLevel="0" collapsed="false">
      <c r="A542" s="15"/>
      <c r="B542" s="11"/>
      <c r="C542" s="18" t="str">
        <f aca="false">IF($B542="","",IFERROR(INDEX(차량목록!$B$3:$B$102,MATCH($B542,차량목록!$A$3:$A$102,0)),"미등록차량"))</f>
        <v/>
      </c>
      <c r="D542" s="11"/>
      <c r="E542" s="18" t="str">
        <f aca="false">IF($D542="","",IFERROR(INDEX(정비항목!$B$3:$B$52,MATCH($D542,정비항목!$A$3:$A$52,0)),"미등록항목"))</f>
        <v/>
      </c>
      <c r="F542" s="14"/>
      <c r="G542" s="14"/>
      <c r="H542" s="11"/>
    </row>
    <row r="543" customFormat="false" ht="15" hidden="false" customHeight="true" outlineLevel="0" collapsed="false">
      <c r="A543" s="15"/>
      <c r="B543" s="11"/>
      <c r="C543" s="18" t="str">
        <f aca="false">IF($B543="","",IFERROR(INDEX(차량목록!$B$3:$B$102,MATCH($B543,차량목록!$A$3:$A$102,0)),"미등록차량"))</f>
        <v/>
      </c>
      <c r="D543" s="11"/>
      <c r="E543" s="18" t="str">
        <f aca="false">IF($D543="","",IFERROR(INDEX(정비항목!$B$3:$B$52,MATCH($D543,정비항목!$A$3:$A$52,0)),"미등록항목"))</f>
        <v/>
      </c>
      <c r="F543" s="14"/>
      <c r="G543" s="14"/>
      <c r="H543" s="11"/>
    </row>
    <row r="544" customFormat="false" ht="15" hidden="false" customHeight="true" outlineLevel="0" collapsed="false">
      <c r="A544" s="15"/>
      <c r="B544" s="11"/>
      <c r="C544" s="18" t="str">
        <f aca="false">IF($B544="","",IFERROR(INDEX(차량목록!$B$3:$B$102,MATCH($B544,차량목록!$A$3:$A$102,0)),"미등록차량"))</f>
        <v/>
      </c>
      <c r="D544" s="11"/>
      <c r="E544" s="18" t="str">
        <f aca="false">IF($D544="","",IFERROR(INDEX(정비항목!$B$3:$B$52,MATCH($D544,정비항목!$A$3:$A$52,0)),"미등록항목"))</f>
        <v/>
      </c>
      <c r="F544" s="14"/>
      <c r="G544" s="14"/>
      <c r="H544" s="11"/>
    </row>
    <row r="545" customFormat="false" ht="15" hidden="false" customHeight="true" outlineLevel="0" collapsed="false">
      <c r="A545" s="15"/>
      <c r="B545" s="11"/>
      <c r="C545" s="18" t="str">
        <f aca="false">IF($B545="","",IFERROR(INDEX(차량목록!$B$3:$B$102,MATCH($B545,차량목록!$A$3:$A$102,0)),"미등록차량"))</f>
        <v/>
      </c>
      <c r="D545" s="11"/>
      <c r="E545" s="18" t="str">
        <f aca="false">IF($D545="","",IFERROR(INDEX(정비항목!$B$3:$B$52,MATCH($D545,정비항목!$A$3:$A$52,0)),"미등록항목"))</f>
        <v/>
      </c>
      <c r="F545" s="14"/>
      <c r="G545" s="14"/>
      <c r="H545" s="11"/>
    </row>
    <row r="546" customFormat="false" ht="15" hidden="false" customHeight="true" outlineLevel="0" collapsed="false">
      <c r="A546" s="15"/>
      <c r="B546" s="11"/>
      <c r="C546" s="18" t="str">
        <f aca="false">IF($B546="","",IFERROR(INDEX(차량목록!$B$3:$B$102,MATCH($B546,차량목록!$A$3:$A$102,0)),"미등록차량"))</f>
        <v/>
      </c>
      <c r="D546" s="11"/>
      <c r="E546" s="18" t="str">
        <f aca="false">IF($D546="","",IFERROR(INDEX(정비항목!$B$3:$B$52,MATCH($D546,정비항목!$A$3:$A$52,0)),"미등록항목"))</f>
        <v/>
      </c>
      <c r="F546" s="14"/>
      <c r="G546" s="14"/>
      <c r="H546" s="11"/>
    </row>
    <row r="547" customFormat="false" ht="15" hidden="false" customHeight="true" outlineLevel="0" collapsed="false">
      <c r="A547" s="15"/>
      <c r="B547" s="11"/>
      <c r="C547" s="18" t="str">
        <f aca="false">IF($B547="","",IFERROR(INDEX(차량목록!$B$3:$B$102,MATCH($B547,차량목록!$A$3:$A$102,0)),"미등록차량"))</f>
        <v/>
      </c>
      <c r="D547" s="11"/>
      <c r="E547" s="18" t="str">
        <f aca="false">IF($D547="","",IFERROR(INDEX(정비항목!$B$3:$B$52,MATCH($D547,정비항목!$A$3:$A$52,0)),"미등록항목"))</f>
        <v/>
      </c>
      <c r="F547" s="14"/>
      <c r="G547" s="14"/>
      <c r="H547" s="11"/>
    </row>
    <row r="548" customFormat="false" ht="15" hidden="false" customHeight="true" outlineLevel="0" collapsed="false">
      <c r="A548" s="15"/>
      <c r="B548" s="11"/>
      <c r="C548" s="18" t="str">
        <f aca="false">IF($B548="","",IFERROR(INDEX(차량목록!$B$3:$B$102,MATCH($B548,차량목록!$A$3:$A$102,0)),"미등록차량"))</f>
        <v/>
      </c>
      <c r="D548" s="11"/>
      <c r="E548" s="18" t="str">
        <f aca="false">IF($D548="","",IFERROR(INDEX(정비항목!$B$3:$B$52,MATCH($D548,정비항목!$A$3:$A$52,0)),"미등록항목"))</f>
        <v/>
      </c>
      <c r="F548" s="14"/>
      <c r="G548" s="14"/>
      <c r="H548" s="11"/>
    </row>
    <row r="549" customFormat="false" ht="15" hidden="false" customHeight="true" outlineLevel="0" collapsed="false">
      <c r="A549" s="15"/>
      <c r="B549" s="11"/>
      <c r="C549" s="18" t="str">
        <f aca="false">IF($B549="","",IFERROR(INDEX(차량목록!$B$3:$B$102,MATCH($B549,차량목록!$A$3:$A$102,0)),"미등록차량"))</f>
        <v/>
      </c>
      <c r="D549" s="11"/>
      <c r="E549" s="18" t="str">
        <f aca="false">IF($D549="","",IFERROR(INDEX(정비항목!$B$3:$B$52,MATCH($D549,정비항목!$A$3:$A$52,0)),"미등록항목"))</f>
        <v/>
      </c>
      <c r="F549" s="14"/>
      <c r="G549" s="14"/>
      <c r="H549" s="11"/>
    </row>
    <row r="550" customFormat="false" ht="15" hidden="false" customHeight="true" outlineLevel="0" collapsed="false">
      <c r="A550" s="15"/>
      <c r="B550" s="11"/>
      <c r="C550" s="18" t="str">
        <f aca="false">IF($B550="","",IFERROR(INDEX(차량목록!$B$3:$B$102,MATCH($B550,차량목록!$A$3:$A$102,0)),"미등록차량"))</f>
        <v/>
      </c>
      <c r="D550" s="11"/>
      <c r="E550" s="18" t="str">
        <f aca="false">IF($D550="","",IFERROR(INDEX(정비항목!$B$3:$B$52,MATCH($D550,정비항목!$A$3:$A$52,0)),"미등록항목"))</f>
        <v/>
      </c>
      <c r="F550" s="14"/>
      <c r="G550" s="14"/>
      <c r="H550" s="11"/>
    </row>
    <row r="551" customFormat="false" ht="15" hidden="false" customHeight="true" outlineLevel="0" collapsed="false">
      <c r="A551" s="15"/>
      <c r="B551" s="11"/>
      <c r="C551" s="18" t="str">
        <f aca="false">IF($B551="","",IFERROR(INDEX(차량목록!$B$3:$B$102,MATCH($B551,차량목록!$A$3:$A$102,0)),"미등록차량"))</f>
        <v/>
      </c>
      <c r="D551" s="11"/>
      <c r="E551" s="18" t="str">
        <f aca="false">IF($D551="","",IFERROR(INDEX(정비항목!$B$3:$B$52,MATCH($D551,정비항목!$A$3:$A$52,0)),"미등록항목"))</f>
        <v/>
      </c>
      <c r="F551" s="14"/>
      <c r="G551" s="14"/>
      <c r="H551" s="11"/>
    </row>
    <row r="552" customFormat="false" ht="15" hidden="false" customHeight="true" outlineLevel="0" collapsed="false">
      <c r="A552" s="15"/>
      <c r="B552" s="11"/>
      <c r="C552" s="18" t="str">
        <f aca="false">IF($B552="","",IFERROR(INDEX(차량목록!$B$3:$B$102,MATCH($B552,차량목록!$A$3:$A$102,0)),"미등록차량"))</f>
        <v/>
      </c>
      <c r="D552" s="11"/>
      <c r="E552" s="18" t="str">
        <f aca="false">IF($D552="","",IFERROR(INDEX(정비항목!$B$3:$B$52,MATCH($D552,정비항목!$A$3:$A$52,0)),"미등록항목"))</f>
        <v/>
      </c>
      <c r="F552" s="14"/>
      <c r="G552" s="14"/>
      <c r="H552" s="11"/>
    </row>
    <row r="553" customFormat="false" ht="15" hidden="false" customHeight="true" outlineLevel="0" collapsed="false">
      <c r="A553" s="15"/>
      <c r="B553" s="11"/>
      <c r="C553" s="18" t="str">
        <f aca="false">IF($B553="","",IFERROR(INDEX(차량목록!$B$3:$B$102,MATCH($B553,차량목록!$A$3:$A$102,0)),"미등록차량"))</f>
        <v/>
      </c>
      <c r="D553" s="11"/>
      <c r="E553" s="18" t="str">
        <f aca="false">IF($D553="","",IFERROR(INDEX(정비항목!$B$3:$B$52,MATCH($D553,정비항목!$A$3:$A$52,0)),"미등록항목"))</f>
        <v/>
      </c>
      <c r="F553" s="14"/>
      <c r="G553" s="14"/>
      <c r="H553" s="11"/>
    </row>
    <row r="554" customFormat="false" ht="15" hidden="false" customHeight="true" outlineLevel="0" collapsed="false">
      <c r="A554" s="15"/>
      <c r="B554" s="11"/>
      <c r="C554" s="18" t="str">
        <f aca="false">IF($B554="","",IFERROR(INDEX(차량목록!$B$3:$B$102,MATCH($B554,차량목록!$A$3:$A$102,0)),"미등록차량"))</f>
        <v/>
      </c>
      <c r="D554" s="11"/>
      <c r="E554" s="18" t="str">
        <f aca="false">IF($D554="","",IFERROR(INDEX(정비항목!$B$3:$B$52,MATCH($D554,정비항목!$A$3:$A$52,0)),"미등록항목"))</f>
        <v/>
      </c>
      <c r="F554" s="14"/>
      <c r="G554" s="14"/>
      <c r="H554" s="11"/>
    </row>
    <row r="555" customFormat="false" ht="15" hidden="false" customHeight="true" outlineLevel="0" collapsed="false">
      <c r="A555" s="15"/>
      <c r="B555" s="11"/>
      <c r="C555" s="18" t="str">
        <f aca="false">IF($B555="","",IFERROR(INDEX(차량목록!$B$3:$B$102,MATCH($B555,차량목록!$A$3:$A$102,0)),"미등록차량"))</f>
        <v/>
      </c>
      <c r="D555" s="11"/>
      <c r="E555" s="18" t="str">
        <f aca="false">IF($D555="","",IFERROR(INDEX(정비항목!$B$3:$B$52,MATCH($D555,정비항목!$A$3:$A$52,0)),"미등록항목"))</f>
        <v/>
      </c>
      <c r="F555" s="14"/>
      <c r="G555" s="14"/>
      <c r="H555" s="11"/>
    </row>
    <row r="556" customFormat="false" ht="15" hidden="false" customHeight="true" outlineLevel="0" collapsed="false">
      <c r="A556" s="15"/>
      <c r="B556" s="11"/>
      <c r="C556" s="18" t="str">
        <f aca="false">IF($B556="","",IFERROR(INDEX(차량목록!$B$3:$B$102,MATCH($B556,차량목록!$A$3:$A$102,0)),"미등록차량"))</f>
        <v/>
      </c>
      <c r="D556" s="11"/>
      <c r="E556" s="18" t="str">
        <f aca="false">IF($D556="","",IFERROR(INDEX(정비항목!$B$3:$B$52,MATCH($D556,정비항목!$A$3:$A$52,0)),"미등록항목"))</f>
        <v/>
      </c>
      <c r="F556" s="14"/>
      <c r="G556" s="14"/>
      <c r="H556" s="11"/>
    </row>
    <row r="557" customFormat="false" ht="15" hidden="false" customHeight="true" outlineLevel="0" collapsed="false">
      <c r="A557" s="15"/>
      <c r="B557" s="11"/>
      <c r="C557" s="18" t="str">
        <f aca="false">IF($B557="","",IFERROR(INDEX(차량목록!$B$3:$B$102,MATCH($B557,차량목록!$A$3:$A$102,0)),"미등록차량"))</f>
        <v/>
      </c>
      <c r="D557" s="11"/>
      <c r="E557" s="18" t="str">
        <f aca="false">IF($D557="","",IFERROR(INDEX(정비항목!$B$3:$B$52,MATCH($D557,정비항목!$A$3:$A$52,0)),"미등록항목"))</f>
        <v/>
      </c>
      <c r="F557" s="14"/>
      <c r="G557" s="14"/>
      <c r="H557" s="11"/>
    </row>
    <row r="558" customFormat="false" ht="15" hidden="false" customHeight="true" outlineLevel="0" collapsed="false">
      <c r="A558" s="15"/>
      <c r="B558" s="11"/>
      <c r="C558" s="18" t="str">
        <f aca="false">IF($B558="","",IFERROR(INDEX(차량목록!$B$3:$B$102,MATCH($B558,차량목록!$A$3:$A$102,0)),"미등록차량"))</f>
        <v/>
      </c>
      <c r="D558" s="11"/>
      <c r="E558" s="18" t="str">
        <f aca="false">IF($D558="","",IFERROR(INDEX(정비항목!$B$3:$B$52,MATCH($D558,정비항목!$A$3:$A$52,0)),"미등록항목"))</f>
        <v/>
      </c>
      <c r="F558" s="14"/>
      <c r="G558" s="14"/>
      <c r="H558" s="11"/>
    </row>
    <row r="559" customFormat="false" ht="15" hidden="false" customHeight="true" outlineLevel="0" collapsed="false">
      <c r="A559" s="15"/>
      <c r="B559" s="11"/>
      <c r="C559" s="18" t="str">
        <f aca="false">IF($B559="","",IFERROR(INDEX(차량목록!$B$3:$B$102,MATCH($B559,차량목록!$A$3:$A$102,0)),"미등록차량"))</f>
        <v/>
      </c>
      <c r="D559" s="11"/>
      <c r="E559" s="18" t="str">
        <f aca="false">IF($D559="","",IFERROR(INDEX(정비항목!$B$3:$B$52,MATCH($D559,정비항목!$A$3:$A$52,0)),"미등록항목"))</f>
        <v/>
      </c>
      <c r="F559" s="14"/>
      <c r="G559" s="14"/>
      <c r="H559" s="11"/>
    </row>
    <row r="560" customFormat="false" ht="15" hidden="false" customHeight="true" outlineLevel="0" collapsed="false">
      <c r="A560" s="15"/>
      <c r="B560" s="11"/>
      <c r="C560" s="18" t="str">
        <f aca="false">IF($B560="","",IFERROR(INDEX(차량목록!$B$3:$B$102,MATCH($B560,차량목록!$A$3:$A$102,0)),"미등록차량"))</f>
        <v/>
      </c>
      <c r="D560" s="11"/>
      <c r="E560" s="18" t="str">
        <f aca="false">IF($D560="","",IFERROR(INDEX(정비항목!$B$3:$B$52,MATCH($D560,정비항목!$A$3:$A$52,0)),"미등록항목"))</f>
        <v/>
      </c>
      <c r="F560" s="14"/>
      <c r="G560" s="14"/>
      <c r="H560" s="11"/>
    </row>
    <row r="561" customFormat="false" ht="15" hidden="false" customHeight="true" outlineLevel="0" collapsed="false">
      <c r="A561" s="15"/>
      <c r="B561" s="11"/>
      <c r="C561" s="18" t="str">
        <f aca="false">IF($B561="","",IFERROR(INDEX(차량목록!$B$3:$B$102,MATCH($B561,차량목록!$A$3:$A$102,0)),"미등록차량"))</f>
        <v/>
      </c>
      <c r="D561" s="11"/>
      <c r="E561" s="18" t="str">
        <f aca="false">IF($D561="","",IFERROR(INDEX(정비항목!$B$3:$B$52,MATCH($D561,정비항목!$A$3:$A$52,0)),"미등록항목"))</f>
        <v/>
      </c>
      <c r="F561" s="14"/>
      <c r="G561" s="14"/>
      <c r="H561" s="11"/>
    </row>
    <row r="562" customFormat="false" ht="15" hidden="false" customHeight="true" outlineLevel="0" collapsed="false">
      <c r="A562" s="15"/>
      <c r="B562" s="11"/>
      <c r="C562" s="18" t="str">
        <f aca="false">IF($B562="","",IFERROR(INDEX(차량목록!$B$3:$B$102,MATCH($B562,차량목록!$A$3:$A$102,0)),"미등록차량"))</f>
        <v/>
      </c>
      <c r="D562" s="11"/>
      <c r="E562" s="18" t="str">
        <f aca="false">IF($D562="","",IFERROR(INDEX(정비항목!$B$3:$B$52,MATCH($D562,정비항목!$A$3:$A$52,0)),"미등록항목"))</f>
        <v/>
      </c>
      <c r="F562" s="14"/>
      <c r="G562" s="14"/>
      <c r="H562" s="11"/>
    </row>
    <row r="563" customFormat="false" ht="15" hidden="false" customHeight="true" outlineLevel="0" collapsed="false">
      <c r="A563" s="15"/>
      <c r="B563" s="11"/>
      <c r="C563" s="18" t="str">
        <f aca="false">IF($B563="","",IFERROR(INDEX(차량목록!$B$3:$B$102,MATCH($B563,차량목록!$A$3:$A$102,0)),"미등록차량"))</f>
        <v/>
      </c>
      <c r="D563" s="11"/>
      <c r="E563" s="18" t="str">
        <f aca="false">IF($D563="","",IFERROR(INDEX(정비항목!$B$3:$B$52,MATCH($D563,정비항목!$A$3:$A$52,0)),"미등록항목"))</f>
        <v/>
      </c>
      <c r="F563" s="14"/>
      <c r="G563" s="14"/>
      <c r="H563" s="11"/>
    </row>
    <row r="564" customFormat="false" ht="15" hidden="false" customHeight="true" outlineLevel="0" collapsed="false">
      <c r="A564" s="15"/>
      <c r="B564" s="11"/>
      <c r="C564" s="18" t="str">
        <f aca="false">IF($B564="","",IFERROR(INDEX(차량목록!$B$3:$B$102,MATCH($B564,차량목록!$A$3:$A$102,0)),"미등록차량"))</f>
        <v/>
      </c>
      <c r="D564" s="11"/>
      <c r="E564" s="18" t="str">
        <f aca="false">IF($D564="","",IFERROR(INDEX(정비항목!$B$3:$B$52,MATCH($D564,정비항목!$A$3:$A$52,0)),"미등록항목"))</f>
        <v/>
      </c>
      <c r="F564" s="14"/>
      <c r="G564" s="14"/>
      <c r="H564" s="11"/>
    </row>
    <row r="565" customFormat="false" ht="15" hidden="false" customHeight="true" outlineLevel="0" collapsed="false">
      <c r="A565" s="15"/>
      <c r="B565" s="11"/>
      <c r="C565" s="18" t="str">
        <f aca="false">IF($B565="","",IFERROR(INDEX(차량목록!$B$3:$B$102,MATCH($B565,차량목록!$A$3:$A$102,0)),"미등록차량"))</f>
        <v/>
      </c>
      <c r="D565" s="11"/>
      <c r="E565" s="18" t="str">
        <f aca="false">IF($D565="","",IFERROR(INDEX(정비항목!$B$3:$B$52,MATCH($D565,정비항목!$A$3:$A$52,0)),"미등록항목"))</f>
        <v/>
      </c>
      <c r="F565" s="14"/>
      <c r="G565" s="14"/>
      <c r="H565" s="11"/>
    </row>
    <row r="566" customFormat="false" ht="15" hidden="false" customHeight="true" outlineLevel="0" collapsed="false">
      <c r="A566" s="15"/>
      <c r="B566" s="11"/>
      <c r="C566" s="18" t="str">
        <f aca="false">IF($B566="","",IFERROR(INDEX(차량목록!$B$3:$B$102,MATCH($B566,차량목록!$A$3:$A$102,0)),"미등록차량"))</f>
        <v/>
      </c>
      <c r="D566" s="11"/>
      <c r="E566" s="18" t="str">
        <f aca="false">IF($D566="","",IFERROR(INDEX(정비항목!$B$3:$B$52,MATCH($D566,정비항목!$A$3:$A$52,0)),"미등록항목"))</f>
        <v/>
      </c>
      <c r="F566" s="14"/>
      <c r="G566" s="14"/>
      <c r="H566" s="11"/>
    </row>
    <row r="567" customFormat="false" ht="15" hidden="false" customHeight="true" outlineLevel="0" collapsed="false">
      <c r="A567" s="15"/>
      <c r="B567" s="11"/>
      <c r="C567" s="18" t="str">
        <f aca="false">IF($B567="","",IFERROR(INDEX(차량목록!$B$3:$B$102,MATCH($B567,차량목록!$A$3:$A$102,0)),"미등록차량"))</f>
        <v/>
      </c>
      <c r="D567" s="11"/>
      <c r="E567" s="18" t="str">
        <f aca="false">IF($D567="","",IFERROR(INDEX(정비항목!$B$3:$B$52,MATCH($D567,정비항목!$A$3:$A$52,0)),"미등록항목"))</f>
        <v/>
      </c>
      <c r="F567" s="14"/>
      <c r="G567" s="14"/>
      <c r="H567" s="11"/>
    </row>
    <row r="568" customFormat="false" ht="15" hidden="false" customHeight="true" outlineLevel="0" collapsed="false">
      <c r="A568" s="15"/>
      <c r="B568" s="11"/>
      <c r="C568" s="18" t="str">
        <f aca="false">IF($B568="","",IFERROR(INDEX(차량목록!$B$3:$B$102,MATCH($B568,차량목록!$A$3:$A$102,0)),"미등록차량"))</f>
        <v/>
      </c>
      <c r="D568" s="11"/>
      <c r="E568" s="18" t="str">
        <f aca="false">IF($D568="","",IFERROR(INDEX(정비항목!$B$3:$B$52,MATCH($D568,정비항목!$A$3:$A$52,0)),"미등록항목"))</f>
        <v/>
      </c>
      <c r="F568" s="14"/>
      <c r="G568" s="14"/>
      <c r="H568" s="11"/>
    </row>
    <row r="569" customFormat="false" ht="15" hidden="false" customHeight="true" outlineLevel="0" collapsed="false">
      <c r="A569" s="15"/>
      <c r="B569" s="11"/>
      <c r="C569" s="18" t="str">
        <f aca="false">IF($B569="","",IFERROR(INDEX(차량목록!$B$3:$B$102,MATCH($B569,차량목록!$A$3:$A$102,0)),"미등록차량"))</f>
        <v/>
      </c>
      <c r="D569" s="11"/>
      <c r="E569" s="18" t="str">
        <f aca="false">IF($D569="","",IFERROR(INDEX(정비항목!$B$3:$B$52,MATCH($D569,정비항목!$A$3:$A$52,0)),"미등록항목"))</f>
        <v/>
      </c>
      <c r="F569" s="14"/>
      <c r="G569" s="14"/>
      <c r="H569" s="11"/>
    </row>
    <row r="570" customFormat="false" ht="15" hidden="false" customHeight="true" outlineLevel="0" collapsed="false">
      <c r="A570" s="15"/>
      <c r="B570" s="11"/>
      <c r="C570" s="18" t="str">
        <f aca="false">IF($B570="","",IFERROR(INDEX(차량목록!$B$3:$B$102,MATCH($B570,차량목록!$A$3:$A$102,0)),"미등록차량"))</f>
        <v/>
      </c>
      <c r="D570" s="11"/>
      <c r="E570" s="18" t="str">
        <f aca="false">IF($D570="","",IFERROR(INDEX(정비항목!$B$3:$B$52,MATCH($D570,정비항목!$A$3:$A$52,0)),"미등록항목"))</f>
        <v/>
      </c>
      <c r="F570" s="14"/>
      <c r="G570" s="14"/>
      <c r="H570" s="11"/>
    </row>
    <row r="571" customFormat="false" ht="15" hidden="false" customHeight="true" outlineLevel="0" collapsed="false">
      <c r="A571" s="15"/>
      <c r="B571" s="11"/>
      <c r="C571" s="18" t="str">
        <f aca="false">IF($B571="","",IFERROR(INDEX(차량목록!$B$3:$B$102,MATCH($B571,차량목록!$A$3:$A$102,0)),"미등록차량"))</f>
        <v/>
      </c>
      <c r="D571" s="11"/>
      <c r="E571" s="18" t="str">
        <f aca="false">IF($D571="","",IFERROR(INDEX(정비항목!$B$3:$B$52,MATCH($D571,정비항목!$A$3:$A$52,0)),"미등록항목"))</f>
        <v/>
      </c>
      <c r="F571" s="14"/>
      <c r="G571" s="14"/>
      <c r="H571" s="11"/>
    </row>
    <row r="572" customFormat="false" ht="15" hidden="false" customHeight="true" outlineLevel="0" collapsed="false">
      <c r="A572" s="15"/>
      <c r="B572" s="11"/>
      <c r="C572" s="18" t="str">
        <f aca="false">IF($B572="","",IFERROR(INDEX(차량목록!$B$3:$B$102,MATCH($B572,차량목록!$A$3:$A$102,0)),"미등록차량"))</f>
        <v/>
      </c>
      <c r="D572" s="11"/>
      <c r="E572" s="18" t="str">
        <f aca="false">IF($D572="","",IFERROR(INDEX(정비항목!$B$3:$B$52,MATCH($D572,정비항목!$A$3:$A$52,0)),"미등록항목"))</f>
        <v/>
      </c>
      <c r="F572" s="14"/>
      <c r="G572" s="14"/>
      <c r="H572" s="11"/>
    </row>
    <row r="573" customFormat="false" ht="15" hidden="false" customHeight="true" outlineLevel="0" collapsed="false">
      <c r="A573" s="15"/>
      <c r="B573" s="11"/>
      <c r="C573" s="18" t="str">
        <f aca="false">IF($B573="","",IFERROR(INDEX(차량목록!$B$3:$B$102,MATCH($B573,차량목록!$A$3:$A$102,0)),"미등록차량"))</f>
        <v/>
      </c>
      <c r="D573" s="11"/>
      <c r="E573" s="18" t="str">
        <f aca="false">IF($D573="","",IFERROR(INDEX(정비항목!$B$3:$B$52,MATCH($D573,정비항목!$A$3:$A$52,0)),"미등록항목"))</f>
        <v/>
      </c>
      <c r="F573" s="14"/>
      <c r="G573" s="14"/>
      <c r="H573" s="11"/>
    </row>
    <row r="574" customFormat="false" ht="15" hidden="false" customHeight="true" outlineLevel="0" collapsed="false">
      <c r="A574" s="15"/>
      <c r="B574" s="11"/>
      <c r="C574" s="18" t="str">
        <f aca="false">IF($B574="","",IFERROR(INDEX(차량목록!$B$3:$B$102,MATCH($B574,차량목록!$A$3:$A$102,0)),"미등록차량"))</f>
        <v/>
      </c>
      <c r="D574" s="11"/>
      <c r="E574" s="18" t="str">
        <f aca="false">IF($D574="","",IFERROR(INDEX(정비항목!$B$3:$B$52,MATCH($D574,정비항목!$A$3:$A$52,0)),"미등록항목"))</f>
        <v/>
      </c>
      <c r="F574" s="14"/>
      <c r="G574" s="14"/>
      <c r="H574" s="11"/>
    </row>
    <row r="575" customFormat="false" ht="15" hidden="false" customHeight="true" outlineLevel="0" collapsed="false">
      <c r="A575" s="15"/>
      <c r="B575" s="11"/>
      <c r="C575" s="18" t="str">
        <f aca="false">IF($B575="","",IFERROR(INDEX(차량목록!$B$3:$B$102,MATCH($B575,차량목록!$A$3:$A$102,0)),"미등록차량"))</f>
        <v/>
      </c>
      <c r="D575" s="11"/>
      <c r="E575" s="18" t="str">
        <f aca="false">IF($D575="","",IFERROR(INDEX(정비항목!$B$3:$B$52,MATCH($D575,정비항목!$A$3:$A$52,0)),"미등록항목"))</f>
        <v/>
      </c>
      <c r="F575" s="14"/>
      <c r="G575" s="14"/>
      <c r="H575" s="11"/>
    </row>
    <row r="576" customFormat="false" ht="15" hidden="false" customHeight="true" outlineLevel="0" collapsed="false">
      <c r="A576" s="15"/>
      <c r="B576" s="11"/>
      <c r="C576" s="18" t="str">
        <f aca="false">IF($B576="","",IFERROR(INDEX(차량목록!$B$3:$B$102,MATCH($B576,차량목록!$A$3:$A$102,0)),"미등록차량"))</f>
        <v/>
      </c>
      <c r="D576" s="11"/>
      <c r="E576" s="18" t="str">
        <f aca="false">IF($D576="","",IFERROR(INDEX(정비항목!$B$3:$B$52,MATCH($D576,정비항목!$A$3:$A$52,0)),"미등록항목"))</f>
        <v/>
      </c>
      <c r="F576" s="14"/>
      <c r="G576" s="14"/>
      <c r="H576" s="11"/>
    </row>
    <row r="577" customFormat="false" ht="15" hidden="false" customHeight="true" outlineLevel="0" collapsed="false">
      <c r="A577" s="15"/>
      <c r="B577" s="11"/>
      <c r="C577" s="18" t="str">
        <f aca="false">IF($B577="","",IFERROR(INDEX(차량목록!$B$3:$B$102,MATCH($B577,차량목록!$A$3:$A$102,0)),"미등록차량"))</f>
        <v/>
      </c>
      <c r="D577" s="11"/>
      <c r="E577" s="18" t="str">
        <f aca="false">IF($D577="","",IFERROR(INDEX(정비항목!$B$3:$B$52,MATCH($D577,정비항목!$A$3:$A$52,0)),"미등록항목"))</f>
        <v/>
      </c>
      <c r="F577" s="14"/>
      <c r="G577" s="14"/>
      <c r="H577" s="11"/>
    </row>
    <row r="578" customFormat="false" ht="15" hidden="false" customHeight="true" outlineLevel="0" collapsed="false">
      <c r="A578" s="15"/>
      <c r="B578" s="11"/>
      <c r="C578" s="18" t="str">
        <f aca="false">IF($B578="","",IFERROR(INDEX(차량목록!$B$3:$B$102,MATCH($B578,차량목록!$A$3:$A$102,0)),"미등록차량"))</f>
        <v/>
      </c>
      <c r="D578" s="11"/>
      <c r="E578" s="18" t="str">
        <f aca="false">IF($D578="","",IFERROR(INDEX(정비항목!$B$3:$B$52,MATCH($D578,정비항목!$A$3:$A$52,0)),"미등록항목"))</f>
        <v/>
      </c>
      <c r="F578" s="14"/>
      <c r="G578" s="14"/>
      <c r="H578" s="11"/>
    </row>
    <row r="579" customFormat="false" ht="15" hidden="false" customHeight="true" outlineLevel="0" collapsed="false">
      <c r="A579" s="15"/>
      <c r="B579" s="11"/>
      <c r="C579" s="18" t="str">
        <f aca="false">IF($B579="","",IFERROR(INDEX(차량목록!$B$3:$B$102,MATCH($B579,차량목록!$A$3:$A$102,0)),"미등록차량"))</f>
        <v/>
      </c>
      <c r="D579" s="11"/>
      <c r="E579" s="18" t="str">
        <f aca="false">IF($D579="","",IFERROR(INDEX(정비항목!$B$3:$B$52,MATCH($D579,정비항목!$A$3:$A$52,0)),"미등록항목"))</f>
        <v/>
      </c>
      <c r="F579" s="14"/>
      <c r="G579" s="14"/>
      <c r="H579" s="11"/>
    </row>
    <row r="580" customFormat="false" ht="15" hidden="false" customHeight="true" outlineLevel="0" collapsed="false">
      <c r="A580" s="15"/>
      <c r="B580" s="11"/>
      <c r="C580" s="18" t="str">
        <f aca="false">IF($B580="","",IFERROR(INDEX(차량목록!$B$3:$B$102,MATCH($B580,차량목록!$A$3:$A$102,0)),"미등록차량"))</f>
        <v/>
      </c>
      <c r="D580" s="11"/>
      <c r="E580" s="18" t="str">
        <f aca="false">IF($D580="","",IFERROR(INDEX(정비항목!$B$3:$B$52,MATCH($D580,정비항목!$A$3:$A$52,0)),"미등록항목"))</f>
        <v/>
      </c>
      <c r="F580" s="14"/>
      <c r="G580" s="14"/>
      <c r="H580" s="11"/>
    </row>
    <row r="581" customFormat="false" ht="15" hidden="false" customHeight="true" outlineLevel="0" collapsed="false">
      <c r="A581" s="15"/>
      <c r="B581" s="11"/>
      <c r="C581" s="18" t="str">
        <f aca="false">IF($B581="","",IFERROR(INDEX(차량목록!$B$3:$B$102,MATCH($B581,차량목록!$A$3:$A$102,0)),"미등록차량"))</f>
        <v/>
      </c>
      <c r="D581" s="11"/>
      <c r="E581" s="18" t="str">
        <f aca="false">IF($D581="","",IFERROR(INDEX(정비항목!$B$3:$B$52,MATCH($D581,정비항목!$A$3:$A$52,0)),"미등록항목"))</f>
        <v/>
      </c>
      <c r="F581" s="14"/>
      <c r="G581" s="14"/>
      <c r="H581" s="11"/>
    </row>
    <row r="582" customFormat="false" ht="15" hidden="false" customHeight="true" outlineLevel="0" collapsed="false">
      <c r="A582" s="15"/>
      <c r="B582" s="11"/>
      <c r="C582" s="18" t="str">
        <f aca="false">IF($B582="","",IFERROR(INDEX(차량목록!$B$3:$B$102,MATCH($B582,차량목록!$A$3:$A$102,0)),"미등록차량"))</f>
        <v/>
      </c>
      <c r="D582" s="11"/>
      <c r="E582" s="18" t="str">
        <f aca="false">IF($D582="","",IFERROR(INDEX(정비항목!$B$3:$B$52,MATCH($D582,정비항목!$A$3:$A$52,0)),"미등록항목"))</f>
        <v/>
      </c>
      <c r="F582" s="14"/>
      <c r="G582" s="14"/>
      <c r="H582" s="11"/>
    </row>
    <row r="583" customFormat="false" ht="15" hidden="false" customHeight="true" outlineLevel="0" collapsed="false">
      <c r="A583" s="15"/>
      <c r="B583" s="11"/>
      <c r="C583" s="18" t="str">
        <f aca="false">IF($B583="","",IFERROR(INDEX(차량목록!$B$3:$B$102,MATCH($B583,차량목록!$A$3:$A$102,0)),"미등록차량"))</f>
        <v/>
      </c>
      <c r="D583" s="11"/>
      <c r="E583" s="18" t="str">
        <f aca="false">IF($D583="","",IFERROR(INDEX(정비항목!$B$3:$B$52,MATCH($D583,정비항목!$A$3:$A$52,0)),"미등록항목"))</f>
        <v/>
      </c>
      <c r="F583" s="14"/>
      <c r="G583" s="14"/>
      <c r="H583" s="11"/>
    </row>
    <row r="584" customFormat="false" ht="15" hidden="false" customHeight="true" outlineLevel="0" collapsed="false">
      <c r="A584" s="15"/>
      <c r="B584" s="11"/>
      <c r="C584" s="18" t="str">
        <f aca="false">IF($B584="","",IFERROR(INDEX(차량목록!$B$3:$B$102,MATCH($B584,차량목록!$A$3:$A$102,0)),"미등록차량"))</f>
        <v/>
      </c>
      <c r="D584" s="11"/>
      <c r="E584" s="18" t="str">
        <f aca="false">IF($D584="","",IFERROR(INDEX(정비항목!$B$3:$B$52,MATCH($D584,정비항목!$A$3:$A$52,0)),"미등록항목"))</f>
        <v/>
      </c>
      <c r="F584" s="14"/>
      <c r="G584" s="14"/>
      <c r="H584" s="11"/>
    </row>
    <row r="585" customFormat="false" ht="15" hidden="false" customHeight="true" outlineLevel="0" collapsed="false">
      <c r="A585" s="15"/>
      <c r="B585" s="11"/>
      <c r="C585" s="18" t="str">
        <f aca="false">IF($B585="","",IFERROR(INDEX(차량목록!$B$3:$B$102,MATCH($B585,차량목록!$A$3:$A$102,0)),"미등록차량"))</f>
        <v/>
      </c>
      <c r="D585" s="11"/>
      <c r="E585" s="18" t="str">
        <f aca="false">IF($D585="","",IFERROR(INDEX(정비항목!$B$3:$B$52,MATCH($D585,정비항목!$A$3:$A$52,0)),"미등록항목"))</f>
        <v/>
      </c>
      <c r="F585" s="14"/>
      <c r="G585" s="14"/>
      <c r="H585" s="11"/>
    </row>
    <row r="586" customFormat="false" ht="15" hidden="false" customHeight="true" outlineLevel="0" collapsed="false">
      <c r="A586" s="15"/>
      <c r="B586" s="11"/>
      <c r="C586" s="18" t="str">
        <f aca="false">IF($B586="","",IFERROR(INDEX(차량목록!$B$3:$B$102,MATCH($B586,차량목록!$A$3:$A$102,0)),"미등록차량"))</f>
        <v/>
      </c>
      <c r="D586" s="11"/>
      <c r="E586" s="18" t="str">
        <f aca="false">IF($D586="","",IFERROR(INDEX(정비항목!$B$3:$B$52,MATCH($D586,정비항목!$A$3:$A$52,0)),"미등록항목"))</f>
        <v/>
      </c>
      <c r="F586" s="14"/>
      <c r="G586" s="14"/>
      <c r="H586" s="11"/>
    </row>
    <row r="587" customFormat="false" ht="15" hidden="false" customHeight="true" outlineLevel="0" collapsed="false">
      <c r="A587" s="15"/>
      <c r="B587" s="11"/>
      <c r="C587" s="18" t="str">
        <f aca="false">IF($B587="","",IFERROR(INDEX(차량목록!$B$3:$B$102,MATCH($B587,차량목록!$A$3:$A$102,0)),"미등록차량"))</f>
        <v/>
      </c>
      <c r="D587" s="11"/>
      <c r="E587" s="18" t="str">
        <f aca="false">IF($D587="","",IFERROR(INDEX(정비항목!$B$3:$B$52,MATCH($D587,정비항목!$A$3:$A$52,0)),"미등록항목"))</f>
        <v/>
      </c>
      <c r="F587" s="14"/>
      <c r="G587" s="14"/>
      <c r="H587" s="11"/>
    </row>
    <row r="588" customFormat="false" ht="15" hidden="false" customHeight="true" outlineLevel="0" collapsed="false">
      <c r="A588" s="15"/>
      <c r="B588" s="11"/>
      <c r="C588" s="18" t="str">
        <f aca="false">IF($B588="","",IFERROR(INDEX(차량목록!$B$3:$B$102,MATCH($B588,차량목록!$A$3:$A$102,0)),"미등록차량"))</f>
        <v/>
      </c>
      <c r="D588" s="11"/>
      <c r="E588" s="18" t="str">
        <f aca="false">IF($D588="","",IFERROR(INDEX(정비항목!$B$3:$B$52,MATCH($D588,정비항목!$A$3:$A$52,0)),"미등록항목"))</f>
        <v/>
      </c>
      <c r="F588" s="14"/>
      <c r="G588" s="14"/>
      <c r="H588" s="11"/>
    </row>
    <row r="589" customFormat="false" ht="15" hidden="false" customHeight="true" outlineLevel="0" collapsed="false">
      <c r="A589" s="15"/>
      <c r="B589" s="11"/>
      <c r="C589" s="18" t="str">
        <f aca="false">IF($B589="","",IFERROR(INDEX(차량목록!$B$3:$B$102,MATCH($B589,차량목록!$A$3:$A$102,0)),"미등록차량"))</f>
        <v/>
      </c>
      <c r="D589" s="11"/>
      <c r="E589" s="18" t="str">
        <f aca="false">IF($D589="","",IFERROR(INDEX(정비항목!$B$3:$B$52,MATCH($D589,정비항목!$A$3:$A$52,0)),"미등록항목"))</f>
        <v/>
      </c>
      <c r="F589" s="14"/>
      <c r="G589" s="14"/>
      <c r="H589" s="11"/>
    </row>
    <row r="590" customFormat="false" ht="15" hidden="false" customHeight="true" outlineLevel="0" collapsed="false">
      <c r="A590" s="15"/>
      <c r="B590" s="11"/>
      <c r="C590" s="18" t="str">
        <f aca="false">IF($B590="","",IFERROR(INDEX(차량목록!$B$3:$B$102,MATCH($B590,차량목록!$A$3:$A$102,0)),"미등록차량"))</f>
        <v/>
      </c>
      <c r="D590" s="11"/>
      <c r="E590" s="18" t="str">
        <f aca="false">IF($D590="","",IFERROR(INDEX(정비항목!$B$3:$B$52,MATCH($D590,정비항목!$A$3:$A$52,0)),"미등록항목"))</f>
        <v/>
      </c>
      <c r="F590" s="14"/>
      <c r="G590" s="14"/>
      <c r="H590" s="11"/>
    </row>
    <row r="591" customFormat="false" ht="15" hidden="false" customHeight="true" outlineLevel="0" collapsed="false">
      <c r="A591" s="15"/>
      <c r="B591" s="11"/>
      <c r="C591" s="18" t="str">
        <f aca="false">IF($B591="","",IFERROR(INDEX(차량목록!$B$3:$B$102,MATCH($B591,차량목록!$A$3:$A$102,0)),"미등록차량"))</f>
        <v/>
      </c>
      <c r="D591" s="11"/>
      <c r="E591" s="18" t="str">
        <f aca="false">IF($D591="","",IFERROR(INDEX(정비항목!$B$3:$B$52,MATCH($D591,정비항목!$A$3:$A$52,0)),"미등록항목"))</f>
        <v/>
      </c>
      <c r="F591" s="14"/>
      <c r="G591" s="14"/>
      <c r="H591" s="11"/>
    </row>
    <row r="592" customFormat="false" ht="15" hidden="false" customHeight="true" outlineLevel="0" collapsed="false">
      <c r="A592" s="15"/>
      <c r="B592" s="11"/>
      <c r="C592" s="18" t="str">
        <f aca="false">IF($B592="","",IFERROR(INDEX(차량목록!$B$3:$B$102,MATCH($B592,차량목록!$A$3:$A$102,0)),"미등록차량"))</f>
        <v/>
      </c>
      <c r="D592" s="11"/>
      <c r="E592" s="18" t="str">
        <f aca="false">IF($D592="","",IFERROR(INDEX(정비항목!$B$3:$B$52,MATCH($D592,정비항목!$A$3:$A$52,0)),"미등록항목"))</f>
        <v/>
      </c>
      <c r="F592" s="14"/>
      <c r="G592" s="14"/>
      <c r="H592" s="11"/>
    </row>
    <row r="593" customFormat="false" ht="15" hidden="false" customHeight="true" outlineLevel="0" collapsed="false">
      <c r="A593" s="15"/>
      <c r="B593" s="11"/>
      <c r="C593" s="18" t="str">
        <f aca="false">IF($B593="","",IFERROR(INDEX(차량목록!$B$3:$B$102,MATCH($B593,차량목록!$A$3:$A$102,0)),"미등록차량"))</f>
        <v/>
      </c>
      <c r="D593" s="11"/>
      <c r="E593" s="18" t="str">
        <f aca="false">IF($D593="","",IFERROR(INDEX(정비항목!$B$3:$B$52,MATCH($D593,정비항목!$A$3:$A$52,0)),"미등록항목"))</f>
        <v/>
      </c>
      <c r="F593" s="14"/>
      <c r="G593" s="14"/>
      <c r="H593" s="11"/>
    </row>
    <row r="594" customFormat="false" ht="15" hidden="false" customHeight="true" outlineLevel="0" collapsed="false">
      <c r="A594" s="15"/>
      <c r="B594" s="11"/>
      <c r="C594" s="18" t="str">
        <f aca="false">IF($B594="","",IFERROR(INDEX(차량목록!$B$3:$B$102,MATCH($B594,차량목록!$A$3:$A$102,0)),"미등록차량"))</f>
        <v/>
      </c>
      <c r="D594" s="11"/>
      <c r="E594" s="18" t="str">
        <f aca="false">IF($D594="","",IFERROR(INDEX(정비항목!$B$3:$B$52,MATCH($D594,정비항목!$A$3:$A$52,0)),"미등록항목"))</f>
        <v/>
      </c>
      <c r="F594" s="14"/>
      <c r="G594" s="14"/>
      <c r="H594" s="11"/>
    </row>
    <row r="595" customFormat="false" ht="15" hidden="false" customHeight="true" outlineLevel="0" collapsed="false">
      <c r="A595" s="15"/>
      <c r="B595" s="11"/>
      <c r="C595" s="18" t="str">
        <f aca="false">IF($B595="","",IFERROR(INDEX(차량목록!$B$3:$B$102,MATCH($B595,차량목록!$A$3:$A$102,0)),"미등록차량"))</f>
        <v/>
      </c>
      <c r="D595" s="11"/>
      <c r="E595" s="18" t="str">
        <f aca="false">IF($D595="","",IFERROR(INDEX(정비항목!$B$3:$B$52,MATCH($D595,정비항목!$A$3:$A$52,0)),"미등록항목"))</f>
        <v/>
      </c>
      <c r="F595" s="14"/>
      <c r="G595" s="14"/>
      <c r="H595" s="11"/>
    </row>
    <row r="596" customFormat="false" ht="15" hidden="false" customHeight="true" outlineLevel="0" collapsed="false">
      <c r="A596" s="15"/>
      <c r="B596" s="11"/>
      <c r="C596" s="18" t="str">
        <f aca="false">IF($B596="","",IFERROR(INDEX(차량목록!$B$3:$B$102,MATCH($B596,차량목록!$A$3:$A$102,0)),"미등록차량"))</f>
        <v/>
      </c>
      <c r="D596" s="11"/>
      <c r="E596" s="18" t="str">
        <f aca="false">IF($D596="","",IFERROR(INDEX(정비항목!$B$3:$B$52,MATCH($D596,정비항목!$A$3:$A$52,0)),"미등록항목"))</f>
        <v/>
      </c>
      <c r="F596" s="14"/>
      <c r="G596" s="14"/>
      <c r="H596" s="11"/>
    </row>
    <row r="597" customFormat="false" ht="15" hidden="false" customHeight="true" outlineLevel="0" collapsed="false">
      <c r="A597" s="15"/>
      <c r="B597" s="11"/>
      <c r="C597" s="18" t="str">
        <f aca="false">IF($B597="","",IFERROR(INDEX(차량목록!$B$3:$B$102,MATCH($B597,차량목록!$A$3:$A$102,0)),"미등록차량"))</f>
        <v/>
      </c>
      <c r="D597" s="11"/>
      <c r="E597" s="18" t="str">
        <f aca="false">IF($D597="","",IFERROR(INDEX(정비항목!$B$3:$B$52,MATCH($D597,정비항목!$A$3:$A$52,0)),"미등록항목"))</f>
        <v/>
      </c>
      <c r="F597" s="14"/>
      <c r="G597" s="14"/>
      <c r="H597" s="11"/>
    </row>
    <row r="598" customFormat="false" ht="15" hidden="false" customHeight="true" outlineLevel="0" collapsed="false">
      <c r="A598" s="15"/>
      <c r="B598" s="11"/>
      <c r="C598" s="18" t="str">
        <f aca="false">IF($B598="","",IFERROR(INDEX(차량목록!$B$3:$B$102,MATCH($B598,차량목록!$A$3:$A$102,0)),"미등록차량"))</f>
        <v/>
      </c>
      <c r="D598" s="11"/>
      <c r="E598" s="18" t="str">
        <f aca="false">IF($D598="","",IFERROR(INDEX(정비항목!$B$3:$B$52,MATCH($D598,정비항목!$A$3:$A$52,0)),"미등록항목"))</f>
        <v/>
      </c>
      <c r="F598" s="14"/>
      <c r="G598" s="14"/>
      <c r="H598" s="11"/>
    </row>
    <row r="599" customFormat="false" ht="15" hidden="false" customHeight="true" outlineLevel="0" collapsed="false">
      <c r="A599" s="15"/>
      <c r="B599" s="11"/>
      <c r="C599" s="18" t="str">
        <f aca="false">IF($B599="","",IFERROR(INDEX(차량목록!$B$3:$B$102,MATCH($B599,차량목록!$A$3:$A$102,0)),"미등록차량"))</f>
        <v/>
      </c>
      <c r="D599" s="11"/>
      <c r="E599" s="18" t="str">
        <f aca="false">IF($D599="","",IFERROR(INDEX(정비항목!$B$3:$B$52,MATCH($D599,정비항목!$A$3:$A$52,0)),"미등록항목"))</f>
        <v/>
      </c>
      <c r="F599" s="14"/>
      <c r="G599" s="14"/>
      <c r="H599" s="11"/>
    </row>
    <row r="600" customFormat="false" ht="15" hidden="false" customHeight="true" outlineLevel="0" collapsed="false">
      <c r="A600" s="15"/>
      <c r="B600" s="11"/>
      <c r="C600" s="18" t="str">
        <f aca="false">IF($B600="","",IFERROR(INDEX(차량목록!$B$3:$B$102,MATCH($B600,차량목록!$A$3:$A$102,0)),"미등록차량"))</f>
        <v/>
      </c>
      <c r="D600" s="11"/>
      <c r="E600" s="18" t="str">
        <f aca="false">IF($D600="","",IFERROR(INDEX(정비항목!$B$3:$B$52,MATCH($D600,정비항목!$A$3:$A$52,0)),"미등록항목"))</f>
        <v/>
      </c>
      <c r="F600" s="14"/>
      <c r="G600" s="14"/>
      <c r="H600" s="11"/>
    </row>
    <row r="601" customFormat="false" ht="15" hidden="false" customHeight="true" outlineLevel="0" collapsed="false">
      <c r="A601" s="15"/>
      <c r="B601" s="11"/>
      <c r="C601" s="18" t="str">
        <f aca="false">IF($B601="","",IFERROR(INDEX(차량목록!$B$3:$B$102,MATCH($B601,차량목록!$A$3:$A$102,0)),"미등록차량"))</f>
        <v/>
      </c>
      <c r="D601" s="11"/>
      <c r="E601" s="18" t="str">
        <f aca="false">IF($D601="","",IFERROR(INDEX(정비항목!$B$3:$B$52,MATCH($D601,정비항목!$A$3:$A$52,0)),"미등록항목"))</f>
        <v/>
      </c>
      <c r="F601" s="14"/>
      <c r="G601" s="14"/>
      <c r="H601" s="11"/>
    </row>
    <row r="602" customFormat="false" ht="15" hidden="false" customHeight="true" outlineLevel="0" collapsed="false">
      <c r="A602" s="15"/>
      <c r="B602" s="11"/>
      <c r="C602" s="18" t="str">
        <f aca="false">IF($B602="","",IFERROR(INDEX(차량목록!$B$3:$B$102,MATCH($B602,차량목록!$A$3:$A$102,0)),"미등록차량"))</f>
        <v/>
      </c>
      <c r="D602" s="11"/>
      <c r="E602" s="18" t="str">
        <f aca="false">IF($D602="","",IFERROR(INDEX(정비항목!$B$3:$B$52,MATCH($D602,정비항목!$A$3:$A$52,0)),"미등록항목"))</f>
        <v/>
      </c>
      <c r="F602" s="14"/>
      <c r="G602" s="14"/>
      <c r="H602" s="11"/>
    </row>
    <row r="603" customFormat="false" ht="15" hidden="false" customHeight="true" outlineLevel="0" collapsed="false">
      <c r="A603" s="15"/>
      <c r="B603" s="11"/>
      <c r="C603" s="18" t="str">
        <f aca="false">IF($B603="","",IFERROR(INDEX(차량목록!$B$3:$B$102,MATCH($B603,차량목록!$A$3:$A$102,0)),"미등록차량"))</f>
        <v/>
      </c>
      <c r="D603" s="11"/>
      <c r="E603" s="18" t="str">
        <f aca="false">IF($D603="","",IFERROR(INDEX(정비항목!$B$3:$B$52,MATCH($D603,정비항목!$A$3:$A$52,0)),"미등록항목"))</f>
        <v/>
      </c>
      <c r="F603" s="14"/>
      <c r="G603" s="14"/>
      <c r="H603" s="11"/>
    </row>
    <row r="604" customFormat="false" ht="15" hidden="false" customHeight="true" outlineLevel="0" collapsed="false">
      <c r="A604" s="15"/>
      <c r="B604" s="11"/>
      <c r="C604" s="18" t="str">
        <f aca="false">IF($B604="","",IFERROR(INDEX(차량목록!$B$3:$B$102,MATCH($B604,차량목록!$A$3:$A$102,0)),"미등록차량"))</f>
        <v/>
      </c>
      <c r="D604" s="11"/>
      <c r="E604" s="18" t="str">
        <f aca="false">IF($D604="","",IFERROR(INDEX(정비항목!$B$3:$B$52,MATCH($D604,정비항목!$A$3:$A$52,0)),"미등록항목"))</f>
        <v/>
      </c>
      <c r="F604" s="14"/>
      <c r="G604" s="14"/>
      <c r="H604" s="11"/>
    </row>
    <row r="605" customFormat="false" ht="15" hidden="false" customHeight="true" outlineLevel="0" collapsed="false">
      <c r="A605" s="15"/>
      <c r="B605" s="11"/>
      <c r="C605" s="18" t="str">
        <f aca="false">IF($B605="","",IFERROR(INDEX(차량목록!$B$3:$B$102,MATCH($B605,차량목록!$A$3:$A$102,0)),"미등록차량"))</f>
        <v/>
      </c>
      <c r="D605" s="11"/>
      <c r="E605" s="18" t="str">
        <f aca="false">IF($D605="","",IFERROR(INDEX(정비항목!$B$3:$B$52,MATCH($D605,정비항목!$A$3:$A$52,0)),"미등록항목"))</f>
        <v/>
      </c>
      <c r="F605" s="14"/>
      <c r="G605" s="14"/>
      <c r="H605" s="11"/>
    </row>
    <row r="606" customFormat="false" ht="15" hidden="false" customHeight="true" outlineLevel="0" collapsed="false">
      <c r="A606" s="15"/>
      <c r="B606" s="11"/>
      <c r="C606" s="18" t="str">
        <f aca="false">IF($B606="","",IFERROR(INDEX(차량목록!$B$3:$B$102,MATCH($B606,차량목록!$A$3:$A$102,0)),"미등록차량"))</f>
        <v/>
      </c>
      <c r="D606" s="11"/>
      <c r="E606" s="18" t="str">
        <f aca="false">IF($D606="","",IFERROR(INDEX(정비항목!$B$3:$B$52,MATCH($D606,정비항목!$A$3:$A$52,0)),"미등록항목"))</f>
        <v/>
      </c>
      <c r="F606" s="14"/>
      <c r="G606" s="14"/>
      <c r="H606" s="11"/>
    </row>
    <row r="607" customFormat="false" ht="15" hidden="false" customHeight="true" outlineLevel="0" collapsed="false">
      <c r="A607" s="15"/>
      <c r="B607" s="11"/>
      <c r="C607" s="18" t="str">
        <f aca="false">IF($B607="","",IFERROR(INDEX(차량목록!$B$3:$B$102,MATCH($B607,차량목록!$A$3:$A$102,0)),"미등록차량"))</f>
        <v/>
      </c>
      <c r="D607" s="11"/>
      <c r="E607" s="18" t="str">
        <f aca="false">IF($D607="","",IFERROR(INDEX(정비항목!$B$3:$B$52,MATCH($D607,정비항목!$A$3:$A$52,0)),"미등록항목"))</f>
        <v/>
      </c>
      <c r="F607" s="14"/>
      <c r="G607" s="14"/>
      <c r="H607" s="11"/>
    </row>
    <row r="608" customFormat="false" ht="15" hidden="false" customHeight="true" outlineLevel="0" collapsed="false">
      <c r="A608" s="15"/>
      <c r="B608" s="11"/>
      <c r="C608" s="18" t="str">
        <f aca="false">IF($B608="","",IFERROR(INDEX(차량목록!$B$3:$B$102,MATCH($B608,차량목록!$A$3:$A$102,0)),"미등록차량"))</f>
        <v/>
      </c>
      <c r="D608" s="11"/>
      <c r="E608" s="18" t="str">
        <f aca="false">IF($D608="","",IFERROR(INDEX(정비항목!$B$3:$B$52,MATCH($D608,정비항목!$A$3:$A$52,0)),"미등록항목"))</f>
        <v/>
      </c>
      <c r="F608" s="14"/>
      <c r="G608" s="14"/>
      <c r="H608" s="11"/>
    </row>
    <row r="609" customFormat="false" ht="15" hidden="false" customHeight="true" outlineLevel="0" collapsed="false">
      <c r="A609" s="15"/>
      <c r="B609" s="11"/>
      <c r="C609" s="18" t="str">
        <f aca="false">IF($B609="","",IFERROR(INDEX(차량목록!$B$3:$B$102,MATCH($B609,차량목록!$A$3:$A$102,0)),"미등록차량"))</f>
        <v/>
      </c>
      <c r="D609" s="11"/>
      <c r="E609" s="18" t="str">
        <f aca="false">IF($D609="","",IFERROR(INDEX(정비항목!$B$3:$B$52,MATCH($D609,정비항목!$A$3:$A$52,0)),"미등록항목"))</f>
        <v/>
      </c>
      <c r="F609" s="14"/>
      <c r="G609" s="14"/>
      <c r="H609" s="11"/>
    </row>
    <row r="610" customFormat="false" ht="15" hidden="false" customHeight="true" outlineLevel="0" collapsed="false">
      <c r="A610" s="15"/>
      <c r="B610" s="11"/>
      <c r="C610" s="18" t="str">
        <f aca="false">IF($B610="","",IFERROR(INDEX(차량목록!$B$3:$B$102,MATCH($B610,차량목록!$A$3:$A$102,0)),"미등록차량"))</f>
        <v/>
      </c>
      <c r="D610" s="11"/>
      <c r="E610" s="18" t="str">
        <f aca="false">IF($D610="","",IFERROR(INDEX(정비항목!$B$3:$B$52,MATCH($D610,정비항목!$A$3:$A$52,0)),"미등록항목"))</f>
        <v/>
      </c>
      <c r="F610" s="14"/>
      <c r="G610" s="14"/>
      <c r="H610" s="11"/>
    </row>
    <row r="611" customFormat="false" ht="15" hidden="false" customHeight="true" outlineLevel="0" collapsed="false">
      <c r="A611" s="15"/>
      <c r="B611" s="11"/>
      <c r="C611" s="18" t="str">
        <f aca="false">IF($B611="","",IFERROR(INDEX(차량목록!$B$3:$B$102,MATCH($B611,차량목록!$A$3:$A$102,0)),"미등록차량"))</f>
        <v/>
      </c>
      <c r="D611" s="11"/>
      <c r="E611" s="18" t="str">
        <f aca="false">IF($D611="","",IFERROR(INDEX(정비항목!$B$3:$B$52,MATCH($D611,정비항목!$A$3:$A$52,0)),"미등록항목"))</f>
        <v/>
      </c>
      <c r="F611" s="14"/>
      <c r="G611" s="14"/>
      <c r="H611" s="11"/>
    </row>
    <row r="612" customFormat="false" ht="15" hidden="false" customHeight="true" outlineLevel="0" collapsed="false">
      <c r="A612" s="15"/>
      <c r="B612" s="11"/>
      <c r="C612" s="18" t="str">
        <f aca="false">IF($B612="","",IFERROR(INDEX(차량목록!$B$3:$B$102,MATCH($B612,차량목록!$A$3:$A$102,0)),"미등록차량"))</f>
        <v/>
      </c>
      <c r="D612" s="11"/>
      <c r="E612" s="18" t="str">
        <f aca="false">IF($D612="","",IFERROR(INDEX(정비항목!$B$3:$B$52,MATCH($D612,정비항목!$A$3:$A$52,0)),"미등록항목"))</f>
        <v/>
      </c>
      <c r="F612" s="14"/>
      <c r="G612" s="14"/>
      <c r="H612" s="11"/>
    </row>
    <row r="613" customFormat="false" ht="15" hidden="false" customHeight="true" outlineLevel="0" collapsed="false">
      <c r="A613" s="15"/>
      <c r="B613" s="11"/>
      <c r="C613" s="18" t="str">
        <f aca="false">IF($B613="","",IFERROR(INDEX(차량목록!$B$3:$B$102,MATCH($B613,차량목록!$A$3:$A$102,0)),"미등록차량"))</f>
        <v/>
      </c>
      <c r="D613" s="11"/>
      <c r="E613" s="18" t="str">
        <f aca="false">IF($D613="","",IFERROR(INDEX(정비항목!$B$3:$B$52,MATCH($D613,정비항목!$A$3:$A$52,0)),"미등록항목"))</f>
        <v/>
      </c>
      <c r="F613" s="14"/>
      <c r="G613" s="14"/>
      <c r="H613" s="11"/>
    </row>
    <row r="614" customFormat="false" ht="15" hidden="false" customHeight="true" outlineLevel="0" collapsed="false">
      <c r="A614" s="15"/>
      <c r="B614" s="11"/>
      <c r="C614" s="18" t="str">
        <f aca="false">IF($B614="","",IFERROR(INDEX(차량목록!$B$3:$B$102,MATCH($B614,차량목록!$A$3:$A$102,0)),"미등록차량"))</f>
        <v/>
      </c>
      <c r="D614" s="11"/>
      <c r="E614" s="18" t="str">
        <f aca="false">IF($D614="","",IFERROR(INDEX(정비항목!$B$3:$B$52,MATCH($D614,정비항목!$A$3:$A$52,0)),"미등록항목"))</f>
        <v/>
      </c>
      <c r="F614" s="14"/>
      <c r="G614" s="14"/>
      <c r="H614" s="11"/>
    </row>
    <row r="615" customFormat="false" ht="15" hidden="false" customHeight="true" outlineLevel="0" collapsed="false">
      <c r="A615" s="15"/>
      <c r="B615" s="11"/>
      <c r="C615" s="18" t="str">
        <f aca="false">IF($B615="","",IFERROR(INDEX(차량목록!$B$3:$B$102,MATCH($B615,차량목록!$A$3:$A$102,0)),"미등록차량"))</f>
        <v/>
      </c>
      <c r="D615" s="11"/>
      <c r="E615" s="18" t="str">
        <f aca="false">IF($D615="","",IFERROR(INDEX(정비항목!$B$3:$B$52,MATCH($D615,정비항목!$A$3:$A$52,0)),"미등록항목"))</f>
        <v/>
      </c>
      <c r="F615" s="14"/>
      <c r="G615" s="14"/>
      <c r="H615" s="11"/>
    </row>
    <row r="616" customFormat="false" ht="15" hidden="false" customHeight="true" outlineLevel="0" collapsed="false">
      <c r="A616" s="15"/>
      <c r="B616" s="11"/>
      <c r="C616" s="18" t="str">
        <f aca="false">IF($B616="","",IFERROR(INDEX(차량목록!$B$3:$B$102,MATCH($B616,차량목록!$A$3:$A$102,0)),"미등록차량"))</f>
        <v/>
      </c>
      <c r="D616" s="11"/>
      <c r="E616" s="18" t="str">
        <f aca="false">IF($D616="","",IFERROR(INDEX(정비항목!$B$3:$B$52,MATCH($D616,정비항목!$A$3:$A$52,0)),"미등록항목"))</f>
        <v/>
      </c>
      <c r="F616" s="14"/>
      <c r="G616" s="14"/>
      <c r="H616" s="11"/>
    </row>
    <row r="617" customFormat="false" ht="15" hidden="false" customHeight="true" outlineLevel="0" collapsed="false">
      <c r="A617" s="15"/>
      <c r="B617" s="11"/>
      <c r="C617" s="18" t="str">
        <f aca="false">IF($B617="","",IFERROR(INDEX(차량목록!$B$3:$B$102,MATCH($B617,차량목록!$A$3:$A$102,0)),"미등록차량"))</f>
        <v/>
      </c>
      <c r="D617" s="11"/>
      <c r="E617" s="18" t="str">
        <f aca="false">IF($D617="","",IFERROR(INDEX(정비항목!$B$3:$B$52,MATCH($D617,정비항목!$A$3:$A$52,0)),"미등록항목"))</f>
        <v/>
      </c>
      <c r="F617" s="14"/>
      <c r="G617" s="14"/>
      <c r="H617" s="11"/>
    </row>
    <row r="618" customFormat="false" ht="15" hidden="false" customHeight="true" outlineLevel="0" collapsed="false">
      <c r="A618" s="15"/>
      <c r="B618" s="11"/>
      <c r="C618" s="18" t="str">
        <f aca="false">IF($B618="","",IFERROR(INDEX(차량목록!$B$3:$B$102,MATCH($B618,차량목록!$A$3:$A$102,0)),"미등록차량"))</f>
        <v/>
      </c>
      <c r="D618" s="11"/>
      <c r="E618" s="18" t="str">
        <f aca="false">IF($D618="","",IFERROR(INDEX(정비항목!$B$3:$B$52,MATCH($D618,정비항목!$A$3:$A$52,0)),"미등록항목"))</f>
        <v/>
      </c>
      <c r="F618" s="14"/>
      <c r="G618" s="14"/>
      <c r="H618" s="11"/>
    </row>
    <row r="619" customFormat="false" ht="15" hidden="false" customHeight="true" outlineLevel="0" collapsed="false">
      <c r="A619" s="15"/>
      <c r="B619" s="11"/>
      <c r="C619" s="18" t="str">
        <f aca="false">IF($B619="","",IFERROR(INDEX(차량목록!$B$3:$B$102,MATCH($B619,차량목록!$A$3:$A$102,0)),"미등록차량"))</f>
        <v/>
      </c>
      <c r="D619" s="11"/>
      <c r="E619" s="18" t="str">
        <f aca="false">IF($D619="","",IFERROR(INDEX(정비항목!$B$3:$B$52,MATCH($D619,정비항목!$A$3:$A$52,0)),"미등록항목"))</f>
        <v/>
      </c>
      <c r="F619" s="14"/>
      <c r="G619" s="14"/>
      <c r="H619" s="11"/>
    </row>
    <row r="620" customFormat="false" ht="15" hidden="false" customHeight="true" outlineLevel="0" collapsed="false">
      <c r="A620" s="15"/>
      <c r="B620" s="11"/>
      <c r="C620" s="18" t="str">
        <f aca="false">IF($B620="","",IFERROR(INDEX(차량목록!$B$3:$B$102,MATCH($B620,차량목록!$A$3:$A$102,0)),"미등록차량"))</f>
        <v/>
      </c>
      <c r="D620" s="11"/>
      <c r="E620" s="18" t="str">
        <f aca="false">IF($D620="","",IFERROR(INDEX(정비항목!$B$3:$B$52,MATCH($D620,정비항목!$A$3:$A$52,0)),"미등록항목"))</f>
        <v/>
      </c>
      <c r="F620" s="14"/>
      <c r="G620" s="14"/>
      <c r="H620" s="11"/>
    </row>
    <row r="621" customFormat="false" ht="15" hidden="false" customHeight="true" outlineLevel="0" collapsed="false">
      <c r="A621" s="15"/>
      <c r="B621" s="11"/>
      <c r="C621" s="18" t="str">
        <f aca="false">IF($B621="","",IFERROR(INDEX(차량목록!$B$3:$B$102,MATCH($B621,차량목록!$A$3:$A$102,0)),"미등록차량"))</f>
        <v/>
      </c>
      <c r="D621" s="11"/>
      <c r="E621" s="18" t="str">
        <f aca="false">IF($D621="","",IFERROR(INDEX(정비항목!$B$3:$B$52,MATCH($D621,정비항목!$A$3:$A$52,0)),"미등록항목"))</f>
        <v/>
      </c>
      <c r="F621" s="14"/>
      <c r="G621" s="14"/>
      <c r="H621" s="11"/>
    </row>
    <row r="622" customFormat="false" ht="15" hidden="false" customHeight="true" outlineLevel="0" collapsed="false">
      <c r="A622" s="15"/>
      <c r="B622" s="11"/>
      <c r="C622" s="18" t="str">
        <f aca="false">IF($B622="","",IFERROR(INDEX(차량목록!$B$3:$B$102,MATCH($B622,차량목록!$A$3:$A$102,0)),"미등록차량"))</f>
        <v/>
      </c>
      <c r="D622" s="11"/>
      <c r="E622" s="18" t="str">
        <f aca="false">IF($D622="","",IFERROR(INDEX(정비항목!$B$3:$B$52,MATCH($D622,정비항목!$A$3:$A$52,0)),"미등록항목"))</f>
        <v/>
      </c>
      <c r="F622" s="14"/>
      <c r="G622" s="14"/>
      <c r="H622" s="11"/>
    </row>
    <row r="623" customFormat="false" ht="15" hidden="false" customHeight="true" outlineLevel="0" collapsed="false">
      <c r="A623" s="15"/>
      <c r="B623" s="11"/>
      <c r="C623" s="18" t="str">
        <f aca="false">IF($B623="","",IFERROR(INDEX(차량목록!$B$3:$B$102,MATCH($B623,차량목록!$A$3:$A$102,0)),"미등록차량"))</f>
        <v/>
      </c>
      <c r="D623" s="11"/>
      <c r="E623" s="18" t="str">
        <f aca="false">IF($D623="","",IFERROR(INDEX(정비항목!$B$3:$B$52,MATCH($D623,정비항목!$A$3:$A$52,0)),"미등록항목"))</f>
        <v/>
      </c>
      <c r="F623" s="14"/>
      <c r="G623" s="14"/>
      <c r="H623" s="11"/>
    </row>
    <row r="624" customFormat="false" ht="15" hidden="false" customHeight="true" outlineLevel="0" collapsed="false">
      <c r="A624" s="15"/>
      <c r="B624" s="11"/>
      <c r="C624" s="18" t="str">
        <f aca="false">IF($B624="","",IFERROR(INDEX(차량목록!$B$3:$B$102,MATCH($B624,차량목록!$A$3:$A$102,0)),"미등록차량"))</f>
        <v/>
      </c>
      <c r="D624" s="11"/>
      <c r="E624" s="18" t="str">
        <f aca="false">IF($D624="","",IFERROR(INDEX(정비항목!$B$3:$B$52,MATCH($D624,정비항목!$A$3:$A$52,0)),"미등록항목"))</f>
        <v/>
      </c>
      <c r="F624" s="14"/>
      <c r="G624" s="14"/>
      <c r="H624" s="11"/>
    </row>
    <row r="625" customFormat="false" ht="15" hidden="false" customHeight="true" outlineLevel="0" collapsed="false">
      <c r="A625" s="15"/>
      <c r="B625" s="11"/>
      <c r="C625" s="18" t="str">
        <f aca="false">IF($B625="","",IFERROR(INDEX(차량목록!$B$3:$B$102,MATCH($B625,차량목록!$A$3:$A$102,0)),"미등록차량"))</f>
        <v/>
      </c>
      <c r="D625" s="11"/>
      <c r="E625" s="18" t="str">
        <f aca="false">IF($D625="","",IFERROR(INDEX(정비항목!$B$3:$B$52,MATCH($D625,정비항목!$A$3:$A$52,0)),"미등록항목"))</f>
        <v/>
      </c>
      <c r="F625" s="14"/>
      <c r="G625" s="14"/>
      <c r="H625" s="11"/>
    </row>
    <row r="626" customFormat="false" ht="15" hidden="false" customHeight="true" outlineLevel="0" collapsed="false">
      <c r="A626" s="15"/>
      <c r="B626" s="11"/>
      <c r="C626" s="18" t="str">
        <f aca="false">IF($B626="","",IFERROR(INDEX(차량목록!$B$3:$B$102,MATCH($B626,차량목록!$A$3:$A$102,0)),"미등록차량"))</f>
        <v/>
      </c>
      <c r="D626" s="11"/>
      <c r="E626" s="18" t="str">
        <f aca="false">IF($D626="","",IFERROR(INDEX(정비항목!$B$3:$B$52,MATCH($D626,정비항목!$A$3:$A$52,0)),"미등록항목"))</f>
        <v/>
      </c>
      <c r="F626" s="14"/>
      <c r="G626" s="14"/>
      <c r="H626" s="11"/>
    </row>
    <row r="627" customFormat="false" ht="15" hidden="false" customHeight="true" outlineLevel="0" collapsed="false">
      <c r="A627" s="15"/>
      <c r="B627" s="11"/>
      <c r="C627" s="18" t="str">
        <f aca="false">IF($B627="","",IFERROR(INDEX(차량목록!$B$3:$B$102,MATCH($B627,차량목록!$A$3:$A$102,0)),"미등록차량"))</f>
        <v/>
      </c>
      <c r="D627" s="11"/>
      <c r="E627" s="18" t="str">
        <f aca="false">IF($D627="","",IFERROR(INDEX(정비항목!$B$3:$B$52,MATCH($D627,정비항목!$A$3:$A$52,0)),"미등록항목"))</f>
        <v/>
      </c>
      <c r="F627" s="14"/>
      <c r="G627" s="14"/>
      <c r="H627" s="11"/>
    </row>
    <row r="628" customFormat="false" ht="15" hidden="false" customHeight="true" outlineLevel="0" collapsed="false">
      <c r="A628" s="15"/>
      <c r="B628" s="11"/>
      <c r="C628" s="18" t="str">
        <f aca="false">IF($B628="","",IFERROR(INDEX(차량목록!$B$3:$B$102,MATCH($B628,차량목록!$A$3:$A$102,0)),"미등록차량"))</f>
        <v/>
      </c>
      <c r="D628" s="11"/>
      <c r="E628" s="18" t="str">
        <f aca="false">IF($D628="","",IFERROR(INDEX(정비항목!$B$3:$B$52,MATCH($D628,정비항목!$A$3:$A$52,0)),"미등록항목"))</f>
        <v/>
      </c>
      <c r="F628" s="14"/>
      <c r="G628" s="14"/>
      <c r="H628" s="11"/>
    </row>
    <row r="629" customFormat="false" ht="15" hidden="false" customHeight="true" outlineLevel="0" collapsed="false">
      <c r="A629" s="15"/>
      <c r="B629" s="11"/>
      <c r="C629" s="18" t="str">
        <f aca="false">IF($B629="","",IFERROR(INDEX(차량목록!$B$3:$B$102,MATCH($B629,차량목록!$A$3:$A$102,0)),"미등록차량"))</f>
        <v/>
      </c>
      <c r="D629" s="11"/>
      <c r="E629" s="18" t="str">
        <f aca="false">IF($D629="","",IFERROR(INDEX(정비항목!$B$3:$B$52,MATCH($D629,정비항목!$A$3:$A$52,0)),"미등록항목"))</f>
        <v/>
      </c>
      <c r="F629" s="14"/>
      <c r="G629" s="14"/>
      <c r="H629" s="11"/>
    </row>
    <row r="630" customFormat="false" ht="15" hidden="false" customHeight="true" outlineLevel="0" collapsed="false">
      <c r="A630" s="15"/>
      <c r="B630" s="11"/>
      <c r="C630" s="18" t="str">
        <f aca="false">IF($B630="","",IFERROR(INDEX(차량목록!$B$3:$B$102,MATCH($B630,차량목록!$A$3:$A$102,0)),"미등록차량"))</f>
        <v/>
      </c>
      <c r="D630" s="11"/>
      <c r="E630" s="18" t="str">
        <f aca="false">IF($D630="","",IFERROR(INDEX(정비항목!$B$3:$B$52,MATCH($D630,정비항목!$A$3:$A$52,0)),"미등록항목"))</f>
        <v/>
      </c>
      <c r="F630" s="14"/>
      <c r="G630" s="14"/>
      <c r="H630" s="11"/>
    </row>
    <row r="631" customFormat="false" ht="15" hidden="false" customHeight="true" outlineLevel="0" collapsed="false">
      <c r="A631" s="15"/>
      <c r="B631" s="11"/>
      <c r="C631" s="18" t="str">
        <f aca="false">IF($B631="","",IFERROR(INDEX(차량목록!$B$3:$B$102,MATCH($B631,차량목록!$A$3:$A$102,0)),"미등록차량"))</f>
        <v/>
      </c>
      <c r="D631" s="11"/>
      <c r="E631" s="18" t="str">
        <f aca="false">IF($D631="","",IFERROR(INDEX(정비항목!$B$3:$B$52,MATCH($D631,정비항목!$A$3:$A$52,0)),"미등록항목"))</f>
        <v/>
      </c>
      <c r="F631" s="14"/>
      <c r="G631" s="14"/>
      <c r="H631" s="11"/>
    </row>
    <row r="632" customFormat="false" ht="15" hidden="false" customHeight="true" outlineLevel="0" collapsed="false">
      <c r="A632" s="15"/>
      <c r="B632" s="11"/>
      <c r="C632" s="18" t="str">
        <f aca="false">IF($B632="","",IFERROR(INDEX(차량목록!$B$3:$B$102,MATCH($B632,차량목록!$A$3:$A$102,0)),"미등록차량"))</f>
        <v/>
      </c>
      <c r="D632" s="11"/>
      <c r="E632" s="18" t="str">
        <f aca="false">IF($D632="","",IFERROR(INDEX(정비항목!$B$3:$B$52,MATCH($D632,정비항목!$A$3:$A$52,0)),"미등록항목"))</f>
        <v/>
      </c>
      <c r="F632" s="14"/>
      <c r="G632" s="14"/>
      <c r="H632" s="11"/>
    </row>
    <row r="633" customFormat="false" ht="15" hidden="false" customHeight="true" outlineLevel="0" collapsed="false">
      <c r="A633" s="15"/>
      <c r="B633" s="11"/>
      <c r="C633" s="18" t="str">
        <f aca="false">IF($B633="","",IFERROR(INDEX(차량목록!$B$3:$B$102,MATCH($B633,차량목록!$A$3:$A$102,0)),"미등록차량"))</f>
        <v/>
      </c>
      <c r="D633" s="11"/>
      <c r="E633" s="18" t="str">
        <f aca="false">IF($D633="","",IFERROR(INDEX(정비항목!$B$3:$B$52,MATCH($D633,정비항목!$A$3:$A$52,0)),"미등록항목"))</f>
        <v/>
      </c>
      <c r="F633" s="14"/>
      <c r="G633" s="14"/>
      <c r="H633" s="11"/>
    </row>
    <row r="634" customFormat="false" ht="15" hidden="false" customHeight="true" outlineLevel="0" collapsed="false">
      <c r="A634" s="15"/>
      <c r="B634" s="11"/>
      <c r="C634" s="18" t="str">
        <f aca="false">IF($B634="","",IFERROR(INDEX(차량목록!$B$3:$B$102,MATCH($B634,차량목록!$A$3:$A$102,0)),"미등록차량"))</f>
        <v/>
      </c>
      <c r="D634" s="11"/>
      <c r="E634" s="18" t="str">
        <f aca="false">IF($D634="","",IFERROR(INDEX(정비항목!$B$3:$B$52,MATCH($D634,정비항목!$A$3:$A$52,0)),"미등록항목"))</f>
        <v/>
      </c>
      <c r="F634" s="14"/>
      <c r="G634" s="14"/>
      <c r="H634" s="11"/>
    </row>
    <row r="635" customFormat="false" ht="15" hidden="false" customHeight="true" outlineLevel="0" collapsed="false">
      <c r="A635" s="15"/>
      <c r="B635" s="11"/>
      <c r="C635" s="18" t="str">
        <f aca="false">IF($B635="","",IFERROR(INDEX(차량목록!$B$3:$B$102,MATCH($B635,차량목록!$A$3:$A$102,0)),"미등록차량"))</f>
        <v/>
      </c>
      <c r="D635" s="11"/>
      <c r="E635" s="18" t="str">
        <f aca="false">IF($D635="","",IFERROR(INDEX(정비항목!$B$3:$B$52,MATCH($D635,정비항목!$A$3:$A$52,0)),"미등록항목"))</f>
        <v/>
      </c>
      <c r="F635" s="14"/>
      <c r="G635" s="14"/>
      <c r="H635" s="11"/>
    </row>
    <row r="636" customFormat="false" ht="15" hidden="false" customHeight="true" outlineLevel="0" collapsed="false">
      <c r="A636" s="15"/>
      <c r="B636" s="11"/>
      <c r="C636" s="18" t="str">
        <f aca="false">IF($B636="","",IFERROR(INDEX(차량목록!$B$3:$B$102,MATCH($B636,차량목록!$A$3:$A$102,0)),"미등록차량"))</f>
        <v/>
      </c>
      <c r="D636" s="11"/>
      <c r="E636" s="18" t="str">
        <f aca="false">IF($D636="","",IFERROR(INDEX(정비항목!$B$3:$B$52,MATCH($D636,정비항목!$A$3:$A$52,0)),"미등록항목"))</f>
        <v/>
      </c>
      <c r="F636" s="14"/>
      <c r="G636" s="14"/>
      <c r="H636" s="11"/>
    </row>
    <row r="637" customFormat="false" ht="15" hidden="false" customHeight="true" outlineLevel="0" collapsed="false">
      <c r="A637" s="15"/>
      <c r="B637" s="11"/>
      <c r="C637" s="18" t="str">
        <f aca="false">IF($B637="","",IFERROR(INDEX(차량목록!$B$3:$B$102,MATCH($B637,차량목록!$A$3:$A$102,0)),"미등록차량"))</f>
        <v/>
      </c>
      <c r="D637" s="11"/>
      <c r="E637" s="18" t="str">
        <f aca="false">IF($D637="","",IFERROR(INDEX(정비항목!$B$3:$B$52,MATCH($D637,정비항목!$A$3:$A$52,0)),"미등록항목"))</f>
        <v/>
      </c>
      <c r="F637" s="14"/>
      <c r="G637" s="14"/>
      <c r="H637" s="11"/>
    </row>
    <row r="638" customFormat="false" ht="15" hidden="false" customHeight="true" outlineLevel="0" collapsed="false">
      <c r="A638" s="15"/>
      <c r="B638" s="11"/>
      <c r="C638" s="18" t="str">
        <f aca="false">IF($B638="","",IFERROR(INDEX(차량목록!$B$3:$B$102,MATCH($B638,차량목록!$A$3:$A$102,0)),"미등록차량"))</f>
        <v/>
      </c>
      <c r="D638" s="11"/>
      <c r="E638" s="18" t="str">
        <f aca="false">IF($D638="","",IFERROR(INDEX(정비항목!$B$3:$B$52,MATCH($D638,정비항목!$A$3:$A$52,0)),"미등록항목"))</f>
        <v/>
      </c>
      <c r="F638" s="14"/>
      <c r="G638" s="14"/>
      <c r="H638" s="11"/>
    </row>
    <row r="639" customFormat="false" ht="15" hidden="false" customHeight="true" outlineLevel="0" collapsed="false">
      <c r="A639" s="15"/>
      <c r="B639" s="11"/>
      <c r="C639" s="18" t="str">
        <f aca="false">IF($B639="","",IFERROR(INDEX(차량목록!$B$3:$B$102,MATCH($B639,차량목록!$A$3:$A$102,0)),"미등록차량"))</f>
        <v/>
      </c>
      <c r="D639" s="11"/>
      <c r="E639" s="18" t="str">
        <f aca="false">IF($D639="","",IFERROR(INDEX(정비항목!$B$3:$B$52,MATCH($D639,정비항목!$A$3:$A$52,0)),"미등록항목"))</f>
        <v/>
      </c>
      <c r="F639" s="14"/>
      <c r="G639" s="14"/>
      <c r="H639" s="11"/>
    </row>
    <row r="640" customFormat="false" ht="15" hidden="false" customHeight="true" outlineLevel="0" collapsed="false">
      <c r="A640" s="15"/>
      <c r="B640" s="11"/>
      <c r="C640" s="18" t="str">
        <f aca="false">IF($B640="","",IFERROR(INDEX(차량목록!$B$3:$B$102,MATCH($B640,차량목록!$A$3:$A$102,0)),"미등록차량"))</f>
        <v/>
      </c>
      <c r="D640" s="11"/>
      <c r="E640" s="18" t="str">
        <f aca="false">IF($D640="","",IFERROR(INDEX(정비항목!$B$3:$B$52,MATCH($D640,정비항목!$A$3:$A$52,0)),"미등록항목"))</f>
        <v/>
      </c>
      <c r="F640" s="14"/>
      <c r="G640" s="14"/>
      <c r="H640" s="11"/>
    </row>
    <row r="641" customFormat="false" ht="15" hidden="false" customHeight="true" outlineLevel="0" collapsed="false">
      <c r="A641" s="15"/>
      <c r="B641" s="11"/>
      <c r="C641" s="18" t="str">
        <f aca="false">IF($B641="","",IFERROR(INDEX(차량목록!$B$3:$B$102,MATCH($B641,차량목록!$A$3:$A$102,0)),"미등록차량"))</f>
        <v/>
      </c>
      <c r="D641" s="11"/>
      <c r="E641" s="18" t="str">
        <f aca="false">IF($D641="","",IFERROR(INDEX(정비항목!$B$3:$B$52,MATCH($D641,정비항목!$A$3:$A$52,0)),"미등록항목"))</f>
        <v/>
      </c>
      <c r="F641" s="14"/>
      <c r="G641" s="14"/>
      <c r="H641" s="11"/>
    </row>
    <row r="642" customFormat="false" ht="15" hidden="false" customHeight="true" outlineLevel="0" collapsed="false">
      <c r="A642" s="15"/>
      <c r="B642" s="11"/>
      <c r="C642" s="18" t="str">
        <f aca="false">IF($B642="","",IFERROR(INDEX(차량목록!$B$3:$B$102,MATCH($B642,차량목록!$A$3:$A$102,0)),"미등록차량"))</f>
        <v/>
      </c>
      <c r="D642" s="11"/>
      <c r="E642" s="18" t="str">
        <f aca="false">IF($D642="","",IFERROR(INDEX(정비항목!$B$3:$B$52,MATCH($D642,정비항목!$A$3:$A$52,0)),"미등록항목"))</f>
        <v/>
      </c>
      <c r="F642" s="14"/>
      <c r="G642" s="14"/>
      <c r="H642" s="11"/>
    </row>
    <row r="643" customFormat="false" ht="15" hidden="false" customHeight="true" outlineLevel="0" collapsed="false">
      <c r="A643" s="15"/>
      <c r="B643" s="11"/>
      <c r="C643" s="18" t="str">
        <f aca="false">IF($B643="","",IFERROR(INDEX(차량목록!$B$3:$B$102,MATCH($B643,차량목록!$A$3:$A$102,0)),"미등록차량"))</f>
        <v/>
      </c>
      <c r="D643" s="11"/>
      <c r="E643" s="18" t="str">
        <f aca="false">IF($D643="","",IFERROR(INDEX(정비항목!$B$3:$B$52,MATCH($D643,정비항목!$A$3:$A$52,0)),"미등록항목"))</f>
        <v/>
      </c>
      <c r="F643" s="14"/>
      <c r="G643" s="14"/>
      <c r="H643" s="11"/>
    </row>
    <row r="644" customFormat="false" ht="15" hidden="false" customHeight="true" outlineLevel="0" collapsed="false">
      <c r="A644" s="15"/>
      <c r="B644" s="11"/>
      <c r="C644" s="18" t="str">
        <f aca="false">IF($B644="","",IFERROR(INDEX(차량목록!$B$3:$B$102,MATCH($B644,차량목록!$A$3:$A$102,0)),"미등록차량"))</f>
        <v/>
      </c>
      <c r="D644" s="11"/>
      <c r="E644" s="18" t="str">
        <f aca="false">IF($D644="","",IFERROR(INDEX(정비항목!$B$3:$B$52,MATCH($D644,정비항목!$A$3:$A$52,0)),"미등록항목"))</f>
        <v/>
      </c>
      <c r="F644" s="14"/>
      <c r="G644" s="14"/>
      <c r="H644" s="11"/>
    </row>
    <row r="645" customFormat="false" ht="15" hidden="false" customHeight="true" outlineLevel="0" collapsed="false">
      <c r="A645" s="15"/>
      <c r="B645" s="11"/>
      <c r="C645" s="18" t="str">
        <f aca="false">IF($B645="","",IFERROR(INDEX(차량목록!$B$3:$B$102,MATCH($B645,차량목록!$A$3:$A$102,0)),"미등록차량"))</f>
        <v/>
      </c>
      <c r="D645" s="11"/>
      <c r="E645" s="18" t="str">
        <f aca="false">IF($D645="","",IFERROR(INDEX(정비항목!$B$3:$B$52,MATCH($D645,정비항목!$A$3:$A$52,0)),"미등록항목"))</f>
        <v/>
      </c>
      <c r="F645" s="14"/>
      <c r="G645" s="14"/>
      <c r="H645" s="11"/>
    </row>
    <row r="646" customFormat="false" ht="15" hidden="false" customHeight="true" outlineLevel="0" collapsed="false">
      <c r="A646" s="15"/>
      <c r="B646" s="11"/>
      <c r="C646" s="18" t="str">
        <f aca="false">IF($B646="","",IFERROR(INDEX(차량목록!$B$3:$B$102,MATCH($B646,차량목록!$A$3:$A$102,0)),"미등록차량"))</f>
        <v/>
      </c>
      <c r="D646" s="11"/>
      <c r="E646" s="18" t="str">
        <f aca="false">IF($D646="","",IFERROR(INDEX(정비항목!$B$3:$B$52,MATCH($D646,정비항목!$A$3:$A$52,0)),"미등록항목"))</f>
        <v/>
      </c>
      <c r="F646" s="14"/>
      <c r="G646" s="14"/>
      <c r="H646" s="11"/>
    </row>
    <row r="647" customFormat="false" ht="15" hidden="false" customHeight="true" outlineLevel="0" collapsed="false">
      <c r="A647" s="15"/>
      <c r="B647" s="11"/>
      <c r="C647" s="18" t="str">
        <f aca="false">IF($B647="","",IFERROR(INDEX(차량목록!$B$3:$B$102,MATCH($B647,차량목록!$A$3:$A$102,0)),"미등록차량"))</f>
        <v/>
      </c>
      <c r="D647" s="11"/>
      <c r="E647" s="18" t="str">
        <f aca="false">IF($D647="","",IFERROR(INDEX(정비항목!$B$3:$B$52,MATCH($D647,정비항목!$A$3:$A$52,0)),"미등록항목"))</f>
        <v/>
      </c>
      <c r="F647" s="14"/>
      <c r="G647" s="14"/>
      <c r="H647" s="11"/>
    </row>
    <row r="648" customFormat="false" ht="15" hidden="false" customHeight="true" outlineLevel="0" collapsed="false">
      <c r="A648" s="15"/>
      <c r="B648" s="11"/>
      <c r="C648" s="18" t="str">
        <f aca="false">IF($B648="","",IFERROR(INDEX(차량목록!$B$3:$B$102,MATCH($B648,차량목록!$A$3:$A$102,0)),"미등록차량"))</f>
        <v/>
      </c>
      <c r="D648" s="11"/>
      <c r="E648" s="18" t="str">
        <f aca="false">IF($D648="","",IFERROR(INDEX(정비항목!$B$3:$B$52,MATCH($D648,정비항목!$A$3:$A$52,0)),"미등록항목"))</f>
        <v/>
      </c>
      <c r="F648" s="14"/>
      <c r="G648" s="14"/>
      <c r="H648" s="11"/>
    </row>
    <row r="649" customFormat="false" ht="15" hidden="false" customHeight="true" outlineLevel="0" collapsed="false">
      <c r="A649" s="15"/>
      <c r="B649" s="11"/>
      <c r="C649" s="18" t="str">
        <f aca="false">IF($B649="","",IFERROR(INDEX(차량목록!$B$3:$B$102,MATCH($B649,차량목록!$A$3:$A$102,0)),"미등록차량"))</f>
        <v/>
      </c>
      <c r="D649" s="11"/>
      <c r="E649" s="18" t="str">
        <f aca="false">IF($D649="","",IFERROR(INDEX(정비항목!$B$3:$B$52,MATCH($D649,정비항목!$A$3:$A$52,0)),"미등록항목"))</f>
        <v/>
      </c>
      <c r="F649" s="14"/>
      <c r="G649" s="14"/>
      <c r="H649" s="11"/>
    </row>
    <row r="650" customFormat="false" ht="15" hidden="false" customHeight="true" outlineLevel="0" collapsed="false">
      <c r="A650" s="15"/>
      <c r="B650" s="11"/>
      <c r="C650" s="18" t="str">
        <f aca="false">IF($B650="","",IFERROR(INDEX(차량목록!$B$3:$B$102,MATCH($B650,차량목록!$A$3:$A$102,0)),"미등록차량"))</f>
        <v/>
      </c>
      <c r="D650" s="11"/>
      <c r="E650" s="18" t="str">
        <f aca="false">IF($D650="","",IFERROR(INDEX(정비항목!$B$3:$B$52,MATCH($D650,정비항목!$A$3:$A$52,0)),"미등록항목"))</f>
        <v/>
      </c>
      <c r="F650" s="14"/>
      <c r="G650" s="14"/>
      <c r="H650" s="11"/>
    </row>
    <row r="651" customFormat="false" ht="15" hidden="false" customHeight="true" outlineLevel="0" collapsed="false">
      <c r="A651" s="15"/>
      <c r="B651" s="11"/>
      <c r="C651" s="18" t="str">
        <f aca="false">IF($B651="","",IFERROR(INDEX(차량목록!$B$3:$B$102,MATCH($B651,차량목록!$A$3:$A$102,0)),"미등록차량"))</f>
        <v/>
      </c>
      <c r="D651" s="11"/>
      <c r="E651" s="18" t="str">
        <f aca="false">IF($D651="","",IFERROR(INDEX(정비항목!$B$3:$B$52,MATCH($D651,정비항목!$A$3:$A$52,0)),"미등록항목"))</f>
        <v/>
      </c>
      <c r="F651" s="14"/>
      <c r="G651" s="14"/>
      <c r="H651" s="11"/>
    </row>
    <row r="652" customFormat="false" ht="15" hidden="false" customHeight="true" outlineLevel="0" collapsed="false">
      <c r="A652" s="15"/>
      <c r="B652" s="11"/>
      <c r="C652" s="18" t="str">
        <f aca="false">IF($B652="","",IFERROR(INDEX(차량목록!$B$3:$B$102,MATCH($B652,차량목록!$A$3:$A$102,0)),"미등록차량"))</f>
        <v/>
      </c>
      <c r="D652" s="11"/>
      <c r="E652" s="18" t="str">
        <f aca="false">IF($D652="","",IFERROR(INDEX(정비항목!$B$3:$B$52,MATCH($D652,정비항목!$A$3:$A$52,0)),"미등록항목"))</f>
        <v/>
      </c>
      <c r="F652" s="14"/>
      <c r="G652" s="14"/>
      <c r="H652" s="11"/>
    </row>
    <row r="653" customFormat="false" ht="15" hidden="false" customHeight="true" outlineLevel="0" collapsed="false">
      <c r="A653" s="15"/>
      <c r="B653" s="11"/>
      <c r="C653" s="18" t="str">
        <f aca="false">IF($B653="","",IFERROR(INDEX(차량목록!$B$3:$B$102,MATCH($B653,차량목록!$A$3:$A$102,0)),"미등록차량"))</f>
        <v/>
      </c>
      <c r="D653" s="11"/>
      <c r="E653" s="18" t="str">
        <f aca="false">IF($D653="","",IFERROR(INDEX(정비항목!$B$3:$B$52,MATCH($D653,정비항목!$A$3:$A$52,0)),"미등록항목"))</f>
        <v/>
      </c>
      <c r="F653" s="14"/>
      <c r="G653" s="14"/>
      <c r="H653" s="11"/>
    </row>
    <row r="654" customFormat="false" ht="15" hidden="false" customHeight="true" outlineLevel="0" collapsed="false">
      <c r="A654" s="15"/>
      <c r="B654" s="11"/>
      <c r="C654" s="18" t="str">
        <f aca="false">IF($B654="","",IFERROR(INDEX(차량목록!$B$3:$B$102,MATCH($B654,차량목록!$A$3:$A$102,0)),"미등록차량"))</f>
        <v/>
      </c>
      <c r="D654" s="11"/>
      <c r="E654" s="18" t="str">
        <f aca="false">IF($D654="","",IFERROR(INDEX(정비항목!$B$3:$B$52,MATCH($D654,정비항목!$A$3:$A$52,0)),"미등록항목"))</f>
        <v/>
      </c>
      <c r="F654" s="14"/>
      <c r="G654" s="14"/>
      <c r="H654" s="11"/>
    </row>
    <row r="655" customFormat="false" ht="15" hidden="false" customHeight="true" outlineLevel="0" collapsed="false">
      <c r="A655" s="15"/>
      <c r="B655" s="11"/>
      <c r="C655" s="18" t="str">
        <f aca="false">IF($B655="","",IFERROR(INDEX(차량목록!$B$3:$B$102,MATCH($B655,차량목록!$A$3:$A$102,0)),"미등록차량"))</f>
        <v/>
      </c>
      <c r="D655" s="11"/>
      <c r="E655" s="18" t="str">
        <f aca="false">IF($D655="","",IFERROR(INDEX(정비항목!$B$3:$B$52,MATCH($D655,정비항목!$A$3:$A$52,0)),"미등록항목"))</f>
        <v/>
      </c>
      <c r="F655" s="14"/>
      <c r="G655" s="14"/>
      <c r="H655" s="11"/>
    </row>
    <row r="656" customFormat="false" ht="15" hidden="false" customHeight="true" outlineLevel="0" collapsed="false">
      <c r="A656" s="15"/>
      <c r="B656" s="11"/>
      <c r="C656" s="18" t="str">
        <f aca="false">IF($B656="","",IFERROR(INDEX(차량목록!$B$3:$B$102,MATCH($B656,차량목록!$A$3:$A$102,0)),"미등록차량"))</f>
        <v/>
      </c>
      <c r="D656" s="11"/>
      <c r="E656" s="18" t="str">
        <f aca="false">IF($D656="","",IFERROR(INDEX(정비항목!$B$3:$B$52,MATCH($D656,정비항목!$A$3:$A$52,0)),"미등록항목"))</f>
        <v/>
      </c>
      <c r="F656" s="14"/>
      <c r="G656" s="14"/>
      <c r="H656" s="11"/>
    </row>
    <row r="657" customFormat="false" ht="15" hidden="false" customHeight="true" outlineLevel="0" collapsed="false">
      <c r="A657" s="15"/>
      <c r="B657" s="11"/>
      <c r="C657" s="18" t="str">
        <f aca="false">IF($B657="","",IFERROR(INDEX(차량목록!$B$3:$B$102,MATCH($B657,차량목록!$A$3:$A$102,0)),"미등록차량"))</f>
        <v/>
      </c>
      <c r="D657" s="11"/>
      <c r="E657" s="18" t="str">
        <f aca="false">IF($D657="","",IFERROR(INDEX(정비항목!$B$3:$B$52,MATCH($D657,정비항목!$A$3:$A$52,0)),"미등록항목"))</f>
        <v/>
      </c>
      <c r="F657" s="14"/>
      <c r="G657" s="14"/>
      <c r="H657" s="11"/>
    </row>
    <row r="658" customFormat="false" ht="15" hidden="false" customHeight="true" outlineLevel="0" collapsed="false">
      <c r="A658" s="15"/>
      <c r="B658" s="11"/>
      <c r="C658" s="18" t="str">
        <f aca="false">IF($B658="","",IFERROR(INDEX(차량목록!$B$3:$B$102,MATCH($B658,차량목록!$A$3:$A$102,0)),"미등록차량"))</f>
        <v/>
      </c>
      <c r="D658" s="11"/>
      <c r="E658" s="18" t="str">
        <f aca="false">IF($D658="","",IFERROR(INDEX(정비항목!$B$3:$B$52,MATCH($D658,정비항목!$A$3:$A$52,0)),"미등록항목"))</f>
        <v/>
      </c>
      <c r="F658" s="14"/>
      <c r="G658" s="14"/>
      <c r="H658" s="11"/>
    </row>
    <row r="659" customFormat="false" ht="15" hidden="false" customHeight="true" outlineLevel="0" collapsed="false">
      <c r="A659" s="15"/>
      <c r="B659" s="11"/>
      <c r="C659" s="18" t="str">
        <f aca="false">IF($B659="","",IFERROR(INDEX(차량목록!$B$3:$B$102,MATCH($B659,차량목록!$A$3:$A$102,0)),"미등록차량"))</f>
        <v/>
      </c>
      <c r="D659" s="11"/>
      <c r="E659" s="18" t="str">
        <f aca="false">IF($D659="","",IFERROR(INDEX(정비항목!$B$3:$B$52,MATCH($D659,정비항목!$A$3:$A$52,0)),"미등록항목"))</f>
        <v/>
      </c>
      <c r="F659" s="14"/>
      <c r="G659" s="14"/>
      <c r="H659" s="11"/>
    </row>
    <row r="660" customFormat="false" ht="15" hidden="false" customHeight="true" outlineLevel="0" collapsed="false">
      <c r="A660" s="15"/>
      <c r="B660" s="11"/>
      <c r="C660" s="18" t="str">
        <f aca="false">IF($B660="","",IFERROR(INDEX(차량목록!$B$3:$B$102,MATCH($B660,차량목록!$A$3:$A$102,0)),"미등록차량"))</f>
        <v/>
      </c>
      <c r="D660" s="11"/>
      <c r="E660" s="18" t="str">
        <f aca="false">IF($D660="","",IFERROR(INDEX(정비항목!$B$3:$B$52,MATCH($D660,정비항목!$A$3:$A$52,0)),"미등록항목"))</f>
        <v/>
      </c>
      <c r="F660" s="14"/>
      <c r="G660" s="14"/>
      <c r="H660" s="11"/>
    </row>
    <row r="661" customFormat="false" ht="15" hidden="false" customHeight="true" outlineLevel="0" collapsed="false">
      <c r="A661" s="15"/>
      <c r="B661" s="11"/>
      <c r="C661" s="18" t="str">
        <f aca="false">IF($B661="","",IFERROR(INDEX(차량목록!$B$3:$B$102,MATCH($B661,차량목록!$A$3:$A$102,0)),"미등록차량"))</f>
        <v/>
      </c>
      <c r="D661" s="11"/>
      <c r="E661" s="18" t="str">
        <f aca="false">IF($D661="","",IFERROR(INDEX(정비항목!$B$3:$B$52,MATCH($D661,정비항목!$A$3:$A$52,0)),"미등록항목"))</f>
        <v/>
      </c>
      <c r="F661" s="14"/>
      <c r="G661" s="14"/>
      <c r="H661" s="11"/>
    </row>
    <row r="662" customFormat="false" ht="15" hidden="false" customHeight="true" outlineLevel="0" collapsed="false">
      <c r="A662" s="15"/>
      <c r="B662" s="11"/>
      <c r="C662" s="18" t="str">
        <f aca="false">IF($B662="","",IFERROR(INDEX(차량목록!$B$3:$B$102,MATCH($B662,차량목록!$A$3:$A$102,0)),"미등록차량"))</f>
        <v/>
      </c>
      <c r="D662" s="11"/>
      <c r="E662" s="18" t="str">
        <f aca="false">IF($D662="","",IFERROR(INDEX(정비항목!$B$3:$B$52,MATCH($D662,정비항목!$A$3:$A$52,0)),"미등록항목"))</f>
        <v/>
      </c>
      <c r="F662" s="14"/>
      <c r="G662" s="14"/>
      <c r="H662" s="11"/>
    </row>
    <row r="663" customFormat="false" ht="15" hidden="false" customHeight="true" outlineLevel="0" collapsed="false">
      <c r="A663" s="15"/>
      <c r="B663" s="11"/>
      <c r="C663" s="18" t="str">
        <f aca="false">IF($B663="","",IFERROR(INDEX(차량목록!$B$3:$B$102,MATCH($B663,차량목록!$A$3:$A$102,0)),"미등록차량"))</f>
        <v/>
      </c>
      <c r="D663" s="11"/>
      <c r="E663" s="18" t="str">
        <f aca="false">IF($D663="","",IFERROR(INDEX(정비항목!$B$3:$B$52,MATCH($D663,정비항목!$A$3:$A$52,0)),"미등록항목"))</f>
        <v/>
      </c>
      <c r="F663" s="14"/>
      <c r="G663" s="14"/>
      <c r="H663" s="11"/>
    </row>
    <row r="664" customFormat="false" ht="15" hidden="false" customHeight="true" outlineLevel="0" collapsed="false">
      <c r="A664" s="15"/>
      <c r="B664" s="11"/>
      <c r="C664" s="18" t="str">
        <f aca="false">IF($B664="","",IFERROR(INDEX(차량목록!$B$3:$B$102,MATCH($B664,차량목록!$A$3:$A$102,0)),"미등록차량"))</f>
        <v/>
      </c>
      <c r="D664" s="11"/>
      <c r="E664" s="18" t="str">
        <f aca="false">IF($D664="","",IFERROR(INDEX(정비항목!$B$3:$B$52,MATCH($D664,정비항목!$A$3:$A$52,0)),"미등록항목"))</f>
        <v/>
      </c>
      <c r="F664" s="14"/>
      <c r="G664" s="14"/>
      <c r="H664" s="11"/>
    </row>
    <row r="665" customFormat="false" ht="15" hidden="false" customHeight="true" outlineLevel="0" collapsed="false">
      <c r="A665" s="15"/>
      <c r="B665" s="11"/>
      <c r="C665" s="18" t="str">
        <f aca="false">IF($B665="","",IFERROR(INDEX(차량목록!$B$3:$B$102,MATCH($B665,차량목록!$A$3:$A$102,0)),"미등록차량"))</f>
        <v/>
      </c>
      <c r="D665" s="11"/>
      <c r="E665" s="18" t="str">
        <f aca="false">IF($D665="","",IFERROR(INDEX(정비항목!$B$3:$B$52,MATCH($D665,정비항목!$A$3:$A$52,0)),"미등록항목"))</f>
        <v/>
      </c>
      <c r="F665" s="14"/>
      <c r="G665" s="14"/>
      <c r="H665" s="11"/>
    </row>
    <row r="666" customFormat="false" ht="15" hidden="false" customHeight="true" outlineLevel="0" collapsed="false">
      <c r="A666" s="15"/>
      <c r="B666" s="11"/>
      <c r="C666" s="18" t="str">
        <f aca="false">IF($B666="","",IFERROR(INDEX(차량목록!$B$3:$B$102,MATCH($B666,차량목록!$A$3:$A$102,0)),"미등록차량"))</f>
        <v/>
      </c>
      <c r="D666" s="11"/>
      <c r="E666" s="18" t="str">
        <f aca="false">IF($D666="","",IFERROR(INDEX(정비항목!$B$3:$B$52,MATCH($D666,정비항목!$A$3:$A$52,0)),"미등록항목"))</f>
        <v/>
      </c>
      <c r="F666" s="14"/>
      <c r="G666" s="14"/>
      <c r="H666" s="11"/>
    </row>
    <row r="667" customFormat="false" ht="15" hidden="false" customHeight="true" outlineLevel="0" collapsed="false">
      <c r="A667" s="15"/>
      <c r="B667" s="11"/>
      <c r="C667" s="18" t="str">
        <f aca="false">IF($B667="","",IFERROR(INDEX(차량목록!$B$3:$B$102,MATCH($B667,차량목록!$A$3:$A$102,0)),"미등록차량"))</f>
        <v/>
      </c>
      <c r="D667" s="11"/>
      <c r="E667" s="18" t="str">
        <f aca="false">IF($D667="","",IFERROR(INDEX(정비항목!$B$3:$B$52,MATCH($D667,정비항목!$A$3:$A$52,0)),"미등록항목"))</f>
        <v/>
      </c>
      <c r="F667" s="14"/>
      <c r="G667" s="14"/>
      <c r="H667" s="11"/>
    </row>
    <row r="668" customFormat="false" ht="15" hidden="false" customHeight="true" outlineLevel="0" collapsed="false">
      <c r="A668" s="15"/>
      <c r="B668" s="11"/>
      <c r="C668" s="18" t="str">
        <f aca="false">IF($B668="","",IFERROR(INDEX(차량목록!$B$3:$B$102,MATCH($B668,차량목록!$A$3:$A$102,0)),"미등록차량"))</f>
        <v/>
      </c>
      <c r="D668" s="11"/>
      <c r="E668" s="18" t="str">
        <f aca="false">IF($D668="","",IFERROR(INDEX(정비항목!$B$3:$B$52,MATCH($D668,정비항목!$A$3:$A$52,0)),"미등록항목"))</f>
        <v/>
      </c>
      <c r="F668" s="14"/>
      <c r="G668" s="14"/>
      <c r="H668" s="11"/>
    </row>
    <row r="669" customFormat="false" ht="15" hidden="false" customHeight="true" outlineLevel="0" collapsed="false">
      <c r="A669" s="15"/>
      <c r="B669" s="11"/>
      <c r="C669" s="18" t="str">
        <f aca="false">IF($B669="","",IFERROR(INDEX(차량목록!$B$3:$B$102,MATCH($B669,차량목록!$A$3:$A$102,0)),"미등록차량"))</f>
        <v/>
      </c>
      <c r="D669" s="11"/>
      <c r="E669" s="18" t="str">
        <f aca="false">IF($D669="","",IFERROR(INDEX(정비항목!$B$3:$B$52,MATCH($D669,정비항목!$A$3:$A$52,0)),"미등록항목"))</f>
        <v/>
      </c>
      <c r="F669" s="14"/>
      <c r="G669" s="14"/>
      <c r="H669" s="11"/>
    </row>
    <row r="670" customFormat="false" ht="15" hidden="false" customHeight="true" outlineLevel="0" collapsed="false">
      <c r="A670" s="15"/>
      <c r="B670" s="11"/>
      <c r="C670" s="18" t="str">
        <f aca="false">IF($B670="","",IFERROR(INDEX(차량목록!$B$3:$B$102,MATCH($B670,차량목록!$A$3:$A$102,0)),"미등록차량"))</f>
        <v/>
      </c>
      <c r="D670" s="11"/>
      <c r="E670" s="18" t="str">
        <f aca="false">IF($D670="","",IFERROR(INDEX(정비항목!$B$3:$B$52,MATCH($D670,정비항목!$A$3:$A$52,0)),"미등록항목"))</f>
        <v/>
      </c>
      <c r="F670" s="14"/>
      <c r="G670" s="14"/>
      <c r="H670" s="11"/>
    </row>
    <row r="671" customFormat="false" ht="15" hidden="false" customHeight="true" outlineLevel="0" collapsed="false">
      <c r="A671" s="15"/>
      <c r="B671" s="11"/>
      <c r="C671" s="18" t="str">
        <f aca="false">IF($B671="","",IFERROR(INDEX(차량목록!$B$3:$B$102,MATCH($B671,차량목록!$A$3:$A$102,0)),"미등록차량"))</f>
        <v/>
      </c>
      <c r="D671" s="11"/>
      <c r="E671" s="18" t="str">
        <f aca="false">IF($D671="","",IFERROR(INDEX(정비항목!$B$3:$B$52,MATCH($D671,정비항목!$A$3:$A$52,0)),"미등록항목"))</f>
        <v/>
      </c>
      <c r="F671" s="14"/>
      <c r="G671" s="14"/>
      <c r="H671" s="11"/>
    </row>
    <row r="672" customFormat="false" ht="15" hidden="false" customHeight="true" outlineLevel="0" collapsed="false">
      <c r="A672" s="15"/>
      <c r="B672" s="11"/>
      <c r="C672" s="18" t="str">
        <f aca="false">IF($B672="","",IFERROR(INDEX(차량목록!$B$3:$B$102,MATCH($B672,차량목록!$A$3:$A$102,0)),"미등록차량"))</f>
        <v/>
      </c>
      <c r="D672" s="11"/>
      <c r="E672" s="18" t="str">
        <f aca="false">IF($D672="","",IFERROR(INDEX(정비항목!$B$3:$B$52,MATCH($D672,정비항목!$A$3:$A$52,0)),"미등록항목"))</f>
        <v/>
      </c>
      <c r="F672" s="14"/>
      <c r="G672" s="14"/>
      <c r="H672" s="11"/>
    </row>
    <row r="673" customFormat="false" ht="15" hidden="false" customHeight="true" outlineLevel="0" collapsed="false">
      <c r="A673" s="15"/>
      <c r="B673" s="11"/>
      <c r="C673" s="18" t="str">
        <f aca="false">IF($B673="","",IFERROR(INDEX(차량목록!$B$3:$B$102,MATCH($B673,차량목록!$A$3:$A$102,0)),"미등록차량"))</f>
        <v/>
      </c>
      <c r="D673" s="11"/>
      <c r="E673" s="18" t="str">
        <f aca="false">IF($D673="","",IFERROR(INDEX(정비항목!$B$3:$B$52,MATCH($D673,정비항목!$A$3:$A$52,0)),"미등록항목"))</f>
        <v/>
      </c>
      <c r="F673" s="14"/>
      <c r="G673" s="14"/>
      <c r="H673" s="11"/>
    </row>
    <row r="674" customFormat="false" ht="15" hidden="false" customHeight="true" outlineLevel="0" collapsed="false">
      <c r="A674" s="15"/>
      <c r="B674" s="11"/>
      <c r="C674" s="18" t="str">
        <f aca="false">IF($B674="","",IFERROR(INDEX(차량목록!$B$3:$B$102,MATCH($B674,차량목록!$A$3:$A$102,0)),"미등록차량"))</f>
        <v/>
      </c>
      <c r="D674" s="11"/>
      <c r="E674" s="18" t="str">
        <f aca="false">IF($D674="","",IFERROR(INDEX(정비항목!$B$3:$B$52,MATCH($D674,정비항목!$A$3:$A$52,0)),"미등록항목"))</f>
        <v/>
      </c>
      <c r="F674" s="14"/>
      <c r="G674" s="14"/>
      <c r="H674" s="11"/>
    </row>
    <row r="675" customFormat="false" ht="15" hidden="false" customHeight="true" outlineLevel="0" collapsed="false">
      <c r="A675" s="15"/>
      <c r="B675" s="11"/>
      <c r="C675" s="18" t="str">
        <f aca="false">IF($B675="","",IFERROR(INDEX(차량목록!$B$3:$B$102,MATCH($B675,차량목록!$A$3:$A$102,0)),"미등록차량"))</f>
        <v/>
      </c>
      <c r="D675" s="11"/>
      <c r="E675" s="18" t="str">
        <f aca="false">IF($D675="","",IFERROR(INDEX(정비항목!$B$3:$B$52,MATCH($D675,정비항목!$A$3:$A$52,0)),"미등록항목"))</f>
        <v/>
      </c>
      <c r="F675" s="14"/>
      <c r="G675" s="14"/>
      <c r="H675" s="11"/>
    </row>
    <row r="676" customFormat="false" ht="15" hidden="false" customHeight="true" outlineLevel="0" collapsed="false">
      <c r="A676" s="15"/>
      <c r="B676" s="11"/>
      <c r="C676" s="18" t="str">
        <f aca="false">IF($B676="","",IFERROR(INDEX(차량목록!$B$3:$B$102,MATCH($B676,차량목록!$A$3:$A$102,0)),"미등록차량"))</f>
        <v/>
      </c>
      <c r="D676" s="11"/>
      <c r="E676" s="18" t="str">
        <f aca="false">IF($D676="","",IFERROR(INDEX(정비항목!$B$3:$B$52,MATCH($D676,정비항목!$A$3:$A$52,0)),"미등록항목"))</f>
        <v/>
      </c>
      <c r="F676" s="14"/>
      <c r="G676" s="14"/>
      <c r="H676" s="11"/>
    </row>
    <row r="677" customFormat="false" ht="15" hidden="false" customHeight="true" outlineLevel="0" collapsed="false">
      <c r="A677" s="15"/>
      <c r="B677" s="11"/>
      <c r="C677" s="18" t="str">
        <f aca="false">IF($B677="","",IFERROR(INDEX(차량목록!$B$3:$B$102,MATCH($B677,차량목록!$A$3:$A$102,0)),"미등록차량"))</f>
        <v/>
      </c>
      <c r="D677" s="11"/>
      <c r="E677" s="18" t="str">
        <f aca="false">IF($D677="","",IFERROR(INDEX(정비항목!$B$3:$B$52,MATCH($D677,정비항목!$A$3:$A$52,0)),"미등록항목"))</f>
        <v/>
      </c>
      <c r="F677" s="14"/>
      <c r="G677" s="14"/>
      <c r="H677" s="11"/>
    </row>
    <row r="678" customFormat="false" ht="15" hidden="false" customHeight="true" outlineLevel="0" collapsed="false">
      <c r="A678" s="15"/>
      <c r="B678" s="11"/>
      <c r="C678" s="18" t="str">
        <f aca="false">IF($B678="","",IFERROR(INDEX(차량목록!$B$3:$B$102,MATCH($B678,차량목록!$A$3:$A$102,0)),"미등록차량"))</f>
        <v/>
      </c>
      <c r="D678" s="11"/>
      <c r="E678" s="18" t="str">
        <f aca="false">IF($D678="","",IFERROR(INDEX(정비항목!$B$3:$B$52,MATCH($D678,정비항목!$A$3:$A$52,0)),"미등록항목"))</f>
        <v/>
      </c>
      <c r="F678" s="14"/>
      <c r="G678" s="14"/>
      <c r="H678" s="11"/>
    </row>
    <row r="679" customFormat="false" ht="15" hidden="false" customHeight="true" outlineLevel="0" collapsed="false">
      <c r="A679" s="15"/>
      <c r="B679" s="11"/>
      <c r="C679" s="18" t="str">
        <f aca="false">IF($B679="","",IFERROR(INDEX(차량목록!$B$3:$B$102,MATCH($B679,차량목록!$A$3:$A$102,0)),"미등록차량"))</f>
        <v/>
      </c>
      <c r="D679" s="11"/>
      <c r="E679" s="18" t="str">
        <f aca="false">IF($D679="","",IFERROR(INDEX(정비항목!$B$3:$B$52,MATCH($D679,정비항목!$A$3:$A$52,0)),"미등록항목"))</f>
        <v/>
      </c>
      <c r="F679" s="14"/>
      <c r="G679" s="14"/>
      <c r="H679" s="11"/>
    </row>
    <row r="680" customFormat="false" ht="15" hidden="false" customHeight="true" outlineLevel="0" collapsed="false">
      <c r="A680" s="15"/>
      <c r="B680" s="11"/>
      <c r="C680" s="18" t="str">
        <f aca="false">IF($B680="","",IFERROR(INDEX(차량목록!$B$3:$B$102,MATCH($B680,차량목록!$A$3:$A$102,0)),"미등록차량"))</f>
        <v/>
      </c>
      <c r="D680" s="11"/>
      <c r="E680" s="18" t="str">
        <f aca="false">IF($D680="","",IFERROR(INDEX(정비항목!$B$3:$B$52,MATCH($D680,정비항목!$A$3:$A$52,0)),"미등록항목"))</f>
        <v/>
      </c>
      <c r="F680" s="14"/>
      <c r="G680" s="14"/>
      <c r="H680" s="11"/>
    </row>
    <row r="681" customFormat="false" ht="15" hidden="false" customHeight="true" outlineLevel="0" collapsed="false">
      <c r="A681" s="15"/>
      <c r="B681" s="11"/>
      <c r="C681" s="18" t="str">
        <f aca="false">IF($B681="","",IFERROR(INDEX(차량목록!$B$3:$B$102,MATCH($B681,차량목록!$A$3:$A$102,0)),"미등록차량"))</f>
        <v/>
      </c>
      <c r="D681" s="11"/>
      <c r="E681" s="18" t="str">
        <f aca="false">IF($D681="","",IFERROR(INDEX(정비항목!$B$3:$B$52,MATCH($D681,정비항목!$A$3:$A$52,0)),"미등록항목"))</f>
        <v/>
      </c>
      <c r="F681" s="14"/>
      <c r="G681" s="14"/>
      <c r="H681" s="11"/>
    </row>
    <row r="682" customFormat="false" ht="15" hidden="false" customHeight="true" outlineLevel="0" collapsed="false">
      <c r="A682" s="15"/>
      <c r="B682" s="11"/>
      <c r="C682" s="18" t="str">
        <f aca="false">IF($B682="","",IFERROR(INDEX(차량목록!$B$3:$B$102,MATCH($B682,차량목록!$A$3:$A$102,0)),"미등록차량"))</f>
        <v/>
      </c>
      <c r="D682" s="11"/>
      <c r="E682" s="18" t="str">
        <f aca="false">IF($D682="","",IFERROR(INDEX(정비항목!$B$3:$B$52,MATCH($D682,정비항목!$A$3:$A$52,0)),"미등록항목"))</f>
        <v/>
      </c>
      <c r="F682" s="14"/>
      <c r="G682" s="14"/>
      <c r="H682" s="11"/>
    </row>
    <row r="683" customFormat="false" ht="15" hidden="false" customHeight="true" outlineLevel="0" collapsed="false">
      <c r="A683" s="15"/>
      <c r="B683" s="11"/>
      <c r="C683" s="18" t="str">
        <f aca="false">IF($B683="","",IFERROR(INDEX(차량목록!$B$3:$B$102,MATCH($B683,차량목록!$A$3:$A$102,0)),"미등록차량"))</f>
        <v/>
      </c>
      <c r="D683" s="11"/>
      <c r="E683" s="18" t="str">
        <f aca="false">IF($D683="","",IFERROR(INDEX(정비항목!$B$3:$B$52,MATCH($D683,정비항목!$A$3:$A$52,0)),"미등록항목"))</f>
        <v/>
      </c>
      <c r="F683" s="14"/>
      <c r="G683" s="14"/>
      <c r="H683" s="11"/>
    </row>
    <row r="684" customFormat="false" ht="15" hidden="false" customHeight="true" outlineLevel="0" collapsed="false">
      <c r="A684" s="15"/>
      <c r="B684" s="11"/>
      <c r="C684" s="18" t="str">
        <f aca="false">IF($B684="","",IFERROR(INDEX(차량목록!$B$3:$B$102,MATCH($B684,차량목록!$A$3:$A$102,0)),"미등록차량"))</f>
        <v/>
      </c>
      <c r="D684" s="11"/>
      <c r="E684" s="18" t="str">
        <f aca="false">IF($D684="","",IFERROR(INDEX(정비항목!$B$3:$B$52,MATCH($D684,정비항목!$A$3:$A$52,0)),"미등록항목"))</f>
        <v/>
      </c>
      <c r="F684" s="14"/>
      <c r="G684" s="14"/>
      <c r="H684" s="11"/>
    </row>
    <row r="685" customFormat="false" ht="15" hidden="false" customHeight="true" outlineLevel="0" collapsed="false">
      <c r="A685" s="15"/>
      <c r="B685" s="11"/>
      <c r="C685" s="18" t="str">
        <f aca="false">IF($B685="","",IFERROR(INDEX(차량목록!$B$3:$B$102,MATCH($B685,차량목록!$A$3:$A$102,0)),"미등록차량"))</f>
        <v/>
      </c>
      <c r="D685" s="11"/>
      <c r="E685" s="18" t="str">
        <f aca="false">IF($D685="","",IFERROR(INDEX(정비항목!$B$3:$B$52,MATCH($D685,정비항목!$A$3:$A$52,0)),"미등록항목"))</f>
        <v/>
      </c>
      <c r="F685" s="14"/>
      <c r="G685" s="14"/>
      <c r="H685" s="11"/>
    </row>
    <row r="686" customFormat="false" ht="15" hidden="false" customHeight="true" outlineLevel="0" collapsed="false">
      <c r="A686" s="15"/>
      <c r="B686" s="11"/>
      <c r="C686" s="18" t="str">
        <f aca="false">IF($B686="","",IFERROR(INDEX(차량목록!$B$3:$B$102,MATCH($B686,차량목록!$A$3:$A$102,0)),"미등록차량"))</f>
        <v/>
      </c>
      <c r="D686" s="11"/>
      <c r="E686" s="18" t="str">
        <f aca="false">IF($D686="","",IFERROR(INDEX(정비항목!$B$3:$B$52,MATCH($D686,정비항목!$A$3:$A$52,0)),"미등록항목"))</f>
        <v/>
      </c>
      <c r="F686" s="14"/>
      <c r="G686" s="14"/>
      <c r="H686" s="11"/>
    </row>
    <row r="687" customFormat="false" ht="15" hidden="false" customHeight="true" outlineLevel="0" collapsed="false">
      <c r="A687" s="15"/>
      <c r="B687" s="11"/>
      <c r="C687" s="18" t="str">
        <f aca="false">IF($B687="","",IFERROR(INDEX(차량목록!$B$3:$B$102,MATCH($B687,차량목록!$A$3:$A$102,0)),"미등록차량"))</f>
        <v/>
      </c>
      <c r="D687" s="11"/>
      <c r="E687" s="18" t="str">
        <f aca="false">IF($D687="","",IFERROR(INDEX(정비항목!$B$3:$B$52,MATCH($D687,정비항목!$A$3:$A$52,0)),"미등록항목"))</f>
        <v/>
      </c>
      <c r="F687" s="14"/>
      <c r="G687" s="14"/>
      <c r="H687" s="11"/>
    </row>
    <row r="688" customFormat="false" ht="15" hidden="false" customHeight="true" outlineLevel="0" collapsed="false">
      <c r="A688" s="15"/>
      <c r="B688" s="11"/>
      <c r="C688" s="18" t="str">
        <f aca="false">IF($B688="","",IFERROR(INDEX(차량목록!$B$3:$B$102,MATCH($B688,차량목록!$A$3:$A$102,0)),"미등록차량"))</f>
        <v/>
      </c>
      <c r="D688" s="11"/>
      <c r="E688" s="18" t="str">
        <f aca="false">IF($D688="","",IFERROR(INDEX(정비항목!$B$3:$B$52,MATCH($D688,정비항목!$A$3:$A$52,0)),"미등록항목"))</f>
        <v/>
      </c>
      <c r="F688" s="14"/>
      <c r="G688" s="14"/>
      <c r="H688" s="11"/>
    </row>
    <row r="689" customFormat="false" ht="15" hidden="false" customHeight="true" outlineLevel="0" collapsed="false">
      <c r="A689" s="15"/>
      <c r="B689" s="11"/>
      <c r="C689" s="18" t="str">
        <f aca="false">IF($B689="","",IFERROR(INDEX(차량목록!$B$3:$B$102,MATCH($B689,차량목록!$A$3:$A$102,0)),"미등록차량"))</f>
        <v/>
      </c>
      <c r="D689" s="11"/>
      <c r="E689" s="18" t="str">
        <f aca="false">IF($D689="","",IFERROR(INDEX(정비항목!$B$3:$B$52,MATCH($D689,정비항목!$A$3:$A$52,0)),"미등록항목"))</f>
        <v/>
      </c>
      <c r="F689" s="14"/>
      <c r="G689" s="14"/>
      <c r="H689" s="11"/>
    </row>
    <row r="690" customFormat="false" ht="15" hidden="false" customHeight="true" outlineLevel="0" collapsed="false">
      <c r="A690" s="15"/>
      <c r="B690" s="11"/>
      <c r="C690" s="18" t="str">
        <f aca="false">IF($B690="","",IFERROR(INDEX(차량목록!$B$3:$B$102,MATCH($B690,차량목록!$A$3:$A$102,0)),"미등록차량"))</f>
        <v/>
      </c>
      <c r="D690" s="11"/>
      <c r="E690" s="18" t="str">
        <f aca="false">IF($D690="","",IFERROR(INDEX(정비항목!$B$3:$B$52,MATCH($D690,정비항목!$A$3:$A$52,0)),"미등록항목"))</f>
        <v/>
      </c>
      <c r="F690" s="14"/>
      <c r="G690" s="14"/>
      <c r="H690" s="11"/>
    </row>
    <row r="691" customFormat="false" ht="15" hidden="false" customHeight="true" outlineLevel="0" collapsed="false">
      <c r="A691" s="15"/>
      <c r="B691" s="11"/>
      <c r="C691" s="18" t="str">
        <f aca="false">IF($B691="","",IFERROR(INDEX(차량목록!$B$3:$B$102,MATCH($B691,차량목록!$A$3:$A$102,0)),"미등록차량"))</f>
        <v/>
      </c>
      <c r="D691" s="11"/>
      <c r="E691" s="18" t="str">
        <f aca="false">IF($D691="","",IFERROR(INDEX(정비항목!$B$3:$B$52,MATCH($D691,정비항목!$A$3:$A$52,0)),"미등록항목"))</f>
        <v/>
      </c>
      <c r="F691" s="14"/>
      <c r="G691" s="14"/>
      <c r="H691" s="11"/>
    </row>
    <row r="692" customFormat="false" ht="15" hidden="false" customHeight="true" outlineLevel="0" collapsed="false">
      <c r="A692" s="15"/>
      <c r="B692" s="11"/>
      <c r="C692" s="18" t="str">
        <f aca="false">IF($B692="","",IFERROR(INDEX(차량목록!$B$3:$B$102,MATCH($B692,차량목록!$A$3:$A$102,0)),"미등록차량"))</f>
        <v/>
      </c>
      <c r="D692" s="11"/>
      <c r="E692" s="18" t="str">
        <f aca="false">IF($D692="","",IFERROR(INDEX(정비항목!$B$3:$B$52,MATCH($D692,정비항목!$A$3:$A$52,0)),"미등록항목"))</f>
        <v/>
      </c>
      <c r="F692" s="14"/>
      <c r="G692" s="14"/>
      <c r="H692" s="11"/>
    </row>
    <row r="693" customFormat="false" ht="15" hidden="false" customHeight="true" outlineLevel="0" collapsed="false">
      <c r="A693" s="15"/>
      <c r="B693" s="11"/>
      <c r="C693" s="18" t="str">
        <f aca="false">IF($B693="","",IFERROR(INDEX(차량목록!$B$3:$B$102,MATCH($B693,차량목록!$A$3:$A$102,0)),"미등록차량"))</f>
        <v/>
      </c>
      <c r="D693" s="11"/>
      <c r="E693" s="18" t="str">
        <f aca="false">IF($D693="","",IFERROR(INDEX(정비항목!$B$3:$B$52,MATCH($D693,정비항목!$A$3:$A$52,0)),"미등록항목"))</f>
        <v/>
      </c>
      <c r="F693" s="14"/>
      <c r="G693" s="14"/>
      <c r="H693" s="11"/>
    </row>
    <row r="694" customFormat="false" ht="15" hidden="false" customHeight="true" outlineLevel="0" collapsed="false">
      <c r="A694" s="15"/>
      <c r="B694" s="11"/>
      <c r="C694" s="18" t="str">
        <f aca="false">IF($B694="","",IFERROR(INDEX(차량목록!$B$3:$B$102,MATCH($B694,차량목록!$A$3:$A$102,0)),"미등록차량"))</f>
        <v/>
      </c>
      <c r="D694" s="11"/>
      <c r="E694" s="18" t="str">
        <f aca="false">IF($D694="","",IFERROR(INDEX(정비항목!$B$3:$B$52,MATCH($D694,정비항목!$A$3:$A$52,0)),"미등록항목"))</f>
        <v/>
      </c>
      <c r="F694" s="14"/>
      <c r="G694" s="14"/>
      <c r="H694" s="11"/>
    </row>
    <row r="695" customFormat="false" ht="15" hidden="false" customHeight="true" outlineLevel="0" collapsed="false">
      <c r="A695" s="15"/>
      <c r="B695" s="11"/>
      <c r="C695" s="18" t="str">
        <f aca="false">IF($B695="","",IFERROR(INDEX(차량목록!$B$3:$B$102,MATCH($B695,차량목록!$A$3:$A$102,0)),"미등록차량"))</f>
        <v/>
      </c>
      <c r="D695" s="11"/>
      <c r="E695" s="18" t="str">
        <f aca="false">IF($D695="","",IFERROR(INDEX(정비항목!$B$3:$B$52,MATCH($D695,정비항목!$A$3:$A$52,0)),"미등록항목"))</f>
        <v/>
      </c>
      <c r="F695" s="14"/>
      <c r="G695" s="14"/>
      <c r="H695" s="11"/>
    </row>
    <row r="696" customFormat="false" ht="15" hidden="false" customHeight="true" outlineLevel="0" collapsed="false">
      <c r="A696" s="15"/>
      <c r="B696" s="11"/>
      <c r="C696" s="18" t="str">
        <f aca="false">IF($B696="","",IFERROR(INDEX(차량목록!$B$3:$B$102,MATCH($B696,차량목록!$A$3:$A$102,0)),"미등록차량"))</f>
        <v/>
      </c>
      <c r="D696" s="11"/>
      <c r="E696" s="18" t="str">
        <f aca="false">IF($D696="","",IFERROR(INDEX(정비항목!$B$3:$B$52,MATCH($D696,정비항목!$A$3:$A$52,0)),"미등록항목"))</f>
        <v/>
      </c>
      <c r="F696" s="14"/>
      <c r="G696" s="14"/>
      <c r="H696" s="11"/>
    </row>
    <row r="697" customFormat="false" ht="15" hidden="false" customHeight="true" outlineLevel="0" collapsed="false">
      <c r="A697" s="15"/>
      <c r="B697" s="11"/>
      <c r="C697" s="18" t="str">
        <f aca="false">IF($B697="","",IFERROR(INDEX(차량목록!$B$3:$B$102,MATCH($B697,차량목록!$A$3:$A$102,0)),"미등록차량"))</f>
        <v/>
      </c>
      <c r="D697" s="11"/>
      <c r="E697" s="18" t="str">
        <f aca="false">IF($D697="","",IFERROR(INDEX(정비항목!$B$3:$B$52,MATCH($D697,정비항목!$A$3:$A$52,0)),"미등록항목"))</f>
        <v/>
      </c>
      <c r="F697" s="14"/>
      <c r="G697" s="14"/>
      <c r="H697" s="11"/>
    </row>
    <row r="698" customFormat="false" ht="15" hidden="false" customHeight="true" outlineLevel="0" collapsed="false">
      <c r="A698" s="15"/>
      <c r="B698" s="11"/>
      <c r="C698" s="18" t="str">
        <f aca="false">IF($B698="","",IFERROR(INDEX(차량목록!$B$3:$B$102,MATCH($B698,차량목록!$A$3:$A$102,0)),"미등록차량"))</f>
        <v/>
      </c>
      <c r="D698" s="11"/>
      <c r="E698" s="18" t="str">
        <f aca="false">IF($D698="","",IFERROR(INDEX(정비항목!$B$3:$B$52,MATCH($D698,정비항목!$A$3:$A$52,0)),"미등록항목"))</f>
        <v/>
      </c>
      <c r="F698" s="14"/>
      <c r="G698" s="14"/>
      <c r="H698" s="11"/>
    </row>
    <row r="699" customFormat="false" ht="15" hidden="false" customHeight="true" outlineLevel="0" collapsed="false">
      <c r="A699" s="15"/>
      <c r="B699" s="11"/>
      <c r="C699" s="18" t="str">
        <f aca="false">IF($B699="","",IFERROR(INDEX(차량목록!$B$3:$B$102,MATCH($B699,차량목록!$A$3:$A$102,0)),"미등록차량"))</f>
        <v/>
      </c>
      <c r="D699" s="11"/>
      <c r="E699" s="18" t="str">
        <f aca="false">IF($D699="","",IFERROR(INDEX(정비항목!$B$3:$B$52,MATCH($D699,정비항목!$A$3:$A$52,0)),"미등록항목"))</f>
        <v/>
      </c>
      <c r="F699" s="14"/>
      <c r="G699" s="14"/>
      <c r="H699" s="11"/>
    </row>
    <row r="700" customFormat="false" ht="15" hidden="false" customHeight="true" outlineLevel="0" collapsed="false">
      <c r="A700" s="15"/>
      <c r="B700" s="11"/>
      <c r="C700" s="18" t="str">
        <f aca="false">IF($B700="","",IFERROR(INDEX(차량목록!$B$3:$B$102,MATCH($B700,차량목록!$A$3:$A$102,0)),"미등록차량"))</f>
        <v/>
      </c>
      <c r="D700" s="11"/>
      <c r="E700" s="18" t="str">
        <f aca="false">IF($D700="","",IFERROR(INDEX(정비항목!$B$3:$B$52,MATCH($D700,정비항목!$A$3:$A$52,0)),"미등록항목"))</f>
        <v/>
      </c>
      <c r="F700" s="14"/>
      <c r="G700" s="14"/>
      <c r="H700" s="11"/>
    </row>
    <row r="701" customFormat="false" ht="15" hidden="false" customHeight="true" outlineLevel="0" collapsed="false">
      <c r="A701" s="15"/>
      <c r="B701" s="11"/>
      <c r="C701" s="18" t="str">
        <f aca="false">IF($B701="","",IFERROR(INDEX(차량목록!$B$3:$B$102,MATCH($B701,차량목록!$A$3:$A$102,0)),"미등록차량"))</f>
        <v/>
      </c>
      <c r="D701" s="11"/>
      <c r="E701" s="18" t="str">
        <f aca="false">IF($D701="","",IFERROR(INDEX(정비항목!$B$3:$B$52,MATCH($D701,정비항목!$A$3:$A$52,0)),"미등록항목"))</f>
        <v/>
      </c>
      <c r="F701" s="14"/>
      <c r="G701" s="14"/>
      <c r="H701" s="11"/>
    </row>
    <row r="702" customFormat="false" ht="15" hidden="false" customHeight="true" outlineLevel="0" collapsed="false">
      <c r="A702" s="15"/>
      <c r="B702" s="11"/>
      <c r="C702" s="18" t="str">
        <f aca="false">IF($B702="","",IFERROR(INDEX(차량목록!$B$3:$B$102,MATCH($B702,차량목록!$A$3:$A$102,0)),"미등록차량"))</f>
        <v/>
      </c>
      <c r="D702" s="11"/>
      <c r="E702" s="18" t="str">
        <f aca="false">IF($D702="","",IFERROR(INDEX(정비항목!$B$3:$B$52,MATCH($D702,정비항목!$A$3:$A$52,0)),"미등록항목"))</f>
        <v/>
      </c>
      <c r="F702" s="14"/>
      <c r="G702" s="14"/>
      <c r="H702" s="11"/>
    </row>
    <row r="703" customFormat="false" ht="15" hidden="false" customHeight="true" outlineLevel="0" collapsed="false">
      <c r="A703" s="15"/>
      <c r="B703" s="11"/>
      <c r="C703" s="18" t="str">
        <f aca="false">IF($B703="","",IFERROR(INDEX(차량목록!$B$3:$B$102,MATCH($B703,차량목록!$A$3:$A$102,0)),"미등록차량"))</f>
        <v/>
      </c>
      <c r="D703" s="11"/>
      <c r="E703" s="18" t="str">
        <f aca="false">IF($D703="","",IFERROR(INDEX(정비항목!$B$3:$B$52,MATCH($D703,정비항목!$A$3:$A$52,0)),"미등록항목"))</f>
        <v/>
      </c>
      <c r="F703" s="14"/>
      <c r="G703" s="14"/>
      <c r="H703" s="11"/>
    </row>
    <row r="704" customFormat="false" ht="15" hidden="false" customHeight="true" outlineLevel="0" collapsed="false">
      <c r="A704" s="15"/>
      <c r="B704" s="11"/>
      <c r="C704" s="18" t="str">
        <f aca="false">IF($B704="","",IFERROR(INDEX(차량목록!$B$3:$B$102,MATCH($B704,차량목록!$A$3:$A$102,0)),"미등록차량"))</f>
        <v/>
      </c>
      <c r="D704" s="11"/>
      <c r="E704" s="18" t="str">
        <f aca="false">IF($D704="","",IFERROR(INDEX(정비항목!$B$3:$B$52,MATCH($D704,정비항목!$A$3:$A$52,0)),"미등록항목"))</f>
        <v/>
      </c>
      <c r="F704" s="14"/>
      <c r="G704" s="14"/>
      <c r="H704" s="11"/>
    </row>
    <row r="705" customFormat="false" ht="15" hidden="false" customHeight="true" outlineLevel="0" collapsed="false">
      <c r="A705" s="15"/>
      <c r="B705" s="11"/>
      <c r="C705" s="18" t="str">
        <f aca="false">IF($B705="","",IFERROR(INDEX(차량목록!$B$3:$B$102,MATCH($B705,차량목록!$A$3:$A$102,0)),"미등록차량"))</f>
        <v/>
      </c>
      <c r="D705" s="11"/>
      <c r="E705" s="18" t="str">
        <f aca="false">IF($D705="","",IFERROR(INDEX(정비항목!$B$3:$B$52,MATCH($D705,정비항목!$A$3:$A$52,0)),"미등록항목"))</f>
        <v/>
      </c>
      <c r="F705" s="14"/>
      <c r="G705" s="14"/>
      <c r="H705" s="11"/>
    </row>
    <row r="706" customFormat="false" ht="15" hidden="false" customHeight="true" outlineLevel="0" collapsed="false">
      <c r="A706" s="15"/>
      <c r="B706" s="11"/>
      <c r="C706" s="18" t="str">
        <f aca="false">IF($B706="","",IFERROR(INDEX(차량목록!$B$3:$B$102,MATCH($B706,차량목록!$A$3:$A$102,0)),"미등록차량"))</f>
        <v/>
      </c>
      <c r="D706" s="11"/>
      <c r="E706" s="18" t="str">
        <f aca="false">IF($D706="","",IFERROR(INDEX(정비항목!$B$3:$B$52,MATCH($D706,정비항목!$A$3:$A$52,0)),"미등록항목"))</f>
        <v/>
      </c>
      <c r="F706" s="14"/>
      <c r="G706" s="14"/>
      <c r="H706" s="11"/>
    </row>
    <row r="707" customFormat="false" ht="15" hidden="false" customHeight="true" outlineLevel="0" collapsed="false">
      <c r="A707" s="15"/>
      <c r="B707" s="11"/>
      <c r="C707" s="18" t="str">
        <f aca="false">IF($B707="","",IFERROR(INDEX(차량목록!$B$3:$B$102,MATCH($B707,차량목록!$A$3:$A$102,0)),"미등록차량"))</f>
        <v/>
      </c>
      <c r="D707" s="11"/>
      <c r="E707" s="18" t="str">
        <f aca="false">IF($D707="","",IFERROR(INDEX(정비항목!$B$3:$B$52,MATCH($D707,정비항목!$A$3:$A$52,0)),"미등록항목"))</f>
        <v/>
      </c>
      <c r="F707" s="14"/>
      <c r="G707" s="14"/>
      <c r="H707" s="11"/>
    </row>
    <row r="708" customFormat="false" ht="15" hidden="false" customHeight="true" outlineLevel="0" collapsed="false">
      <c r="A708" s="15"/>
      <c r="B708" s="11"/>
      <c r="C708" s="18" t="str">
        <f aca="false">IF($B708="","",IFERROR(INDEX(차량목록!$B$3:$B$102,MATCH($B708,차량목록!$A$3:$A$102,0)),"미등록차량"))</f>
        <v/>
      </c>
      <c r="D708" s="11"/>
      <c r="E708" s="18" t="str">
        <f aca="false">IF($D708="","",IFERROR(INDEX(정비항목!$B$3:$B$52,MATCH($D708,정비항목!$A$3:$A$52,0)),"미등록항목"))</f>
        <v/>
      </c>
      <c r="F708" s="14"/>
      <c r="G708" s="14"/>
      <c r="H708" s="11"/>
    </row>
    <row r="709" customFormat="false" ht="15" hidden="false" customHeight="true" outlineLevel="0" collapsed="false">
      <c r="A709" s="15"/>
      <c r="B709" s="11"/>
      <c r="C709" s="18" t="str">
        <f aca="false">IF($B709="","",IFERROR(INDEX(차량목록!$B$3:$B$102,MATCH($B709,차량목록!$A$3:$A$102,0)),"미등록차량"))</f>
        <v/>
      </c>
      <c r="D709" s="11"/>
      <c r="E709" s="18" t="str">
        <f aca="false">IF($D709="","",IFERROR(INDEX(정비항목!$B$3:$B$52,MATCH($D709,정비항목!$A$3:$A$52,0)),"미등록항목"))</f>
        <v/>
      </c>
      <c r="F709" s="14"/>
      <c r="G709" s="14"/>
      <c r="H709" s="11"/>
    </row>
    <row r="710" customFormat="false" ht="15" hidden="false" customHeight="true" outlineLevel="0" collapsed="false">
      <c r="A710" s="15"/>
      <c r="B710" s="11"/>
      <c r="C710" s="18" t="str">
        <f aca="false">IF($B710="","",IFERROR(INDEX(차량목록!$B$3:$B$102,MATCH($B710,차량목록!$A$3:$A$102,0)),"미등록차량"))</f>
        <v/>
      </c>
      <c r="D710" s="11"/>
      <c r="E710" s="18" t="str">
        <f aca="false">IF($D710="","",IFERROR(INDEX(정비항목!$B$3:$B$52,MATCH($D710,정비항목!$A$3:$A$52,0)),"미등록항목"))</f>
        <v/>
      </c>
      <c r="F710" s="14"/>
      <c r="G710" s="14"/>
      <c r="H710" s="11"/>
    </row>
    <row r="711" customFormat="false" ht="15" hidden="false" customHeight="true" outlineLevel="0" collapsed="false">
      <c r="A711" s="15"/>
      <c r="B711" s="11"/>
      <c r="C711" s="18" t="str">
        <f aca="false">IF($B711="","",IFERROR(INDEX(차량목록!$B$3:$B$102,MATCH($B711,차량목록!$A$3:$A$102,0)),"미등록차량"))</f>
        <v/>
      </c>
      <c r="D711" s="11"/>
      <c r="E711" s="18" t="str">
        <f aca="false">IF($D711="","",IFERROR(INDEX(정비항목!$B$3:$B$52,MATCH($D711,정비항목!$A$3:$A$52,0)),"미등록항목"))</f>
        <v/>
      </c>
      <c r="F711" s="14"/>
      <c r="G711" s="14"/>
      <c r="H711" s="11"/>
    </row>
    <row r="712" customFormat="false" ht="15" hidden="false" customHeight="true" outlineLevel="0" collapsed="false">
      <c r="A712" s="15"/>
      <c r="B712" s="11"/>
      <c r="C712" s="18" t="str">
        <f aca="false">IF($B712="","",IFERROR(INDEX(차량목록!$B$3:$B$102,MATCH($B712,차량목록!$A$3:$A$102,0)),"미등록차량"))</f>
        <v/>
      </c>
      <c r="D712" s="11"/>
      <c r="E712" s="18" t="str">
        <f aca="false">IF($D712="","",IFERROR(INDEX(정비항목!$B$3:$B$52,MATCH($D712,정비항목!$A$3:$A$52,0)),"미등록항목"))</f>
        <v/>
      </c>
      <c r="F712" s="14"/>
      <c r="G712" s="14"/>
      <c r="H712" s="11"/>
    </row>
    <row r="713" customFormat="false" ht="15" hidden="false" customHeight="true" outlineLevel="0" collapsed="false">
      <c r="A713" s="15"/>
      <c r="B713" s="11"/>
      <c r="C713" s="18" t="str">
        <f aca="false">IF($B713="","",IFERROR(INDEX(차량목록!$B$3:$B$102,MATCH($B713,차량목록!$A$3:$A$102,0)),"미등록차량"))</f>
        <v/>
      </c>
      <c r="D713" s="11"/>
      <c r="E713" s="18" t="str">
        <f aca="false">IF($D713="","",IFERROR(INDEX(정비항목!$B$3:$B$52,MATCH($D713,정비항목!$A$3:$A$52,0)),"미등록항목"))</f>
        <v/>
      </c>
      <c r="F713" s="14"/>
      <c r="G713" s="14"/>
      <c r="H713" s="11"/>
    </row>
    <row r="714" customFormat="false" ht="15" hidden="false" customHeight="true" outlineLevel="0" collapsed="false">
      <c r="A714" s="15"/>
      <c r="B714" s="11"/>
      <c r="C714" s="18" t="str">
        <f aca="false">IF($B714="","",IFERROR(INDEX(차량목록!$B$3:$B$102,MATCH($B714,차량목록!$A$3:$A$102,0)),"미등록차량"))</f>
        <v/>
      </c>
      <c r="D714" s="11"/>
      <c r="E714" s="18" t="str">
        <f aca="false">IF($D714="","",IFERROR(INDEX(정비항목!$B$3:$B$52,MATCH($D714,정비항목!$A$3:$A$52,0)),"미등록항목"))</f>
        <v/>
      </c>
      <c r="F714" s="14"/>
      <c r="G714" s="14"/>
      <c r="H714" s="11"/>
    </row>
    <row r="715" customFormat="false" ht="15" hidden="false" customHeight="true" outlineLevel="0" collapsed="false">
      <c r="A715" s="15"/>
      <c r="B715" s="11"/>
      <c r="C715" s="18" t="str">
        <f aca="false">IF($B715="","",IFERROR(INDEX(차량목록!$B$3:$B$102,MATCH($B715,차량목록!$A$3:$A$102,0)),"미등록차량"))</f>
        <v/>
      </c>
      <c r="D715" s="11"/>
      <c r="E715" s="18" t="str">
        <f aca="false">IF($D715="","",IFERROR(INDEX(정비항목!$B$3:$B$52,MATCH($D715,정비항목!$A$3:$A$52,0)),"미등록항목"))</f>
        <v/>
      </c>
      <c r="F715" s="14"/>
      <c r="G715" s="14"/>
      <c r="H715" s="11"/>
    </row>
    <row r="716" customFormat="false" ht="15" hidden="false" customHeight="true" outlineLevel="0" collapsed="false">
      <c r="A716" s="15"/>
      <c r="B716" s="11"/>
      <c r="C716" s="18" t="str">
        <f aca="false">IF($B716="","",IFERROR(INDEX(차량목록!$B$3:$B$102,MATCH($B716,차량목록!$A$3:$A$102,0)),"미등록차량"))</f>
        <v/>
      </c>
      <c r="D716" s="11"/>
      <c r="E716" s="18" t="str">
        <f aca="false">IF($D716="","",IFERROR(INDEX(정비항목!$B$3:$B$52,MATCH($D716,정비항목!$A$3:$A$52,0)),"미등록항목"))</f>
        <v/>
      </c>
      <c r="F716" s="14"/>
      <c r="G716" s="14"/>
      <c r="H716" s="11"/>
    </row>
    <row r="717" customFormat="false" ht="15" hidden="false" customHeight="true" outlineLevel="0" collapsed="false">
      <c r="A717" s="15"/>
      <c r="B717" s="11"/>
      <c r="C717" s="18" t="str">
        <f aca="false">IF($B717="","",IFERROR(INDEX(차량목록!$B$3:$B$102,MATCH($B717,차량목록!$A$3:$A$102,0)),"미등록차량"))</f>
        <v/>
      </c>
      <c r="D717" s="11"/>
      <c r="E717" s="18" t="str">
        <f aca="false">IF($D717="","",IFERROR(INDEX(정비항목!$B$3:$B$52,MATCH($D717,정비항목!$A$3:$A$52,0)),"미등록항목"))</f>
        <v/>
      </c>
      <c r="F717" s="14"/>
      <c r="G717" s="14"/>
      <c r="H717" s="11"/>
    </row>
    <row r="718" customFormat="false" ht="15" hidden="false" customHeight="true" outlineLevel="0" collapsed="false">
      <c r="A718" s="15"/>
      <c r="B718" s="11"/>
      <c r="C718" s="18" t="str">
        <f aca="false">IF($B718="","",IFERROR(INDEX(차량목록!$B$3:$B$102,MATCH($B718,차량목록!$A$3:$A$102,0)),"미등록차량"))</f>
        <v/>
      </c>
      <c r="D718" s="11"/>
      <c r="E718" s="18" t="str">
        <f aca="false">IF($D718="","",IFERROR(INDEX(정비항목!$B$3:$B$52,MATCH($D718,정비항목!$A$3:$A$52,0)),"미등록항목"))</f>
        <v/>
      </c>
      <c r="F718" s="14"/>
      <c r="G718" s="14"/>
      <c r="H718" s="11"/>
    </row>
    <row r="719" customFormat="false" ht="15" hidden="false" customHeight="true" outlineLevel="0" collapsed="false">
      <c r="A719" s="15"/>
      <c r="B719" s="11"/>
      <c r="C719" s="18" t="str">
        <f aca="false">IF($B719="","",IFERROR(INDEX(차량목록!$B$3:$B$102,MATCH($B719,차량목록!$A$3:$A$102,0)),"미등록차량"))</f>
        <v/>
      </c>
      <c r="D719" s="11"/>
      <c r="E719" s="18" t="str">
        <f aca="false">IF($D719="","",IFERROR(INDEX(정비항목!$B$3:$B$52,MATCH($D719,정비항목!$A$3:$A$52,0)),"미등록항목"))</f>
        <v/>
      </c>
      <c r="F719" s="14"/>
      <c r="G719" s="14"/>
      <c r="H719" s="11"/>
    </row>
    <row r="720" customFormat="false" ht="15" hidden="false" customHeight="true" outlineLevel="0" collapsed="false">
      <c r="A720" s="15"/>
      <c r="B720" s="11"/>
      <c r="C720" s="18" t="str">
        <f aca="false">IF($B720="","",IFERROR(INDEX(차량목록!$B$3:$B$102,MATCH($B720,차량목록!$A$3:$A$102,0)),"미등록차량"))</f>
        <v/>
      </c>
      <c r="D720" s="11"/>
      <c r="E720" s="18" t="str">
        <f aca="false">IF($D720="","",IFERROR(INDEX(정비항목!$B$3:$B$52,MATCH($D720,정비항목!$A$3:$A$52,0)),"미등록항목"))</f>
        <v/>
      </c>
      <c r="F720" s="14"/>
      <c r="G720" s="14"/>
      <c r="H720" s="11"/>
    </row>
    <row r="721" customFormat="false" ht="15" hidden="false" customHeight="true" outlineLevel="0" collapsed="false">
      <c r="A721" s="15"/>
      <c r="B721" s="11"/>
      <c r="C721" s="18" t="str">
        <f aca="false">IF($B721="","",IFERROR(INDEX(차량목록!$B$3:$B$102,MATCH($B721,차량목록!$A$3:$A$102,0)),"미등록차량"))</f>
        <v/>
      </c>
      <c r="D721" s="11"/>
      <c r="E721" s="18" t="str">
        <f aca="false">IF($D721="","",IFERROR(INDEX(정비항목!$B$3:$B$52,MATCH($D721,정비항목!$A$3:$A$52,0)),"미등록항목"))</f>
        <v/>
      </c>
      <c r="F721" s="14"/>
      <c r="G721" s="14"/>
      <c r="H721" s="11"/>
    </row>
    <row r="722" customFormat="false" ht="15" hidden="false" customHeight="true" outlineLevel="0" collapsed="false">
      <c r="A722" s="15"/>
      <c r="B722" s="11"/>
      <c r="C722" s="18" t="str">
        <f aca="false">IF($B722="","",IFERROR(INDEX(차량목록!$B$3:$B$102,MATCH($B722,차량목록!$A$3:$A$102,0)),"미등록차량"))</f>
        <v/>
      </c>
      <c r="D722" s="11"/>
      <c r="E722" s="18" t="str">
        <f aca="false">IF($D722="","",IFERROR(INDEX(정비항목!$B$3:$B$52,MATCH($D722,정비항목!$A$3:$A$52,0)),"미등록항목"))</f>
        <v/>
      </c>
      <c r="F722" s="14"/>
      <c r="G722" s="14"/>
      <c r="H722" s="11"/>
    </row>
    <row r="723" customFormat="false" ht="15" hidden="false" customHeight="true" outlineLevel="0" collapsed="false">
      <c r="A723" s="15"/>
      <c r="B723" s="11"/>
      <c r="C723" s="18" t="str">
        <f aca="false">IF($B723="","",IFERROR(INDEX(차량목록!$B$3:$B$102,MATCH($B723,차량목록!$A$3:$A$102,0)),"미등록차량"))</f>
        <v/>
      </c>
      <c r="D723" s="11"/>
      <c r="E723" s="18" t="str">
        <f aca="false">IF($D723="","",IFERROR(INDEX(정비항목!$B$3:$B$52,MATCH($D723,정비항목!$A$3:$A$52,0)),"미등록항목"))</f>
        <v/>
      </c>
      <c r="F723" s="14"/>
      <c r="G723" s="14"/>
      <c r="H723" s="11"/>
    </row>
    <row r="724" customFormat="false" ht="15" hidden="false" customHeight="true" outlineLevel="0" collapsed="false">
      <c r="A724" s="15"/>
      <c r="B724" s="11"/>
      <c r="C724" s="18" t="str">
        <f aca="false">IF($B724="","",IFERROR(INDEX(차량목록!$B$3:$B$102,MATCH($B724,차량목록!$A$3:$A$102,0)),"미등록차량"))</f>
        <v/>
      </c>
      <c r="D724" s="11"/>
      <c r="E724" s="18" t="str">
        <f aca="false">IF($D724="","",IFERROR(INDEX(정비항목!$B$3:$B$52,MATCH($D724,정비항목!$A$3:$A$52,0)),"미등록항목"))</f>
        <v/>
      </c>
      <c r="F724" s="14"/>
      <c r="G724" s="14"/>
      <c r="H724" s="11"/>
    </row>
    <row r="725" customFormat="false" ht="15" hidden="false" customHeight="true" outlineLevel="0" collapsed="false">
      <c r="A725" s="15"/>
      <c r="B725" s="11"/>
      <c r="C725" s="18" t="str">
        <f aca="false">IF($B725="","",IFERROR(INDEX(차량목록!$B$3:$B$102,MATCH($B725,차량목록!$A$3:$A$102,0)),"미등록차량"))</f>
        <v/>
      </c>
      <c r="D725" s="11"/>
      <c r="E725" s="18" t="str">
        <f aca="false">IF($D725="","",IFERROR(INDEX(정비항목!$B$3:$B$52,MATCH($D725,정비항목!$A$3:$A$52,0)),"미등록항목"))</f>
        <v/>
      </c>
      <c r="F725" s="14"/>
      <c r="G725" s="14"/>
      <c r="H725" s="11"/>
    </row>
    <row r="726" customFormat="false" ht="15" hidden="false" customHeight="true" outlineLevel="0" collapsed="false">
      <c r="A726" s="15"/>
      <c r="B726" s="11"/>
      <c r="C726" s="18" t="str">
        <f aca="false">IF($B726="","",IFERROR(INDEX(차량목록!$B$3:$B$102,MATCH($B726,차량목록!$A$3:$A$102,0)),"미등록차량"))</f>
        <v/>
      </c>
      <c r="D726" s="11"/>
      <c r="E726" s="18" t="str">
        <f aca="false">IF($D726="","",IFERROR(INDEX(정비항목!$B$3:$B$52,MATCH($D726,정비항목!$A$3:$A$52,0)),"미등록항목"))</f>
        <v/>
      </c>
      <c r="F726" s="14"/>
      <c r="G726" s="14"/>
      <c r="H726" s="11"/>
    </row>
    <row r="727" customFormat="false" ht="15" hidden="false" customHeight="true" outlineLevel="0" collapsed="false">
      <c r="A727" s="15"/>
      <c r="B727" s="11"/>
      <c r="C727" s="18" t="str">
        <f aca="false">IF($B727="","",IFERROR(INDEX(차량목록!$B$3:$B$102,MATCH($B727,차량목록!$A$3:$A$102,0)),"미등록차량"))</f>
        <v/>
      </c>
      <c r="D727" s="11"/>
      <c r="E727" s="18" t="str">
        <f aca="false">IF($D727="","",IFERROR(INDEX(정비항목!$B$3:$B$52,MATCH($D727,정비항목!$A$3:$A$52,0)),"미등록항목"))</f>
        <v/>
      </c>
      <c r="F727" s="14"/>
      <c r="G727" s="14"/>
      <c r="H727" s="11"/>
    </row>
    <row r="728" customFormat="false" ht="15" hidden="false" customHeight="true" outlineLevel="0" collapsed="false">
      <c r="A728" s="15"/>
      <c r="B728" s="11"/>
      <c r="C728" s="18" t="str">
        <f aca="false">IF($B728="","",IFERROR(INDEX(차량목록!$B$3:$B$102,MATCH($B728,차량목록!$A$3:$A$102,0)),"미등록차량"))</f>
        <v/>
      </c>
      <c r="D728" s="11"/>
      <c r="E728" s="18" t="str">
        <f aca="false">IF($D728="","",IFERROR(INDEX(정비항목!$B$3:$B$52,MATCH($D728,정비항목!$A$3:$A$52,0)),"미등록항목"))</f>
        <v/>
      </c>
      <c r="F728" s="14"/>
      <c r="G728" s="14"/>
      <c r="H728" s="11"/>
    </row>
    <row r="729" customFormat="false" ht="15" hidden="false" customHeight="true" outlineLevel="0" collapsed="false">
      <c r="A729" s="15"/>
      <c r="B729" s="11"/>
      <c r="C729" s="18" t="str">
        <f aca="false">IF($B729="","",IFERROR(INDEX(차량목록!$B$3:$B$102,MATCH($B729,차량목록!$A$3:$A$102,0)),"미등록차량"))</f>
        <v/>
      </c>
      <c r="D729" s="11"/>
      <c r="E729" s="18" t="str">
        <f aca="false">IF($D729="","",IFERROR(INDEX(정비항목!$B$3:$B$52,MATCH($D729,정비항목!$A$3:$A$52,0)),"미등록항목"))</f>
        <v/>
      </c>
      <c r="F729" s="14"/>
      <c r="G729" s="14"/>
      <c r="H729" s="11"/>
    </row>
    <row r="730" customFormat="false" ht="15" hidden="false" customHeight="true" outlineLevel="0" collapsed="false">
      <c r="A730" s="15"/>
      <c r="B730" s="11"/>
      <c r="C730" s="18" t="str">
        <f aca="false">IF($B730="","",IFERROR(INDEX(차량목록!$B$3:$B$102,MATCH($B730,차량목록!$A$3:$A$102,0)),"미등록차량"))</f>
        <v/>
      </c>
      <c r="D730" s="11"/>
      <c r="E730" s="18" t="str">
        <f aca="false">IF($D730="","",IFERROR(INDEX(정비항목!$B$3:$B$52,MATCH($D730,정비항목!$A$3:$A$52,0)),"미등록항목"))</f>
        <v/>
      </c>
      <c r="F730" s="14"/>
      <c r="G730" s="14"/>
      <c r="H730" s="11"/>
    </row>
    <row r="731" customFormat="false" ht="15" hidden="false" customHeight="true" outlineLevel="0" collapsed="false">
      <c r="A731" s="15"/>
      <c r="B731" s="11"/>
      <c r="C731" s="18" t="str">
        <f aca="false">IF($B731="","",IFERROR(INDEX(차량목록!$B$3:$B$102,MATCH($B731,차량목록!$A$3:$A$102,0)),"미등록차량"))</f>
        <v/>
      </c>
      <c r="D731" s="11"/>
      <c r="E731" s="18" t="str">
        <f aca="false">IF($D731="","",IFERROR(INDEX(정비항목!$B$3:$B$52,MATCH($D731,정비항목!$A$3:$A$52,0)),"미등록항목"))</f>
        <v/>
      </c>
      <c r="F731" s="14"/>
      <c r="G731" s="14"/>
      <c r="H731" s="11"/>
    </row>
    <row r="732" customFormat="false" ht="15" hidden="false" customHeight="true" outlineLevel="0" collapsed="false">
      <c r="A732" s="15"/>
      <c r="B732" s="11"/>
      <c r="C732" s="18" t="str">
        <f aca="false">IF($B732="","",IFERROR(INDEX(차량목록!$B$3:$B$102,MATCH($B732,차량목록!$A$3:$A$102,0)),"미등록차량"))</f>
        <v/>
      </c>
      <c r="D732" s="11"/>
      <c r="E732" s="18" t="str">
        <f aca="false">IF($D732="","",IFERROR(INDEX(정비항목!$B$3:$B$52,MATCH($D732,정비항목!$A$3:$A$52,0)),"미등록항목"))</f>
        <v/>
      </c>
      <c r="F732" s="14"/>
      <c r="G732" s="14"/>
      <c r="H732" s="11"/>
    </row>
    <row r="733" customFormat="false" ht="15" hidden="false" customHeight="true" outlineLevel="0" collapsed="false">
      <c r="A733" s="15"/>
      <c r="B733" s="11"/>
      <c r="C733" s="18" t="str">
        <f aca="false">IF($B733="","",IFERROR(INDEX(차량목록!$B$3:$B$102,MATCH($B733,차량목록!$A$3:$A$102,0)),"미등록차량"))</f>
        <v/>
      </c>
      <c r="D733" s="11"/>
      <c r="E733" s="18" t="str">
        <f aca="false">IF($D733="","",IFERROR(INDEX(정비항목!$B$3:$B$52,MATCH($D733,정비항목!$A$3:$A$52,0)),"미등록항목"))</f>
        <v/>
      </c>
      <c r="F733" s="14"/>
      <c r="G733" s="14"/>
      <c r="H733" s="11"/>
    </row>
    <row r="734" customFormat="false" ht="15" hidden="false" customHeight="true" outlineLevel="0" collapsed="false">
      <c r="A734" s="15"/>
      <c r="B734" s="11"/>
      <c r="C734" s="18" t="str">
        <f aca="false">IF($B734="","",IFERROR(INDEX(차량목록!$B$3:$B$102,MATCH($B734,차량목록!$A$3:$A$102,0)),"미등록차량"))</f>
        <v/>
      </c>
      <c r="D734" s="11"/>
      <c r="E734" s="18" t="str">
        <f aca="false">IF($D734="","",IFERROR(INDEX(정비항목!$B$3:$B$52,MATCH($D734,정비항목!$A$3:$A$52,0)),"미등록항목"))</f>
        <v/>
      </c>
      <c r="F734" s="14"/>
      <c r="G734" s="14"/>
      <c r="H734" s="11"/>
    </row>
    <row r="735" customFormat="false" ht="15" hidden="false" customHeight="true" outlineLevel="0" collapsed="false">
      <c r="A735" s="15"/>
      <c r="B735" s="11"/>
      <c r="C735" s="18" t="str">
        <f aca="false">IF($B735="","",IFERROR(INDEX(차량목록!$B$3:$B$102,MATCH($B735,차량목록!$A$3:$A$102,0)),"미등록차량"))</f>
        <v/>
      </c>
      <c r="D735" s="11"/>
      <c r="E735" s="18" t="str">
        <f aca="false">IF($D735="","",IFERROR(INDEX(정비항목!$B$3:$B$52,MATCH($D735,정비항목!$A$3:$A$52,0)),"미등록항목"))</f>
        <v/>
      </c>
      <c r="F735" s="14"/>
      <c r="G735" s="14"/>
      <c r="H735" s="11"/>
    </row>
    <row r="736" customFormat="false" ht="15" hidden="false" customHeight="true" outlineLevel="0" collapsed="false">
      <c r="A736" s="15"/>
      <c r="B736" s="11"/>
      <c r="C736" s="18" t="str">
        <f aca="false">IF($B736="","",IFERROR(INDEX(차량목록!$B$3:$B$102,MATCH($B736,차량목록!$A$3:$A$102,0)),"미등록차량"))</f>
        <v/>
      </c>
      <c r="D736" s="11"/>
      <c r="E736" s="18" t="str">
        <f aca="false">IF($D736="","",IFERROR(INDEX(정비항목!$B$3:$B$52,MATCH($D736,정비항목!$A$3:$A$52,0)),"미등록항목"))</f>
        <v/>
      </c>
      <c r="F736" s="14"/>
      <c r="G736" s="14"/>
      <c r="H736" s="11"/>
    </row>
    <row r="737" customFormat="false" ht="15" hidden="false" customHeight="true" outlineLevel="0" collapsed="false">
      <c r="A737" s="15"/>
      <c r="B737" s="11"/>
      <c r="C737" s="18" t="str">
        <f aca="false">IF($B737="","",IFERROR(INDEX(차량목록!$B$3:$B$102,MATCH($B737,차량목록!$A$3:$A$102,0)),"미등록차량"))</f>
        <v/>
      </c>
      <c r="D737" s="11"/>
      <c r="E737" s="18" t="str">
        <f aca="false">IF($D737="","",IFERROR(INDEX(정비항목!$B$3:$B$52,MATCH($D737,정비항목!$A$3:$A$52,0)),"미등록항목"))</f>
        <v/>
      </c>
      <c r="F737" s="14"/>
      <c r="G737" s="14"/>
      <c r="H737" s="11"/>
    </row>
    <row r="738" customFormat="false" ht="15" hidden="false" customHeight="true" outlineLevel="0" collapsed="false">
      <c r="A738" s="15"/>
      <c r="B738" s="11"/>
      <c r="C738" s="18" t="str">
        <f aca="false">IF($B738="","",IFERROR(INDEX(차량목록!$B$3:$B$102,MATCH($B738,차량목록!$A$3:$A$102,0)),"미등록차량"))</f>
        <v/>
      </c>
      <c r="D738" s="11"/>
      <c r="E738" s="18" t="str">
        <f aca="false">IF($D738="","",IFERROR(INDEX(정비항목!$B$3:$B$52,MATCH($D738,정비항목!$A$3:$A$52,0)),"미등록항목"))</f>
        <v/>
      </c>
      <c r="F738" s="14"/>
      <c r="G738" s="14"/>
      <c r="H738" s="11"/>
    </row>
    <row r="739" customFormat="false" ht="15" hidden="false" customHeight="true" outlineLevel="0" collapsed="false">
      <c r="A739" s="15"/>
      <c r="B739" s="11"/>
      <c r="C739" s="18" t="str">
        <f aca="false">IF($B739="","",IFERROR(INDEX(차량목록!$B$3:$B$102,MATCH($B739,차량목록!$A$3:$A$102,0)),"미등록차량"))</f>
        <v/>
      </c>
      <c r="D739" s="11"/>
      <c r="E739" s="18" t="str">
        <f aca="false">IF($D739="","",IFERROR(INDEX(정비항목!$B$3:$B$52,MATCH($D739,정비항목!$A$3:$A$52,0)),"미등록항목"))</f>
        <v/>
      </c>
      <c r="F739" s="14"/>
      <c r="G739" s="14"/>
      <c r="H739" s="11"/>
    </row>
    <row r="740" customFormat="false" ht="15" hidden="false" customHeight="true" outlineLevel="0" collapsed="false">
      <c r="A740" s="15"/>
      <c r="B740" s="11"/>
      <c r="C740" s="18" t="str">
        <f aca="false">IF($B740="","",IFERROR(INDEX(차량목록!$B$3:$B$102,MATCH($B740,차량목록!$A$3:$A$102,0)),"미등록차량"))</f>
        <v/>
      </c>
      <c r="D740" s="11"/>
      <c r="E740" s="18" t="str">
        <f aca="false">IF($D740="","",IFERROR(INDEX(정비항목!$B$3:$B$52,MATCH($D740,정비항목!$A$3:$A$52,0)),"미등록항목"))</f>
        <v/>
      </c>
      <c r="F740" s="14"/>
      <c r="G740" s="14"/>
      <c r="H740" s="11"/>
    </row>
    <row r="741" customFormat="false" ht="15" hidden="false" customHeight="true" outlineLevel="0" collapsed="false">
      <c r="A741" s="15"/>
      <c r="B741" s="11"/>
      <c r="C741" s="18" t="str">
        <f aca="false">IF($B741="","",IFERROR(INDEX(차량목록!$B$3:$B$102,MATCH($B741,차량목록!$A$3:$A$102,0)),"미등록차량"))</f>
        <v/>
      </c>
      <c r="D741" s="11"/>
      <c r="E741" s="18" t="str">
        <f aca="false">IF($D741="","",IFERROR(INDEX(정비항목!$B$3:$B$52,MATCH($D741,정비항목!$A$3:$A$52,0)),"미등록항목"))</f>
        <v/>
      </c>
      <c r="F741" s="14"/>
      <c r="G741" s="14"/>
      <c r="H741" s="11"/>
    </row>
    <row r="742" customFormat="false" ht="15" hidden="false" customHeight="true" outlineLevel="0" collapsed="false">
      <c r="A742" s="15"/>
      <c r="B742" s="11"/>
      <c r="C742" s="18" t="str">
        <f aca="false">IF($B742="","",IFERROR(INDEX(차량목록!$B$3:$B$102,MATCH($B742,차량목록!$A$3:$A$102,0)),"미등록차량"))</f>
        <v/>
      </c>
      <c r="D742" s="11"/>
      <c r="E742" s="18" t="str">
        <f aca="false">IF($D742="","",IFERROR(INDEX(정비항목!$B$3:$B$52,MATCH($D742,정비항목!$A$3:$A$52,0)),"미등록항목"))</f>
        <v/>
      </c>
      <c r="F742" s="14"/>
      <c r="G742" s="14"/>
      <c r="H742" s="11"/>
    </row>
    <row r="743" customFormat="false" ht="15" hidden="false" customHeight="true" outlineLevel="0" collapsed="false">
      <c r="A743" s="15"/>
      <c r="B743" s="11"/>
      <c r="C743" s="18" t="str">
        <f aca="false">IF($B743="","",IFERROR(INDEX(차량목록!$B$3:$B$102,MATCH($B743,차량목록!$A$3:$A$102,0)),"미등록차량"))</f>
        <v/>
      </c>
      <c r="D743" s="11"/>
      <c r="E743" s="18" t="str">
        <f aca="false">IF($D743="","",IFERROR(INDEX(정비항목!$B$3:$B$52,MATCH($D743,정비항목!$A$3:$A$52,0)),"미등록항목"))</f>
        <v/>
      </c>
      <c r="F743" s="14"/>
      <c r="G743" s="14"/>
      <c r="H743" s="11"/>
    </row>
    <row r="744" customFormat="false" ht="15" hidden="false" customHeight="true" outlineLevel="0" collapsed="false">
      <c r="A744" s="15"/>
      <c r="B744" s="11"/>
      <c r="C744" s="18" t="str">
        <f aca="false">IF($B744="","",IFERROR(INDEX(차량목록!$B$3:$B$102,MATCH($B744,차량목록!$A$3:$A$102,0)),"미등록차량"))</f>
        <v/>
      </c>
      <c r="D744" s="11"/>
      <c r="E744" s="18" t="str">
        <f aca="false">IF($D744="","",IFERROR(INDEX(정비항목!$B$3:$B$52,MATCH($D744,정비항목!$A$3:$A$52,0)),"미등록항목"))</f>
        <v/>
      </c>
      <c r="F744" s="14"/>
      <c r="G744" s="14"/>
      <c r="H744" s="11"/>
    </row>
    <row r="745" customFormat="false" ht="15" hidden="false" customHeight="true" outlineLevel="0" collapsed="false">
      <c r="A745" s="15"/>
      <c r="B745" s="11"/>
      <c r="C745" s="18" t="str">
        <f aca="false">IF($B745="","",IFERROR(INDEX(차량목록!$B$3:$B$102,MATCH($B745,차량목록!$A$3:$A$102,0)),"미등록차량"))</f>
        <v/>
      </c>
      <c r="D745" s="11"/>
      <c r="E745" s="18" t="str">
        <f aca="false">IF($D745="","",IFERROR(INDEX(정비항목!$B$3:$B$52,MATCH($D745,정비항목!$A$3:$A$52,0)),"미등록항목"))</f>
        <v/>
      </c>
      <c r="F745" s="14"/>
      <c r="G745" s="14"/>
      <c r="H745" s="11"/>
    </row>
    <row r="746" customFormat="false" ht="15" hidden="false" customHeight="true" outlineLevel="0" collapsed="false">
      <c r="A746" s="15"/>
      <c r="B746" s="11"/>
      <c r="C746" s="18" t="str">
        <f aca="false">IF($B746="","",IFERROR(INDEX(차량목록!$B$3:$B$102,MATCH($B746,차량목록!$A$3:$A$102,0)),"미등록차량"))</f>
        <v/>
      </c>
      <c r="D746" s="11"/>
      <c r="E746" s="18" t="str">
        <f aca="false">IF($D746="","",IFERROR(INDEX(정비항목!$B$3:$B$52,MATCH($D746,정비항목!$A$3:$A$52,0)),"미등록항목"))</f>
        <v/>
      </c>
      <c r="F746" s="14"/>
      <c r="G746" s="14"/>
      <c r="H746" s="11"/>
    </row>
    <row r="747" customFormat="false" ht="15" hidden="false" customHeight="true" outlineLevel="0" collapsed="false">
      <c r="A747" s="15"/>
      <c r="B747" s="11"/>
      <c r="C747" s="18" t="str">
        <f aca="false">IF($B747="","",IFERROR(INDEX(차량목록!$B$3:$B$102,MATCH($B747,차량목록!$A$3:$A$102,0)),"미등록차량"))</f>
        <v/>
      </c>
      <c r="D747" s="11"/>
      <c r="E747" s="18" t="str">
        <f aca="false">IF($D747="","",IFERROR(INDEX(정비항목!$B$3:$B$52,MATCH($D747,정비항목!$A$3:$A$52,0)),"미등록항목"))</f>
        <v/>
      </c>
      <c r="F747" s="14"/>
      <c r="G747" s="14"/>
      <c r="H747" s="11"/>
    </row>
    <row r="748" customFormat="false" ht="15" hidden="false" customHeight="true" outlineLevel="0" collapsed="false">
      <c r="A748" s="15"/>
      <c r="B748" s="11"/>
      <c r="C748" s="18" t="str">
        <f aca="false">IF($B748="","",IFERROR(INDEX(차량목록!$B$3:$B$102,MATCH($B748,차량목록!$A$3:$A$102,0)),"미등록차량"))</f>
        <v/>
      </c>
      <c r="D748" s="11"/>
      <c r="E748" s="18" t="str">
        <f aca="false">IF($D748="","",IFERROR(INDEX(정비항목!$B$3:$B$52,MATCH($D748,정비항목!$A$3:$A$52,0)),"미등록항목"))</f>
        <v/>
      </c>
      <c r="F748" s="14"/>
      <c r="G748" s="14"/>
      <c r="H748" s="11"/>
    </row>
    <row r="749" customFormat="false" ht="15" hidden="false" customHeight="true" outlineLevel="0" collapsed="false">
      <c r="A749" s="15"/>
      <c r="B749" s="11"/>
      <c r="C749" s="18" t="str">
        <f aca="false">IF($B749="","",IFERROR(INDEX(차량목록!$B$3:$B$102,MATCH($B749,차량목록!$A$3:$A$102,0)),"미등록차량"))</f>
        <v/>
      </c>
      <c r="D749" s="11"/>
      <c r="E749" s="18" t="str">
        <f aca="false">IF($D749="","",IFERROR(INDEX(정비항목!$B$3:$B$52,MATCH($D749,정비항목!$A$3:$A$52,0)),"미등록항목"))</f>
        <v/>
      </c>
      <c r="F749" s="14"/>
      <c r="G749" s="14"/>
      <c r="H749" s="11"/>
    </row>
    <row r="750" customFormat="false" ht="15" hidden="false" customHeight="true" outlineLevel="0" collapsed="false">
      <c r="A750" s="15"/>
      <c r="B750" s="11"/>
      <c r="C750" s="18" t="str">
        <f aca="false">IF($B750="","",IFERROR(INDEX(차량목록!$B$3:$B$102,MATCH($B750,차량목록!$A$3:$A$102,0)),"미등록차량"))</f>
        <v/>
      </c>
      <c r="D750" s="11"/>
      <c r="E750" s="18" t="str">
        <f aca="false">IF($D750="","",IFERROR(INDEX(정비항목!$B$3:$B$52,MATCH($D750,정비항목!$A$3:$A$52,0)),"미등록항목"))</f>
        <v/>
      </c>
      <c r="F750" s="14"/>
      <c r="G750" s="14"/>
      <c r="H750" s="11"/>
    </row>
    <row r="751" customFormat="false" ht="15" hidden="false" customHeight="true" outlineLevel="0" collapsed="false">
      <c r="A751" s="15"/>
      <c r="B751" s="11"/>
      <c r="C751" s="18" t="str">
        <f aca="false">IF($B751="","",IFERROR(INDEX(차량목록!$B$3:$B$102,MATCH($B751,차량목록!$A$3:$A$102,0)),"미등록차량"))</f>
        <v/>
      </c>
      <c r="D751" s="11"/>
      <c r="E751" s="18" t="str">
        <f aca="false">IF($D751="","",IFERROR(INDEX(정비항목!$B$3:$B$52,MATCH($D751,정비항목!$A$3:$A$52,0)),"미등록항목"))</f>
        <v/>
      </c>
      <c r="F751" s="14"/>
      <c r="G751" s="14"/>
      <c r="H751" s="11"/>
    </row>
    <row r="752" customFormat="false" ht="15" hidden="false" customHeight="true" outlineLevel="0" collapsed="false">
      <c r="A752" s="15"/>
      <c r="B752" s="11"/>
      <c r="C752" s="18" t="str">
        <f aca="false">IF($B752="","",IFERROR(INDEX(차량목록!$B$3:$B$102,MATCH($B752,차량목록!$A$3:$A$102,0)),"미등록차량"))</f>
        <v/>
      </c>
      <c r="D752" s="11"/>
      <c r="E752" s="18" t="str">
        <f aca="false">IF($D752="","",IFERROR(INDEX(정비항목!$B$3:$B$52,MATCH($D752,정비항목!$A$3:$A$52,0)),"미등록항목"))</f>
        <v/>
      </c>
      <c r="F752" s="14"/>
      <c r="G752" s="14"/>
      <c r="H752" s="11"/>
    </row>
    <row r="753" customFormat="false" ht="15" hidden="false" customHeight="true" outlineLevel="0" collapsed="false">
      <c r="A753" s="15"/>
      <c r="B753" s="11"/>
      <c r="C753" s="18" t="str">
        <f aca="false">IF($B753="","",IFERROR(INDEX(차량목록!$B$3:$B$102,MATCH($B753,차량목록!$A$3:$A$102,0)),"미등록차량"))</f>
        <v/>
      </c>
      <c r="D753" s="11"/>
      <c r="E753" s="18" t="str">
        <f aca="false">IF($D753="","",IFERROR(INDEX(정비항목!$B$3:$B$52,MATCH($D753,정비항목!$A$3:$A$52,0)),"미등록항목"))</f>
        <v/>
      </c>
      <c r="F753" s="14"/>
      <c r="G753" s="14"/>
      <c r="H753" s="11"/>
    </row>
    <row r="754" customFormat="false" ht="15" hidden="false" customHeight="true" outlineLevel="0" collapsed="false">
      <c r="A754" s="15"/>
      <c r="B754" s="11"/>
      <c r="C754" s="18" t="str">
        <f aca="false">IF($B754="","",IFERROR(INDEX(차량목록!$B$3:$B$102,MATCH($B754,차량목록!$A$3:$A$102,0)),"미등록차량"))</f>
        <v/>
      </c>
      <c r="D754" s="11"/>
      <c r="E754" s="18" t="str">
        <f aca="false">IF($D754="","",IFERROR(INDEX(정비항목!$B$3:$B$52,MATCH($D754,정비항목!$A$3:$A$52,0)),"미등록항목"))</f>
        <v/>
      </c>
      <c r="F754" s="14"/>
      <c r="G754" s="14"/>
      <c r="H754" s="11"/>
    </row>
    <row r="755" customFormat="false" ht="15" hidden="false" customHeight="true" outlineLevel="0" collapsed="false">
      <c r="A755" s="15"/>
      <c r="B755" s="11"/>
      <c r="C755" s="18" t="str">
        <f aca="false">IF($B755="","",IFERROR(INDEX(차량목록!$B$3:$B$102,MATCH($B755,차량목록!$A$3:$A$102,0)),"미등록차량"))</f>
        <v/>
      </c>
      <c r="D755" s="11"/>
      <c r="E755" s="18" t="str">
        <f aca="false">IF($D755="","",IFERROR(INDEX(정비항목!$B$3:$B$52,MATCH($D755,정비항목!$A$3:$A$52,0)),"미등록항목"))</f>
        <v/>
      </c>
      <c r="F755" s="14"/>
      <c r="G755" s="14"/>
      <c r="H755" s="11"/>
    </row>
    <row r="756" customFormat="false" ht="15" hidden="false" customHeight="true" outlineLevel="0" collapsed="false">
      <c r="A756" s="15"/>
      <c r="B756" s="11"/>
      <c r="C756" s="18" t="str">
        <f aca="false">IF($B756="","",IFERROR(INDEX(차량목록!$B$3:$B$102,MATCH($B756,차량목록!$A$3:$A$102,0)),"미등록차량"))</f>
        <v/>
      </c>
      <c r="D756" s="11"/>
      <c r="E756" s="18" t="str">
        <f aca="false">IF($D756="","",IFERROR(INDEX(정비항목!$B$3:$B$52,MATCH($D756,정비항목!$A$3:$A$52,0)),"미등록항목"))</f>
        <v/>
      </c>
      <c r="F756" s="14"/>
      <c r="G756" s="14"/>
      <c r="H756" s="11"/>
    </row>
    <row r="757" customFormat="false" ht="15" hidden="false" customHeight="true" outlineLevel="0" collapsed="false">
      <c r="A757" s="15"/>
      <c r="B757" s="11"/>
      <c r="C757" s="18" t="str">
        <f aca="false">IF($B757="","",IFERROR(INDEX(차량목록!$B$3:$B$102,MATCH($B757,차량목록!$A$3:$A$102,0)),"미등록차량"))</f>
        <v/>
      </c>
      <c r="D757" s="11"/>
      <c r="E757" s="18" t="str">
        <f aca="false">IF($D757="","",IFERROR(INDEX(정비항목!$B$3:$B$52,MATCH($D757,정비항목!$A$3:$A$52,0)),"미등록항목"))</f>
        <v/>
      </c>
      <c r="F757" s="14"/>
      <c r="G757" s="14"/>
      <c r="H757" s="11"/>
    </row>
    <row r="758" customFormat="false" ht="15" hidden="false" customHeight="true" outlineLevel="0" collapsed="false">
      <c r="A758" s="15"/>
      <c r="B758" s="11"/>
      <c r="C758" s="18" t="str">
        <f aca="false">IF($B758="","",IFERROR(INDEX(차량목록!$B$3:$B$102,MATCH($B758,차량목록!$A$3:$A$102,0)),"미등록차량"))</f>
        <v/>
      </c>
      <c r="D758" s="11"/>
      <c r="E758" s="18" t="str">
        <f aca="false">IF($D758="","",IFERROR(INDEX(정비항목!$B$3:$B$52,MATCH($D758,정비항목!$A$3:$A$52,0)),"미등록항목"))</f>
        <v/>
      </c>
      <c r="F758" s="14"/>
      <c r="G758" s="14"/>
      <c r="H758" s="11"/>
    </row>
    <row r="759" customFormat="false" ht="15" hidden="false" customHeight="true" outlineLevel="0" collapsed="false">
      <c r="A759" s="15"/>
      <c r="B759" s="11"/>
      <c r="C759" s="18" t="str">
        <f aca="false">IF($B759="","",IFERROR(INDEX(차량목록!$B$3:$B$102,MATCH($B759,차량목록!$A$3:$A$102,0)),"미등록차량"))</f>
        <v/>
      </c>
      <c r="D759" s="11"/>
      <c r="E759" s="18" t="str">
        <f aca="false">IF($D759="","",IFERROR(INDEX(정비항목!$B$3:$B$52,MATCH($D759,정비항목!$A$3:$A$52,0)),"미등록항목"))</f>
        <v/>
      </c>
      <c r="F759" s="14"/>
      <c r="G759" s="14"/>
      <c r="H759" s="11"/>
    </row>
    <row r="760" customFormat="false" ht="15" hidden="false" customHeight="true" outlineLevel="0" collapsed="false">
      <c r="A760" s="15"/>
      <c r="B760" s="11"/>
      <c r="C760" s="18" t="str">
        <f aca="false">IF($B760="","",IFERROR(INDEX(차량목록!$B$3:$B$102,MATCH($B760,차량목록!$A$3:$A$102,0)),"미등록차량"))</f>
        <v/>
      </c>
      <c r="D760" s="11"/>
      <c r="E760" s="18" t="str">
        <f aca="false">IF($D760="","",IFERROR(INDEX(정비항목!$B$3:$B$52,MATCH($D760,정비항목!$A$3:$A$52,0)),"미등록항목"))</f>
        <v/>
      </c>
      <c r="F760" s="14"/>
      <c r="G760" s="14"/>
      <c r="H760" s="11"/>
    </row>
    <row r="761" customFormat="false" ht="15" hidden="false" customHeight="true" outlineLevel="0" collapsed="false">
      <c r="A761" s="15"/>
      <c r="B761" s="11"/>
      <c r="C761" s="18" t="str">
        <f aca="false">IF($B761="","",IFERROR(INDEX(차량목록!$B$3:$B$102,MATCH($B761,차량목록!$A$3:$A$102,0)),"미등록차량"))</f>
        <v/>
      </c>
      <c r="D761" s="11"/>
      <c r="E761" s="18" t="str">
        <f aca="false">IF($D761="","",IFERROR(INDEX(정비항목!$B$3:$B$52,MATCH($D761,정비항목!$A$3:$A$52,0)),"미등록항목"))</f>
        <v/>
      </c>
      <c r="F761" s="14"/>
      <c r="G761" s="14"/>
      <c r="H761" s="11"/>
    </row>
    <row r="762" customFormat="false" ht="15" hidden="false" customHeight="true" outlineLevel="0" collapsed="false">
      <c r="A762" s="15"/>
      <c r="B762" s="11"/>
      <c r="C762" s="18" t="str">
        <f aca="false">IF($B762="","",IFERROR(INDEX(차량목록!$B$3:$B$102,MATCH($B762,차량목록!$A$3:$A$102,0)),"미등록차량"))</f>
        <v/>
      </c>
      <c r="D762" s="11"/>
      <c r="E762" s="18" t="str">
        <f aca="false">IF($D762="","",IFERROR(INDEX(정비항목!$B$3:$B$52,MATCH($D762,정비항목!$A$3:$A$52,0)),"미등록항목"))</f>
        <v/>
      </c>
      <c r="F762" s="14"/>
      <c r="G762" s="14"/>
      <c r="H762" s="11"/>
    </row>
    <row r="763" customFormat="false" ht="15" hidden="false" customHeight="true" outlineLevel="0" collapsed="false">
      <c r="A763" s="15"/>
      <c r="B763" s="11"/>
      <c r="C763" s="18" t="str">
        <f aca="false">IF($B763="","",IFERROR(INDEX(차량목록!$B$3:$B$102,MATCH($B763,차량목록!$A$3:$A$102,0)),"미등록차량"))</f>
        <v/>
      </c>
      <c r="D763" s="11"/>
      <c r="E763" s="18" t="str">
        <f aca="false">IF($D763="","",IFERROR(INDEX(정비항목!$B$3:$B$52,MATCH($D763,정비항목!$A$3:$A$52,0)),"미등록항목"))</f>
        <v/>
      </c>
      <c r="F763" s="14"/>
      <c r="G763" s="14"/>
      <c r="H763" s="11"/>
    </row>
    <row r="764" customFormat="false" ht="15" hidden="false" customHeight="true" outlineLevel="0" collapsed="false">
      <c r="A764" s="15"/>
      <c r="B764" s="11"/>
      <c r="C764" s="18" t="str">
        <f aca="false">IF($B764="","",IFERROR(INDEX(차량목록!$B$3:$B$102,MATCH($B764,차량목록!$A$3:$A$102,0)),"미등록차량"))</f>
        <v/>
      </c>
      <c r="D764" s="11"/>
      <c r="E764" s="18" t="str">
        <f aca="false">IF($D764="","",IFERROR(INDEX(정비항목!$B$3:$B$52,MATCH($D764,정비항목!$A$3:$A$52,0)),"미등록항목"))</f>
        <v/>
      </c>
      <c r="F764" s="14"/>
      <c r="G764" s="14"/>
      <c r="H764" s="11"/>
    </row>
    <row r="765" customFormat="false" ht="15" hidden="false" customHeight="true" outlineLevel="0" collapsed="false">
      <c r="A765" s="15"/>
      <c r="B765" s="11"/>
      <c r="C765" s="18" t="str">
        <f aca="false">IF($B765="","",IFERROR(INDEX(차량목록!$B$3:$B$102,MATCH($B765,차량목록!$A$3:$A$102,0)),"미등록차량"))</f>
        <v/>
      </c>
      <c r="D765" s="11"/>
      <c r="E765" s="18" t="str">
        <f aca="false">IF($D765="","",IFERROR(INDEX(정비항목!$B$3:$B$52,MATCH($D765,정비항목!$A$3:$A$52,0)),"미등록항목"))</f>
        <v/>
      </c>
      <c r="F765" s="14"/>
      <c r="G765" s="14"/>
      <c r="H765" s="11"/>
    </row>
    <row r="766" customFormat="false" ht="15" hidden="false" customHeight="true" outlineLevel="0" collapsed="false">
      <c r="A766" s="15"/>
      <c r="B766" s="11"/>
      <c r="C766" s="18" t="str">
        <f aca="false">IF($B766="","",IFERROR(INDEX(차량목록!$B$3:$B$102,MATCH($B766,차량목록!$A$3:$A$102,0)),"미등록차량"))</f>
        <v/>
      </c>
      <c r="D766" s="11"/>
      <c r="E766" s="18" t="str">
        <f aca="false">IF($D766="","",IFERROR(INDEX(정비항목!$B$3:$B$52,MATCH($D766,정비항목!$A$3:$A$52,0)),"미등록항목"))</f>
        <v/>
      </c>
      <c r="F766" s="14"/>
      <c r="G766" s="14"/>
      <c r="H766" s="11"/>
    </row>
    <row r="767" customFormat="false" ht="15" hidden="false" customHeight="true" outlineLevel="0" collapsed="false">
      <c r="A767" s="15"/>
      <c r="B767" s="11"/>
      <c r="C767" s="18" t="str">
        <f aca="false">IF($B767="","",IFERROR(INDEX(차량목록!$B$3:$B$102,MATCH($B767,차량목록!$A$3:$A$102,0)),"미등록차량"))</f>
        <v/>
      </c>
      <c r="D767" s="11"/>
      <c r="E767" s="18" t="str">
        <f aca="false">IF($D767="","",IFERROR(INDEX(정비항목!$B$3:$B$52,MATCH($D767,정비항목!$A$3:$A$52,0)),"미등록항목"))</f>
        <v/>
      </c>
      <c r="F767" s="14"/>
      <c r="G767" s="14"/>
      <c r="H767" s="11"/>
    </row>
    <row r="768" customFormat="false" ht="15" hidden="false" customHeight="true" outlineLevel="0" collapsed="false">
      <c r="A768" s="15"/>
      <c r="B768" s="11"/>
      <c r="C768" s="18" t="str">
        <f aca="false">IF($B768="","",IFERROR(INDEX(차량목록!$B$3:$B$102,MATCH($B768,차량목록!$A$3:$A$102,0)),"미등록차량"))</f>
        <v/>
      </c>
      <c r="D768" s="11"/>
      <c r="E768" s="18" t="str">
        <f aca="false">IF($D768="","",IFERROR(INDEX(정비항목!$B$3:$B$52,MATCH($D768,정비항목!$A$3:$A$52,0)),"미등록항목"))</f>
        <v/>
      </c>
      <c r="F768" s="14"/>
      <c r="G768" s="14"/>
      <c r="H768" s="11"/>
    </row>
    <row r="769" customFormat="false" ht="15" hidden="false" customHeight="true" outlineLevel="0" collapsed="false">
      <c r="A769" s="15"/>
      <c r="B769" s="11"/>
      <c r="C769" s="18" t="str">
        <f aca="false">IF($B769="","",IFERROR(INDEX(차량목록!$B$3:$B$102,MATCH($B769,차량목록!$A$3:$A$102,0)),"미등록차량"))</f>
        <v/>
      </c>
      <c r="D769" s="11"/>
      <c r="E769" s="18" t="str">
        <f aca="false">IF($D769="","",IFERROR(INDEX(정비항목!$B$3:$B$52,MATCH($D769,정비항목!$A$3:$A$52,0)),"미등록항목"))</f>
        <v/>
      </c>
      <c r="F769" s="14"/>
      <c r="G769" s="14"/>
      <c r="H769" s="11"/>
    </row>
    <row r="770" customFormat="false" ht="15" hidden="false" customHeight="true" outlineLevel="0" collapsed="false">
      <c r="A770" s="15"/>
      <c r="B770" s="11"/>
      <c r="C770" s="18" t="str">
        <f aca="false">IF($B770="","",IFERROR(INDEX(차량목록!$B$3:$B$102,MATCH($B770,차량목록!$A$3:$A$102,0)),"미등록차량"))</f>
        <v/>
      </c>
      <c r="D770" s="11"/>
      <c r="E770" s="18" t="str">
        <f aca="false">IF($D770="","",IFERROR(INDEX(정비항목!$B$3:$B$52,MATCH($D770,정비항목!$A$3:$A$52,0)),"미등록항목"))</f>
        <v/>
      </c>
      <c r="F770" s="14"/>
      <c r="G770" s="14"/>
      <c r="H770" s="11"/>
    </row>
    <row r="771" customFormat="false" ht="15" hidden="false" customHeight="true" outlineLevel="0" collapsed="false">
      <c r="A771" s="15"/>
      <c r="B771" s="11"/>
      <c r="C771" s="18" t="str">
        <f aca="false">IF($B771="","",IFERROR(INDEX(차량목록!$B$3:$B$102,MATCH($B771,차량목록!$A$3:$A$102,0)),"미등록차량"))</f>
        <v/>
      </c>
      <c r="D771" s="11"/>
      <c r="E771" s="18" t="str">
        <f aca="false">IF($D771="","",IFERROR(INDEX(정비항목!$B$3:$B$52,MATCH($D771,정비항목!$A$3:$A$52,0)),"미등록항목"))</f>
        <v/>
      </c>
      <c r="F771" s="14"/>
      <c r="G771" s="14"/>
      <c r="H771" s="11"/>
    </row>
    <row r="772" customFormat="false" ht="15" hidden="false" customHeight="true" outlineLevel="0" collapsed="false">
      <c r="A772" s="15"/>
      <c r="B772" s="11"/>
      <c r="C772" s="18" t="str">
        <f aca="false">IF($B772="","",IFERROR(INDEX(차량목록!$B$3:$B$102,MATCH($B772,차량목록!$A$3:$A$102,0)),"미등록차량"))</f>
        <v/>
      </c>
      <c r="D772" s="11"/>
      <c r="E772" s="18" t="str">
        <f aca="false">IF($D772="","",IFERROR(INDEX(정비항목!$B$3:$B$52,MATCH($D772,정비항목!$A$3:$A$52,0)),"미등록항목"))</f>
        <v/>
      </c>
      <c r="F772" s="14"/>
      <c r="G772" s="14"/>
      <c r="H772" s="11"/>
    </row>
    <row r="773" customFormat="false" ht="15" hidden="false" customHeight="true" outlineLevel="0" collapsed="false">
      <c r="A773" s="15"/>
      <c r="B773" s="11"/>
      <c r="C773" s="18" t="str">
        <f aca="false">IF($B773="","",IFERROR(INDEX(차량목록!$B$3:$B$102,MATCH($B773,차량목록!$A$3:$A$102,0)),"미등록차량"))</f>
        <v/>
      </c>
      <c r="D773" s="11"/>
      <c r="E773" s="18" t="str">
        <f aca="false">IF($D773="","",IFERROR(INDEX(정비항목!$B$3:$B$52,MATCH($D773,정비항목!$A$3:$A$52,0)),"미등록항목"))</f>
        <v/>
      </c>
      <c r="F773" s="14"/>
      <c r="G773" s="14"/>
      <c r="H773" s="11"/>
    </row>
    <row r="774" customFormat="false" ht="15" hidden="false" customHeight="true" outlineLevel="0" collapsed="false">
      <c r="A774" s="15"/>
      <c r="B774" s="11"/>
      <c r="C774" s="18" t="str">
        <f aca="false">IF($B774="","",IFERROR(INDEX(차량목록!$B$3:$B$102,MATCH($B774,차량목록!$A$3:$A$102,0)),"미등록차량"))</f>
        <v/>
      </c>
      <c r="D774" s="11"/>
      <c r="E774" s="18" t="str">
        <f aca="false">IF($D774="","",IFERROR(INDEX(정비항목!$B$3:$B$52,MATCH($D774,정비항목!$A$3:$A$52,0)),"미등록항목"))</f>
        <v/>
      </c>
      <c r="F774" s="14"/>
      <c r="G774" s="14"/>
      <c r="H774" s="11"/>
    </row>
    <row r="775" customFormat="false" ht="15" hidden="false" customHeight="true" outlineLevel="0" collapsed="false">
      <c r="A775" s="15"/>
      <c r="B775" s="11"/>
      <c r="C775" s="18" t="str">
        <f aca="false">IF($B775="","",IFERROR(INDEX(차량목록!$B$3:$B$102,MATCH($B775,차량목록!$A$3:$A$102,0)),"미등록차량"))</f>
        <v/>
      </c>
      <c r="D775" s="11"/>
      <c r="E775" s="18" t="str">
        <f aca="false">IF($D775="","",IFERROR(INDEX(정비항목!$B$3:$B$52,MATCH($D775,정비항목!$A$3:$A$52,0)),"미등록항목"))</f>
        <v/>
      </c>
      <c r="F775" s="14"/>
      <c r="G775" s="14"/>
      <c r="H775" s="11"/>
    </row>
    <row r="776" customFormat="false" ht="15" hidden="false" customHeight="true" outlineLevel="0" collapsed="false">
      <c r="A776" s="15"/>
      <c r="B776" s="11"/>
      <c r="C776" s="18" t="str">
        <f aca="false">IF($B776="","",IFERROR(INDEX(차량목록!$B$3:$B$102,MATCH($B776,차량목록!$A$3:$A$102,0)),"미등록차량"))</f>
        <v/>
      </c>
      <c r="D776" s="11"/>
      <c r="E776" s="18" t="str">
        <f aca="false">IF($D776="","",IFERROR(INDEX(정비항목!$B$3:$B$52,MATCH($D776,정비항목!$A$3:$A$52,0)),"미등록항목"))</f>
        <v/>
      </c>
      <c r="F776" s="14"/>
      <c r="G776" s="14"/>
      <c r="H776" s="11"/>
    </row>
    <row r="777" customFormat="false" ht="15" hidden="false" customHeight="true" outlineLevel="0" collapsed="false">
      <c r="A777" s="15"/>
      <c r="B777" s="11"/>
      <c r="C777" s="18" t="str">
        <f aca="false">IF($B777="","",IFERROR(INDEX(차량목록!$B$3:$B$102,MATCH($B777,차량목록!$A$3:$A$102,0)),"미등록차량"))</f>
        <v/>
      </c>
      <c r="D777" s="11"/>
      <c r="E777" s="18" t="str">
        <f aca="false">IF($D777="","",IFERROR(INDEX(정비항목!$B$3:$B$52,MATCH($D777,정비항목!$A$3:$A$52,0)),"미등록항목"))</f>
        <v/>
      </c>
      <c r="F777" s="14"/>
      <c r="G777" s="14"/>
      <c r="H777" s="11"/>
    </row>
    <row r="778" customFormat="false" ht="15" hidden="false" customHeight="true" outlineLevel="0" collapsed="false">
      <c r="A778" s="15"/>
      <c r="B778" s="11"/>
      <c r="C778" s="18" t="str">
        <f aca="false">IF($B778="","",IFERROR(INDEX(차량목록!$B$3:$B$102,MATCH($B778,차량목록!$A$3:$A$102,0)),"미등록차량"))</f>
        <v/>
      </c>
      <c r="D778" s="11"/>
      <c r="E778" s="18" t="str">
        <f aca="false">IF($D778="","",IFERROR(INDEX(정비항목!$B$3:$B$52,MATCH($D778,정비항목!$A$3:$A$52,0)),"미등록항목"))</f>
        <v/>
      </c>
      <c r="F778" s="14"/>
      <c r="G778" s="14"/>
      <c r="H778" s="11"/>
    </row>
    <row r="779" customFormat="false" ht="15" hidden="false" customHeight="true" outlineLevel="0" collapsed="false">
      <c r="A779" s="15"/>
      <c r="B779" s="11"/>
      <c r="C779" s="18" t="str">
        <f aca="false">IF($B779="","",IFERROR(INDEX(차량목록!$B$3:$B$102,MATCH($B779,차량목록!$A$3:$A$102,0)),"미등록차량"))</f>
        <v/>
      </c>
      <c r="D779" s="11"/>
      <c r="E779" s="18" t="str">
        <f aca="false">IF($D779="","",IFERROR(INDEX(정비항목!$B$3:$B$52,MATCH($D779,정비항목!$A$3:$A$52,0)),"미등록항목"))</f>
        <v/>
      </c>
      <c r="F779" s="14"/>
      <c r="G779" s="14"/>
      <c r="H779" s="11"/>
    </row>
    <row r="780" customFormat="false" ht="15" hidden="false" customHeight="true" outlineLevel="0" collapsed="false">
      <c r="A780" s="15"/>
      <c r="B780" s="11"/>
      <c r="C780" s="18" t="str">
        <f aca="false">IF($B780="","",IFERROR(INDEX(차량목록!$B$3:$B$102,MATCH($B780,차량목록!$A$3:$A$102,0)),"미등록차량"))</f>
        <v/>
      </c>
      <c r="D780" s="11"/>
      <c r="E780" s="18" t="str">
        <f aca="false">IF($D780="","",IFERROR(INDEX(정비항목!$B$3:$B$52,MATCH($D780,정비항목!$A$3:$A$52,0)),"미등록항목"))</f>
        <v/>
      </c>
      <c r="F780" s="14"/>
      <c r="G780" s="14"/>
      <c r="H780" s="11"/>
    </row>
    <row r="781" customFormat="false" ht="15" hidden="false" customHeight="true" outlineLevel="0" collapsed="false">
      <c r="A781" s="15"/>
      <c r="B781" s="11"/>
      <c r="C781" s="18" t="str">
        <f aca="false">IF($B781="","",IFERROR(INDEX(차량목록!$B$3:$B$102,MATCH($B781,차량목록!$A$3:$A$102,0)),"미등록차량"))</f>
        <v/>
      </c>
      <c r="D781" s="11"/>
      <c r="E781" s="18" t="str">
        <f aca="false">IF($D781="","",IFERROR(INDEX(정비항목!$B$3:$B$52,MATCH($D781,정비항목!$A$3:$A$52,0)),"미등록항목"))</f>
        <v/>
      </c>
      <c r="F781" s="14"/>
      <c r="G781" s="14"/>
      <c r="H781" s="11"/>
    </row>
    <row r="782" customFormat="false" ht="15" hidden="false" customHeight="true" outlineLevel="0" collapsed="false">
      <c r="A782" s="15"/>
      <c r="B782" s="11"/>
      <c r="C782" s="18" t="str">
        <f aca="false">IF($B782="","",IFERROR(INDEX(차량목록!$B$3:$B$102,MATCH($B782,차량목록!$A$3:$A$102,0)),"미등록차량"))</f>
        <v/>
      </c>
      <c r="D782" s="11"/>
      <c r="E782" s="18" t="str">
        <f aca="false">IF($D782="","",IFERROR(INDEX(정비항목!$B$3:$B$52,MATCH($D782,정비항목!$A$3:$A$52,0)),"미등록항목"))</f>
        <v/>
      </c>
      <c r="F782" s="14"/>
      <c r="G782" s="14"/>
      <c r="H782" s="11"/>
    </row>
    <row r="783" customFormat="false" ht="15" hidden="false" customHeight="true" outlineLevel="0" collapsed="false">
      <c r="A783" s="15"/>
      <c r="B783" s="11"/>
      <c r="C783" s="18" t="str">
        <f aca="false">IF($B783="","",IFERROR(INDEX(차량목록!$B$3:$B$102,MATCH($B783,차량목록!$A$3:$A$102,0)),"미등록차량"))</f>
        <v/>
      </c>
      <c r="D783" s="11"/>
      <c r="E783" s="18" t="str">
        <f aca="false">IF($D783="","",IFERROR(INDEX(정비항목!$B$3:$B$52,MATCH($D783,정비항목!$A$3:$A$52,0)),"미등록항목"))</f>
        <v/>
      </c>
      <c r="F783" s="14"/>
      <c r="G783" s="14"/>
      <c r="H783" s="11"/>
    </row>
    <row r="784" customFormat="false" ht="15" hidden="false" customHeight="true" outlineLevel="0" collapsed="false">
      <c r="A784" s="15"/>
      <c r="B784" s="11"/>
      <c r="C784" s="18" t="str">
        <f aca="false">IF($B784="","",IFERROR(INDEX(차량목록!$B$3:$B$102,MATCH($B784,차량목록!$A$3:$A$102,0)),"미등록차량"))</f>
        <v/>
      </c>
      <c r="D784" s="11"/>
      <c r="E784" s="18" t="str">
        <f aca="false">IF($D784="","",IFERROR(INDEX(정비항목!$B$3:$B$52,MATCH($D784,정비항목!$A$3:$A$52,0)),"미등록항목"))</f>
        <v/>
      </c>
      <c r="F784" s="14"/>
      <c r="G784" s="14"/>
      <c r="H784" s="11"/>
    </row>
    <row r="785" customFormat="false" ht="15" hidden="false" customHeight="true" outlineLevel="0" collapsed="false">
      <c r="A785" s="15"/>
      <c r="B785" s="11"/>
      <c r="C785" s="18" t="str">
        <f aca="false">IF($B785="","",IFERROR(INDEX(차량목록!$B$3:$B$102,MATCH($B785,차량목록!$A$3:$A$102,0)),"미등록차량"))</f>
        <v/>
      </c>
      <c r="D785" s="11"/>
      <c r="E785" s="18" t="str">
        <f aca="false">IF($D785="","",IFERROR(INDEX(정비항목!$B$3:$B$52,MATCH($D785,정비항목!$A$3:$A$52,0)),"미등록항목"))</f>
        <v/>
      </c>
      <c r="F785" s="14"/>
      <c r="G785" s="14"/>
      <c r="H785" s="11"/>
    </row>
    <row r="786" customFormat="false" ht="15" hidden="false" customHeight="true" outlineLevel="0" collapsed="false">
      <c r="A786" s="15"/>
      <c r="B786" s="11"/>
      <c r="C786" s="18" t="str">
        <f aca="false">IF($B786="","",IFERROR(INDEX(차량목록!$B$3:$B$102,MATCH($B786,차량목록!$A$3:$A$102,0)),"미등록차량"))</f>
        <v/>
      </c>
      <c r="D786" s="11"/>
      <c r="E786" s="18" t="str">
        <f aca="false">IF($D786="","",IFERROR(INDEX(정비항목!$B$3:$B$52,MATCH($D786,정비항목!$A$3:$A$52,0)),"미등록항목"))</f>
        <v/>
      </c>
      <c r="F786" s="14"/>
      <c r="G786" s="14"/>
      <c r="H786" s="11"/>
    </row>
    <row r="787" customFormat="false" ht="15" hidden="false" customHeight="true" outlineLevel="0" collapsed="false">
      <c r="A787" s="15"/>
      <c r="B787" s="11"/>
      <c r="C787" s="18" t="str">
        <f aca="false">IF($B787="","",IFERROR(INDEX(차량목록!$B$3:$B$102,MATCH($B787,차량목록!$A$3:$A$102,0)),"미등록차량"))</f>
        <v/>
      </c>
      <c r="D787" s="11"/>
      <c r="E787" s="18" t="str">
        <f aca="false">IF($D787="","",IFERROR(INDEX(정비항목!$B$3:$B$52,MATCH($D787,정비항목!$A$3:$A$52,0)),"미등록항목"))</f>
        <v/>
      </c>
      <c r="F787" s="14"/>
      <c r="G787" s="14"/>
      <c r="H787" s="11"/>
    </row>
    <row r="788" customFormat="false" ht="15" hidden="false" customHeight="true" outlineLevel="0" collapsed="false">
      <c r="A788" s="15"/>
      <c r="B788" s="11"/>
      <c r="C788" s="18" t="str">
        <f aca="false">IF($B788="","",IFERROR(INDEX(차량목록!$B$3:$B$102,MATCH($B788,차량목록!$A$3:$A$102,0)),"미등록차량"))</f>
        <v/>
      </c>
      <c r="D788" s="11"/>
      <c r="E788" s="18" t="str">
        <f aca="false">IF($D788="","",IFERROR(INDEX(정비항목!$B$3:$B$52,MATCH($D788,정비항목!$A$3:$A$52,0)),"미등록항목"))</f>
        <v/>
      </c>
      <c r="F788" s="14"/>
      <c r="G788" s="14"/>
      <c r="H788" s="11"/>
    </row>
    <row r="789" customFormat="false" ht="15" hidden="false" customHeight="true" outlineLevel="0" collapsed="false">
      <c r="A789" s="15"/>
      <c r="B789" s="11"/>
      <c r="C789" s="18" t="str">
        <f aca="false">IF($B789="","",IFERROR(INDEX(차량목록!$B$3:$B$102,MATCH($B789,차량목록!$A$3:$A$102,0)),"미등록차량"))</f>
        <v/>
      </c>
      <c r="D789" s="11"/>
      <c r="E789" s="18" t="str">
        <f aca="false">IF($D789="","",IFERROR(INDEX(정비항목!$B$3:$B$52,MATCH($D789,정비항목!$A$3:$A$52,0)),"미등록항목"))</f>
        <v/>
      </c>
      <c r="F789" s="14"/>
      <c r="G789" s="14"/>
      <c r="H789" s="11"/>
    </row>
    <row r="790" customFormat="false" ht="15" hidden="false" customHeight="true" outlineLevel="0" collapsed="false">
      <c r="A790" s="15"/>
      <c r="B790" s="11"/>
      <c r="C790" s="18" t="str">
        <f aca="false">IF($B790="","",IFERROR(INDEX(차량목록!$B$3:$B$102,MATCH($B790,차량목록!$A$3:$A$102,0)),"미등록차량"))</f>
        <v/>
      </c>
      <c r="D790" s="11"/>
      <c r="E790" s="18" t="str">
        <f aca="false">IF($D790="","",IFERROR(INDEX(정비항목!$B$3:$B$52,MATCH($D790,정비항목!$A$3:$A$52,0)),"미등록항목"))</f>
        <v/>
      </c>
      <c r="F790" s="14"/>
      <c r="G790" s="14"/>
      <c r="H790" s="11"/>
    </row>
    <row r="791" customFormat="false" ht="15" hidden="false" customHeight="true" outlineLevel="0" collapsed="false">
      <c r="A791" s="15"/>
      <c r="B791" s="11"/>
      <c r="C791" s="18" t="str">
        <f aca="false">IF($B791="","",IFERROR(INDEX(차량목록!$B$3:$B$102,MATCH($B791,차량목록!$A$3:$A$102,0)),"미등록차량"))</f>
        <v/>
      </c>
      <c r="D791" s="11"/>
      <c r="E791" s="18" t="str">
        <f aca="false">IF($D791="","",IFERROR(INDEX(정비항목!$B$3:$B$52,MATCH($D791,정비항목!$A$3:$A$52,0)),"미등록항목"))</f>
        <v/>
      </c>
      <c r="F791" s="14"/>
      <c r="G791" s="14"/>
      <c r="H791" s="11"/>
    </row>
    <row r="792" customFormat="false" ht="15" hidden="false" customHeight="true" outlineLevel="0" collapsed="false">
      <c r="A792" s="15"/>
      <c r="B792" s="11"/>
      <c r="C792" s="18" t="str">
        <f aca="false">IF($B792="","",IFERROR(INDEX(차량목록!$B$3:$B$102,MATCH($B792,차량목록!$A$3:$A$102,0)),"미등록차량"))</f>
        <v/>
      </c>
      <c r="D792" s="11"/>
      <c r="E792" s="18" t="str">
        <f aca="false">IF($D792="","",IFERROR(INDEX(정비항목!$B$3:$B$52,MATCH($D792,정비항목!$A$3:$A$52,0)),"미등록항목"))</f>
        <v/>
      </c>
      <c r="F792" s="14"/>
      <c r="G792" s="14"/>
      <c r="H792" s="11"/>
    </row>
    <row r="793" customFormat="false" ht="15" hidden="false" customHeight="true" outlineLevel="0" collapsed="false">
      <c r="A793" s="15"/>
      <c r="B793" s="11"/>
      <c r="C793" s="18" t="str">
        <f aca="false">IF($B793="","",IFERROR(INDEX(차량목록!$B$3:$B$102,MATCH($B793,차량목록!$A$3:$A$102,0)),"미등록차량"))</f>
        <v/>
      </c>
      <c r="D793" s="11"/>
      <c r="E793" s="18" t="str">
        <f aca="false">IF($D793="","",IFERROR(INDEX(정비항목!$B$3:$B$52,MATCH($D793,정비항목!$A$3:$A$52,0)),"미등록항목"))</f>
        <v/>
      </c>
      <c r="F793" s="14"/>
      <c r="G793" s="14"/>
      <c r="H793" s="11"/>
    </row>
    <row r="794" customFormat="false" ht="15" hidden="false" customHeight="true" outlineLevel="0" collapsed="false">
      <c r="A794" s="15"/>
      <c r="B794" s="11"/>
      <c r="C794" s="18" t="str">
        <f aca="false">IF($B794="","",IFERROR(INDEX(차량목록!$B$3:$B$102,MATCH($B794,차량목록!$A$3:$A$102,0)),"미등록차량"))</f>
        <v/>
      </c>
      <c r="D794" s="11"/>
      <c r="E794" s="18" t="str">
        <f aca="false">IF($D794="","",IFERROR(INDEX(정비항목!$B$3:$B$52,MATCH($D794,정비항목!$A$3:$A$52,0)),"미등록항목"))</f>
        <v/>
      </c>
      <c r="F794" s="14"/>
      <c r="G794" s="14"/>
      <c r="H794" s="11"/>
    </row>
    <row r="795" customFormat="false" ht="15" hidden="false" customHeight="true" outlineLevel="0" collapsed="false">
      <c r="A795" s="15"/>
      <c r="B795" s="11"/>
      <c r="C795" s="18" t="str">
        <f aca="false">IF($B795="","",IFERROR(INDEX(차량목록!$B$3:$B$102,MATCH($B795,차량목록!$A$3:$A$102,0)),"미등록차량"))</f>
        <v/>
      </c>
      <c r="D795" s="11"/>
      <c r="E795" s="18" t="str">
        <f aca="false">IF($D795="","",IFERROR(INDEX(정비항목!$B$3:$B$52,MATCH($D795,정비항목!$A$3:$A$52,0)),"미등록항목"))</f>
        <v/>
      </c>
      <c r="F795" s="14"/>
      <c r="G795" s="14"/>
      <c r="H795" s="11"/>
    </row>
    <row r="796" customFormat="false" ht="15" hidden="false" customHeight="true" outlineLevel="0" collapsed="false">
      <c r="A796" s="15"/>
      <c r="B796" s="11"/>
      <c r="C796" s="18" t="str">
        <f aca="false">IF($B796="","",IFERROR(INDEX(차량목록!$B$3:$B$102,MATCH($B796,차량목록!$A$3:$A$102,0)),"미등록차량"))</f>
        <v/>
      </c>
      <c r="D796" s="11"/>
      <c r="E796" s="18" t="str">
        <f aca="false">IF($D796="","",IFERROR(INDEX(정비항목!$B$3:$B$52,MATCH($D796,정비항목!$A$3:$A$52,0)),"미등록항목"))</f>
        <v/>
      </c>
      <c r="F796" s="14"/>
      <c r="G796" s="14"/>
      <c r="H796" s="11"/>
    </row>
    <row r="797" customFormat="false" ht="15" hidden="false" customHeight="true" outlineLevel="0" collapsed="false">
      <c r="A797" s="15"/>
      <c r="B797" s="11"/>
      <c r="C797" s="18" t="str">
        <f aca="false">IF($B797="","",IFERROR(INDEX(차량목록!$B$3:$B$102,MATCH($B797,차량목록!$A$3:$A$102,0)),"미등록차량"))</f>
        <v/>
      </c>
      <c r="D797" s="11"/>
      <c r="E797" s="18" t="str">
        <f aca="false">IF($D797="","",IFERROR(INDEX(정비항목!$B$3:$B$52,MATCH($D797,정비항목!$A$3:$A$52,0)),"미등록항목"))</f>
        <v/>
      </c>
      <c r="F797" s="14"/>
      <c r="G797" s="14"/>
      <c r="H797" s="11"/>
    </row>
    <row r="798" customFormat="false" ht="15" hidden="false" customHeight="true" outlineLevel="0" collapsed="false">
      <c r="A798" s="15"/>
      <c r="B798" s="11"/>
      <c r="C798" s="18" t="str">
        <f aca="false">IF($B798="","",IFERROR(INDEX(차량목록!$B$3:$B$102,MATCH($B798,차량목록!$A$3:$A$102,0)),"미등록차량"))</f>
        <v/>
      </c>
      <c r="D798" s="11"/>
      <c r="E798" s="18" t="str">
        <f aca="false">IF($D798="","",IFERROR(INDEX(정비항목!$B$3:$B$52,MATCH($D798,정비항목!$A$3:$A$52,0)),"미등록항목"))</f>
        <v/>
      </c>
      <c r="F798" s="14"/>
      <c r="G798" s="14"/>
      <c r="H798" s="11"/>
    </row>
    <row r="799" customFormat="false" ht="15" hidden="false" customHeight="true" outlineLevel="0" collapsed="false">
      <c r="A799" s="15"/>
      <c r="B799" s="11"/>
      <c r="C799" s="18" t="str">
        <f aca="false">IF($B799="","",IFERROR(INDEX(차량목록!$B$3:$B$102,MATCH($B799,차량목록!$A$3:$A$102,0)),"미등록차량"))</f>
        <v/>
      </c>
      <c r="D799" s="11"/>
      <c r="E799" s="18" t="str">
        <f aca="false">IF($D799="","",IFERROR(INDEX(정비항목!$B$3:$B$52,MATCH($D799,정비항목!$A$3:$A$52,0)),"미등록항목"))</f>
        <v/>
      </c>
      <c r="F799" s="14"/>
      <c r="G799" s="14"/>
      <c r="H799" s="11"/>
    </row>
    <row r="800" customFormat="false" ht="15" hidden="false" customHeight="true" outlineLevel="0" collapsed="false">
      <c r="A800" s="15"/>
      <c r="B800" s="11"/>
      <c r="C800" s="18" t="str">
        <f aca="false">IF($B800="","",IFERROR(INDEX(차량목록!$B$3:$B$102,MATCH($B800,차량목록!$A$3:$A$102,0)),"미등록차량"))</f>
        <v/>
      </c>
      <c r="D800" s="11"/>
      <c r="E800" s="18" t="str">
        <f aca="false">IF($D800="","",IFERROR(INDEX(정비항목!$B$3:$B$52,MATCH($D800,정비항목!$A$3:$A$52,0)),"미등록항목"))</f>
        <v/>
      </c>
      <c r="F800" s="14"/>
      <c r="G800" s="14"/>
      <c r="H800" s="11"/>
    </row>
    <row r="801" customFormat="false" ht="15" hidden="false" customHeight="true" outlineLevel="0" collapsed="false">
      <c r="A801" s="15"/>
      <c r="B801" s="11"/>
      <c r="C801" s="18" t="str">
        <f aca="false">IF($B801="","",IFERROR(INDEX(차량목록!$B$3:$B$102,MATCH($B801,차량목록!$A$3:$A$102,0)),"미등록차량"))</f>
        <v/>
      </c>
      <c r="D801" s="11"/>
      <c r="E801" s="18" t="str">
        <f aca="false">IF($D801="","",IFERROR(INDEX(정비항목!$B$3:$B$52,MATCH($D801,정비항목!$A$3:$A$52,0)),"미등록항목"))</f>
        <v/>
      </c>
      <c r="F801" s="14"/>
      <c r="G801" s="14"/>
      <c r="H801" s="11"/>
    </row>
    <row r="802" customFormat="false" ht="15" hidden="false" customHeight="true" outlineLevel="0" collapsed="false">
      <c r="A802" s="15"/>
      <c r="B802" s="11"/>
      <c r="C802" s="18" t="str">
        <f aca="false">IF($B802="","",IFERROR(INDEX(차량목록!$B$3:$B$102,MATCH($B802,차량목록!$A$3:$A$102,0)),"미등록차량"))</f>
        <v/>
      </c>
      <c r="D802" s="11"/>
      <c r="E802" s="18" t="str">
        <f aca="false">IF($D802="","",IFERROR(INDEX(정비항목!$B$3:$B$52,MATCH($D802,정비항목!$A$3:$A$52,0)),"미등록항목"))</f>
        <v/>
      </c>
      <c r="F802" s="14"/>
      <c r="G802" s="14"/>
      <c r="H802" s="11"/>
    </row>
    <row r="803" customFormat="false" ht="15" hidden="false" customHeight="true" outlineLevel="0" collapsed="false">
      <c r="A803" s="15"/>
      <c r="B803" s="11"/>
      <c r="C803" s="18" t="str">
        <f aca="false">IF($B803="","",IFERROR(INDEX(차량목록!$B$3:$B$102,MATCH($B803,차량목록!$A$3:$A$102,0)),"미등록차량"))</f>
        <v/>
      </c>
      <c r="D803" s="11"/>
      <c r="E803" s="18" t="str">
        <f aca="false">IF($D803="","",IFERROR(INDEX(정비항목!$B$3:$B$52,MATCH($D803,정비항목!$A$3:$A$52,0)),"미등록항목"))</f>
        <v/>
      </c>
      <c r="F803" s="14"/>
      <c r="G803" s="14"/>
      <c r="H803" s="11"/>
    </row>
    <row r="804" customFormat="false" ht="15" hidden="false" customHeight="true" outlineLevel="0" collapsed="false">
      <c r="A804" s="15"/>
      <c r="B804" s="11"/>
      <c r="C804" s="18" t="str">
        <f aca="false">IF($B804="","",IFERROR(INDEX(차량목록!$B$3:$B$102,MATCH($B804,차량목록!$A$3:$A$102,0)),"미등록차량"))</f>
        <v/>
      </c>
      <c r="D804" s="11"/>
      <c r="E804" s="18" t="str">
        <f aca="false">IF($D804="","",IFERROR(INDEX(정비항목!$B$3:$B$52,MATCH($D804,정비항목!$A$3:$A$52,0)),"미등록항목"))</f>
        <v/>
      </c>
      <c r="F804" s="14"/>
      <c r="G804" s="14"/>
      <c r="H804" s="11"/>
    </row>
    <row r="805" customFormat="false" ht="15" hidden="false" customHeight="true" outlineLevel="0" collapsed="false">
      <c r="A805" s="15"/>
      <c r="B805" s="11"/>
      <c r="C805" s="18" t="str">
        <f aca="false">IF($B805="","",IFERROR(INDEX(차량목록!$B$3:$B$102,MATCH($B805,차량목록!$A$3:$A$102,0)),"미등록차량"))</f>
        <v/>
      </c>
      <c r="D805" s="11"/>
      <c r="E805" s="18" t="str">
        <f aca="false">IF($D805="","",IFERROR(INDEX(정비항목!$B$3:$B$52,MATCH($D805,정비항목!$A$3:$A$52,0)),"미등록항목"))</f>
        <v/>
      </c>
      <c r="F805" s="14"/>
      <c r="G805" s="14"/>
      <c r="H805" s="11"/>
    </row>
    <row r="806" customFormat="false" ht="15" hidden="false" customHeight="true" outlineLevel="0" collapsed="false">
      <c r="A806" s="15"/>
      <c r="B806" s="11"/>
      <c r="C806" s="18" t="str">
        <f aca="false">IF($B806="","",IFERROR(INDEX(차량목록!$B$3:$B$102,MATCH($B806,차량목록!$A$3:$A$102,0)),"미등록차량"))</f>
        <v/>
      </c>
      <c r="D806" s="11"/>
      <c r="E806" s="18" t="str">
        <f aca="false">IF($D806="","",IFERROR(INDEX(정비항목!$B$3:$B$52,MATCH($D806,정비항목!$A$3:$A$52,0)),"미등록항목"))</f>
        <v/>
      </c>
      <c r="F806" s="14"/>
      <c r="G806" s="14"/>
      <c r="H806" s="11"/>
    </row>
    <row r="807" customFormat="false" ht="15" hidden="false" customHeight="true" outlineLevel="0" collapsed="false">
      <c r="A807" s="15"/>
      <c r="B807" s="11"/>
      <c r="C807" s="18" t="str">
        <f aca="false">IF($B807="","",IFERROR(INDEX(차량목록!$B$3:$B$102,MATCH($B807,차량목록!$A$3:$A$102,0)),"미등록차량"))</f>
        <v/>
      </c>
      <c r="D807" s="11"/>
      <c r="E807" s="18" t="str">
        <f aca="false">IF($D807="","",IFERROR(INDEX(정비항목!$B$3:$B$52,MATCH($D807,정비항목!$A$3:$A$52,0)),"미등록항목"))</f>
        <v/>
      </c>
      <c r="F807" s="14"/>
      <c r="G807" s="14"/>
      <c r="H807" s="11"/>
    </row>
    <row r="808" customFormat="false" ht="15" hidden="false" customHeight="true" outlineLevel="0" collapsed="false">
      <c r="A808" s="15"/>
      <c r="B808" s="11"/>
      <c r="C808" s="18" t="str">
        <f aca="false">IF($B808="","",IFERROR(INDEX(차량목록!$B$3:$B$102,MATCH($B808,차량목록!$A$3:$A$102,0)),"미등록차량"))</f>
        <v/>
      </c>
      <c r="D808" s="11"/>
      <c r="E808" s="18" t="str">
        <f aca="false">IF($D808="","",IFERROR(INDEX(정비항목!$B$3:$B$52,MATCH($D808,정비항목!$A$3:$A$52,0)),"미등록항목"))</f>
        <v/>
      </c>
      <c r="F808" s="14"/>
      <c r="G808" s="14"/>
      <c r="H808" s="11"/>
    </row>
    <row r="809" customFormat="false" ht="15" hidden="false" customHeight="true" outlineLevel="0" collapsed="false">
      <c r="A809" s="15"/>
      <c r="B809" s="11"/>
      <c r="C809" s="18" t="str">
        <f aca="false">IF($B809="","",IFERROR(INDEX(차량목록!$B$3:$B$102,MATCH($B809,차량목록!$A$3:$A$102,0)),"미등록차량"))</f>
        <v/>
      </c>
      <c r="D809" s="11"/>
      <c r="E809" s="18" t="str">
        <f aca="false">IF($D809="","",IFERROR(INDEX(정비항목!$B$3:$B$52,MATCH($D809,정비항목!$A$3:$A$52,0)),"미등록항목"))</f>
        <v/>
      </c>
      <c r="F809" s="14"/>
      <c r="G809" s="14"/>
      <c r="H809" s="11"/>
    </row>
    <row r="810" customFormat="false" ht="15" hidden="false" customHeight="true" outlineLevel="0" collapsed="false">
      <c r="A810" s="15"/>
      <c r="B810" s="11"/>
      <c r="C810" s="18" t="str">
        <f aca="false">IF($B810="","",IFERROR(INDEX(차량목록!$B$3:$B$102,MATCH($B810,차량목록!$A$3:$A$102,0)),"미등록차량"))</f>
        <v/>
      </c>
      <c r="D810" s="11"/>
      <c r="E810" s="18" t="str">
        <f aca="false">IF($D810="","",IFERROR(INDEX(정비항목!$B$3:$B$52,MATCH($D810,정비항목!$A$3:$A$52,0)),"미등록항목"))</f>
        <v/>
      </c>
      <c r="F810" s="14"/>
      <c r="G810" s="14"/>
      <c r="H810" s="11"/>
    </row>
    <row r="811" customFormat="false" ht="15" hidden="false" customHeight="true" outlineLevel="0" collapsed="false">
      <c r="A811" s="15"/>
      <c r="B811" s="11"/>
      <c r="C811" s="18" t="str">
        <f aca="false">IF($B811="","",IFERROR(INDEX(차량목록!$B$3:$B$102,MATCH($B811,차량목록!$A$3:$A$102,0)),"미등록차량"))</f>
        <v/>
      </c>
      <c r="D811" s="11"/>
      <c r="E811" s="18" t="str">
        <f aca="false">IF($D811="","",IFERROR(INDEX(정비항목!$B$3:$B$52,MATCH($D811,정비항목!$A$3:$A$52,0)),"미등록항목"))</f>
        <v/>
      </c>
      <c r="F811" s="14"/>
      <c r="G811" s="14"/>
      <c r="H811" s="11"/>
    </row>
    <row r="812" customFormat="false" ht="15" hidden="false" customHeight="true" outlineLevel="0" collapsed="false">
      <c r="A812" s="15"/>
      <c r="B812" s="11"/>
      <c r="C812" s="18" t="str">
        <f aca="false">IF($B812="","",IFERROR(INDEX(차량목록!$B$3:$B$102,MATCH($B812,차량목록!$A$3:$A$102,0)),"미등록차량"))</f>
        <v/>
      </c>
      <c r="D812" s="11"/>
      <c r="E812" s="18" t="str">
        <f aca="false">IF($D812="","",IFERROR(INDEX(정비항목!$B$3:$B$52,MATCH($D812,정비항목!$A$3:$A$52,0)),"미등록항목"))</f>
        <v/>
      </c>
      <c r="F812" s="14"/>
      <c r="G812" s="14"/>
      <c r="H812" s="11"/>
    </row>
    <row r="813" customFormat="false" ht="15" hidden="false" customHeight="true" outlineLevel="0" collapsed="false">
      <c r="A813" s="15"/>
      <c r="B813" s="11"/>
      <c r="C813" s="18" t="str">
        <f aca="false">IF($B813="","",IFERROR(INDEX(차량목록!$B$3:$B$102,MATCH($B813,차량목록!$A$3:$A$102,0)),"미등록차량"))</f>
        <v/>
      </c>
      <c r="D813" s="11"/>
      <c r="E813" s="18" t="str">
        <f aca="false">IF($D813="","",IFERROR(INDEX(정비항목!$B$3:$B$52,MATCH($D813,정비항목!$A$3:$A$52,0)),"미등록항목"))</f>
        <v/>
      </c>
      <c r="F813" s="14"/>
      <c r="G813" s="14"/>
      <c r="H813" s="11"/>
    </row>
    <row r="814" customFormat="false" ht="15" hidden="false" customHeight="true" outlineLevel="0" collapsed="false">
      <c r="A814" s="15"/>
      <c r="B814" s="11"/>
      <c r="C814" s="18" t="str">
        <f aca="false">IF($B814="","",IFERROR(INDEX(차량목록!$B$3:$B$102,MATCH($B814,차량목록!$A$3:$A$102,0)),"미등록차량"))</f>
        <v/>
      </c>
      <c r="D814" s="11"/>
      <c r="E814" s="18" t="str">
        <f aca="false">IF($D814="","",IFERROR(INDEX(정비항목!$B$3:$B$52,MATCH($D814,정비항목!$A$3:$A$52,0)),"미등록항목"))</f>
        <v/>
      </c>
      <c r="F814" s="14"/>
      <c r="G814" s="14"/>
      <c r="H814" s="11"/>
    </row>
    <row r="815" customFormat="false" ht="15" hidden="false" customHeight="true" outlineLevel="0" collapsed="false">
      <c r="A815" s="15"/>
      <c r="B815" s="11"/>
      <c r="C815" s="18" t="str">
        <f aca="false">IF($B815="","",IFERROR(INDEX(차량목록!$B$3:$B$102,MATCH($B815,차량목록!$A$3:$A$102,0)),"미등록차량"))</f>
        <v/>
      </c>
      <c r="D815" s="11"/>
      <c r="E815" s="18" t="str">
        <f aca="false">IF($D815="","",IFERROR(INDEX(정비항목!$B$3:$B$52,MATCH($D815,정비항목!$A$3:$A$52,0)),"미등록항목"))</f>
        <v/>
      </c>
      <c r="F815" s="14"/>
      <c r="G815" s="14"/>
      <c r="H815" s="11"/>
    </row>
    <row r="816" customFormat="false" ht="15" hidden="false" customHeight="true" outlineLevel="0" collapsed="false">
      <c r="A816" s="15"/>
      <c r="B816" s="11"/>
      <c r="C816" s="18" t="str">
        <f aca="false">IF($B816="","",IFERROR(INDEX(차량목록!$B$3:$B$102,MATCH($B816,차량목록!$A$3:$A$102,0)),"미등록차량"))</f>
        <v/>
      </c>
      <c r="D816" s="11"/>
      <c r="E816" s="18" t="str">
        <f aca="false">IF($D816="","",IFERROR(INDEX(정비항목!$B$3:$B$52,MATCH($D816,정비항목!$A$3:$A$52,0)),"미등록항목"))</f>
        <v/>
      </c>
      <c r="F816" s="14"/>
      <c r="G816" s="14"/>
      <c r="H816" s="11"/>
    </row>
    <row r="817" customFormat="false" ht="15" hidden="false" customHeight="true" outlineLevel="0" collapsed="false">
      <c r="A817" s="15"/>
      <c r="B817" s="11"/>
      <c r="C817" s="18" t="str">
        <f aca="false">IF($B817="","",IFERROR(INDEX(차량목록!$B$3:$B$102,MATCH($B817,차량목록!$A$3:$A$102,0)),"미등록차량"))</f>
        <v/>
      </c>
      <c r="D817" s="11"/>
      <c r="E817" s="18" t="str">
        <f aca="false">IF($D817="","",IFERROR(INDEX(정비항목!$B$3:$B$52,MATCH($D817,정비항목!$A$3:$A$52,0)),"미등록항목"))</f>
        <v/>
      </c>
      <c r="F817" s="14"/>
      <c r="G817" s="14"/>
      <c r="H817" s="11"/>
    </row>
    <row r="818" customFormat="false" ht="15" hidden="false" customHeight="true" outlineLevel="0" collapsed="false">
      <c r="A818" s="15"/>
      <c r="B818" s="11"/>
      <c r="C818" s="18" t="str">
        <f aca="false">IF($B818="","",IFERROR(INDEX(차량목록!$B$3:$B$102,MATCH($B818,차량목록!$A$3:$A$102,0)),"미등록차량"))</f>
        <v/>
      </c>
      <c r="D818" s="11"/>
      <c r="E818" s="18" t="str">
        <f aca="false">IF($D818="","",IFERROR(INDEX(정비항목!$B$3:$B$52,MATCH($D818,정비항목!$A$3:$A$52,0)),"미등록항목"))</f>
        <v/>
      </c>
      <c r="F818" s="14"/>
      <c r="G818" s="14"/>
      <c r="H818" s="11"/>
    </row>
    <row r="819" customFormat="false" ht="15" hidden="false" customHeight="true" outlineLevel="0" collapsed="false">
      <c r="A819" s="15"/>
      <c r="B819" s="11"/>
      <c r="C819" s="18" t="str">
        <f aca="false">IF($B819="","",IFERROR(INDEX(차량목록!$B$3:$B$102,MATCH($B819,차량목록!$A$3:$A$102,0)),"미등록차량"))</f>
        <v/>
      </c>
      <c r="D819" s="11"/>
      <c r="E819" s="18" t="str">
        <f aca="false">IF($D819="","",IFERROR(INDEX(정비항목!$B$3:$B$52,MATCH($D819,정비항목!$A$3:$A$52,0)),"미등록항목"))</f>
        <v/>
      </c>
      <c r="F819" s="14"/>
      <c r="G819" s="14"/>
      <c r="H819" s="11"/>
    </row>
    <row r="820" customFormat="false" ht="15" hidden="false" customHeight="true" outlineLevel="0" collapsed="false">
      <c r="A820" s="15"/>
      <c r="B820" s="11"/>
      <c r="C820" s="18" t="str">
        <f aca="false">IF($B820="","",IFERROR(INDEX(차량목록!$B$3:$B$102,MATCH($B820,차량목록!$A$3:$A$102,0)),"미등록차량"))</f>
        <v/>
      </c>
      <c r="D820" s="11"/>
      <c r="E820" s="18" t="str">
        <f aca="false">IF($D820="","",IFERROR(INDEX(정비항목!$B$3:$B$52,MATCH($D820,정비항목!$A$3:$A$52,0)),"미등록항목"))</f>
        <v/>
      </c>
      <c r="F820" s="14"/>
      <c r="G820" s="14"/>
      <c r="H820" s="11"/>
    </row>
    <row r="821" customFormat="false" ht="15" hidden="false" customHeight="true" outlineLevel="0" collapsed="false">
      <c r="A821" s="15"/>
      <c r="B821" s="11"/>
      <c r="C821" s="18" t="str">
        <f aca="false">IF($B821="","",IFERROR(INDEX(차량목록!$B$3:$B$102,MATCH($B821,차량목록!$A$3:$A$102,0)),"미등록차량"))</f>
        <v/>
      </c>
      <c r="D821" s="11"/>
      <c r="E821" s="18" t="str">
        <f aca="false">IF($D821="","",IFERROR(INDEX(정비항목!$B$3:$B$52,MATCH($D821,정비항목!$A$3:$A$52,0)),"미등록항목"))</f>
        <v/>
      </c>
      <c r="F821" s="14"/>
      <c r="G821" s="14"/>
      <c r="H821" s="11"/>
    </row>
    <row r="822" customFormat="false" ht="15" hidden="false" customHeight="true" outlineLevel="0" collapsed="false">
      <c r="A822" s="15"/>
      <c r="B822" s="11"/>
      <c r="C822" s="18" t="str">
        <f aca="false">IF($B822="","",IFERROR(INDEX(차량목록!$B$3:$B$102,MATCH($B822,차량목록!$A$3:$A$102,0)),"미등록차량"))</f>
        <v/>
      </c>
      <c r="D822" s="11"/>
      <c r="E822" s="18" t="str">
        <f aca="false">IF($D822="","",IFERROR(INDEX(정비항목!$B$3:$B$52,MATCH($D822,정비항목!$A$3:$A$52,0)),"미등록항목"))</f>
        <v/>
      </c>
      <c r="F822" s="14"/>
      <c r="G822" s="14"/>
      <c r="H822" s="11"/>
    </row>
    <row r="823" customFormat="false" ht="15" hidden="false" customHeight="true" outlineLevel="0" collapsed="false">
      <c r="A823" s="15"/>
      <c r="B823" s="11"/>
      <c r="C823" s="18" t="str">
        <f aca="false">IF($B823="","",IFERROR(INDEX(차량목록!$B$3:$B$102,MATCH($B823,차량목록!$A$3:$A$102,0)),"미등록차량"))</f>
        <v/>
      </c>
      <c r="D823" s="11"/>
      <c r="E823" s="18" t="str">
        <f aca="false">IF($D823="","",IFERROR(INDEX(정비항목!$B$3:$B$52,MATCH($D823,정비항목!$A$3:$A$52,0)),"미등록항목"))</f>
        <v/>
      </c>
      <c r="F823" s="14"/>
      <c r="G823" s="14"/>
      <c r="H823" s="11"/>
    </row>
    <row r="824" customFormat="false" ht="15" hidden="false" customHeight="true" outlineLevel="0" collapsed="false">
      <c r="A824" s="15"/>
      <c r="B824" s="11"/>
      <c r="C824" s="18" t="str">
        <f aca="false">IF($B824="","",IFERROR(INDEX(차량목록!$B$3:$B$102,MATCH($B824,차량목록!$A$3:$A$102,0)),"미등록차량"))</f>
        <v/>
      </c>
      <c r="D824" s="11"/>
      <c r="E824" s="18" t="str">
        <f aca="false">IF($D824="","",IFERROR(INDEX(정비항목!$B$3:$B$52,MATCH($D824,정비항목!$A$3:$A$52,0)),"미등록항목"))</f>
        <v/>
      </c>
      <c r="F824" s="14"/>
      <c r="G824" s="14"/>
      <c r="H824" s="11"/>
    </row>
    <row r="825" customFormat="false" ht="15" hidden="false" customHeight="true" outlineLevel="0" collapsed="false">
      <c r="A825" s="15"/>
      <c r="B825" s="11"/>
      <c r="C825" s="18" t="str">
        <f aca="false">IF($B825="","",IFERROR(INDEX(차량목록!$B$3:$B$102,MATCH($B825,차량목록!$A$3:$A$102,0)),"미등록차량"))</f>
        <v/>
      </c>
      <c r="D825" s="11"/>
      <c r="E825" s="18" t="str">
        <f aca="false">IF($D825="","",IFERROR(INDEX(정비항목!$B$3:$B$52,MATCH($D825,정비항목!$A$3:$A$52,0)),"미등록항목"))</f>
        <v/>
      </c>
      <c r="F825" s="14"/>
      <c r="G825" s="14"/>
      <c r="H825" s="11"/>
    </row>
    <row r="826" customFormat="false" ht="15" hidden="false" customHeight="true" outlineLevel="0" collapsed="false">
      <c r="A826" s="15"/>
      <c r="B826" s="11"/>
      <c r="C826" s="18" t="str">
        <f aca="false">IF($B826="","",IFERROR(INDEX(차량목록!$B$3:$B$102,MATCH($B826,차량목록!$A$3:$A$102,0)),"미등록차량"))</f>
        <v/>
      </c>
      <c r="D826" s="11"/>
      <c r="E826" s="18" t="str">
        <f aca="false">IF($D826="","",IFERROR(INDEX(정비항목!$B$3:$B$52,MATCH($D826,정비항목!$A$3:$A$52,0)),"미등록항목"))</f>
        <v/>
      </c>
      <c r="F826" s="14"/>
      <c r="G826" s="14"/>
      <c r="H826" s="11"/>
    </row>
    <row r="827" customFormat="false" ht="15" hidden="false" customHeight="true" outlineLevel="0" collapsed="false">
      <c r="A827" s="15"/>
      <c r="B827" s="11"/>
      <c r="C827" s="18" t="str">
        <f aca="false">IF($B827="","",IFERROR(INDEX(차량목록!$B$3:$B$102,MATCH($B827,차량목록!$A$3:$A$102,0)),"미등록차량"))</f>
        <v/>
      </c>
      <c r="D827" s="11"/>
      <c r="E827" s="18" t="str">
        <f aca="false">IF($D827="","",IFERROR(INDEX(정비항목!$B$3:$B$52,MATCH($D827,정비항목!$A$3:$A$52,0)),"미등록항목"))</f>
        <v/>
      </c>
      <c r="F827" s="14"/>
      <c r="G827" s="14"/>
      <c r="H827" s="11"/>
    </row>
    <row r="828" customFormat="false" ht="15" hidden="false" customHeight="true" outlineLevel="0" collapsed="false">
      <c r="A828" s="15"/>
      <c r="B828" s="11"/>
      <c r="C828" s="18" t="str">
        <f aca="false">IF($B828="","",IFERROR(INDEX(차량목록!$B$3:$B$102,MATCH($B828,차량목록!$A$3:$A$102,0)),"미등록차량"))</f>
        <v/>
      </c>
      <c r="D828" s="11"/>
      <c r="E828" s="18" t="str">
        <f aca="false">IF($D828="","",IFERROR(INDEX(정비항목!$B$3:$B$52,MATCH($D828,정비항목!$A$3:$A$52,0)),"미등록항목"))</f>
        <v/>
      </c>
      <c r="F828" s="14"/>
      <c r="G828" s="14"/>
      <c r="H828" s="11"/>
    </row>
    <row r="829" customFormat="false" ht="15" hidden="false" customHeight="true" outlineLevel="0" collapsed="false">
      <c r="A829" s="15"/>
      <c r="B829" s="11"/>
      <c r="C829" s="18" t="str">
        <f aca="false">IF($B829="","",IFERROR(INDEX(차량목록!$B$3:$B$102,MATCH($B829,차량목록!$A$3:$A$102,0)),"미등록차량"))</f>
        <v/>
      </c>
      <c r="D829" s="11"/>
      <c r="E829" s="18" t="str">
        <f aca="false">IF($D829="","",IFERROR(INDEX(정비항목!$B$3:$B$52,MATCH($D829,정비항목!$A$3:$A$52,0)),"미등록항목"))</f>
        <v/>
      </c>
      <c r="F829" s="14"/>
      <c r="G829" s="14"/>
      <c r="H829" s="11"/>
    </row>
    <row r="830" customFormat="false" ht="15" hidden="false" customHeight="true" outlineLevel="0" collapsed="false">
      <c r="A830" s="15"/>
      <c r="B830" s="11"/>
      <c r="C830" s="18" t="str">
        <f aca="false">IF($B830="","",IFERROR(INDEX(차량목록!$B$3:$B$102,MATCH($B830,차량목록!$A$3:$A$102,0)),"미등록차량"))</f>
        <v/>
      </c>
      <c r="D830" s="11"/>
      <c r="E830" s="18" t="str">
        <f aca="false">IF($D830="","",IFERROR(INDEX(정비항목!$B$3:$B$52,MATCH($D830,정비항목!$A$3:$A$52,0)),"미등록항목"))</f>
        <v/>
      </c>
      <c r="F830" s="14"/>
      <c r="G830" s="14"/>
      <c r="H830" s="11"/>
    </row>
    <row r="831" customFormat="false" ht="15" hidden="false" customHeight="true" outlineLevel="0" collapsed="false">
      <c r="A831" s="15"/>
      <c r="B831" s="11"/>
      <c r="C831" s="18" t="str">
        <f aca="false">IF($B831="","",IFERROR(INDEX(차량목록!$B$3:$B$102,MATCH($B831,차량목록!$A$3:$A$102,0)),"미등록차량"))</f>
        <v/>
      </c>
      <c r="D831" s="11"/>
      <c r="E831" s="18" t="str">
        <f aca="false">IF($D831="","",IFERROR(INDEX(정비항목!$B$3:$B$52,MATCH($D831,정비항목!$A$3:$A$52,0)),"미등록항목"))</f>
        <v/>
      </c>
      <c r="F831" s="14"/>
      <c r="G831" s="14"/>
      <c r="H831" s="11"/>
    </row>
    <row r="832" customFormat="false" ht="15" hidden="false" customHeight="true" outlineLevel="0" collapsed="false">
      <c r="A832" s="15"/>
      <c r="B832" s="11"/>
      <c r="C832" s="18" t="str">
        <f aca="false">IF($B832="","",IFERROR(INDEX(차량목록!$B$3:$B$102,MATCH($B832,차량목록!$A$3:$A$102,0)),"미등록차량"))</f>
        <v/>
      </c>
      <c r="D832" s="11"/>
      <c r="E832" s="18" t="str">
        <f aca="false">IF($D832="","",IFERROR(INDEX(정비항목!$B$3:$B$52,MATCH($D832,정비항목!$A$3:$A$52,0)),"미등록항목"))</f>
        <v/>
      </c>
      <c r="F832" s="14"/>
      <c r="G832" s="14"/>
      <c r="H832" s="11"/>
    </row>
    <row r="833" customFormat="false" ht="15" hidden="false" customHeight="true" outlineLevel="0" collapsed="false">
      <c r="A833" s="15"/>
      <c r="B833" s="11"/>
      <c r="C833" s="18" t="str">
        <f aca="false">IF($B833="","",IFERROR(INDEX(차량목록!$B$3:$B$102,MATCH($B833,차량목록!$A$3:$A$102,0)),"미등록차량"))</f>
        <v/>
      </c>
      <c r="D833" s="11"/>
      <c r="E833" s="18" t="str">
        <f aca="false">IF($D833="","",IFERROR(INDEX(정비항목!$B$3:$B$52,MATCH($D833,정비항목!$A$3:$A$52,0)),"미등록항목"))</f>
        <v/>
      </c>
      <c r="F833" s="14"/>
      <c r="G833" s="14"/>
      <c r="H833" s="11"/>
    </row>
    <row r="834" customFormat="false" ht="15" hidden="false" customHeight="true" outlineLevel="0" collapsed="false">
      <c r="A834" s="15"/>
      <c r="B834" s="11"/>
      <c r="C834" s="18" t="str">
        <f aca="false">IF($B834="","",IFERROR(INDEX(차량목록!$B$3:$B$102,MATCH($B834,차량목록!$A$3:$A$102,0)),"미등록차량"))</f>
        <v/>
      </c>
      <c r="D834" s="11"/>
      <c r="E834" s="18" t="str">
        <f aca="false">IF($D834="","",IFERROR(INDEX(정비항목!$B$3:$B$52,MATCH($D834,정비항목!$A$3:$A$52,0)),"미등록항목"))</f>
        <v/>
      </c>
      <c r="F834" s="14"/>
      <c r="G834" s="14"/>
      <c r="H834" s="11"/>
    </row>
    <row r="835" customFormat="false" ht="15" hidden="false" customHeight="true" outlineLevel="0" collapsed="false">
      <c r="A835" s="15"/>
      <c r="B835" s="11"/>
      <c r="C835" s="18" t="str">
        <f aca="false">IF($B835="","",IFERROR(INDEX(차량목록!$B$3:$B$102,MATCH($B835,차량목록!$A$3:$A$102,0)),"미등록차량"))</f>
        <v/>
      </c>
      <c r="D835" s="11"/>
      <c r="E835" s="18" t="str">
        <f aca="false">IF($D835="","",IFERROR(INDEX(정비항목!$B$3:$B$52,MATCH($D835,정비항목!$A$3:$A$52,0)),"미등록항목"))</f>
        <v/>
      </c>
      <c r="F835" s="14"/>
      <c r="G835" s="14"/>
      <c r="H835" s="11"/>
    </row>
    <row r="836" customFormat="false" ht="15" hidden="false" customHeight="true" outlineLevel="0" collapsed="false">
      <c r="A836" s="15"/>
      <c r="B836" s="11"/>
      <c r="C836" s="18" t="str">
        <f aca="false">IF($B836="","",IFERROR(INDEX(차량목록!$B$3:$B$102,MATCH($B836,차량목록!$A$3:$A$102,0)),"미등록차량"))</f>
        <v/>
      </c>
      <c r="D836" s="11"/>
      <c r="E836" s="18" t="str">
        <f aca="false">IF($D836="","",IFERROR(INDEX(정비항목!$B$3:$B$52,MATCH($D836,정비항목!$A$3:$A$52,0)),"미등록항목"))</f>
        <v/>
      </c>
      <c r="F836" s="14"/>
      <c r="G836" s="14"/>
      <c r="H836" s="11"/>
    </row>
    <row r="837" customFormat="false" ht="15" hidden="false" customHeight="true" outlineLevel="0" collapsed="false">
      <c r="A837" s="15"/>
      <c r="B837" s="11"/>
      <c r="C837" s="18" t="str">
        <f aca="false">IF($B837="","",IFERROR(INDEX(차량목록!$B$3:$B$102,MATCH($B837,차량목록!$A$3:$A$102,0)),"미등록차량"))</f>
        <v/>
      </c>
      <c r="D837" s="11"/>
      <c r="E837" s="18" t="str">
        <f aca="false">IF($D837="","",IFERROR(INDEX(정비항목!$B$3:$B$52,MATCH($D837,정비항목!$A$3:$A$52,0)),"미등록항목"))</f>
        <v/>
      </c>
      <c r="F837" s="14"/>
      <c r="G837" s="14"/>
      <c r="H837" s="11"/>
    </row>
    <row r="838" customFormat="false" ht="15" hidden="false" customHeight="true" outlineLevel="0" collapsed="false">
      <c r="A838" s="15"/>
      <c r="B838" s="11"/>
      <c r="C838" s="18" t="str">
        <f aca="false">IF($B838="","",IFERROR(INDEX(차량목록!$B$3:$B$102,MATCH($B838,차량목록!$A$3:$A$102,0)),"미등록차량"))</f>
        <v/>
      </c>
      <c r="D838" s="11"/>
      <c r="E838" s="18" t="str">
        <f aca="false">IF($D838="","",IFERROR(INDEX(정비항목!$B$3:$B$52,MATCH($D838,정비항목!$A$3:$A$52,0)),"미등록항목"))</f>
        <v/>
      </c>
      <c r="F838" s="14"/>
      <c r="G838" s="14"/>
      <c r="H838" s="11"/>
    </row>
    <row r="839" customFormat="false" ht="15" hidden="false" customHeight="true" outlineLevel="0" collapsed="false">
      <c r="A839" s="15"/>
      <c r="B839" s="11"/>
      <c r="C839" s="18" t="str">
        <f aca="false">IF($B839="","",IFERROR(INDEX(차량목록!$B$3:$B$102,MATCH($B839,차량목록!$A$3:$A$102,0)),"미등록차량"))</f>
        <v/>
      </c>
      <c r="D839" s="11"/>
      <c r="E839" s="18" t="str">
        <f aca="false">IF($D839="","",IFERROR(INDEX(정비항목!$B$3:$B$52,MATCH($D839,정비항목!$A$3:$A$52,0)),"미등록항목"))</f>
        <v/>
      </c>
      <c r="F839" s="14"/>
      <c r="G839" s="14"/>
      <c r="H839" s="11"/>
    </row>
    <row r="840" customFormat="false" ht="15" hidden="false" customHeight="true" outlineLevel="0" collapsed="false">
      <c r="A840" s="15"/>
      <c r="B840" s="11"/>
      <c r="C840" s="18" t="str">
        <f aca="false">IF($B840="","",IFERROR(INDEX(차량목록!$B$3:$B$102,MATCH($B840,차량목록!$A$3:$A$102,0)),"미등록차량"))</f>
        <v/>
      </c>
      <c r="D840" s="11"/>
      <c r="E840" s="18" t="str">
        <f aca="false">IF($D840="","",IFERROR(INDEX(정비항목!$B$3:$B$52,MATCH($D840,정비항목!$A$3:$A$52,0)),"미등록항목"))</f>
        <v/>
      </c>
      <c r="F840" s="14"/>
      <c r="G840" s="14"/>
      <c r="H840" s="11"/>
    </row>
    <row r="841" customFormat="false" ht="15" hidden="false" customHeight="true" outlineLevel="0" collapsed="false">
      <c r="A841" s="15"/>
      <c r="B841" s="11"/>
      <c r="C841" s="18" t="str">
        <f aca="false">IF($B841="","",IFERROR(INDEX(차량목록!$B$3:$B$102,MATCH($B841,차량목록!$A$3:$A$102,0)),"미등록차량"))</f>
        <v/>
      </c>
      <c r="D841" s="11"/>
      <c r="E841" s="18" t="str">
        <f aca="false">IF($D841="","",IFERROR(INDEX(정비항목!$B$3:$B$52,MATCH($D841,정비항목!$A$3:$A$52,0)),"미등록항목"))</f>
        <v/>
      </c>
      <c r="F841" s="14"/>
      <c r="G841" s="14"/>
      <c r="H841" s="11"/>
    </row>
    <row r="842" customFormat="false" ht="15" hidden="false" customHeight="true" outlineLevel="0" collapsed="false">
      <c r="A842" s="15"/>
      <c r="B842" s="11"/>
      <c r="C842" s="18" t="str">
        <f aca="false">IF($B842="","",IFERROR(INDEX(차량목록!$B$3:$B$102,MATCH($B842,차량목록!$A$3:$A$102,0)),"미등록차량"))</f>
        <v/>
      </c>
      <c r="D842" s="11"/>
      <c r="E842" s="18" t="str">
        <f aca="false">IF($D842="","",IFERROR(INDEX(정비항목!$B$3:$B$52,MATCH($D842,정비항목!$A$3:$A$52,0)),"미등록항목"))</f>
        <v/>
      </c>
      <c r="F842" s="14"/>
      <c r="G842" s="14"/>
      <c r="H842" s="11"/>
    </row>
    <row r="843" customFormat="false" ht="15" hidden="false" customHeight="true" outlineLevel="0" collapsed="false">
      <c r="A843" s="15"/>
      <c r="B843" s="11"/>
      <c r="C843" s="18" t="str">
        <f aca="false">IF($B843="","",IFERROR(INDEX(차량목록!$B$3:$B$102,MATCH($B843,차량목록!$A$3:$A$102,0)),"미등록차량"))</f>
        <v/>
      </c>
      <c r="D843" s="11"/>
      <c r="E843" s="18" t="str">
        <f aca="false">IF($D843="","",IFERROR(INDEX(정비항목!$B$3:$B$52,MATCH($D843,정비항목!$A$3:$A$52,0)),"미등록항목"))</f>
        <v/>
      </c>
      <c r="F843" s="14"/>
      <c r="G843" s="14"/>
      <c r="H843" s="11"/>
    </row>
    <row r="844" customFormat="false" ht="15" hidden="false" customHeight="true" outlineLevel="0" collapsed="false">
      <c r="A844" s="15"/>
      <c r="B844" s="11"/>
      <c r="C844" s="18" t="str">
        <f aca="false">IF($B844="","",IFERROR(INDEX(차량목록!$B$3:$B$102,MATCH($B844,차량목록!$A$3:$A$102,0)),"미등록차량"))</f>
        <v/>
      </c>
      <c r="D844" s="11"/>
      <c r="E844" s="18" t="str">
        <f aca="false">IF($D844="","",IFERROR(INDEX(정비항목!$B$3:$B$52,MATCH($D844,정비항목!$A$3:$A$52,0)),"미등록항목"))</f>
        <v/>
      </c>
      <c r="F844" s="14"/>
      <c r="G844" s="14"/>
      <c r="H844" s="11"/>
    </row>
    <row r="845" customFormat="false" ht="15" hidden="false" customHeight="true" outlineLevel="0" collapsed="false">
      <c r="A845" s="15"/>
      <c r="B845" s="11"/>
      <c r="C845" s="18" t="str">
        <f aca="false">IF($B845="","",IFERROR(INDEX(차량목록!$B$3:$B$102,MATCH($B845,차량목록!$A$3:$A$102,0)),"미등록차량"))</f>
        <v/>
      </c>
      <c r="D845" s="11"/>
      <c r="E845" s="18" t="str">
        <f aca="false">IF($D845="","",IFERROR(INDEX(정비항목!$B$3:$B$52,MATCH($D845,정비항목!$A$3:$A$52,0)),"미등록항목"))</f>
        <v/>
      </c>
      <c r="F845" s="14"/>
      <c r="G845" s="14"/>
      <c r="H845" s="11"/>
    </row>
    <row r="846" customFormat="false" ht="15" hidden="false" customHeight="true" outlineLevel="0" collapsed="false">
      <c r="A846" s="15"/>
      <c r="B846" s="11"/>
      <c r="C846" s="18" t="str">
        <f aca="false">IF($B846="","",IFERROR(INDEX(차량목록!$B$3:$B$102,MATCH($B846,차량목록!$A$3:$A$102,0)),"미등록차량"))</f>
        <v/>
      </c>
      <c r="D846" s="11"/>
      <c r="E846" s="18" t="str">
        <f aca="false">IF($D846="","",IFERROR(INDEX(정비항목!$B$3:$B$52,MATCH($D846,정비항목!$A$3:$A$52,0)),"미등록항목"))</f>
        <v/>
      </c>
      <c r="F846" s="14"/>
      <c r="G846" s="14"/>
      <c r="H846" s="11"/>
    </row>
    <row r="847" customFormat="false" ht="15" hidden="false" customHeight="true" outlineLevel="0" collapsed="false">
      <c r="A847" s="15"/>
      <c r="B847" s="11"/>
      <c r="C847" s="18" t="str">
        <f aca="false">IF($B847="","",IFERROR(INDEX(차량목록!$B$3:$B$102,MATCH($B847,차량목록!$A$3:$A$102,0)),"미등록차량"))</f>
        <v/>
      </c>
      <c r="D847" s="11"/>
      <c r="E847" s="18" t="str">
        <f aca="false">IF($D847="","",IFERROR(INDEX(정비항목!$B$3:$B$52,MATCH($D847,정비항목!$A$3:$A$52,0)),"미등록항목"))</f>
        <v/>
      </c>
      <c r="F847" s="14"/>
      <c r="G847" s="14"/>
      <c r="H847" s="11"/>
    </row>
    <row r="848" customFormat="false" ht="15" hidden="false" customHeight="true" outlineLevel="0" collapsed="false">
      <c r="A848" s="15"/>
      <c r="B848" s="11"/>
      <c r="C848" s="18" t="str">
        <f aca="false">IF($B848="","",IFERROR(INDEX(차량목록!$B$3:$B$102,MATCH($B848,차량목록!$A$3:$A$102,0)),"미등록차량"))</f>
        <v/>
      </c>
      <c r="D848" s="11"/>
      <c r="E848" s="18" t="str">
        <f aca="false">IF($D848="","",IFERROR(INDEX(정비항목!$B$3:$B$52,MATCH($D848,정비항목!$A$3:$A$52,0)),"미등록항목"))</f>
        <v/>
      </c>
      <c r="F848" s="14"/>
      <c r="G848" s="14"/>
      <c r="H848" s="11"/>
    </row>
    <row r="849" customFormat="false" ht="15" hidden="false" customHeight="true" outlineLevel="0" collapsed="false">
      <c r="A849" s="15"/>
      <c r="B849" s="11"/>
      <c r="C849" s="18" t="str">
        <f aca="false">IF($B849="","",IFERROR(INDEX(차량목록!$B$3:$B$102,MATCH($B849,차량목록!$A$3:$A$102,0)),"미등록차량"))</f>
        <v/>
      </c>
      <c r="D849" s="11"/>
      <c r="E849" s="18" t="str">
        <f aca="false">IF($D849="","",IFERROR(INDEX(정비항목!$B$3:$B$52,MATCH($D849,정비항목!$A$3:$A$52,0)),"미등록항목"))</f>
        <v/>
      </c>
      <c r="F849" s="14"/>
      <c r="G849" s="14"/>
      <c r="H849" s="11"/>
    </row>
    <row r="850" customFormat="false" ht="15" hidden="false" customHeight="true" outlineLevel="0" collapsed="false">
      <c r="A850" s="15"/>
      <c r="B850" s="11"/>
      <c r="C850" s="18" t="str">
        <f aca="false">IF($B850="","",IFERROR(INDEX(차량목록!$B$3:$B$102,MATCH($B850,차량목록!$A$3:$A$102,0)),"미등록차량"))</f>
        <v/>
      </c>
      <c r="D850" s="11"/>
      <c r="E850" s="18" t="str">
        <f aca="false">IF($D850="","",IFERROR(INDEX(정비항목!$B$3:$B$52,MATCH($D850,정비항목!$A$3:$A$52,0)),"미등록항목"))</f>
        <v/>
      </c>
      <c r="F850" s="14"/>
      <c r="G850" s="14"/>
      <c r="H850" s="11"/>
    </row>
    <row r="851" customFormat="false" ht="15" hidden="false" customHeight="true" outlineLevel="0" collapsed="false">
      <c r="A851" s="15"/>
      <c r="B851" s="11"/>
      <c r="C851" s="18" t="str">
        <f aca="false">IF($B851="","",IFERROR(INDEX(차량목록!$B$3:$B$102,MATCH($B851,차량목록!$A$3:$A$102,0)),"미등록차량"))</f>
        <v/>
      </c>
      <c r="D851" s="11"/>
      <c r="E851" s="18" t="str">
        <f aca="false">IF($D851="","",IFERROR(INDEX(정비항목!$B$3:$B$52,MATCH($D851,정비항목!$A$3:$A$52,0)),"미등록항목"))</f>
        <v/>
      </c>
      <c r="F851" s="14"/>
      <c r="G851" s="14"/>
      <c r="H851" s="11"/>
    </row>
    <row r="852" customFormat="false" ht="15" hidden="false" customHeight="true" outlineLevel="0" collapsed="false">
      <c r="A852" s="15"/>
      <c r="B852" s="11"/>
      <c r="C852" s="18" t="str">
        <f aca="false">IF($B852="","",IFERROR(INDEX(차량목록!$B$3:$B$102,MATCH($B852,차량목록!$A$3:$A$102,0)),"미등록차량"))</f>
        <v/>
      </c>
      <c r="D852" s="11"/>
      <c r="E852" s="18" t="str">
        <f aca="false">IF($D852="","",IFERROR(INDEX(정비항목!$B$3:$B$52,MATCH($D852,정비항목!$A$3:$A$52,0)),"미등록항목"))</f>
        <v/>
      </c>
      <c r="F852" s="14"/>
      <c r="G852" s="14"/>
      <c r="H852" s="11"/>
    </row>
    <row r="853" customFormat="false" ht="15" hidden="false" customHeight="true" outlineLevel="0" collapsed="false">
      <c r="A853" s="15"/>
      <c r="B853" s="11"/>
      <c r="C853" s="18" t="str">
        <f aca="false">IF($B853="","",IFERROR(INDEX(차량목록!$B$3:$B$102,MATCH($B853,차량목록!$A$3:$A$102,0)),"미등록차량"))</f>
        <v/>
      </c>
      <c r="D853" s="11"/>
      <c r="E853" s="18" t="str">
        <f aca="false">IF($D853="","",IFERROR(INDEX(정비항목!$B$3:$B$52,MATCH($D853,정비항목!$A$3:$A$52,0)),"미등록항목"))</f>
        <v/>
      </c>
      <c r="F853" s="14"/>
      <c r="G853" s="14"/>
      <c r="H853" s="11"/>
    </row>
    <row r="854" customFormat="false" ht="15" hidden="false" customHeight="true" outlineLevel="0" collapsed="false">
      <c r="A854" s="15"/>
      <c r="B854" s="11"/>
      <c r="C854" s="18" t="str">
        <f aca="false">IF($B854="","",IFERROR(INDEX(차량목록!$B$3:$B$102,MATCH($B854,차량목록!$A$3:$A$102,0)),"미등록차량"))</f>
        <v/>
      </c>
      <c r="D854" s="11"/>
      <c r="E854" s="18" t="str">
        <f aca="false">IF($D854="","",IFERROR(INDEX(정비항목!$B$3:$B$52,MATCH($D854,정비항목!$A$3:$A$52,0)),"미등록항목"))</f>
        <v/>
      </c>
      <c r="F854" s="14"/>
      <c r="G854" s="14"/>
      <c r="H854" s="11"/>
    </row>
    <row r="855" customFormat="false" ht="15" hidden="false" customHeight="true" outlineLevel="0" collapsed="false">
      <c r="A855" s="15"/>
      <c r="B855" s="11"/>
      <c r="C855" s="18" t="str">
        <f aca="false">IF($B855="","",IFERROR(INDEX(차량목록!$B$3:$B$102,MATCH($B855,차량목록!$A$3:$A$102,0)),"미등록차량"))</f>
        <v/>
      </c>
      <c r="D855" s="11"/>
      <c r="E855" s="18" t="str">
        <f aca="false">IF($D855="","",IFERROR(INDEX(정비항목!$B$3:$B$52,MATCH($D855,정비항목!$A$3:$A$52,0)),"미등록항목"))</f>
        <v/>
      </c>
      <c r="F855" s="14"/>
      <c r="G855" s="14"/>
      <c r="H855" s="11"/>
    </row>
    <row r="856" customFormat="false" ht="15" hidden="false" customHeight="true" outlineLevel="0" collapsed="false">
      <c r="A856" s="15"/>
      <c r="B856" s="11"/>
      <c r="C856" s="18" t="str">
        <f aca="false">IF($B856="","",IFERROR(INDEX(차량목록!$B$3:$B$102,MATCH($B856,차량목록!$A$3:$A$102,0)),"미등록차량"))</f>
        <v/>
      </c>
      <c r="D856" s="11"/>
      <c r="E856" s="18" t="str">
        <f aca="false">IF($D856="","",IFERROR(INDEX(정비항목!$B$3:$B$52,MATCH($D856,정비항목!$A$3:$A$52,0)),"미등록항목"))</f>
        <v/>
      </c>
      <c r="F856" s="14"/>
      <c r="G856" s="14"/>
      <c r="H856" s="11"/>
    </row>
    <row r="857" customFormat="false" ht="15" hidden="false" customHeight="true" outlineLevel="0" collapsed="false">
      <c r="A857" s="15"/>
      <c r="B857" s="11"/>
      <c r="C857" s="18" t="str">
        <f aca="false">IF($B857="","",IFERROR(INDEX(차량목록!$B$3:$B$102,MATCH($B857,차량목록!$A$3:$A$102,0)),"미등록차량"))</f>
        <v/>
      </c>
      <c r="D857" s="11"/>
      <c r="E857" s="18" t="str">
        <f aca="false">IF($D857="","",IFERROR(INDEX(정비항목!$B$3:$B$52,MATCH($D857,정비항목!$A$3:$A$52,0)),"미등록항목"))</f>
        <v/>
      </c>
      <c r="F857" s="14"/>
      <c r="G857" s="14"/>
      <c r="H857" s="11"/>
    </row>
    <row r="858" customFormat="false" ht="15" hidden="false" customHeight="true" outlineLevel="0" collapsed="false">
      <c r="A858" s="15"/>
      <c r="B858" s="11"/>
      <c r="C858" s="18" t="str">
        <f aca="false">IF($B858="","",IFERROR(INDEX(차량목록!$B$3:$B$102,MATCH($B858,차량목록!$A$3:$A$102,0)),"미등록차량"))</f>
        <v/>
      </c>
      <c r="D858" s="11"/>
      <c r="E858" s="18" t="str">
        <f aca="false">IF($D858="","",IFERROR(INDEX(정비항목!$B$3:$B$52,MATCH($D858,정비항목!$A$3:$A$52,0)),"미등록항목"))</f>
        <v/>
      </c>
      <c r="F858" s="14"/>
      <c r="G858" s="14"/>
      <c r="H858" s="11"/>
    </row>
    <row r="859" customFormat="false" ht="15" hidden="false" customHeight="true" outlineLevel="0" collapsed="false">
      <c r="A859" s="15"/>
      <c r="B859" s="11"/>
      <c r="C859" s="18" t="str">
        <f aca="false">IF($B859="","",IFERROR(INDEX(차량목록!$B$3:$B$102,MATCH($B859,차량목록!$A$3:$A$102,0)),"미등록차량"))</f>
        <v/>
      </c>
      <c r="D859" s="11"/>
      <c r="E859" s="18" t="str">
        <f aca="false">IF($D859="","",IFERROR(INDEX(정비항목!$B$3:$B$52,MATCH($D859,정비항목!$A$3:$A$52,0)),"미등록항목"))</f>
        <v/>
      </c>
      <c r="F859" s="14"/>
      <c r="G859" s="14"/>
      <c r="H859" s="11"/>
    </row>
    <row r="860" customFormat="false" ht="15" hidden="false" customHeight="true" outlineLevel="0" collapsed="false">
      <c r="A860" s="15"/>
      <c r="B860" s="11"/>
      <c r="C860" s="18" t="str">
        <f aca="false">IF($B860="","",IFERROR(INDEX(차량목록!$B$3:$B$102,MATCH($B860,차량목록!$A$3:$A$102,0)),"미등록차량"))</f>
        <v/>
      </c>
      <c r="D860" s="11"/>
      <c r="E860" s="18" t="str">
        <f aca="false">IF($D860="","",IFERROR(INDEX(정비항목!$B$3:$B$52,MATCH($D860,정비항목!$A$3:$A$52,0)),"미등록항목"))</f>
        <v/>
      </c>
      <c r="F860" s="14"/>
      <c r="G860" s="14"/>
      <c r="H860" s="11"/>
    </row>
    <row r="861" customFormat="false" ht="15" hidden="false" customHeight="true" outlineLevel="0" collapsed="false">
      <c r="A861" s="15"/>
      <c r="B861" s="11"/>
      <c r="C861" s="18" t="str">
        <f aca="false">IF($B861="","",IFERROR(INDEX(차량목록!$B$3:$B$102,MATCH($B861,차량목록!$A$3:$A$102,0)),"미등록차량"))</f>
        <v/>
      </c>
      <c r="D861" s="11"/>
      <c r="E861" s="18" t="str">
        <f aca="false">IF($D861="","",IFERROR(INDEX(정비항목!$B$3:$B$52,MATCH($D861,정비항목!$A$3:$A$52,0)),"미등록항목"))</f>
        <v/>
      </c>
      <c r="F861" s="14"/>
      <c r="G861" s="14"/>
      <c r="H861" s="11"/>
    </row>
    <row r="862" customFormat="false" ht="15" hidden="false" customHeight="true" outlineLevel="0" collapsed="false">
      <c r="A862" s="15"/>
      <c r="B862" s="11"/>
      <c r="C862" s="18" t="str">
        <f aca="false">IF($B862="","",IFERROR(INDEX(차량목록!$B$3:$B$102,MATCH($B862,차량목록!$A$3:$A$102,0)),"미등록차량"))</f>
        <v/>
      </c>
      <c r="D862" s="11"/>
      <c r="E862" s="18" t="str">
        <f aca="false">IF($D862="","",IFERROR(INDEX(정비항목!$B$3:$B$52,MATCH($D862,정비항목!$A$3:$A$52,0)),"미등록항목"))</f>
        <v/>
      </c>
      <c r="F862" s="14"/>
      <c r="G862" s="14"/>
      <c r="H862" s="11"/>
    </row>
    <row r="863" customFormat="false" ht="15" hidden="false" customHeight="true" outlineLevel="0" collapsed="false">
      <c r="A863" s="15"/>
      <c r="B863" s="11"/>
      <c r="C863" s="18" t="str">
        <f aca="false">IF($B863="","",IFERROR(INDEX(차량목록!$B$3:$B$102,MATCH($B863,차량목록!$A$3:$A$102,0)),"미등록차량"))</f>
        <v/>
      </c>
      <c r="D863" s="11"/>
      <c r="E863" s="18" t="str">
        <f aca="false">IF($D863="","",IFERROR(INDEX(정비항목!$B$3:$B$52,MATCH($D863,정비항목!$A$3:$A$52,0)),"미등록항목"))</f>
        <v/>
      </c>
      <c r="F863" s="14"/>
      <c r="G863" s="14"/>
      <c r="H863" s="11"/>
    </row>
    <row r="864" customFormat="false" ht="15" hidden="false" customHeight="true" outlineLevel="0" collapsed="false">
      <c r="A864" s="15"/>
      <c r="B864" s="11"/>
      <c r="C864" s="18" t="str">
        <f aca="false">IF($B864="","",IFERROR(INDEX(차량목록!$B$3:$B$102,MATCH($B864,차량목록!$A$3:$A$102,0)),"미등록차량"))</f>
        <v/>
      </c>
      <c r="D864" s="11"/>
      <c r="E864" s="18" t="str">
        <f aca="false">IF($D864="","",IFERROR(INDEX(정비항목!$B$3:$B$52,MATCH($D864,정비항목!$A$3:$A$52,0)),"미등록항목"))</f>
        <v/>
      </c>
      <c r="F864" s="14"/>
      <c r="G864" s="14"/>
      <c r="H864" s="11"/>
    </row>
    <row r="865" customFormat="false" ht="15" hidden="false" customHeight="true" outlineLevel="0" collapsed="false">
      <c r="A865" s="15"/>
      <c r="B865" s="11"/>
      <c r="C865" s="18" t="str">
        <f aca="false">IF($B865="","",IFERROR(INDEX(차량목록!$B$3:$B$102,MATCH($B865,차량목록!$A$3:$A$102,0)),"미등록차량"))</f>
        <v/>
      </c>
      <c r="D865" s="11"/>
      <c r="E865" s="18" t="str">
        <f aca="false">IF($D865="","",IFERROR(INDEX(정비항목!$B$3:$B$52,MATCH($D865,정비항목!$A$3:$A$52,0)),"미등록항목"))</f>
        <v/>
      </c>
      <c r="F865" s="14"/>
      <c r="G865" s="14"/>
      <c r="H865" s="11"/>
    </row>
    <row r="866" customFormat="false" ht="15" hidden="false" customHeight="true" outlineLevel="0" collapsed="false">
      <c r="A866" s="15"/>
      <c r="B866" s="11"/>
      <c r="C866" s="18" t="str">
        <f aca="false">IF($B866="","",IFERROR(INDEX(차량목록!$B$3:$B$102,MATCH($B866,차량목록!$A$3:$A$102,0)),"미등록차량"))</f>
        <v/>
      </c>
      <c r="D866" s="11"/>
      <c r="E866" s="18" t="str">
        <f aca="false">IF($D866="","",IFERROR(INDEX(정비항목!$B$3:$B$52,MATCH($D866,정비항목!$A$3:$A$52,0)),"미등록항목"))</f>
        <v/>
      </c>
      <c r="F866" s="14"/>
      <c r="G866" s="14"/>
      <c r="H866" s="11"/>
    </row>
    <row r="867" customFormat="false" ht="15" hidden="false" customHeight="true" outlineLevel="0" collapsed="false">
      <c r="A867" s="15"/>
      <c r="B867" s="11"/>
      <c r="C867" s="18" t="str">
        <f aca="false">IF($B867="","",IFERROR(INDEX(차량목록!$B$3:$B$102,MATCH($B867,차량목록!$A$3:$A$102,0)),"미등록차량"))</f>
        <v/>
      </c>
      <c r="D867" s="11"/>
      <c r="E867" s="18" t="str">
        <f aca="false">IF($D867="","",IFERROR(INDEX(정비항목!$B$3:$B$52,MATCH($D867,정비항목!$A$3:$A$52,0)),"미등록항목"))</f>
        <v/>
      </c>
      <c r="F867" s="14"/>
      <c r="G867" s="14"/>
      <c r="H867" s="11"/>
    </row>
    <row r="868" customFormat="false" ht="15" hidden="false" customHeight="true" outlineLevel="0" collapsed="false">
      <c r="A868" s="15"/>
      <c r="B868" s="11"/>
      <c r="C868" s="18" t="str">
        <f aca="false">IF($B868="","",IFERROR(INDEX(차량목록!$B$3:$B$102,MATCH($B868,차량목록!$A$3:$A$102,0)),"미등록차량"))</f>
        <v/>
      </c>
      <c r="D868" s="11"/>
      <c r="E868" s="18" t="str">
        <f aca="false">IF($D868="","",IFERROR(INDEX(정비항목!$B$3:$B$52,MATCH($D868,정비항목!$A$3:$A$52,0)),"미등록항목"))</f>
        <v/>
      </c>
      <c r="F868" s="14"/>
      <c r="G868" s="14"/>
      <c r="H868" s="11"/>
    </row>
    <row r="869" customFormat="false" ht="15" hidden="false" customHeight="true" outlineLevel="0" collapsed="false">
      <c r="A869" s="15"/>
      <c r="B869" s="11"/>
      <c r="C869" s="18" t="str">
        <f aca="false">IF($B869="","",IFERROR(INDEX(차량목록!$B$3:$B$102,MATCH($B869,차량목록!$A$3:$A$102,0)),"미등록차량"))</f>
        <v/>
      </c>
      <c r="D869" s="11"/>
      <c r="E869" s="18" t="str">
        <f aca="false">IF($D869="","",IFERROR(INDEX(정비항목!$B$3:$B$52,MATCH($D869,정비항목!$A$3:$A$52,0)),"미등록항목"))</f>
        <v/>
      </c>
      <c r="F869" s="14"/>
      <c r="G869" s="14"/>
      <c r="H869" s="11"/>
    </row>
    <row r="870" customFormat="false" ht="15" hidden="false" customHeight="true" outlineLevel="0" collapsed="false">
      <c r="A870" s="15"/>
      <c r="B870" s="11"/>
      <c r="C870" s="18" t="str">
        <f aca="false">IF($B870="","",IFERROR(INDEX(차량목록!$B$3:$B$102,MATCH($B870,차량목록!$A$3:$A$102,0)),"미등록차량"))</f>
        <v/>
      </c>
      <c r="D870" s="11"/>
      <c r="E870" s="18" t="str">
        <f aca="false">IF($D870="","",IFERROR(INDEX(정비항목!$B$3:$B$52,MATCH($D870,정비항목!$A$3:$A$52,0)),"미등록항목"))</f>
        <v/>
      </c>
      <c r="F870" s="14"/>
      <c r="G870" s="14"/>
      <c r="H870" s="11"/>
    </row>
    <row r="871" customFormat="false" ht="15" hidden="false" customHeight="true" outlineLevel="0" collapsed="false">
      <c r="A871" s="15"/>
      <c r="B871" s="11"/>
      <c r="C871" s="18" t="str">
        <f aca="false">IF($B871="","",IFERROR(INDEX(차량목록!$B$3:$B$102,MATCH($B871,차량목록!$A$3:$A$102,0)),"미등록차량"))</f>
        <v/>
      </c>
      <c r="D871" s="11"/>
      <c r="E871" s="18" t="str">
        <f aca="false">IF($D871="","",IFERROR(INDEX(정비항목!$B$3:$B$52,MATCH($D871,정비항목!$A$3:$A$52,0)),"미등록항목"))</f>
        <v/>
      </c>
      <c r="F871" s="14"/>
      <c r="G871" s="14"/>
      <c r="H871" s="11"/>
    </row>
    <row r="872" customFormat="false" ht="15" hidden="false" customHeight="true" outlineLevel="0" collapsed="false">
      <c r="A872" s="15"/>
      <c r="B872" s="11"/>
      <c r="C872" s="18" t="str">
        <f aca="false">IF($B872="","",IFERROR(INDEX(차량목록!$B$3:$B$102,MATCH($B872,차량목록!$A$3:$A$102,0)),"미등록차량"))</f>
        <v/>
      </c>
      <c r="D872" s="11"/>
      <c r="E872" s="18" t="str">
        <f aca="false">IF($D872="","",IFERROR(INDEX(정비항목!$B$3:$B$52,MATCH($D872,정비항목!$A$3:$A$52,0)),"미등록항목"))</f>
        <v/>
      </c>
      <c r="F872" s="14"/>
      <c r="G872" s="14"/>
      <c r="H872" s="11"/>
    </row>
    <row r="873" customFormat="false" ht="15" hidden="false" customHeight="true" outlineLevel="0" collapsed="false">
      <c r="A873" s="15"/>
      <c r="B873" s="11"/>
      <c r="C873" s="18" t="str">
        <f aca="false">IF($B873="","",IFERROR(INDEX(차량목록!$B$3:$B$102,MATCH($B873,차량목록!$A$3:$A$102,0)),"미등록차량"))</f>
        <v/>
      </c>
      <c r="D873" s="11"/>
      <c r="E873" s="18" t="str">
        <f aca="false">IF($D873="","",IFERROR(INDEX(정비항목!$B$3:$B$52,MATCH($D873,정비항목!$A$3:$A$52,0)),"미등록항목"))</f>
        <v/>
      </c>
      <c r="F873" s="14"/>
      <c r="G873" s="14"/>
      <c r="H873" s="11"/>
    </row>
    <row r="874" customFormat="false" ht="15" hidden="false" customHeight="true" outlineLevel="0" collapsed="false">
      <c r="A874" s="15"/>
      <c r="B874" s="11"/>
      <c r="C874" s="18" t="str">
        <f aca="false">IF($B874="","",IFERROR(INDEX(차량목록!$B$3:$B$102,MATCH($B874,차량목록!$A$3:$A$102,0)),"미등록차량"))</f>
        <v/>
      </c>
      <c r="D874" s="11"/>
      <c r="E874" s="18" t="str">
        <f aca="false">IF($D874="","",IFERROR(INDEX(정비항목!$B$3:$B$52,MATCH($D874,정비항목!$A$3:$A$52,0)),"미등록항목"))</f>
        <v/>
      </c>
      <c r="F874" s="14"/>
      <c r="G874" s="14"/>
      <c r="H874" s="11"/>
    </row>
    <row r="875" customFormat="false" ht="15" hidden="false" customHeight="true" outlineLevel="0" collapsed="false">
      <c r="A875" s="15"/>
      <c r="B875" s="11"/>
      <c r="C875" s="18" t="str">
        <f aca="false">IF($B875="","",IFERROR(INDEX(차량목록!$B$3:$B$102,MATCH($B875,차량목록!$A$3:$A$102,0)),"미등록차량"))</f>
        <v/>
      </c>
      <c r="D875" s="11"/>
      <c r="E875" s="18" t="str">
        <f aca="false">IF($D875="","",IFERROR(INDEX(정비항목!$B$3:$B$52,MATCH($D875,정비항목!$A$3:$A$52,0)),"미등록항목"))</f>
        <v/>
      </c>
      <c r="F875" s="14"/>
      <c r="G875" s="14"/>
      <c r="H875" s="11"/>
    </row>
    <row r="876" customFormat="false" ht="15" hidden="false" customHeight="true" outlineLevel="0" collapsed="false">
      <c r="A876" s="15"/>
      <c r="B876" s="11"/>
      <c r="C876" s="18" t="str">
        <f aca="false">IF($B876="","",IFERROR(INDEX(차량목록!$B$3:$B$102,MATCH($B876,차량목록!$A$3:$A$102,0)),"미등록차량"))</f>
        <v/>
      </c>
      <c r="D876" s="11"/>
      <c r="E876" s="18" t="str">
        <f aca="false">IF($D876="","",IFERROR(INDEX(정비항목!$B$3:$B$52,MATCH($D876,정비항목!$A$3:$A$52,0)),"미등록항목"))</f>
        <v/>
      </c>
      <c r="F876" s="14"/>
      <c r="G876" s="14"/>
      <c r="H876" s="11"/>
    </row>
    <row r="877" customFormat="false" ht="15" hidden="false" customHeight="true" outlineLevel="0" collapsed="false">
      <c r="A877" s="15"/>
      <c r="B877" s="11"/>
      <c r="C877" s="18" t="str">
        <f aca="false">IF($B877="","",IFERROR(INDEX(차량목록!$B$3:$B$102,MATCH($B877,차량목록!$A$3:$A$102,0)),"미등록차량"))</f>
        <v/>
      </c>
      <c r="D877" s="11"/>
      <c r="E877" s="18" t="str">
        <f aca="false">IF($D877="","",IFERROR(INDEX(정비항목!$B$3:$B$52,MATCH($D877,정비항목!$A$3:$A$52,0)),"미등록항목"))</f>
        <v/>
      </c>
      <c r="F877" s="14"/>
      <c r="G877" s="14"/>
      <c r="H877" s="11"/>
    </row>
    <row r="878" customFormat="false" ht="15" hidden="false" customHeight="true" outlineLevel="0" collapsed="false">
      <c r="A878" s="15"/>
      <c r="B878" s="11"/>
      <c r="C878" s="18" t="str">
        <f aca="false">IF($B878="","",IFERROR(INDEX(차량목록!$B$3:$B$102,MATCH($B878,차량목록!$A$3:$A$102,0)),"미등록차량"))</f>
        <v/>
      </c>
      <c r="D878" s="11"/>
      <c r="E878" s="18" t="str">
        <f aca="false">IF($D878="","",IFERROR(INDEX(정비항목!$B$3:$B$52,MATCH($D878,정비항목!$A$3:$A$52,0)),"미등록항목"))</f>
        <v/>
      </c>
      <c r="F878" s="14"/>
      <c r="G878" s="14"/>
      <c r="H878" s="11"/>
    </row>
    <row r="879" customFormat="false" ht="15" hidden="false" customHeight="true" outlineLevel="0" collapsed="false">
      <c r="A879" s="15"/>
      <c r="B879" s="11"/>
      <c r="C879" s="18" t="str">
        <f aca="false">IF($B879="","",IFERROR(INDEX(차량목록!$B$3:$B$102,MATCH($B879,차량목록!$A$3:$A$102,0)),"미등록차량"))</f>
        <v/>
      </c>
      <c r="D879" s="11"/>
      <c r="E879" s="18" t="str">
        <f aca="false">IF($D879="","",IFERROR(INDEX(정비항목!$B$3:$B$52,MATCH($D879,정비항목!$A$3:$A$52,0)),"미등록항목"))</f>
        <v/>
      </c>
      <c r="F879" s="14"/>
      <c r="G879" s="14"/>
      <c r="H879" s="11"/>
    </row>
    <row r="880" customFormat="false" ht="15" hidden="false" customHeight="true" outlineLevel="0" collapsed="false">
      <c r="A880" s="15"/>
      <c r="B880" s="11"/>
      <c r="C880" s="18" t="str">
        <f aca="false">IF($B880="","",IFERROR(INDEX(차량목록!$B$3:$B$102,MATCH($B880,차량목록!$A$3:$A$102,0)),"미등록차량"))</f>
        <v/>
      </c>
      <c r="D880" s="11"/>
      <c r="E880" s="18" t="str">
        <f aca="false">IF($D880="","",IFERROR(INDEX(정비항목!$B$3:$B$52,MATCH($D880,정비항목!$A$3:$A$52,0)),"미등록항목"))</f>
        <v/>
      </c>
      <c r="F880" s="14"/>
      <c r="G880" s="14"/>
      <c r="H880" s="11"/>
    </row>
    <row r="881" customFormat="false" ht="15" hidden="false" customHeight="true" outlineLevel="0" collapsed="false">
      <c r="A881" s="15"/>
      <c r="B881" s="11"/>
      <c r="C881" s="18" t="str">
        <f aca="false">IF($B881="","",IFERROR(INDEX(차량목록!$B$3:$B$102,MATCH($B881,차량목록!$A$3:$A$102,0)),"미등록차량"))</f>
        <v/>
      </c>
      <c r="D881" s="11"/>
      <c r="E881" s="18" t="str">
        <f aca="false">IF($D881="","",IFERROR(INDEX(정비항목!$B$3:$B$52,MATCH($D881,정비항목!$A$3:$A$52,0)),"미등록항목"))</f>
        <v/>
      </c>
      <c r="F881" s="14"/>
      <c r="G881" s="14"/>
      <c r="H881" s="11"/>
    </row>
    <row r="882" customFormat="false" ht="15" hidden="false" customHeight="true" outlineLevel="0" collapsed="false">
      <c r="A882" s="15"/>
      <c r="B882" s="11"/>
      <c r="C882" s="18" t="str">
        <f aca="false">IF($B882="","",IFERROR(INDEX(차량목록!$B$3:$B$102,MATCH($B882,차량목록!$A$3:$A$102,0)),"미등록차량"))</f>
        <v/>
      </c>
      <c r="D882" s="11"/>
      <c r="E882" s="18" t="str">
        <f aca="false">IF($D882="","",IFERROR(INDEX(정비항목!$B$3:$B$52,MATCH($D882,정비항목!$A$3:$A$52,0)),"미등록항목"))</f>
        <v/>
      </c>
      <c r="F882" s="14"/>
      <c r="G882" s="14"/>
      <c r="H882" s="11"/>
    </row>
    <row r="883" customFormat="false" ht="15" hidden="false" customHeight="true" outlineLevel="0" collapsed="false">
      <c r="A883" s="15"/>
      <c r="B883" s="11"/>
      <c r="C883" s="18" t="str">
        <f aca="false">IF($B883="","",IFERROR(INDEX(차량목록!$B$3:$B$102,MATCH($B883,차량목록!$A$3:$A$102,0)),"미등록차량"))</f>
        <v/>
      </c>
      <c r="D883" s="11"/>
      <c r="E883" s="18" t="str">
        <f aca="false">IF($D883="","",IFERROR(INDEX(정비항목!$B$3:$B$52,MATCH($D883,정비항목!$A$3:$A$52,0)),"미등록항목"))</f>
        <v/>
      </c>
      <c r="F883" s="14"/>
      <c r="G883" s="14"/>
      <c r="H883" s="11"/>
    </row>
    <row r="884" customFormat="false" ht="15" hidden="false" customHeight="true" outlineLevel="0" collapsed="false">
      <c r="A884" s="15"/>
      <c r="B884" s="11"/>
      <c r="C884" s="18" t="str">
        <f aca="false">IF($B884="","",IFERROR(INDEX(차량목록!$B$3:$B$102,MATCH($B884,차량목록!$A$3:$A$102,0)),"미등록차량"))</f>
        <v/>
      </c>
      <c r="D884" s="11"/>
      <c r="E884" s="18" t="str">
        <f aca="false">IF($D884="","",IFERROR(INDEX(정비항목!$B$3:$B$52,MATCH($D884,정비항목!$A$3:$A$52,0)),"미등록항목"))</f>
        <v/>
      </c>
      <c r="F884" s="14"/>
      <c r="G884" s="14"/>
      <c r="H884" s="11"/>
    </row>
    <row r="885" customFormat="false" ht="15" hidden="false" customHeight="true" outlineLevel="0" collapsed="false">
      <c r="A885" s="15"/>
      <c r="B885" s="11"/>
      <c r="C885" s="18" t="str">
        <f aca="false">IF($B885="","",IFERROR(INDEX(차량목록!$B$3:$B$102,MATCH($B885,차량목록!$A$3:$A$102,0)),"미등록차량"))</f>
        <v/>
      </c>
      <c r="D885" s="11"/>
      <c r="E885" s="18" t="str">
        <f aca="false">IF($D885="","",IFERROR(INDEX(정비항목!$B$3:$B$52,MATCH($D885,정비항목!$A$3:$A$52,0)),"미등록항목"))</f>
        <v/>
      </c>
      <c r="F885" s="14"/>
      <c r="G885" s="14"/>
      <c r="H885" s="11"/>
    </row>
    <row r="886" customFormat="false" ht="15" hidden="false" customHeight="true" outlineLevel="0" collapsed="false">
      <c r="A886" s="15"/>
      <c r="B886" s="11"/>
      <c r="C886" s="18" t="str">
        <f aca="false">IF($B886="","",IFERROR(INDEX(차량목록!$B$3:$B$102,MATCH($B886,차량목록!$A$3:$A$102,0)),"미등록차량"))</f>
        <v/>
      </c>
      <c r="D886" s="11"/>
      <c r="E886" s="18" t="str">
        <f aca="false">IF($D886="","",IFERROR(INDEX(정비항목!$B$3:$B$52,MATCH($D886,정비항목!$A$3:$A$52,0)),"미등록항목"))</f>
        <v/>
      </c>
      <c r="F886" s="14"/>
      <c r="G886" s="14"/>
      <c r="H886" s="11"/>
    </row>
    <row r="887" customFormat="false" ht="15" hidden="false" customHeight="true" outlineLevel="0" collapsed="false">
      <c r="A887" s="15"/>
      <c r="B887" s="11"/>
      <c r="C887" s="18" t="str">
        <f aca="false">IF($B887="","",IFERROR(INDEX(차량목록!$B$3:$B$102,MATCH($B887,차량목록!$A$3:$A$102,0)),"미등록차량"))</f>
        <v/>
      </c>
      <c r="D887" s="11"/>
      <c r="E887" s="18" t="str">
        <f aca="false">IF($D887="","",IFERROR(INDEX(정비항목!$B$3:$B$52,MATCH($D887,정비항목!$A$3:$A$52,0)),"미등록항목"))</f>
        <v/>
      </c>
      <c r="F887" s="14"/>
      <c r="G887" s="14"/>
      <c r="H887" s="11"/>
    </row>
    <row r="888" customFormat="false" ht="15" hidden="false" customHeight="true" outlineLevel="0" collapsed="false">
      <c r="A888" s="15"/>
      <c r="B888" s="11"/>
      <c r="C888" s="18" t="str">
        <f aca="false">IF($B888="","",IFERROR(INDEX(차량목록!$B$3:$B$102,MATCH($B888,차량목록!$A$3:$A$102,0)),"미등록차량"))</f>
        <v/>
      </c>
      <c r="D888" s="11"/>
      <c r="E888" s="18" t="str">
        <f aca="false">IF($D888="","",IFERROR(INDEX(정비항목!$B$3:$B$52,MATCH($D888,정비항목!$A$3:$A$52,0)),"미등록항목"))</f>
        <v/>
      </c>
      <c r="F888" s="14"/>
      <c r="G888" s="14"/>
      <c r="H888" s="11"/>
    </row>
    <row r="889" customFormat="false" ht="15" hidden="false" customHeight="true" outlineLevel="0" collapsed="false">
      <c r="A889" s="15"/>
      <c r="B889" s="11"/>
      <c r="C889" s="18" t="str">
        <f aca="false">IF($B889="","",IFERROR(INDEX(차량목록!$B$3:$B$102,MATCH($B889,차량목록!$A$3:$A$102,0)),"미등록차량"))</f>
        <v/>
      </c>
      <c r="D889" s="11"/>
      <c r="E889" s="18" t="str">
        <f aca="false">IF($D889="","",IFERROR(INDEX(정비항목!$B$3:$B$52,MATCH($D889,정비항목!$A$3:$A$52,0)),"미등록항목"))</f>
        <v/>
      </c>
      <c r="F889" s="14"/>
      <c r="G889" s="14"/>
      <c r="H889" s="11"/>
    </row>
    <row r="890" customFormat="false" ht="15" hidden="false" customHeight="true" outlineLevel="0" collapsed="false">
      <c r="A890" s="15"/>
      <c r="B890" s="11"/>
      <c r="C890" s="18" t="str">
        <f aca="false">IF($B890="","",IFERROR(INDEX(차량목록!$B$3:$B$102,MATCH($B890,차량목록!$A$3:$A$102,0)),"미등록차량"))</f>
        <v/>
      </c>
      <c r="D890" s="11"/>
      <c r="E890" s="18" t="str">
        <f aca="false">IF($D890="","",IFERROR(INDEX(정비항목!$B$3:$B$52,MATCH($D890,정비항목!$A$3:$A$52,0)),"미등록항목"))</f>
        <v/>
      </c>
      <c r="F890" s="14"/>
      <c r="G890" s="14"/>
      <c r="H890" s="11"/>
    </row>
    <row r="891" customFormat="false" ht="15" hidden="false" customHeight="true" outlineLevel="0" collapsed="false">
      <c r="A891" s="15"/>
      <c r="B891" s="11"/>
      <c r="C891" s="18" t="str">
        <f aca="false">IF($B891="","",IFERROR(INDEX(차량목록!$B$3:$B$102,MATCH($B891,차량목록!$A$3:$A$102,0)),"미등록차량"))</f>
        <v/>
      </c>
      <c r="D891" s="11"/>
      <c r="E891" s="18" t="str">
        <f aca="false">IF($D891="","",IFERROR(INDEX(정비항목!$B$3:$B$52,MATCH($D891,정비항목!$A$3:$A$52,0)),"미등록항목"))</f>
        <v/>
      </c>
      <c r="F891" s="14"/>
      <c r="G891" s="14"/>
      <c r="H891" s="11"/>
    </row>
    <row r="892" customFormat="false" ht="15" hidden="false" customHeight="true" outlineLevel="0" collapsed="false">
      <c r="A892" s="15"/>
      <c r="B892" s="11"/>
      <c r="C892" s="18" t="str">
        <f aca="false">IF($B892="","",IFERROR(INDEX(차량목록!$B$3:$B$102,MATCH($B892,차량목록!$A$3:$A$102,0)),"미등록차량"))</f>
        <v/>
      </c>
      <c r="D892" s="11"/>
      <c r="E892" s="18" t="str">
        <f aca="false">IF($D892="","",IFERROR(INDEX(정비항목!$B$3:$B$52,MATCH($D892,정비항목!$A$3:$A$52,0)),"미등록항목"))</f>
        <v/>
      </c>
      <c r="F892" s="14"/>
      <c r="G892" s="14"/>
      <c r="H892" s="11"/>
    </row>
    <row r="893" customFormat="false" ht="15" hidden="false" customHeight="true" outlineLevel="0" collapsed="false">
      <c r="A893" s="15"/>
      <c r="B893" s="11"/>
      <c r="C893" s="18" t="str">
        <f aca="false">IF($B893="","",IFERROR(INDEX(차량목록!$B$3:$B$102,MATCH($B893,차량목록!$A$3:$A$102,0)),"미등록차량"))</f>
        <v/>
      </c>
      <c r="D893" s="11"/>
      <c r="E893" s="18" t="str">
        <f aca="false">IF($D893="","",IFERROR(INDEX(정비항목!$B$3:$B$52,MATCH($D893,정비항목!$A$3:$A$52,0)),"미등록항목"))</f>
        <v/>
      </c>
      <c r="F893" s="14"/>
      <c r="G893" s="14"/>
      <c r="H893" s="11"/>
    </row>
    <row r="894" customFormat="false" ht="15" hidden="false" customHeight="true" outlineLevel="0" collapsed="false">
      <c r="A894" s="15"/>
      <c r="B894" s="11"/>
      <c r="C894" s="18" t="str">
        <f aca="false">IF($B894="","",IFERROR(INDEX(차량목록!$B$3:$B$102,MATCH($B894,차량목록!$A$3:$A$102,0)),"미등록차량"))</f>
        <v/>
      </c>
      <c r="D894" s="11"/>
      <c r="E894" s="18" t="str">
        <f aca="false">IF($D894="","",IFERROR(INDEX(정비항목!$B$3:$B$52,MATCH($D894,정비항목!$A$3:$A$52,0)),"미등록항목"))</f>
        <v/>
      </c>
      <c r="F894" s="14"/>
      <c r="G894" s="14"/>
      <c r="H894" s="11"/>
    </row>
    <row r="895" customFormat="false" ht="15" hidden="false" customHeight="true" outlineLevel="0" collapsed="false">
      <c r="A895" s="15"/>
      <c r="B895" s="11"/>
      <c r="C895" s="18" t="str">
        <f aca="false">IF($B895="","",IFERROR(INDEX(차량목록!$B$3:$B$102,MATCH($B895,차량목록!$A$3:$A$102,0)),"미등록차량"))</f>
        <v/>
      </c>
      <c r="D895" s="11"/>
      <c r="E895" s="18" t="str">
        <f aca="false">IF($D895="","",IFERROR(INDEX(정비항목!$B$3:$B$52,MATCH($D895,정비항목!$A$3:$A$52,0)),"미등록항목"))</f>
        <v/>
      </c>
      <c r="F895" s="14"/>
      <c r="G895" s="14"/>
      <c r="H895" s="11"/>
    </row>
    <row r="896" customFormat="false" ht="15" hidden="false" customHeight="true" outlineLevel="0" collapsed="false">
      <c r="A896" s="15"/>
      <c r="B896" s="11"/>
      <c r="C896" s="18" t="str">
        <f aca="false">IF($B896="","",IFERROR(INDEX(차량목록!$B$3:$B$102,MATCH($B896,차량목록!$A$3:$A$102,0)),"미등록차량"))</f>
        <v/>
      </c>
      <c r="D896" s="11"/>
      <c r="E896" s="18" t="str">
        <f aca="false">IF($D896="","",IFERROR(INDEX(정비항목!$B$3:$B$52,MATCH($D896,정비항목!$A$3:$A$52,0)),"미등록항목"))</f>
        <v/>
      </c>
      <c r="F896" s="14"/>
      <c r="G896" s="14"/>
      <c r="H896" s="11"/>
    </row>
    <row r="897" customFormat="false" ht="15" hidden="false" customHeight="true" outlineLevel="0" collapsed="false">
      <c r="A897" s="15"/>
      <c r="B897" s="11"/>
      <c r="C897" s="18" t="str">
        <f aca="false">IF($B897="","",IFERROR(INDEX(차량목록!$B$3:$B$102,MATCH($B897,차량목록!$A$3:$A$102,0)),"미등록차량"))</f>
        <v/>
      </c>
      <c r="D897" s="11"/>
      <c r="E897" s="18" t="str">
        <f aca="false">IF($D897="","",IFERROR(INDEX(정비항목!$B$3:$B$52,MATCH($D897,정비항목!$A$3:$A$52,0)),"미등록항목"))</f>
        <v/>
      </c>
      <c r="F897" s="14"/>
      <c r="G897" s="14"/>
      <c r="H897" s="11"/>
    </row>
    <row r="898" customFormat="false" ht="15" hidden="false" customHeight="true" outlineLevel="0" collapsed="false">
      <c r="A898" s="15"/>
      <c r="B898" s="11"/>
      <c r="C898" s="18" t="str">
        <f aca="false">IF($B898="","",IFERROR(INDEX(차량목록!$B$3:$B$102,MATCH($B898,차량목록!$A$3:$A$102,0)),"미등록차량"))</f>
        <v/>
      </c>
      <c r="D898" s="11"/>
      <c r="E898" s="18" t="str">
        <f aca="false">IF($D898="","",IFERROR(INDEX(정비항목!$B$3:$B$52,MATCH($D898,정비항목!$A$3:$A$52,0)),"미등록항목"))</f>
        <v/>
      </c>
      <c r="F898" s="14"/>
      <c r="G898" s="14"/>
      <c r="H898" s="11"/>
    </row>
    <row r="899" customFormat="false" ht="15" hidden="false" customHeight="true" outlineLevel="0" collapsed="false">
      <c r="A899" s="15"/>
      <c r="B899" s="11"/>
      <c r="C899" s="18" t="str">
        <f aca="false">IF($B899="","",IFERROR(INDEX(차량목록!$B$3:$B$102,MATCH($B899,차량목록!$A$3:$A$102,0)),"미등록차량"))</f>
        <v/>
      </c>
      <c r="D899" s="11"/>
      <c r="E899" s="18" t="str">
        <f aca="false">IF($D899="","",IFERROR(INDEX(정비항목!$B$3:$B$52,MATCH($D899,정비항목!$A$3:$A$52,0)),"미등록항목"))</f>
        <v/>
      </c>
      <c r="F899" s="14"/>
      <c r="G899" s="14"/>
      <c r="H899" s="11"/>
    </row>
    <row r="900" customFormat="false" ht="15" hidden="false" customHeight="true" outlineLevel="0" collapsed="false">
      <c r="A900" s="15"/>
      <c r="B900" s="11"/>
      <c r="C900" s="18" t="str">
        <f aca="false">IF($B900="","",IFERROR(INDEX(차량목록!$B$3:$B$102,MATCH($B900,차량목록!$A$3:$A$102,0)),"미등록차량"))</f>
        <v/>
      </c>
      <c r="D900" s="11"/>
      <c r="E900" s="18" t="str">
        <f aca="false">IF($D900="","",IFERROR(INDEX(정비항목!$B$3:$B$52,MATCH($D900,정비항목!$A$3:$A$52,0)),"미등록항목"))</f>
        <v/>
      </c>
      <c r="F900" s="14"/>
      <c r="G900" s="14"/>
      <c r="H900" s="11"/>
    </row>
    <row r="901" customFormat="false" ht="15" hidden="false" customHeight="true" outlineLevel="0" collapsed="false">
      <c r="A901" s="15"/>
      <c r="B901" s="11"/>
      <c r="C901" s="18" t="str">
        <f aca="false">IF($B901="","",IFERROR(INDEX(차량목록!$B$3:$B$102,MATCH($B901,차량목록!$A$3:$A$102,0)),"미등록차량"))</f>
        <v/>
      </c>
      <c r="D901" s="11"/>
      <c r="E901" s="18" t="str">
        <f aca="false">IF($D901="","",IFERROR(INDEX(정비항목!$B$3:$B$52,MATCH($D901,정비항목!$A$3:$A$52,0)),"미등록항목"))</f>
        <v/>
      </c>
      <c r="F901" s="14"/>
      <c r="G901" s="14"/>
      <c r="H901" s="11"/>
    </row>
    <row r="902" customFormat="false" ht="15" hidden="false" customHeight="true" outlineLevel="0" collapsed="false">
      <c r="A902" s="15"/>
      <c r="B902" s="11"/>
      <c r="C902" s="18" t="str">
        <f aca="false">IF($B902="","",IFERROR(INDEX(차량목록!$B$3:$B$102,MATCH($B902,차량목록!$A$3:$A$102,0)),"미등록차량"))</f>
        <v/>
      </c>
      <c r="D902" s="11"/>
      <c r="E902" s="18" t="str">
        <f aca="false">IF($D902="","",IFERROR(INDEX(정비항목!$B$3:$B$52,MATCH($D902,정비항목!$A$3:$A$52,0)),"미등록항목"))</f>
        <v/>
      </c>
      <c r="F902" s="14"/>
      <c r="G902" s="14"/>
      <c r="H902" s="11"/>
    </row>
    <row r="903" customFormat="false" ht="15" hidden="false" customHeight="true" outlineLevel="0" collapsed="false">
      <c r="A903" s="15"/>
      <c r="B903" s="11"/>
      <c r="C903" s="18" t="str">
        <f aca="false">IF($B903="","",IFERROR(INDEX(차량목록!$B$3:$B$102,MATCH($B903,차량목록!$A$3:$A$102,0)),"미등록차량"))</f>
        <v/>
      </c>
      <c r="D903" s="11"/>
      <c r="E903" s="18" t="str">
        <f aca="false">IF($D903="","",IFERROR(INDEX(정비항목!$B$3:$B$52,MATCH($D903,정비항목!$A$3:$A$52,0)),"미등록항목"))</f>
        <v/>
      </c>
      <c r="F903" s="14"/>
      <c r="G903" s="14"/>
      <c r="H903" s="11"/>
    </row>
    <row r="904" customFormat="false" ht="15" hidden="false" customHeight="true" outlineLevel="0" collapsed="false">
      <c r="A904" s="15"/>
      <c r="B904" s="11"/>
      <c r="C904" s="18" t="str">
        <f aca="false">IF($B904="","",IFERROR(INDEX(차량목록!$B$3:$B$102,MATCH($B904,차량목록!$A$3:$A$102,0)),"미등록차량"))</f>
        <v/>
      </c>
      <c r="D904" s="11"/>
      <c r="E904" s="18" t="str">
        <f aca="false">IF($D904="","",IFERROR(INDEX(정비항목!$B$3:$B$52,MATCH($D904,정비항목!$A$3:$A$52,0)),"미등록항목"))</f>
        <v/>
      </c>
      <c r="F904" s="14"/>
      <c r="G904" s="14"/>
      <c r="H904" s="11"/>
    </row>
    <row r="905" customFormat="false" ht="15" hidden="false" customHeight="true" outlineLevel="0" collapsed="false">
      <c r="A905" s="15"/>
      <c r="B905" s="11"/>
      <c r="C905" s="18" t="str">
        <f aca="false">IF($B905="","",IFERROR(INDEX(차량목록!$B$3:$B$102,MATCH($B905,차량목록!$A$3:$A$102,0)),"미등록차량"))</f>
        <v/>
      </c>
      <c r="D905" s="11"/>
      <c r="E905" s="18" t="str">
        <f aca="false">IF($D905="","",IFERROR(INDEX(정비항목!$B$3:$B$52,MATCH($D905,정비항목!$A$3:$A$52,0)),"미등록항목"))</f>
        <v/>
      </c>
      <c r="F905" s="14"/>
      <c r="G905" s="14"/>
      <c r="H905" s="11"/>
    </row>
    <row r="906" customFormat="false" ht="15" hidden="false" customHeight="true" outlineLevel="0" collapsed="false">
      <c r="A906" s="15"/>
      <c r="B906" s="11"/>
      <c r="C906" s="18" t="str">
        <f aca="false">IF($B906="","",IFERROR(INDEX(차량목록!$B$3:$B$102,MATCH($B906,차량목록!$A$3:$A$102,0)),"미등록차량"))</f>
        <v/>
      </c>
      <c r="D906" s="11"/>
      <c r="E906" s="18" t="str">
        <f aca="false">IF($D906="","",IFERROR(INDEX(정비항목!$B$3:$B$52,MATCH($D906,정비항목!$A$3:$A$52,0)),"미등록항목"))</f>
        <v/>
      </c>
      <c r="F906" s="14"/>
      <c r="G906" s="14"/>
      <c r="H906" s="11"/>
    </row>
    <row r="907" customFormat="false" ht="15" hidden="false" customHeight="true" outlineLevel="0" collapsed="false">
      <c r="A907" s="15"/>
      <c r="B907" s="11"/>
      <c r="C907" s="18" t="str">
        <f aca="false">IF($B907="","",IFERROR(INDEX(차량목록!$B$3:$B$102,MATCH($B907,차량목록!$A$3:$A$102,0)),"미등록차량"))</f>
        <v/>
      </c>
      <c r="D907" s="11"/>
      <c r="E907" s="18" t="str">
        <f aca="false">IF($D907="","",IFERROR(INDEX(정비항목!$B$3:$B$52,MATCH($D907,정비항목!$A$3:$A$52,0)),"미등록항목"))</f>
        <v/>
      </c>
      <c r="F907" s="14"/>
      <c r="G907" s="14"/>
      <c r="H907" s="11"/>
    </row>
    <row r="908" customFormat="false" ht="15" hidden="false" customHeight="true" outlineLevel="0" collapsed="false">
      <c r="A908" s="15"/>
      <c r="B908" s="11"/>
      <c r="C908" s="18" t="str">
        <f aca="false">IF($B908="","",IFERROR(INDEX(차량목록!$B$3:$B$102,MATCH($B908,차량목록!$A$3:$A$102,0)),"미등록차량"))</f>
        <v/>
      </c>
      <c r="D908" s="11"/>
      <c r="E908" s="18" t="str">
        <f aca="false">IF($D908="","",IFERROR(INDEX(정비항목!$B$3:$B$52,MATCH($D908,정비항목!$A$3:$A$52,0)),"미등록항목"))</f>
        <v/>
      </c>
      <c r="F908" s="14"/>
      <c r="G908" s="14"/>
      <c r="H908" s="11"/>
    </row>
    <row r="909" customFormat="false" ht="15" hidden="false" customHeight="true" outlineLevel="0" collapsed="false">
      <c r="A909" s="15"/>
      <c r="B909" s="11"/>
      <c r="C909" s="18" t="str">
        <f aca="false">IF($B909="","",IFERROR(INDEX(차량목록!$B$3:$B$102,MATCH($B909,차량목록!$A$3:$A$102,0)),"미등록차량"))</f>
        <v/>
      </c>
      <c r="D909" s="11"/>
      <c r="E909" s="18" t="str">
        <f aca="false">IF($D909="","",IFERROR(INDEX(정비항목!$B$3:$B$52,MATCH($D909,정비항목!$A$3:$A$52,0)),"미등록항목"))</f>
        <v/>
      </c>
      <c r="F909" s="14"/>
      <c r="G909" s="14"/>
      <c r="H909" s="11"/>
    </row>
    <row r="910" customFormat="false" ht="15" hidden="false" customHeight="true" outlineLevel="0" collapsed="false">
      <c r="A910" s="15"/>
      <c r="B910" s="11"/>
      <c r="C910" s="18" t="str">
        <f aca="false">IF($B910="","",IFERROR(INDEX(차량목록!$B$3:$B$102,MATCH($B910,차량목록!$A$3:$A$102,0)),"미등록차량"))</f>
        <v/>
      </c>
      <c r="D910" s="11"/>
      <c r="E910" s="18" t="str">
        <f aca="false">IF($D910="","",IFERROR(INDEX(정비항목!$B$3:$B$52,MATCH($D910,정비항목!$A$3:$A$52,0)),"미등록항목"))</f>
        <v/>
      </c>
      <c r="F910" s="14"/>
      <c r="G910" s="14"/>
      <c r="H910" s="11"/>
    </row>
    <row r="911" customFormat="false" ht="15" hidden="false" customHeight="true" outlineLevel="0" collapsed="false">
      <c r="A911" s="15"/>
      <c r="B911" s="11"/>
      <c r="C911" s="18" t="str">
        <f aca="false">IF($B911="","",IFERROR(INDEX(차량목록!$B$3:$B$102,MATCH($B911,차량목록!$A$3:$A$102,0)),"미등록차량"))</f>
        <v/>
      </c>
      <c r="D911" s="11"/>
      <c r="E911" s="18" t="str">
        <f aca="false">IF($D911="","",IFERROR(INDEX(정비항목!$B$3:$B$52,MATCH($D911,정비항목!$A$3:$A$52,0)),"미등록항목"))</f>
        <v/>
      </c>
      <c r="F911" s="14"/>
      <c r="G911" s="14"/>
      <c r="H911" s="11"/>
    </row>
    <row r="912" customFormat="false" ht="15" hidden="false" customHeight="true" outlineLevel="0" collapsed="false">
      <c r="A912" s="15"/>
      <c r="B912" s="11"/>
      <c r="C912" s="18" t="str">
        <f aca="false">IF($B912="","",IFERROR(INDEX(차량목록!$B$3:$B$102,MATCH($B912,차량목록!$A$3:$A$102,0)),"미등록차량"))</f>
        <v/>
      </c>
      <c r="D912" s="11"/>
      <c r="E912" s="18" t="str">
        <f aca="false">IF($D912="","",IFERROR(INDEX(정비항목!$B$3:$B$52,MATCH($D912,정비항목!$A$3:$A$52,0)),"미등록항목"))</f>
        <v/>
      </c>
      <c r="F912" s="14"/>
      <c r="G912" s="14"/>
      <c r="H912" s="11"/>
    </row>
    <row r="913" customFormat="false" ht="15" hidden="false" customHeight="true" outlineLevel="0" collapsed="false">
      <c r="A913" s="15"/>
      <c r="B913" s="11"/>
      <c r="C913" s="18" t="str">
        <f aca="false">IF($B913="","",IFERROR(INDEX(차량목록!$B$3:$B$102,MATCH($B913,차량목록!$A$3:$A$102,0)),"미등록차량"))</f>
        <v/>
      </c>
      <c r="D913" s="11"/>
      <c r="E913" s="18" t="str">
        <f aca="false">IF($D913="","",IFERROR(INDEX(정비항목!$B$3:$B$52,MATCH($D913,정비항목!$A$3:$A$52,0)),"미등록항목"))</f>
        <v/>
      </c>
      <c r="F913" s="14"/>
      <c r="G913" s="14"/>
      <c r="H913" s="11"/>
    </row>
    <row r="914" customFormat="false" ht="15" hidden="false" customHeight="true" outlineLevel="0" collapsed="false">
      <c r="A914" s="15"/>
      <c r="B914" s="11"/>
      <c r="C914" s="18" t="str">
        <f aca="false">IF($B914="","",IFERROR(INDEX(차량목록!$B$3:$B$102,MATCH($B914,차량목록!$A$3:$A$102,0)),"미등록차량"))</f>
        <v/>
      </c>
      <c r="D914" s="11"/>
      <c r="E914" s="18" t="str">
        <f aca="false">IF($D914="","",IFERROR(INDEX(정비항목!$B$3:$B$52,MATCH($D914,정비항목!$A$3:$A$52,0)),"미등록항목"))</f>
        <v/>
      </c>
      <c r="F914" s="14"/>
      <c r="G914" s="14"/>
      <c r="H914" s="11"/>
    </row>
    <row r="915" customFormat="false" ht="15" hidden="false" customHeight="true" outlineLevel="0" collapsed="false">
      <c r="A915" s="15"/>
      <c r="B915" s="11"/>
      <c r="C915" s="18" t="str">
        <f aca="false">IF($B915="","",IFERROR(INDEX(차량목록!$B$3:$B$102,MATCH($B915,차량목록!$A$3:$A$102,0)),"미등록차량"))</f>
        <v/>
      </c>
      <c r="D915" s="11"/>
      <c r="E915" s="18" t="str">
        <f aca="false">IF($D915="","",IFERROR(INDEX(정비항목!$B$3:$B$52,MATCH($D915,정비항목!$A$3:$A$52,0)),"미등록항목"))</f>
        <v/>
      </c>
      <c r="F915" s="14"/>
      <c r="G915" s="14"/>
      <c r="H915" s="11"/>
    </row>
    <row r="916" customFormat="false" ht="15" hidden="false" customHeight="true" outlineLevel="0" collapsed="false">
      <c r="A916" s="15"/>
      <c r="B916" s="11"/>
      <c r="C916" s="18" t="str">
        <f aca="false">IF($B916="","",IFERROR(INDEX(차량목록!$B$3:$B$102,MATCH($B916,차량목록!$A$3:$A$102,0)),"미등록차량"))</f>
        <v/>
      </c>
      <c r="D916" s="11"/>
      <c r="E916" s="18" t="str">
        <f aca="false">IF($D916="","",IFERROR(INDEX(정비항목!$B$3:$B$52,MATCH($D916,정비항목!$A$3:$A$52,0)),"미등록항목"))</f>
        <v/>
      </c>
      <c r="F916" s="14"/>
      <c r="G916" s="14"/>
      <c r="H916" s="11"/>
    </row>
    <row r="917" customFormat="false" ht="15" hidden="false" customHeight="true" outlineLevel="0" collapsed="false">
      <c r="A917" s="15"/>
      <c r="B917" s="11"/>
      <c r="C917" s="18" t="str">
        <f aca="false">IF($B917="","",IFERROR(INDEX(차량목록!$B$3:$B$102,MATCH($B917,차량목록!$A$3:$A$102,0)),"미등록차량"))</f>
        <v/>
      </c>
      <c r="D917" s="11"/>
      <c r="E917" s="18" t="str">
        <f aca="false">IF($D917="","",IFERROR(INDEX(정비항목!$B$3:$B$52,MATCH($D917,정비항목!$A$3:$A$52,0)),"미등록항목"))</f>
        <v/>
      </c>
      <c r="F917" s="14"/>
      <c r="G917" s="14"/>
      <c r="H917" s="11"/>
    </row>
    <row r="918" customFormat="false" ht="15" hidden="false" customHeight="true" outlineLevel="0" collapsed="false">
      <c r="A918" s="15"/>
      <c r="B918" s="11"/>
      <c r="C918" s="18" t="str">
        <f aca="false">IF($B918="","",IFERROR(INDEX(차량목록!$B$3:$B$102,MATCH($B918,차량목록!$A$3:$A$102,0)),"미등록차량"))</f>
        <v/>
      </c>
      <c r="D918" s="11"/>
      <c r="E918" s="18" t="str">
        <f aca="false">IF($D918="","",IFERROR(INDEX(정비항목!$B$3:$B$52,MATCH($D918,정비항목!$A$3:$A$52,0)),"미등록항목"))</f>
        <v/>
      </c>
      <c r="F918" s="14"/>
      <c r="G918" s="14"/>
      <c r="H918" s="11"/>
    </row>
    <row r="919" customFormat="false" ht="15" hidden="false" customHeight="true" outlineLevel="0" collapsed="false">
      <c r="A919" s="15"/>
      <c r="B919" s="11"/>
      <c r="C919" s="18" t="str">
        <f aca="false">IF($B919="","",IFERROR(INDEX(차량목록!$B$3:$B$102,MATCH($B919,차량목록!$A$3:$A$102,0)),"미등록차량"))</f>
        <v/>
      </c>
      <c r="D919" s="11"/>
      <c r="E919" s="18" t="str">
        <f aca="false">IF($D919="","",IFERROR(INDEX(정비항목!$B$3:$B$52,MATCH($D919,정비항목!$A$3:$A$52,0)),"미등록항목"))</f>
        <v/>
      </c>
      <c r="F919" s="14"/>
      <c r="G919" s="14"/>
      <c r="H919" s="11"/>
    </row>
    <row r="920" customFormat="false" ht="15" hidden="false" customHeight="true" outlineLevel="0" collapsed="false">
      <c r="A920" s="15"/>
      <c r="B920" s="11"/>
      <c r="C920" s="18" t="str">
        <f aca="false">IF($B920="","",IFERROR(INDEX(차량목록!$B$3:$B$102,MATCH($B920,차량목록!$A$3:$A$102,0)),"미등록차량"))</f>
        <v/>
      </c>
      <c r="D920" s="11"/>
      <c r="E920" s="18" t="str">
        <f aca="false">IF($D920="","",IFERROR(INDEX(정비항목!$B$3:$B$52,MATCH($D920,정비항목!$A$3:$A$52,0)),"미등록항목"))</f>
        <v/>
      </c>
      <c r="F920" s="14"/>
      <c r="G920" s="14"/>
      <c r="H920" s="11"/>
    </row>
    <row r="921" customFormat="false" ht="15" hidden="false" customHeight="true" outlineLevel="0" collapsed="false">
      <c r="A921" s="15"/>
      <c r="B921" s="11"/>
      <c r="C921" s="18" t="str">
        <f aca="false">IF($B921="","",IFERROR(INDEX(차량목록!$B$3:$B$102,MATCH($B921,차량목록!$A$3:$A$102,0)),"미등록차량"))</f>
        <v/>
      </c>
      <c r="D921" s="11"/>
      <c r="E921" s="18" t="str">
        <f aca="false">IF($D921="","",IFERROR(INDEX(정비항목!$B$3:$B$52,MATCH($D921,정비항목!$A$3:$A$52,0)),"미등록항목"))</f>
        <v/>
      </c>
      <c r="F921" s="14"/>
      <c r="G921" s="14"/>
      <c r="H921" s="11"/>
    </row>
    <row r="922" customFormat="false" ht="15" hidden="false" customHeight="true" outlineLevel="0" collapsed="false">
      <c r="A922" s="15"/>
      <c r="B922" s="11"/>
      <c r="C922" s="18" t="str">
        <f aca="false">IF($B922="","",IFERROR(INDEX(차량목록!$B$3:$B$102,MATCH($B922,차량목록!$A$3:$A$102,0)),"미등록차량"))</f>
        <v/>
      </c>
      <c r="D922" s="11"/>
      <c r="E922" s="18" t="str">
        <f aca="false">IF($D922="","",IFERROR(INDEX(정비항목!$B$3:$B$52,MATCH($D922,정비항목!$A$3:$A$52,0)),"미등록항목"))</f>
        <v/>
      </c>
      <c r="F922" s="14"/>
      <c r="G922" s="14"/>
      <c r="H922" s="11"/>
    </row>
    <row r="923" customFormat="false" ht="15" hidden="false" customHeight="true" outlineLevel="0" collapsed="false">
      <c r="A923" s="15"/>
      <c r="B923" s="11"/>
      <c r="C923" s="18" t="str">
        <f aca="false">IF($B923="","",IFERROR(INDEX(차량목록!$B$3:$B$102,MATCH($B923,차량목록!$A$3:$A$102,0)),"미등록차량"))</f>
        <v/>
      </c>
      <c r="D923" s="11"/>
      <c r="E923" s="18" t="str">
        <f aca="false">IF($D923="","",IFERROR(INDEX(정비항목!$B$3:$B$52,MATCH($D923,정비항목!$A$3:$A$52,0)),"미등록항목"))</f>
        <v/>
      </c>
      <c r="F923" s="14"/>
      <c r="G923" s="14"/>
      <c r="H923" s="11"/>
    </row>
    <row r="924" customFormat="false" ht="15" hidden="false" customHeight="true" outlineLevel="0" collapsed="false">
      <c r="A924" s="15"/>
      <c r="B924" s="11"/>
      <c r="C924" s="18" t="str">
        <f aca="false">IF($B924="","",IFERROR(INDEX(차량목록!$B$3:$B$102,MATCH($B924,차량목록!$A$3:$A$102,0)),"미등록차량"))</f>
        <v/>
      </c>
      <c r="D924" s="11"/>
      <c r="E924" s="18" t="str">
        <f aca="false">IF($D924="","",IFERROR(INDEX(정비항목!$B$3:$B$52,MATCH($D924,정비항목!$A$3:$A$52,0)),"미등록항목"))</f>
        <v/>
      </c>
      <c r="F924" s="14"/>
      <c r="G924" s="14"/>
      <c r="H924" s="11"/>
    </row>
    <row r="925" customFormat="false" ht="15" hidden="false" customHeight="true" outlineLevel="0" collapsed="false">
      <c r="A925" s="15"/>
      <c r="B925" s="11"/>
      <c r="C925" s="18" t="str">
        <f aca="false">IF($B925="","",IFERROR(INDEX(차량목록!$B$3:$B$102,MATCH($B925,차량목록!$A$3:$A$102,0)),"미등록차량"))</f>
        <v/>
      </c>
      <c r="D925" s="11"/>
      <c r="E925" s="18" t="str">
        <f aca="false">IF($D925="","",IFERROR(INDEX(정비항목!$B$3:$B$52,MATCH($D925,정비항목!$A$3:$A$52,0)),"미등록항목"))</f>
        <v/>
      </c>
      <c r="F925" s="14"/>
      <c r="G925" s="14"/>
      <c r="H925" s="11"/>
    </row>
    <row r="926" customFormat="false" ht="15" hidden="false" customHeight="true" outlineLevel="0" collapsed="false">
      <c r="A926" s="15"/>
      <c r="B926" s="11"/>
      <c r="C926" s="18" t="str">
        <f aca="false">IF($B926="","",IFERROR(INDEX(차량목록!$B$3:$B$102,MATCH($B926,차량목록!$A$3:$A$102,0)),"미등록차량"))</f>
        <v/>
      </c>
      <c r="D926" s="11"/>
      <c r="E926" s="18" t="str">
        <f aca="false">IF($D926="","",IFERROR(INDEX(정비항목!$B$3:$B$52,MATCH($D926,정비항목!$A$3:$A$52,0)),"미등록항목"))</f>
        <v/>
      </c>
      <c r="F926" s="14"/>
      <c r="G926" s="14"/>
      <c r="H926" s="11"/>
    </row>
    <row r="927" customFormat="false" ht="15" hidden="false" customHeight="true" outlineLevel="0" collapsed="false">
      <c r="A927" s="15"/>
      <c r="B927" s="11"/>
      <c r="C927" s="18" t="str">
        <f aca="false">IF($B927="","",IFERROR(INDEX(차량목록!$B$3:$B$102,MATCH($B927,차량목록!$A$3:$A$102,0)),"미등록차량"))</f>
        <v/>
      </c>
      <c r="D927" s="11"/>
      <c r="E927" s="18" t="str">
        <f aca="false">IF($D927="","",IFERROR(INDEX(정비항목!$B$3:$B$52,MATCH($D927,정비항목!$A$3:$A$52,0)),"미등록항목"))</f>
        <v/>
      </c>
      <c r="F927" s="14"/>
      <c r="G927" s="14"/>
      <c r="H927" s="11"/>
    </row>
    <row r="928" customFormat="false" ht="15" hidden="false" customHeight="true" outlineLevel="0" collapsed="false">
      <c r="A928" s="15"/>
      <c r="B928" s="11"/>
      <c r="C928" s="18" t="str">
        <f aca="false">IF($B928="","",IFERROR(INDEX(차량목록!$B$3:$B$102,MATCH($B928,차량목록!$A$3:$A$102,0)),"미등록차량"))</f>
        <v/>
      </c>
      <c r="D928" s="11"/>
      <c r="E928" s="18" t="str">
        <f aca="false">IF($D928="","",IFERROR(INDEX(정비항목!$B$3:$B$52,MATCH($D928,정비항목!$A$3:$A$52,0)),"미등록항목"))</f>
        <v/>
      </c>
      <c r="F928" s="14"/>
      <c r="G928" s="14"/>
      <c r="H928" s="11"/>
    </row>
    <row r="929" customFormat="false" ht="15" hidden="false" customHeight="true" outlineLevel="0" collapsed="false">
      <c r="A929" s="15"/>
      <c r="B929" s="11"/>
      <c r="C929" s="18" t="str">
        <f aca="false">IF($B929="","",IFERROR(INDEX(차량목록!$B$3:$B$102,MATCH($B929,차량목록!$A$3:$A$102,0)),"미등록차량"))</f>
        <v/>
      </c>
      <c r="D929" s="11"/>
      <c r="E929" s="18" t="str">
        <f aca="false">IF($D929="","",IFERROR(INDEX(정비항목!$B$3:$B$52,MATCH($D929,정비항목!$A$3:$A$52,0)),"미등록항목"))</f>
        <v/>
      </c>
      <c r="F929" s="14"/>
      <c r="G929" s="14"/>
      <c r="H929" s="11"/>
    </row>
    <row r="930" customFormat="false" ht="15" hidden="false" customHeight="true" outlineLevel="0" collapsed="false">
      <c r="A930" s="15"/>
      <c r="B930" s="11"/>
      <c r="C930" s="18" t="str">
        <f aca="false">IF($B930="","",IFERROR(INDEX(차량목록!$B$3:$B$102,MATCH($B930,차량목록!$A$3:$A$102,0)),"미등록차량"))</f>
        <v/>
      </c>
      <c r="D930" s="11"/>
      <c r="E930" s="18" t="str">
        <f aca="false">IF($D930="","",IFERROR(INDEX(정비항목!$B$3:$B$52,MATCH($D930,정비항목!$A$3:$A$52,0)),"미등록항목"))</f>
        <v/>
      </c>
      <c r="F930" s="14"/>
      <c r="G930" s="14"/>
      <c r="H930" s="11"/>
    </row>
    <row r="931" customFormat="false" ht="15" hidden="false" customHeight="true" outlineLevel="0" collapsed="false">
      <c r="A931" s="15"/>
      <c r="B931" s="11"/>
      <c r="C931" s="18" t="str">
        <f aca="false">IF($B931="","",IFERROR(INDEX(차량목록!$B$3:$B$102,MATCH($B931,차량목록!$A$3:$A$102,0)),"미등록차량"))</f>
        <v/>
      </c>
      <c r="D931" s="11"/>
      <c r="E931" s="18" t="str">
        <f aca="false">IF($D931="","",IFERROR(INDEX(정비항목!$B$3:$B$52,MATCH($D931,정비항목!$A$3:$A$52,0)),"미등록항목"))</f>
        <v/>
      </c>
      <c r="F931" s="14"/>
      <c r="G931" s="14"/>
      <c r="H931" s="11"/>
    </row>
    <row r="932" customFormat="false" ht="15" hidden="false" customHeight="true" outlineLevel="0" collapsed="false">
      <c r="A932" s="15"/>
      <c r="B932" s="11"/>
      <c r="C932" s="18" t="str">
        <f aca="false">IF($B932="","",IFERROR(INDEX(차량목록!$B$3:$B$102,MATCH($B932,차량목록!$A$3:$A$102,0)),"미등록차량"))</f>
        <v/>
      </c>
      <c r="D932" s="11"/>
      <c r="E932" s="18" t="str">
        <f aca="false">IF($D932="","",IFERROR(INDEX(정비항목!$B$3:$B$52,MATCH($D932,정비항목!$A$3:$A$52,0)),"미등록항목"))</f>
        <v/>
      </c>
      <c r="F932" s="14"/>
      <c r="G932" s="14"/>
      <c r="H932" s="11"/>
    </row>
    <row r="933" customFormat="false" ht="15" hidden="false" customHeight="true" outlineLevel="0" collapsed="false">
      <c r="A933" s="15"/>
      <c r="B933" s="11"/>
      <c r="C933" s="18" t="str">
        <f aca="false">IF($B933="","",IFERROR(INDEX(차량목록!$B$3:$B$102,MATCH($B933,차량목록!$A$3:$A$102,0)),"미등록차량"))</f>
        <v/>
      </c>
      <c r="D933" s="11"/>
      <c r="E933" s="18" t="str">
        <f aca="false">IF($D933="","",IFERROR(INDEX(정비항목!$B$3:$B$52,MATCH($D933,정비항목!$A$3:$A$52,0)),"미등록항목"))</f>
        <v/>
      </c>
      <c r="F933" s="14"/>
      <c r="G933" s="14"/>
      <c r="H933" s="11"/>
    </row>
    <row r="934" customFormat="false" ht="15" hidden="false" customHeight="true" outlineLevel="0" collapsed="false">
      <c r="A934" s="15"/>
      <c r="B934" s="11"/>
      <c r="C934" s="18" t="str">
        <f aca="false">IF($B934="","",IFERROR(INDEX(차량목록!$B$3:$B$102,MATCH($B934,차량목록!$A$3:$A$102,0)),"미등록차량"))</f>
        <v/>
      </c>
      <c r="D934" s="11"/>
      <c r="E934" s="18" t="str">
        <f aca="false">IF($D934="","",IFERROR(INDEX(정비항목!$B$3:$B$52,MATCH($D934,정비항목!$A$3:$A$52,0)),"미등록항목"))</f>
        <v/>
      </c>
      <c r="F934" s="14"/>
      <c r="G934" s="14"/>
      <c r="H934" s="11"/>
    </row>
    <row r="935" customFormat="false" ht="15" hidden="false" customHeight="true" outlineLevel="0" collapsed="false">
      <c r="A935" s="15"/>
      <c r="B935" s="11"/>
      <c r="C935" s="18" t="str">
        <f aca="false">IF($B935="","",IFERROR(INDEX(차량목록!$B$3:$B$102,MATCH($B935,차량목록!$A$3:$A$102,0)),"미등록차량"))</f>
        <v/>
      </c>
      <c r="D935" s="11"/>
      <c r="E935" s="18" t="str">
        <f aca="false">IF($D935="","",IFERROR(INDEX(정비항목!$B$3:$B$52,MATCH($D935,정비항목!$A$3:$A$52,0)),"미등록항목"))</f>
        <v/>
      </c>
      <c r="F935" s="14"/>
      <c r="G935" s="14"/>
      <c r="H935" s="11"/>
    </row>
    <row r="936" customFormat="false" ht="15" hidden="false" customHeight="true" outlineLevel="0" collapsed="false">
      <c r="A936" s="15"/>
      <c r="B936" s="11"/>
      <c r="C936" s="18" t="str">
        <f aca="false">IF($B936="","",IFERROR(INDEX(차량목록!$B$3:$B$102,MATCH($B936,차량목록!$A$3:$A$102,0)),"미등록차량"))</f>
        <v/>
      </c>
      <c r="D936" s="11"/>
      <c r="E936" s="18" t="str">
        <f aca="false">IF($D936="","",IFERROR(INDEX(정비항목!$B$3:$B$52,MATCH($D936,정비항목!$A$3:$A$52,0)),"미등록항목"))</f>
        <v/>
      </c>
      <c r="F936" s="14"/>
      <c r="G936" s="14"/>
      <c r="H936" s="11"/>
    </row>
    <row r="937" customFormat="false" ht="15" hidden="false" customHeight="true" outlineLevel="0" collapsed="false">
      <c r="A937" s="15"/>
      <c r="B937" s="11"/>
      <c r="C937" s="18" t="str">
        <f aca="false">IF($B937="","",IFERROR(INDEX(차량목록!$B$3:$B$102,MATCH($B937,차량목록!$A$3:$A$102,0)),"미등록차량"))</f>
        <v/>
      </c>
      <c r="D937" s="11"/>
      <c r="E937" s="18" t="str">
        <f aca="false">IF($D937="","",IFERROR(INDEX(정비항목!$B$3:$B$52,MATCH($D937,정비항목!$A$3:$A$52,0)),"미등록항목"))</f>
        <v/>
      </c>
      <c r="F937" s="14"/>
      <c r="G937" s="14"/>
      <c r="H937" s="11"/>
    </row>
    <row r="938" customFormat="false" ht="15" hidden="false" customHeight="true" outlineLevel="0" collapsed="false">
      <c r="A938" s="15"/>
      <c r="B938" s="11"/>
      <c r="C938" s="18" t="str">
        <f aca="false">IF($B938="","",IFERROR(INDEX(차량목록!$B$3:$B$102,MATCH($B938,차량목록!$A$3:$A$102,0)),"미등록차량"))</f>
        <v/>
      </c>
      <c r="D938" s="11"/>
      <c r="E938" s="18" t="str">
        <f aca="false">IF($D938="","",IFERROR(INDEX(정비항목!$B$3:$B$52,MATCH($D938,정비항목!$A$3:$A$52,0)),"미등록항목"))</f>
        <v/>
      </c>
      <c r="F938" s="14"/>
      <c r="G938" s="14"/>
      <c r="H938" s="11"/>
    </row>
    <row r="939" customFormat="false" ht="15" hidden="false" customHeight="true" outlineLevel="0" collapsed="false">
      <c r="A939" s="15"/>
      <c r="B939" s="11"/>
      <c r="C939" s="18" t="str">
        <f aca="false">IF($B939="","",IFERROR(INDEX(차량목록!$B$3:$B$102,MATCH($B939,차량목록!$A$3:$A$102,0)),"미등록차량"))</f>
        <v/>
      </c>
      <c r="D939" s="11"/>
      <c r="E939" s="18" t="str">
        <f aca="false">IF($D939="","",IFERROR(INDEX(정비항목!$B$3:$B$52,MATCH($D939,정비항목!$A$3:$A$52,0)),"미등록항목"))</f>
        <v/>
      </c>
      <c r="F939" s="14"/>
      <c r="G939" s="14"/>
      <c r="H939" s="11"/>
    </row>
    <row r="940" customFormat="false" ht="15" hidden="false" customHeight="true" outlineLevel="0" collapsed="false">
      <c r="A940" s="15"/>
      <c r="B940" s="11"/>
      <c r="C940" s="18" t="str">
        <f aca="false">IF($B940="","",IFERROR(INDEX(차량목록!$B$3:$B$102,MATCH($B940,차량목록!$A$3:$A$102,0)),"미등록차량"))</f>
        <v/>
      </c>
      <c r="D940" s="11"/>
      <c r="E940" s="18" t="str">
        <f aca="false">IF($D940="","",IFERROR(INDEX(정비항목!$B$3:$B$52,MATCH($D940,정비항목!$A$3:$A$52,0)),"미등록항목"))</f>
        <v/>
      </c>
      <c r="F940" s="14"/>
      <c r="G940" s="14"/>
      <c r="H940" s="11"/>
    </row>
    <row r="941" customFormat="false" ht="15" hidden="false" customHeight="true" outlineLevel="0" collapsed="false">
      <c r="A941" s="15"/>
      <c r="B941" s="11"/>
      <c r="C941" s="18" t="str">
        <f aca="false">IF($B941="","",IFERROR(INDEX(차량목록!$B$3:$B$102,MATCH($B941,차량목록!$A$3:$A$102,0)),"미등록차량"))</f>
        <v/>
      </c>
      <c r="D941" s="11"/>
      <c r="E941" s="18" t="str">
        <f aca="false">IF($D941="","",IFERROR(INDEX(정비항목!$B$3:$B$52,MATCH($D941,정비항목!$A$3:$A$52,0)),"미등록항목"))</f>
        <v/>
      </c>
      <c r="F941" s="14"/>
      <c r="G941" s="14"/>
      <c r="H941" s="11"/>
    </row>
    <row r="942" customFormat="false" ht="15" hidden="false" customHeight="true" outlineLevel="0" collapsed="false">
      <c r="A942" s="15"/>
      <c r="B942" s="11"/>
      <c r="C942" s="18" t="str">
        <f aca="false">IF($B942="","",IFERROR(INDEX(차량목록!$B$3:$B$102,MATCH($B942,차량목록!$A$3:$A$102,0)),"미등록차량"))</f>
        <v/>
      </c>
      <c r="D942" s="11"/>
      <c r="E942" s="18" t="str">
        <f aca="false">IF($D942="","",IFERROR(INDEX(정비항목!$B$3:$B$52,MATCH($D942,정비항목!$A$3:$A$52,0)),"미등록항목"))</f>
        <v/>
      </c>
      <c r="F942" s="14"/>
      <c r="G942" s="14"/>
      <c r="H942" s="11"/>
    </row>
    <row r="943" customFormat="false" ht="15" hidden="false" customHeight="true" outlineLevel="0" collapsed="false">
      <c r="A943" s="15"/>
      <c r="B943" s="11"/>
      <c r="C943" s="18" t="str">
        <f aca="false">IF($B943="","",IFERROR(INDEX(차량목록!$B$3:$B$102,MATCH($B943,차량목록!$A$3:$A$102,0)),"미등록차량"))</f>
        <v/>
      </c>
      <c r="D943" s="11"/>
      <c r="E943" s="18" t="str">
        <f aca="false">IF($D943="","",IFERROR(INDEX(정비항목!$B$3:$B$52,MATCH($D943,정비항목!$A$3:$A$52,0)),"미등록항목"))</f>
        <v/>
      </c>
      <c r="F943" s="14"/>
      <c r="G943" s="14"/>
      <c r="H943" s="11"/>
    </row>
    <row r="944" customFormat="false" ht="15" hidden="false" customHeight="true" outlineLevel="0" collapsed="false">
      <c r="A944" s="15"/>
      <c r="B944" s="11"/>
      <c r="C944" s="18" t="str">
        <f aca="false">IF($B944="","",IFERROR(INDEX(차량목록!$B$3:$B$102,MATCH($B944,차량목록!$A$3:$A$102,0)),"미등록차량"))</f>
        <v/>
      </c>
      <c r="D944" s="11"/>
      <c r="E944" s="18" t="str">
        <f aca="false">IF($D944="","",IFERROR(INDEX(정비항목!$B$3:$B$52,MATCH($D944,정비항목!$A$3:$A$52,0)),"미등록항목"))</f>
        <v/>
      </c>
      <c r="F944" s="14"/>
      <c r="G944" s="14"/>
      <c r="H944" s="11"/>
    </row>
    <row r="945" customFormat="false" ht="15" hidden="false" customHeight="true" outlineLevel="0" collapsed="false">
      <c r="A945" s="15"/>
      <c r="B945" s="11"/>
      <c r="C945" s="18" t="str">
        <f aca="false">IF($B945="","",IFERROR(INDEX(차량목록!$B$3:$B$102,MATCH($B945,차량목록!$A$3:$A$102,0)),"미등록차량"))</f>
        <v/>
      </c>
      <c r="D945" s="11"/>
      <c r="E945" s="18" t="str">
        <f aca="false">IF($D945="","",IFERROR(INDEX(정비항목!$B$3:$B$52,MATCH($D945,정비항목!$A$3:$A$52,0)),"미등록항목"))</f>
        <v/>
      </c>
      <c r="F945" s="14"/>
      <c r="G945" s="14"/>
      <c r="H945" s="11"/>
    </row>
    <row r="946" customFormat="false" ht="15" hidden="false" customHeight="true" outlineLevel="0" collapsed="false">
      <c r="A946" s="15"/>
      <c r="B946" s="11"/>
      <c r="C946" s="18" t="str">
        <f aca="false">IF($B946="","",IFERROR(INDEX(차량목록!$B$3:$B$102,MATCH($B946,차량목록!$A$3:$A$102,0)),"미등록차량"))</f>
        <v/>
      </c>
      <c r="D946" s="11"/>
      <c r="E946" s="18" t="str">
        <f aca="false">IF($D946="","",IFERROR(INDEX(정비항목!$B$3:$B$52,MATCH($D946,정비항목!$A$3:$A$52,0)),"미등록항목"))</f>
        <v/>
      </c>
      <c r="F946" s="14"/>
      <c r="G946" s="14"/>
      <c r="H946" s="11"/>
    </row>
    <row r="947" customFormat="false" ht="15" hidden="false" customHeight="true" outlineLevel="0" collapsed="false">
      <c r="A947" s="15"/>
      <c r="B947" s="11"/>
      <c r="C947" s="18" t="str">
        <f aca="false">IF($B947="","",IFERROR(INDEX(차량목록!$B$3:$B$102,MATCH($B947,차량목록!$A$3:$A$102,0)),"미등록차량"))</f>
        <v/>
      </c>
      <c r="D947" s="11"/>
      <c r="E947" s="18" t="str">
        <f aca="false">IF($D947="","",IFERROR(INDEX(정비항목!$B$3:$B$52,MATCH($D947,정비항목!$A$3:$A$52,0)),"미등록항목"))</f>
        <v/>
      </c>
      <c r="F947" s="14"/>
      <c r="G947" s="14"/>
      <c r="H947" s="11"/>
    </row>
    <row r="948" customFormat="false" ht="15" hidden="false" customHeight="true" outlineLevel="0" collapsed="false">
      <c r="A948" s="15"/>
      <c r="B948" s="11"/>
      <c r="C948" s="18" t="str">
        <f aca="false">IF($B948="","",IFERROR(INDEX(차량목록!$B$3:$B$102,MATCH($B948,차량목록!$A$3:$A$102,0)),"미등록차량"))</f>
        <v/>
      </c>
      <c r="D948" s="11"/>
      <c r="E948" s="18" t="str">
        <f aca="false">IF($D948="","",IFERROR(INDEX(정비항목!$B$3:$B$52,MATCH($D948,정비항목!$A$3:$A$52,0)),"미등록항목"))</f>
        <v/>
      </c>
      <c r="F948" s="14"/>
      <c r="G948" s="14"/>
      <c r="H948" s="11"/>
    </row>
    <row r="949" customFormat="false" ht="15" hidden="false" customHeight="true" outlineLevel="0" collapsed="false">
      <c r="A949" s="15"/>
      <c r="B949" s="11"/>
      <c r="C949" s="18" t="str">
        <f aca="false">IF($B949="","",IFERROR(INDEX(차량목록!$B$3:$B$102,MATCH($B949,차량목록!$A$3:$A$102,0)),"미등록차량"))</f>
        <v/>
      </c>
      <c r="D949" s="11"/>
      <c r="E949" s="18" t="str">
        <f aca="false">IF($D949="","",IFERROR(INDEX(정비항목!$B$3:$B$52,MATCH($D949,정비항목!$A$3:$A$52,0)),"미등록항목"))</f>
        <v/>
      </c>
      <c r="F949" s="14"/>
      <c r="G949" s="14"/>
      <c r="H949" s="11"/>
    </row>
    <row r="950" customFormat="false" ht="15" hidden="false" customHeight="true" outlineLevel="0" collapsed="false">
      <c r="A950" s="15"/>
      <c r="B950" s="11"/>
      <c r="C950" s="18" t="str">
        <f aca="false">IF($B950="","",IFERROR(INDEX(차량목록!$B$3:$B$102,MATCH($B950,차량목록!$A$3:$A$102,0)),"미등록차량"))</f>
        <v/>
      </c>
      <c r="D950" s="11"/>
      <c r="E950" s="18" t="str">
        <f aca="false">IF($D950="","",IFERROR(INDEX(정비항목!$B$3:$B$52,MATCH($D950,정비항목!$A$3:$A$52,0)),"미등록항목"))</f>
        <v/>
      </c>
      <c r="F950" s="14"/>
      <c r="G950" s="14"/>
      <c r="H950" s="11"/>
    </row>
    <row r="951" customFormat="false" ht="15" hidden="false" customHeight="true" outlineLevel="0" collapsed="false">
      <c r="A951" s="15"/>
      <c r="B951" s="11"/>
      <c r="C951" s="18" t="str">
        <f aca="false">IF($B951="","",IFERROR(INDEX(차량목록!$B$3:$B$102,MATCH($B951,차량목록!$A$3:$A$102,0)),"미등록차량"))</f>
        <v/>
      </c>
      <c r="D951" s="11"/>
      <c r="E951" s="18" t="str">
        <f aca="false">IF($D951="","",IFERROR(INDEX(정비항목!$B$3:$B$52,MATCH($D951,정비항목!$A$3:$A$52,0)),"미등록항목"))</f>
        <v/>
      </c>
      <c r="F951" s="14"/>
      <c r="G951" s="14"/>
      <c r="H951" s="11"/>
    </row>
    <row r="952" customFormat="false" ht="15" hidden="false" customHeight="true" outlineLevel="0" collapsed="false">
      <c r="A952" s="15"/>
      <c r="B952" s="11"/>
      <c r="C952" s="18" t="str">
        <f aca="false">IF($B952="","",IFERROR(INDEX(차량목록!$B$3:$B$102,MATCH($B952,차량목록!$A$3:$A$102,0)),"미등록차량"))</f>
        <v/>
      </c>
      <c r="D952" s="11"/>
      <c r="E952" s="18" t="str">
        <f aca="false">IF($D952="","",IFERROR(INDEX(정비항목!$B$3:$B$52,MATCH($D952,정비항목!$A$3:$A$52,0)),"미등록항목"))</f>
        <v/>
      </c>
      <c r="F952" s="14"/>
      <c r="G952" s="14"/>
      <c r="H952" s="11"/>
    </row>
    <row r="953" customFormat="false" ht="15" hidden="false" customHeight="true" outlineLevel="0" collapsed="false">
      <c r="A953" s="15"/>
      <c r="B953" s="11"/>
      <c r="C953" s="18" t="str">
        <f aca="false">IF($B953="","",IFERROR(INDEX(차량목록!$B$3:$B$102,MATCH($B953,차량목록!$A$3:$A$102,0)),"미등록차량"))</f>
        <v/>
      </c>
      <c r="D953" s="11"/>
      <c r="E953" s="18" t="str">
        <f aca="false">IF($D953="","",IFERROR(INDEX(정비항목!$B$3:$B$52,MATCH($D953,정비항목!$A$3:$A$52,0)),"미등록항목"))</f>
        <v/>
      </c>
      <c r="F953" s="14"/>
      <c r="G953" s="14"/>
      <c r="H953" s="11"/>
    </row>
    <row r="954" customFormat="false" ht="15" hidden="false" customHeight="true" outlineLevel="0" collapsed="false">
      <c r="A954" s="15"/>
      <c r="B954" s="11"/>
      <c r="C954" s="18" t="str">
        <f aca="false">IF($B954="","",IFERROR(INDEX(차량목록!$B$3:$B$102,MATCH($B954,차량목록!$A$3:$A$102,0)),"미등록차량"))</f>
        <v/>
      </c>
      <c r="D954" s="11"/>
      <c r="E954" s="18" t="str">
        <f aca="false">IF($D954="","",IFERROR(INDEX(정비항목!$B$3:$B$52,MATCH($D954,정비항목!$A$3:$A$52,0)),"미등록항목"))</f>
        <v/>
      </c>
      <c r="F954" s="14"/>
      <c r="G954" s="14"/>
      <c r="H954" s="11"/>
    </row>
    <row r="955" customFormat="false" ht="15" hidden="false" customHeight="true" outlineLevel="0" collapsed="false">
      <c r="A955" s="15"/>
      <c r="B955" s="11"/>
      <c r="C955" s="18" t="str">
        <f aca="false">IF($B955="","",IFERROR(INDEX(차량목록!$B$3:$B$102,MATCH($B955,차량목록!$A$3:$A$102,0)),"미등록차량"))</f>
        <v/>
      </c>
      <c r="D955" s="11"/>
      <c r="E955" s="18" t="str">
        <f aca="false">IF($D955="","",IFERROR(INDEX(정비항목!$B$3:$B$52,MATCH($D955,정비항목!$A$3:$A$52,0)),"미등록항목"))</f>
        <v/>
      </c>
      <c r="F955" s="14"/>
      <c r="G955" s="14"/>
      <c r="H955" s="11"/>
    </row>
    <row r="956" customFormat="false" ht="15" hidden="false" customHeight="true" outlineLevel="0" collapsed="false">
      <c r="A956" s="15"/>
      <c r="B956" s="11"/>
      <c r="C956" s="18" t="str">
        <f aca="false">IF($B956="","",IFERROR(INDEX(차량목록!$B$3:$B$102,MATCH($B956,차량목록!$A$3:$A$102,0)),"미등록차량"))</f>
        <v/>
      </c>
      <c r="D956" s="11"/>
      <c r="E956" s="18" t="str">
        <f aca="false">IF($D956="","",IFERROR(INDEX(정비항목!$B$3:$B$52,MATCH($D956,정비항목!$A$3:$A$52,0)),"미등록항목"))</f>
        <v/>
      </c>
      <c r="F956" s="14"/>
      <c r="G956" s="14"/>
      <c r="H956" s="11"/>
    </row>
    <row r="957" customFormat="false" ht="15" hidden="false" customHeight="true" outlineLevel="0" collapsed="false">
      <c r="A957" s="15"/>
      <c r="B957" s="11"/>
      <c r="C957" s="18" t="str">
        <f aca="false">IF($B957="","",IFERROR(INDEX(차량목록!$B$3:$B$102,MATCH($B957,차량목록!$A$3:$A$102,0)),"미등록차량"))</f>
        <v/>
      </c>
      <c r="D957" s="11"/>
      <c r="E957" s="18" t="str">
        <f aca="false">IF($D957="","",IFERROR(INDEX(정비항목!$B$3:$B$52,MATCH($D957,정비항목!$A$3:$A$52,0)),"미등록항목"))</f>
        <v/>
      </c>
      <c r="F957" s="14"/>
      <c r="G957" s="14"/>
      <c r="H957" s="11"/>
    </row>
    <row r="958" customFormat="false" ht="15" hidden="false" customHeight="true" outlineLevel="0" collapsed="false">
      <c r="A958" s="15"/>
      <c r="B958" s="11"/>
      <c r="C958" s="18" t="str">
        <f aca="false">IF($B958="","",IFERROR(INDEX(차량목록!$B$3:$B$102,MATCH($B958,차량목록!$A$3:$A$102,0)),"미등록차량"))</f>
        <v/>
      </c>
      <c r="D958" s="11"/>
      <c r="E958" s="18" t="str">
        <f aca="false">IF($D958="","",IFERROR(INDEX(정비항목!$B$3:$B$52,MATCH($D958,정비항목!$A$3:$A$52,0)),"미등록항목"))</f>
        <v/>
      </c>
      <c r="F958" s="14"/>
      <c r="G958" s="14"/>
      <c r="H958" s="11"/>
    </row>
    <row r="959" customFormat="false" ht="15" hidden="false" customHeight="true" outlineLevel="0" collapsed="false">
      <c r="A959" s="15"/>
      <c r="B959" s="11"/>
      <c r="C959" s="18" t="str">
        <f aca="false">IF($B959="","",IFERROR(INDEX(차량목록!$B$3:$B$102,MATCH($B959,차량목록!$A$3:$A$102,0)),"미등록차량"))</f>
        <v/>
      </c>
      <c r="D959" s="11"/>
      <c r="E959" s="18" t="str">
        <f aca="false">IF($D959="","",IFERROR(INDEX(정비항목!$B$3:$B$52,MATCH($D959,정비항목!$A$3:$A$52,0)),"미등록항목"))</f>
        <v/>
      </c>
      <c r="F959" s="14"/>
      <c r="G959" s="14"/>
      <c r="H959" s="11"/>
    </row>
    <row r="960" customFormat="false" ht="15" hidden="false" customHeight="true" outlineLevel="0" collapsed="false">
      <c r="A960" s="15"/>
      <c r="B960" s="11"/>
      <c r="C960" s="18" t="str">
        <f aca="false">IF($B960="","",IFERROR(INDEX(차량목록!$B$3:$B$102,MATCH($B960,차량목록!$A$3:$A$102,0)),"미등록차량"))</f>
        <v/>
      </c>
      <c r="D960" s="11"/>
      <c r="E960" s="18" t="str">
        <f aca="false">IF($D960="","",IFERROR(INDEX(정비항목!$B$3:$B$52,MATCH($D960,정비항목!$A$3:$A$52,0)),"미등록항목"))</f>
        <v/>
      </c>
      <c r="F960" s="14"/>
      <c r="G960" s="14"/>
      <c r="H960" s="11"/>
    </row>
    <row r="961" customFormat="false" ht="15" hidden="false" customHeight="true" outlineLevel="0" collapsed="false">
      <c r="A961" s="15"/>
      <c r="B961" s="11"/>
      <c r="C961" s="18" t="str">
        <f aca="false">IF($B961="","",IFERROR(INDEX(차량목록!$B$3:$B$102,MATCH($B961,차량목록!$A$3:$A$102,0)),"미등록차량"))</f>
        <v/>
      </c>
      <c r="D961" s="11"/>
      <c r="E961" s="18" t="str">
        <f aca="false">IF($D961="","",IFERROR(INDEX(정비항목!$B$3:$B$52,MATCH($D961,정비항목!$A$3:$A$52,0)),"미등록항목"))</f>
        <v/>
      </c>
      <c r="F961" s="14"/>
      <c r="G961" s="14"/>
      <c r="H961" s="11"/>
    </row>
    <row r="962" customFormat="false" ht="15" hidden="false" customHeight="true" outlineLevel="0" collapsed="false">
      <c r="A962" s="15"/>
      <c r="B962" s="11"/>
      <c r="C962" s="18" t="str">
        <f aca="false">IF($B962="","",IFERROR(INDEX(차량목록!$B$3:$B$102,MATCH($B962,차량목록!$A$3:$A$102,0)),"미등록차량"))</f>
        <v/>
      </c>
      <c r="D962" s="11"/>
      <c r="E962" s="18" t="str">
        <f aca="false">IF($D962="","",IFERROR(INDEX(정비항목!$B$3:$B$52,MATCH($D962,정비항목!$A$3:$A$52,0)),"미등록항목"))</f>
        <v/>
      </c>
      <c r="F962" s="14"/>
      <c r="G962" s="14"/>
      <c r="H962" s="11"/>
    </row>
    <row r="963" customFormat="false" ht="15" hidden="false" customHeight="true" outlineLevel="0" collapsed="false">
      <c r="A963" s="15"/>
      <c r="B963" s="11"/>
      <c r="C963" s="18" t="str">
        <f aca="false">IF($B963="","",IFERROR(INDEX(차량목록!$B$3:$B$102,MATCH($B963,차량목록!$A$3:$A$102,0)),"미등록차량"))</f>
        <v/>
      </c>
      <c r="D963" s="11"/>
      <c r="E963" s="18" t="str">
        <f aca="false">IF($D963="","",IFERROR(INDEX(정비항목!$B$3:$B$52,MATCH($D963,정비항목!$A$3:$A$52,0)),"미등록항목"))</f>
        <v/>
      </c>
      <c r="F963" s="14"/>
      <c r="G963" s="14"/>
      <c r="H963" s="11"/>
    </row>
    <row r="964" customFormat="false" ht="15" hidden="false" customHeight="true" outlineLevel="0" collapsed="false">
      <c r="A964" s="15"/>
      <c r="B964" s="11"/>
      <c r="C964" s="18" t="str">
        <f aca="false">IF($B964="","",IFERROR(INDEX(차량목록!$B$3:$B$102,MATCH($B964,차량목록!$A$3:$A$102,0)),"미등록차량"))</f>
        <v/>
      </c>
      <c r="D964" s="11"/>
      <c r="E964" s="18" t="str">
        <f aca="false">IF($D964="","",IFERROR(INDEX(정비항목!$B$3:$B$52,MATCH($D964,정비항목!$A$3:$A$52,0)),"미등록항목"))</f>
        <v/>
      </c>
      <c r="F964" s="14"/>
      <c r="G964" s="14"/>
      <c r="H964" s="11"/>
    </row>
    <row r="965" customFormat="false" ht="15" hidden="false" customHeight="true" outlineLevel="0" collapsed="false">
      <c r="A965" s="15"/>
      <c r="B965" s="11"/>
      <c r="C965" s="18" t="str">
        <f aca="false">IF($B965="","",IFERROR(INDEX(차량목록!$B$3:$B$102,MATCH($B965,차량목록!$A$3:$A$102,0)),"미등록차량"))</f>
        <v/>
      </c>
      <c r="D965" s="11"/>
      <c r="E965" s="18" t="str">
        <f aca="false">IF($D965="","",IFERROR(INDEX(정비항목!$B$3:$B$52,MATCH($D965,정비항목!$A$3:$A$52,0)),"미등록항목"))</f>
        <v/>
      </c>
      <c r="F965" s="14"/>
      <c r="G965" s="14"/>
      <c r="H965" s="11"/>
    </row>
    <row r="966" customFormat="false" ht="15" hidden="false" customHeight="true" outlineLevel="0" collapsed="false">
      <c r="A966" s="15"/>
      <c r="B966" s="11"/>
      <c r="C966" s="18" t="str">
        <f aca="false">IF($B966="","",IFERROR(INDEX(차량목록!$B$3:$B$102,MATCH($B966,차량목록!$A$3:$A$102,0)),"미등록차량"))</f>
        <v/>
      </c>
      <c r="D966" s="11"/>
      <c r="E966" s="18" t="str">
        <f aca="false">IF($D966="","",IFERROR(INDEX(정비항목!$B$3:$B$52,MATCH($D966,정비항목!$A$3:$A$52,0)),"미등록항목"))</f>
        <v/>
      </c>
      <c r="F966" s="14"/>
      <c r="G966" s="14"/>
      <c r="H966" s="11"/>
    </row>
    <row r="967" customFormat="false" ht="15" hidden="false" customHeight="true" outlineLevel="0" collapsed="false">
      <c r="A967" s="15"/>
      <c r="B967" s="11"/>
      <c r="C967" s="18" t="str">
        <f aca="false">IF($B967="","",IFERROR(INDEX(차량목록!$B$3:$B$102,MATCH($B967,차량목록!$A$3:$A$102,0)),"미등록차량"))</f>
        <v/>
      </c>
      <c r="D967" s="11"/>
      <c r="E967" s="18" t="str">
        <f aca="false">IF($D967="","",IFERROR(INDEX(정비항목!$B$3:$B$52,MATCH($D967,정비항목!$A$3:$A$52,0)),"미등록항목"))</f>
        <v/>
      </c>
      <c r="F967" s="14"/>
      <c r="G967" s="14"/>
      <c r="H967" s="11"/>
    </row>
    <row r="968" customFormat="false" ht="15" hidden="false" customHeight="true" outlineLevel="0" collapsed="false">
      <c r="A968" s="15"/>
      <c r="B968" s="11"/>
      <c r="C968" s="18" t="str">
        <f aca="false">IF($B968="","",IFERROR(INDEX(차량목록!$B$3:$B$102,MATCH($B968,차량목록!$A$3:$A$102,0)),"미등록차량"))</f>
        <v/>
      </c>
      <c r="D968" s="11"/>
      <c r="E968" s="18" t="str">
        <f aca="false">IF($D968="","",IFERROR(INDEX(정비항목!$B$3:$B$52,MATCH($D968,정비항목!$A$3:$A$52,0)),"미등록항목"))</f>
        <v/>
      </c>
      <c r="F968" s="14"/>
      <c r="G968" s="14"/>
      <c r="H968" s="11"/>
    </row>
    <row r="969" customFormat="false" ht="15" hidden="false" customHeight="true" outlineLevel="0" collapsed="false">
      <c r="A969" s="15"/>
      <c r="B969" s="11"/>
      <c r="C969" s="18" t="str">
        <f aca="false">IF($B969="","",IFERROR(INDEX(차량목록!$B$3:$B$102,MATCH($B969,차량목록!$A$3:$A$102,0)),"미등록차량"))</f>
        <v/>
      </c>
      <c r="D969" s="11"/>
      <c r="E969" s="18" t="str">
        <f aca="false">IF($D969="","",IFERROR(INDEX(정비항목!$B$3:$B$52,MATCH($D969,정비항목!$A$3:$A$52,0)),"미등록항목"))</f>
        <v/>
      </c>
      <c r="F969" s="14"/>
      <c r="G969" s="14"/>
      <c r="H969" s="11"/>
    </row>
    <row r="970" customFormat="false" ht="15" hidden="false" customHeight="true" outlineLevel="0" collapsed="false">
      <c r="A970" s="15"/>
      <c r="B970" s="11"/>
      <c r="C970" s="18" t="str">
        <f aca="false">IF($B970="","",IFERROR(INDEX(차량목록!$B$3:$B$102,MATCH($B970,차량목록!$A$3:$A$102,0)),"미등록차량"))</f>
        <v/>
      </c>
      <c r="D970" s="11"/>
      <c r="E970" s="18" t="str">
        <f aca="false">IF($D970="","",IFERROR(INDEX(정비항목!$B$3:$B$52,MATCH($D970,정비항목!$A$3:$A$52,0)),"미등록항목"))</f>
        <v/>
      </c>
      <c r="F970" s="14"/>
      <c r="G970" s="14"/>
      <c r="H970" s="11"/>
    </row>
    <row r="971" customFormat="false" ht="15" hidden="false" customHeight="true" outlineLevel="0" collapsed="false">
      <c r="A971" s="15"/>
      <c r="B971" s="11"/>
      <c r="C971" s="18" t="str">
        <f aca="false">IF($B971="","",IFERROR(INDEX(차량목록!$B$3:$B$102,MATCH($B971,차량목록!$A$3:$A$102,0)),"미등록차량"))</f>
        <v/>
      </c>
      <c r="D971" s="11"/>
      <c r="E971" s="18" t="str">
        <f aca="false">IF($D971="","",IFERROR(INDEX(정비항목!$B$3:$B$52,MATCH($D971,정비항목!$A$3:$A$52,0)),"미등록항목"))</f>
        <v/>
      </c>
      <c r="F971" s="14"/>
      <c r="G971" s="14"/>
      <c r="H971" s="11"/>
    </row>
    <row r="972" customFormat="false" ht="15" hidden="false" customHeight="true" outlineLevel="0" collapsed="false">
      <c r="A972" s="15"/>
      <c r="B972" s="11"/>
      <c r="C972" s="18" t="str">
        <f aca="false">IF($B972="","",IFERROR(INDEX(차량목록!$B$3:$B$102,MATCH($B972,차량목록!$A$3:$A$102,0)),"미등록차량"))</f>
        <v/>
      </c>
      <c r="D972" s="11"/>
      <c r="E972" s="18" t="str">
        <f aca="false">IF($D972="","",IFERROR(INDEX(정비항목!$B$3:$B$52,MATCH($D972,정비항목!$A$3:$A$52,0)),"미등록항목"))</f>
        <v/>
      </c>
      <c r="F972" s="14"/>
      <c r="G972" s="14"/>
      <c r="H972" s="11"/>
    </row>
    <row r="973" customFormat="false" ht="15" hidden="false" customHeight="true" outlineLevel="0" collapsed="false">
      <c r="A973" s="15"/>
      <c r="B973" s="11"/>
      <c r="C973" s="18" t="str">
        <f aca="false">IF($B973="","",IFERROR(INDEX(차량목록!$B$3:$B$102,MATCH($B973,차량목록!$A$3:$A$102,0)),"미등록차량"))</f>
        <v/>
      </c>
      <c r="D973" s="11"/>
      <c r="E973" s="18" t="str">
        <f aca="false">IF($D973="","",IFERROR(INDEX(정비항목!$B$3:$B$52,MATCH($D973,정비항목!$A$3:$A$52,0)),"미등록항목"))</f>
        <v/>
      </c>
      <c r="F973" s="14"/>
      <c r="G973" s="14"/>
      <c r="H973" s="11"/>
    </row>
    <row r="974" customFormat="false" ht="15" hidden="false" customHeight="true" outlineLevel="0" collapsed="false">
      <c r="A974" s="15"/>
      <c r="B974" s="11"/>
      <c r="C974" s="18" t="str">
        <f aca="false">IF($B974="","",IFERROR(INDEX(차량목록!$B$3:$B$102,MATCH($B974,차량목록!$A$3:$A$102,0)),"미등록차량"))</f>
        <v/>
      </c>
      <c r="D974" s="11"/>
      <c r="E974" s="18" t="str">
        <f aca="false">IF($D974="","",IFERROR(INDEX(정비항목!$B$3:$B$52,MATCH($D974,정비항목!$A$3:$A$52,0)),"미등록항목"))</f>
        <v/>
      </c>
      <c r="F974" s="14"/>
      <c r="G974" s="14"/>
      <c r="H974" s="11"/>
    </row>
    <row r="975" customFormat="false" ht="15" hidden="false" customHeight="true" outlineLevel="0" collapsed="false">
      <c r="A975" s="15"/>
      <c r="B975" s="11"/>
      <c r="C975" s="18" t="str">
        <f aca="false">IF($B975="","",IFERROR(INDEX(차량목록!$B$3:$B$102,MATCH($B975,차량목록!$A$3:$A$102,0)),"미등록차량"))</f>
        <v/>
      </c>
      <c r="D975" s="11"/>
      <c r="E975" s="18" t="str">
        <f aca="false">IF($D975="","",IFERROR(INDEX(정비항목!$B$3:$B$52,MATCH($D975,정비항목!$A$3:$A$52,0)),"미등록항목"))</f>
        <v/>
      </c>
      <c r="F975" s="14"/>
      <c r="G975" s="14"/>
      <c r="H975" s="11"/>
    </row>
    <row r="976" customFormat="false" ht="15" hidden="false" customHeight="true" outlineLevel="0" collapsed="false">
      <c r="A976" s="15"/>
      <c r="B976" s="11"/>
      <c r="C976" s="18" t="str">
        <f aca="false">IF($B976="","",IFERROR(INDEX(차량목록!$B$3:$B$102,MATCH($B976,차량목록!$A$3:$A$102,0)),"미등록차량"))</f>
        <v/>
      </c>
      <c r="D976" s="11"/>
      <c r="E976" s="18" t="str">
        <f aca="false">IF($D976="","",IFERROR(INDEX(정비항목!$B$3:$B$52,MATCH($D976,정비항목!$A$3:$A$52,0)),"미등록항목"))</f>
        <v/>
      </c>
      <c r="F976" s="14"/>
      <c r="G976" s="14"/>
      <c r="H976" s="11"/>
    </row>
    <row r="977" customFormat="false" ht="15" hidden="false" customHeight="true" outlineLevel="0" collapsed="false">
      <c r="A977" s="15"/>
      <c r="B977" s="11"/>
      <c r="C977" s="18" t="str">
        <f aca="false">IF($B977="","",IFERROR(INDEX(차량목록!$B$3:$B$102,MATCH($B977,차량목록!$A$3:$A$102,0)),"미등록차량"))</f>
        <v/>
      </c>
      <c r="D977" s="11"/>
      <c r="E977" s="18" t="str">
        <f aca="false">IF($D977="","",IFERROR(INDEX(정비항목!$B$3:$B$52,MATCH($D977,정비항목!$A$3:$A$52,0)),"미등록항목"))</f>
        <v/>
      </c>
      <c r="F977" s="14"/>
      <c r="G977" s="14"/>
      <c r="H977" s="11"/>
    </row>
    <row r="978" customFormat="false" ht="15" hidden="false" customHeight="true" outlineLevel="0" collapsed="false">
      <c r="A978" s="15"/>
      <c r="B978" s="11"/>
      <c r="C978" s="18" t="str">
        <f aca="false">IF($B978="","",IFERROR(INDEX(차량목록!$B$3:$B$102,MATCH($B978,차량목록!$A$3:$A$102,0)),"미등록차량"))</f>
        <v/>
      </c>
      <c r="D978" s="11"/>
      <c r="E978" s="18" t="str">
        <f aca="false">IF($D978="","",IFERROR(INDEX(정비항목!$B$3:$B$52,MATCH($D978,정비항목!$A$3:$A$52,0)),"미등록항목"))</f>
        <v/>
      </c>
      <c r="F978" s="14"/>
      <c r="G978" s="14"/>
      <c r="H978" s="11"/>
    </row>
    <row r="979" customFormat="false" ht="15" hidden="false" customHeight="true" outlineLevel="0" collapsed="false">
      <c r="A979" s="15"/>
      <c r="B979" s="11"/>
      <c r="C979" s="18" t="str">
        <f aca="false">IF($B979="","",IFERROR(INDEX(차량목록!$B$3:$B$102,MATCH($B979,차량목록!$A$3:$A$102,0)),"미등록차량"))</f>
        <v/>
      </c>
      <c r="D979" s="11"/>
      <c r="E979" s="18" t="str">
        <f aca="false">IF($D979="","",IFERROR(INDEX(정비항목!$B$3:$B$52,MATCH($D979,정비항목!$A$3:$A$52,0)),"미등록항목"))</f>
        <v/>
      </c>
      <c r="F979" s="14"/>
      <c r="G979" s="14"/>
      <c r="H979" s="11"/>
    </row>
    <row r="980" customFormat="false" ht="15" hidden="false" customHeight="true" outlineLevel="0" collapsed="false">
      <c r="A980" s="15"/>
      <c r="B980" s="11"/>
      <c r="C980" s="18" t="str">
        <f aca="false">IF($B980="","",IFERROR(INDEX(차량목록!$B$3:$B$102,MATCH($B980,차량목록!$A$3:$A$102,0)),"미등록차량"))</f>
        <v/>
      </c>
      <c r="D980" s="11"/>
      <c r="E980" s="18" t="str">
        <f aca="false">IF($D980="","",IFERROR(INDEX(정비항목!$B$3:$B$52,MATCH($D980,정비항목!$A$3:$A$52,0)),"미등록항목"))</f>
        <v/>
      </c>
      <c r="F980" s="14"/>
      <c r="G980" s="14"/>
      <c r="H980" s="11"/>
    </row>
    <row r="981" customFormat="false" ht="15" hidden="false" customHeight="true" outlineLevel="0" collapsed="false">
      <c r="A981" s="15"/>
      <c r="B981" s="11"/>
      <c r="C981" s="18" t="str">
        <f aca="false">IF($B981="","",IFERROR(INDEX(차량목록!$B$3:$B$102,MATCH($B981,차량목록!$A$3:$A$102,0)),"미등록차량"))</f>
        <v/>
      </c>
      <c r="D981" s="11"/>
      <c r="E981" s="18" t="str">
        <f aca="false">IF($D981="","",IFERROR(INDEX(정비항목!$B$3:$B$52,MATCH($D981,정비항목!$A$3:$A$52,0)),"미등록항목"))</f>
        <v/>
      </c>
      <c r="F981" s="14"/>
      <c r="G981" s="14"/>
      <c r="H981" s="11"/>
    </row>
    <row r="982" customFormat="false" ht="15" hidden="false" customHeight="true" outlineLevel="0" collapsed="false">
      <c r="A982" s="15"/>
      <c r="B982" s="11"/>
      <c r="C982" s="18" t="str">
        <f aca="false">IF($B982="","",IFERROR(INDEX(차량목록!$B$3:$B$102,MATCH($B982,차량목록!$A$3:$A$102,0)),"미등록차량"))</f>
        <v/>
      </c>
      <c r="D982" s="11"/>
      <c r="E982" s="18" t="str">
        <f aca="false">IF($D982="","",IFERROR(INDEX(정비항목!$B$3:$B$52,MATCH($D982,정비항목!$A$3:$A$52,0)),"미등록항목"))</f>
        <v/>
      </c>
      <c r="F982" s="14"/>
      <c r="G982" s="14"/>
      <c r="H982" s="11"/>
    </row>
    <row r="983" customFormat="false" ht="15" hidden="false" customHeight="true" outlineLevel="0" collapsed="false">
      <c r="A983" s="15"/>
      <c r="B983" s="11"/>
      <c r="C983" s="18" t="str">
        <f aca="false">IF($B983="","",IFERROR(INDEX(차량목록!$B$3:$B$102,MATCH($B983,차량목록!$A$3:$A$102,0)),"미등록차량"))</f>
        <v/>
      </c>
      <c r="D983" s="11"/>
      <c r="E983" s="18" t="str">
        <f aca="false">IF($D983="","",IFERROR(INDEX(정비항목!$B$3:$B$52,MATCH($D983,정비항목!$A$3:$A$52,0)),"미등록항목"))</f>
        <v/>
      </c>
      <c r="F983" s="14"/>
      <c r="G983" s="14"/>
      <c r="H983" s="11"/>
    </row>
    <row r="984" customFormat="false" ht="15" hidden="false" customHeight="true" outlineLevel="0" collapsed="false">
      <c r="A984" s="15"/>
      <c r="B984" s="11"/>
      <c r="C984" s="18" t="str">
        <f aca="false">IF($B984="","",IFERROR(INDEX(차량목록!$B$3:$B$102,MATCH($B984,차량목록!$A$3:$A$102,0)),"미등록차량"))</f>
        <v/>
      </c>
      <c r="D984" s="11"/>
      <c r="E984" s="18" t="str">
        <f aca="false">IF($D984="","",IFERROR(INDEX(정비항목!$B$3:$B$52,MATCH($D984,정비항목!$A$3:$A$52,0)),"미등록항목"))</f>
        <v/>
      </c>
      <c r="F984" s="14"/>
      <c r="G984" s="14"/>
      <c r="H984" s="11"/>
    </row>
    <row r="985" customFormat="false" ht="15" hidden="false" customHeight="true" outlineLevel="0" collapsed="false">
      <c r="A985" s="15"/>
      <c r="B985" s="11"/>
      <c r="C985" s="18" t="str">
        <f aca="false">IF($B985="","",IFERROR(INDEX(차량목록!$B$3:$B$102,MATCH($B985,차량목록!$A$3:$A$102,0)),"미등록차량"))</f>
        <v/>
      </c>
      <c r="D985" s="11"/>
      <c r="E985" s="18" t="str">
        <f aca="false">IF($D985="","",IFERROR(INDEX(정비항목!$B$3:$B$52,MATCH($D985,정비항목!$A$3:$A$52,0)),"미등록항목"))</f>
        <v/>
      </c>
      <c r="F985" s="14"/>
      <c r="G985" s="14"/>
      <c r="H985" s="11"/>
    </row>
    <row r="986" customFormat="false" ht="15" hidden="false" customHeight="true" outlineLevel="0" collapsed="false">
      <c r="A986" s="15"/>
      <c r="B986" s="11"/>
      <c r="C986" s="18" t="str">
        <f aca="false">IF($B986="","",IFERROR(INDEX(차량목록!$B$3:$B$102,MATCH($B986,차량목록!$A$3:$A$102,0)),"미등록차량"))</f>
        <v/>
      </c>
      <c r="D986" s="11"/>
      <c r="E986" s="18" t="str">
        <f aca="false">IF($D986="","",IFERROR(INDEX(정비항목!$B$3:$B$52,MATCH($D986,정비항목!$A$3:$A$52,0)),"미등록항목"))</f>
        <v/>
      </c>
      <c r="F986" s="14"/>
      <c r="G986" s="14"/>
      <c r="H986" s="11"/>
    </row>
    <row r="987" customFormat="false" ht="15" hidden="false" customHeight="true" outlineLevel="0" collapsed="false">
      <c r="A987" s="15"/>
      <c r="B987" s="11"/>
      <c r="C987" s="18" t="str">
        <f aca="false">IF($B987="","",IFERROR(INDEX(차량목록!$B$3:$B$102,MATCH($B987,차량목록!$A$3:$A$102,0)),"미등록차량"))</f>
        <v/>
      </c>
      <c r="D987" s="11"/>
      <c r="E987" s="18" t="str">
        <f aca="false">IF($D987="","",IFERROR(INDEX(정비항목!$B$3:$B$52,MATCH($D987,정비항목!$A$3:$A$52,0)),"미등록항목"))</f>
        <v/>
      </c>
      <c r="F987" s="14"/>
      <c r="G987" s="14"/>
      <c r="H987" s="11"/>
    </row>
    <row r="988" customFormat="false" ht="15" hidden="false" customHeight="true" outlineLevel="0" collapsed="false">
      <c r="A988" s="15"/>
      <c r="B988" s="11"/>
      <c r="C988" s="18" t="str">
        <f aca="false">IF($B988="","",IFERROR(INDEX(차량목록!$B$3:$B$102,MATCH($B988,차량목록!$A$3:$A$102,0)),"미등록차량"))</f>
        <v/>
      </c>
      <c r="D988" s="11"/>
      <c r="E988" s="18" t="str">
        <f aca="false">IF($D988="","",IFERROR(INDEX(정비항목!$B$3:$B$52,MATCH($D988,정비항목!$A$3:$A$52,0)),"미등록항목"))</f>
        <v/>
      </c>
      <c r="F988" s="14"/>
      <c r="G988" s="14"/>
      <c r="H988" s="11"/>
    </row>
    <row r="989" customFormat="false" ht="15" hidden="false" customHeight="true" outlineLevel="0" collapsed="false">
      <c r="A989" s="15"/>
      <c r="B989" s="11"/>
      <c r="C989" s="18" t="str">
        <f aca="false">IF($B989="","",IFERROR(INDEX(차량목록!$B$3:$B$102,MATCH($B989,차량목록!$A$3:$A$102,0)),"미등록차량"))</f>
        <v/>
      </c>
      <c r="D989" s="11"/>
      <c r="E989" s="18" t="str">
        <f aca="false">IF($D989="","",IFERROR(INDEX(정비항목!$B$3:$B$52,MATCH($D989,정비항목!$A$3:$A$52,0)),"미등록항목"))</f>
        <v/>
      </c>
      <c r="F989" s="14"/>
      <c r="G989" s="14"/>
      <c r="H989" s="11"/>
    </row>
    <row r="990" customFormat="false" ht="15" hidden="false" customHeight="true" outlineLevel="0" collapsed="false">
      <c r="A990" s="15"/>
      <c r="B990" s="11"/>
      <c r="C990" s="18" t="str">
        <f aca="false">IF($B990="","",IFERROR(INDEX(차량목록!$B$3:$B$102,MATCH($B990,차량목록!$A$3:$A$102,0)),"미등록차량"))</f>
        <v/>
      </c>
      <c r="D990" s="11"/>
      <c r="E990" s="18" t="str">
        <f aca="false">IF($D990="","",IFERROR(INDEX(정비항목!$B$3:$B$52,MATCH($D990,정비항목!$A$3:$A$52,0)),"미등록항목"))</f>
        <v/>
      </c>
      <c r="F990" s="14"/>
      <c r="G990" s="14"/>
      <c r="H990" s="11"/>
    </row>
    <row r="991" customFormat="false" ht="15" hidden="false" customHeight="true" outlineLevel="0" collapsed="false">
      <c r="A991" s="15"/>
      <c r="B991" s="11"/>
      <c r="C991" s="18" t="str">
        <f aca="false">IF($B991="","",IFERROR(INDEX(차량목록!$B$3:$B$102,MATCH($B991,차량목록!$A$3:$A$102,0)),"미등록차량"))</f>
        <v/>
      </c>
      <c r="D991" s="11"/>
      <c r="E991" s="18" t="str">
        <f aca="false">IF($D991="","",IFERROR(INDEX(정비항목!$B$3:$B$52,MATCH($D991,정비항목!$A$3:$A$52,0)),"미등록항목"))</f>
        <v/>
      </c>
      <c r="F991" s="14"/>
      <c r="G991" s="14"/>
      <c r="H991" s="11"/>
    </row>
    <row r="992" customFormat="false" ht="15" hidden="false" customHeight="true" outlineLevel="0" collapsed="false">
      <c r="A992" s="15"/>
      <c r="B992" s="11"/>
      <c r="C992" s="18" t="str">
        <f aca="false">IF($B992="","",IFERROR(INDEX(차량목록!$B$3:$B$102,MATCH($B992,차량목록!$A$3:$A$102,0)),"미등록차량"))</f>
        <v/>
      </c>
      <c r="D992" s="11"/>
      <c r="E992" s="18" t="str">
        <f aca="false">IF($D992="","",IFERROR(INDEX(정비항목!$B$3:$B$52,MATCH($D992,정비항목!$A$3:$A$52,0)),"미등록항목"))</f>
        <v/>
      </c>
      <c r="F992" s="14"/>
      <c r="G992" s="14"/>
      <c r="H992" s="11"/>
    </row>
    <row r="993" customFormat="false" ht="15" hidden="false" customHeight="true" outlineLevel="0" collapsed="false">
      <c r="A993" s="15"/>
      <c r="B993" s="11"/>
      <c r="C993" s="18" t="str">
        <f aca="false">IF($B993="","",IFERROR(INDEX(차량목록!$B$3:$B$102,MATCH($B993,차량목록!$A$3:$A$102,0)),"미등록차량"))</f>
        <v/>
      </c>
      <c r="D993" s="11"/>
      <c r="E993" s="18" t="str">
        <f aca="false">IF($D993="","",IFERROR(INDEX(정비항목!$B$3:$B$52,MATCH($D993,정비항목!$A$3:$A$52,0)),"미등록항목"))</f>
        <v/>
      </c>
      <c r="F993" s="14"/>
      <c r="G993" s="14"/>
      <c r="H993" s="11"/>
    </row>
    <row r="994" customFormat="false" ht="15" hidden="false" customHeight="true" outlineLevel="0" collapsed="false">
      <c r="A994" s="15"/>
      <c r="B994" s="11"/>
      <c r="C994" s="18" t="str">
        <f aca="false">IF($B994="","",IFERROR(INDEX(차량목록!$B$3:$B$102,MATCH($B994,차량목록!$A$3:$A$102,0)),"미등록차량"))</f>
        <v/>
      </c>
      <c r="D994" s="11"/>
      <c r="E994" s="18" t="str">
        <f aca="false">IF($D994="","",IFERROR(INDEX(정비항목!$B$3:$B$52,MATCH($D994,정비항목!$A$3:$A$52,0)),"미등록항목"))</f>
        <v/>
      </c>
      <c r="F994" s="14"/>
      <c r="G994" s="14"/>
      <c r="H994" s="11"/>
    </row>
    <row r="995" customFormat="false" ht="15" hidden="false" customHeight="true" outlineLevel="0" collapsed="false">
      <c r="A995" s="15"/>
      <c r="B995" s="11"/>
      <c r="C995" s="18" t="str">
        <f aca="false">IF($B995="","",IFERROR(INDEX(차량목록!$B$3:$B$102,MATCH($B995,차량목록!$A$3:$A$102,0)),"미등록차량"))</f>
        <v/>
      </c>
      <c r="D995" s="11"/>
      <c r="E995" s="18" t="str">
        <f aca="false">IF($D995="","",IFERROR(INDEX(정비항목!$B$3:$B$52,MATCH($D995,정비항목!$A$3:$A$52,0)),"미등록항목"))</f>
        <v/>
      </c>
      <c r="F995" s="14"/>
      <c r="G995" s="14"/>
      <c r="H995" s="11"/>
    </row>
    <row r="996" customFormat="false" ht="15" hidden="false" customHeight="true" outlineLevel="0" collapsed="false">
      <c r="A996" s="15"/>
      <c r="B996" s="11"/>
      <c r="C996" s="18" t="str">
        <f aca="false">IF($B996="","",IFERROR(INDEX(차량목록!$B$3:$B$102,MATCH($B996,차량목록!$A$3:$A$102,0)),"미등록차량"))</f>
        <v/>
      </c>
      <c r="D996" s="11"/>
      <c r="E996" s="18" t="str">
        <f aca="false">IF($D996="","",IFERROR(INDEX(정비항목!$B$3:$B$52,MATCH($D996,정비항목!$A$3:$A$52,0)),"미등록항목"))</f>
        <v/>
      </c>
      <c r="F996" s="14"/>
      <c r="G996" s="14"/>
      <c r="H996" s="11"/>
    </row>
    <row r="997" customFormat="false" ht="15" hidden="false" customHeight="true" outlineLevel="0" collapsed="false">
      <c r="A997" s="15"/>
      <c r="B997" s="11"/>
      <c r="C997" s="18" t="str">
        <f aca="false">IF($B997="","",IFERROR(INDEX(차량목록!$B$3:$B$102,MATCH($B997,차량목록!$A$3:$A$102,0)),"미등록차량"))</f>
        <v/>
      </c>
      <c r="D997" s="11"/>
      <c r="E997" s="18" t="str">
        <f aca="false">IF($D997="","",IFERROR(INDEX(정비항목!$B$3:$B$52,MATCH($D997,정비항목!$A$3:$A$52,0)),"미등록항목"))</f>
        <v/>
      </c>
      <c r="F997" s="14"/>
      <c r="G997" s="14"/>
      <c r="H997" s="11"/>
    </row>
    <row r="998" customFormat="false" ht="15" hidden="false" customHeight="true" outlineLevel="0" collapsed="false">
      <c r="A998" s="15"/>
      <c r="B998" s="11"/>
      <c r="C998" s="18" t="str">
        <f aca="false">IF($B998="","",IFERROR(INDEX(차량목록!$B$3:$B$102,MATCH($B998,차량목록!$A$3:$A$102,0)),"미등록차량"))</f>
        <v/>
      </c>
      <c r="D998" s="11"/>
      <c r="E998" s="18" t="str">
        <f aca="false">IF($D998="","",IFERROR(INDEX(정비항목!$B$3:$B$52,MATCH($D998,정비항목!$A$3:$A$52,0)),"미등록항목"))</f>
        <v/>
      </c>
      <c r="F998" s="14"/>
      <c r="G998" s="14"/>
      <c r="H998" s="11"/>
    </row>
    <row r="999" customFormat="false" ht="15" hidden="false" customHeight="true" outlineLevel="0" collapsed="false">
      <c r="A999" s="15"/>
      <c r="B999" s="11"/>
      <c r="C999" s="18" t="str">
        <f aca="false">IF($B999="","",IFERROR(INDEX(차량목록!$B$3:$B$102,MATCH($B999,차량목록!$A$3:$A$102,0)),"미등록차량"))</f>
        <v/>
      </c>
      <c r="D999" s="11"/>
      <c r="E999" s="18" t="str">
        <f aca="false">IF($D999="","",IFERROR(INDEX(정비항목!$B$3:$B$52,MATCH($D999,정비항목!$A$3:$A$52,0)),"미등록항목"))</f>
        <v/>
      </c>
      <c r="F999" s="14"/>
      <c r="G999" s="14"/>
      <c r="H999" s="11"/>
    </row>
    <row r="1000" customFormat="false" ht="15" hidden="false" customHeight="true" outlineLevel="0" collapsed="false">
      <c r="A1000" s="15"/>
      <c r="B1000" s="11"/>
      <c r="C1000" s="18" t="str">
        <f aca="false">IF($B1000="","",IFERROR(INDEX(차량목록!$B$3:$B$102,MATCH($B1000,차량목록!$A$3:$A$102,0)),"미등록차량"))</f>
        <v/>
      </c>
      <c r="D1000" s="11"/>
      <c r="E1000" s="18" t="str">
        <f aca="false">IF($D1000="","",IFERROR(INDEX(정비항목!$B$3:$B$52,MATCH($D1000,정비항목!$A$3:$A$52,0)),"미등록항목"))</f>
        <v/>
      </c>
      <c r="F1000" s="14"/>
      <c r="G1000" s="14"/>
      <c r="H1000" s="11"/>
    </row>
    <row r="1001" customFormat="false" ht="15" hidden="false" customHeight="true" outlineLevel="0" collapsed="false">
      <c r="A1001" s="15"/>
      <c r="B1001" s="11"/>
      <c r="C1001" s="18" t="str">
        <f aca="false">IF($B1001="","",IFERROR(INDEX(차량목록!$B$3:$B$102,MATCH($B1001,차량목록!$A$3:$A$102,0)),"미등록차량"))</f>
        <v/>
      </c>
      <c r="D1001" s="11"/>
      <c r="E1001" s="18" t="str">
        <f aca="false">IF($D1001="","",IFERROR(INDEX(정비항목!$B$3:$B$52,MATCH($D1001,정비항목!$A$3:$A$52,0)),"미등록항목"))</f>
        <v/>
      </c>
      <c r="F1001" s="14"/>
      <c r="G1001" s="14"/>
      <c r="H1001" s="11"/>
    </row>
    <row r="1002" customFormat="false" ht="15" hidden="false" customHeight="true" outlineLevel="0" collapsed="false">
      <c r="A1002" s="15"/>
      <c r="B1002" s="11"/>
      <c r="C1002" s="18" t="str">
        <f aca="false">IF($B1002="","",IFERROR(INDEX(차량목록!$B$3:$B$102,MATCH($B1002,차량목록!$A$3:$A$102,0)),"미등록차량"))</f>
        <v/>
      </c>
      <c r="D1002" s="11"/>
      <c r="E1002" s="18" t="str">
        <f aca="false">IF($D1002="","",IFERROR(INDEX(정비항목!$B$3:$B$52,MATCH($D1002,정비항목!$A$3:$A$52,0)),"미등록항목"))</f>
        <v/>
      </c>
      <c r="F1002" s="14"/>
      <c r="G1002" s="14"/>
      <c r="H1002" s="11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3:B1002" type="list">
      <formula1>차량목록!$A$3:$A$102</formula1>
      <formula2>0</formula2>
    </dataValidation>
    <dataValidation allowBlank="true" errorStyle="stop" operator="between" showDropDown="false" showErrorMessage="false" showInputMessage="false" sqref="D3:D1002" type="list">
      <formula1>정비항목!$A$3:$A$52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3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2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5" hidden="false" customHeight="true" outlineLevel="0" collapsed="false">
      <c r="A3" s="3" t="s">
        <v>68</v>
      </c>
      <c r="B3" s="19" t="n">
        <f aca="true">TODAY()</f>
        <v>46279</v>
      </c>
      <c r="D3" s="3" t="s">
        <v>69</v>
      </c>
      <c r="E3" s="20" t="n">
        <f aca="false">COUNTIF($M$6:$M$365,"교체")</f>
        <v>0</v>
      </c>
      <c r="G3" s="3" t="s">
        <v>70</v>
      </c>
      <c r="H3" s="21" t="n">
        <f aca="false">COUNTIF($M$6:$M$365,"임박")</f>
        <v>1</v>
      </c>
    </row>
    <row r="5" customFormat="false" ht="15" hidden="false" customHeight="true" outlineLevel="0" collapsed="false">
      <c r="A5" s="10" t="s">
        <v>26</v>
      </c>
      <c r="B5" s="10" t="s">
        <v>27</v>
      </c>
      <c r="C5" s="10" t="s">
        <v>71</v>
      </c>
      <c r="D5" s="10" t="s">
        <v>46</v>
      </c>
      <c r="E5" s="10" t="s">
        <v>47</v>
      </c>
      <c r="F5" s="10" t="s">
        <v>72</v>
      </c>
      <c r="G5" s="10" t="s">
        <v>73</v>
      </c>
      <c r="H5" s="10" t="s">
        <v>74</v>
      </c>
      <c r="I5" s="10" t="s">
        <v>75</v>
      </c>
      <c r="J5" s="10" t="s">
        <v>76</v>
      </c>
      <c r="K5" s="10" t="s">
        <v>77</v>
      </c>
      <c r="L5" s="22" t="s">
        <v>78</v>
      </c>
      <c r="M5" s="10" t="s">
        <v>32</v>
      </c>
    </row>
    <row r="6" customFormat="false" ht="15" hidden="false" customHeight="true" outlineLevel="0" collapsed="false">
      <c r="A6" s="23" t="str">
        <f aca="false">IF(OR(차량목록!$A3="",정비항목!$A3="",차량목록!$G3="매각"),"",차량목록!$A3)</f>
        <v>12가3456</v>
      </c>
      <c r="B6" s="23" t="str">
        <f aca="false">IF($A6="","",차량목록!$B3)</f>
        <v>포터2</v>
      </c>
      <c r="C6" s="23" t="str">
        <f aca="false">IF($A6="","",정비항목!$B3)</f>
        <v>엔진오일</v>
      </c>
      <c r="D6" s="24" t="n">
        <f aca="false">IF($A6="","",IF(정비항목!$C3="",0,정비항목!$C3))</f>
        <v>10000</v>
      </c>
      <c r="E6" s="25" t="n">
        <f aca="false">IF($A6="","",IF(정비항목!$D3="",0,정비항목!$D3))</f>
        <v>6</v>
      </c>
      <c r="F6" s="26" t="n">
        <f aca="false">IF($A6="","",IF(COUNTIFS(정비이력!$B$3:$B$1002,$A6,정비이력!$D$3:$D$1002,정비항목!$A3)=0,"",SUMPRODUCT(MAX((정비이력!$B$3:$B$1002=$A6)*(정비이력!$D$3:$D$1002=정비항목!$A3)*정비이력!$A$3:$A$1002))))</f>
        <v>46183</v>
      </c>
      <c r="G6" s="27" t="n">
        <f aca="false">IF($A6="","",IF($F6="","",SUMPRODUCT(MAX((정비이력!$B$3:$B$1002=$A6)*(정비이력!$D$3:$D$1002=정비항목!$A3)*정비이력!$F$3:$F$1002))))</f>
        <v>72000</v>
      </c>
      <c r="H6" s="27" t="n">
        <f aca="false">IF($A6="","",IF(차량목록!$E3="",0,차량목록!$E3))</f>
        <v>81800</v>
      </c>
      <c r="I6" s="27" t="n">
        <f aca="false">IF(OR($A6="",$D6=0),"",IF($G6="",$H6+$D6,$G6+$D6))</f>
        <v>82000</v>
      </c>
      <c r="J6" s="24" t="n">
        <f aca="false">IF($I6="","",$I6-$H6)</f>
        <v>200</v>
      </c>
      <c r="K6" s="26" t="n">
        <f aca="true">IF(OR($A6="",$E6=0),"",IF($F6="",EDATE(TODAY(),$E6),EDATE($F6,$E6)))</f>
        <v>46366</v>
      </c>
      <c r="L6" s="28" t="n">
        <f aca="true">IF($K6="","",$K6-TODAY())</f>
        <v>87</v>
      </c>
      <c r="M6" s="28" t="str">
        <f aca="false">IF($A6="","",IF(AND($J6="",$L6=""),"-",IF(OR(AND($J6&lt;&gt;"",$J6&lt;=0),AND($L6&lt;&gt;"",$L6&lt;0)),"교체",IF(OR(AND($J6&lt;&gt;"",$J6&lt;=사용안내!$C$16),AND($L6&lt;&gt;"",$L6&lt;=사용안내!$C$17)),"임박","정상"))))</f>
        <v>임박</v>
      </c>
    </row>
    <row r="7" customFormat="false" ht="15" hidden="false" customHeight="true" outlineLevel="0" collapsed="false">
      <c r="A7" s="23" t="str">
        <f aca="false">IF(OR(차량목록!$A3="",정비항목!$A4="",차량목록!$G3="매각"),"",차량목록!$A3)</f>
        <v>12가3456</v>
      </c>
      <c r="B7" s="23" t="str">
        <f aca="false">IF($A7="","",차량목록!$B3)</f>
        <v>포터2</v>
      </c>
      <c r="C7" s="23" t="str">
        <f aca="false">IF($A7="","",정비항목!$B4)</f>
        <v>에어크리너</v>
      </c>
      <c r="D7" s="24" t="n">
        <f aca="false">IF($A7="","",IF(정비항목!$C4="",0,정비항목!$C4))</f>
        <v>20000</v>
      </c>
      <c r="E7" s="25" t="n">
        <f aca="false">IF($A7="","",IF(정비항목!$D4="",0,정비항목!$D4))</f>
        <v>12</v>
      </c>
      <c r="F7" s="26" t="n">
        <f aca="false">IF($A7="","",IF(COUNTIFS(정비이력!$B$3:$B$1002,$A7,정비이력!$D$3:$D$1002,정비항목!$A4)=0,"",SUMPRODUCT(MAX((정비이력!$B$3:$B$1002=$A7)*(정비이력!$D$3:$D$1002=정비항목!$A4)*정비이력!$A$3:$A$1002))))</f>
        <v>46086</v>
      </c>
      <c r="G7" s="27" t="n">
        <f aca="false">IF($A7="","",IF($F7="","",SUMPRODUCT(MAX((정비이력!$B$3:$B$1002=$A7)*(정비이력!$D$3:$D$1002=정비항목!$A4)*정비이력!$F$3:$F$1002))))</f>
        <v>65000</v>
      </c>
      <c r="H7" s="27" t="n">
        <f aca="false">IF($A7="","",IF(차량목록!$E3="",0,차량목록!$E3))</f>
        <v>81800</v>
      </c>
      <c r="I7" s="27" t="n">
        <f aca="false">IF(OR($A7="",$D7=0),"",IF($G7="",$H7+$D7,$G7+$D7))</f>
        <v>85000</v>
      </c>
      <c r="J7" s="24" t="n">
        <f aca="false">IF($I7="","",$I7-$H7)</f>
        <v>3200</v>
      </c>
      <c r="K7" s="26" t="n">
        <f aca="true">IF(OR($A7="",$E7=0),"",IF($F7="",EDATE(TODAY(),$E7),EDATE($F7,$E7)))</f>
        <v>46451</v>
      </c>
      <c r="L7" s="28" t="n">
        <f aca="true">IF($K7="","",$K7-TODAY())</f>
        <v>172</v>
      </c>
      <c r="M7" s="28" t="str">
        <f aca="false">IF($A7="","",IF(AND($J7="",$L7=""),"-",IF(OR(AND($J7&lt;&gt;"",$J7&lt;=0),AND($L7&lt;&gt;"",$L7&lt;0)),"교체",IF(OR(AND($J7&lt;&gt;"",$J7&lt;=사용안내!$C$16),AND($L7&lt;&gt;"",$L7&lt;=사용안내!$C$17)),"임박","정상"))))</f>
        <v>정상</v>
      </c>
    </row>
    <row r="8" customFormat="false" ht="15" hidden="false" customHeight="true" outlineLevel="0" collapsed="false">
      <c r="A8" s="23" t="str">
        <f aca="false">IF(OR(차량목록!$A3="",정비항목!$A5="",차량목록!$G3="매각"),"",차량목록!$A3)</f>
        <v>12가3456</v>
      </c>
      <c r="B8" s="23" t="str">
        <f aca="false">IF($A8="","",차량목록!$B3)</f>
        <v>포터2</v>
      </c>
      <c r="C8" s="23" t="str">
        <f aca="false">IF($A8="","",정비항목!$B5)</f>
        <v>타이어</v>
      </c>
      <c r="D8" s="24" t="n">
        <f aca="false">IF($A8="","",IF(정비항목!$C5="",0,정비항목!$C5))</f>
        <v>50000</v>
      </c>
      <c r="E8" s="25" t="n">
        <f aca="false">IF($A8="","",IF(정비항목!$D5="",0,정비항목!$D5))</f>
        <v>36</v>
      </c>
      <c r="F8" s="26" t="str">
        <f aca="false">IF($A8="","",IF(COUNTIFS(정비이력!$B$3:$B$1002,$A8,정비이력!$D$3:$D$1002,정비항목!$A5)=0,"",SUMPRODUCT(MAX((정비이력!$B$3:$B$1002=$A8)*(정비이력!$D$3:$D$1002=정비항목!$A5)*정비이력!$A$3:$A$1002))))</f>
        <v/>
      </c>
      <c r="G8" s="27" t="str">
        <f aca="false">IF($A8="","",IF($F8="","",SUMPRODUCT(MAX((정비이력!$B$3:$B$1002=$A8)*(정비이력!$D$3:$D$1002=정비항목!$A5)*정비이력!$F$3:$F$1002))))</f>
        <v/>
      </c>
      <c r="H8" s="27" t="n">
        <f aca="false">IF($A8="","",IF(차량목록!$E3="",0,차량목록!$E3))</f>
        <v>81800</v>
      </c>
      <c r="I8" s="27" t="n">
        <f aca="false">IF(OR($A8="",$D8=0),"",IF($G8="",$H8+$D8,$G8+$D8))</f>
        <v>131800</v>
      </c>
      <c r="J8" s="24" t="n">
        <f aca="false">IF($I8="","",$I8-$H8)</f>
        <v>50000</v>
      </c>
      <c r="K8" s="26" t="n">
        <f aca="true">IF(OR($A8="",$E8=0),"",IF($F8="",EDATE(TODAY(),$E8),EDATE($F8,$E8)))</f>
        <v>47375</v>
      </c>
      <c r="L8" s="28" t="n">
        <f aca="true">IF($K8="","",$K8-TODAY())</f>
        <v>1096</v>
      </c>
      <c r="M8" s="28" t="str">
        <f aca="false">IF($A8="","",IF(AND($J8="",$L8=""),"-",IF(OR(AND($J8&lt;&gt;"",$J8&lt;=0),AND($L8&lt;&gt;"",$L8&lt;0)),"교체",IF(OR(AND($J8&lt;&gt;"",$J8&lt;=사용안내!$C$16),AND($L8&lt;&gt;"",$L8&lt;=사용안내!$C$17)),"임박","정상"))))</f>
        <v>정상</v>
      </c>
    </row>
    <row r="9" customFormat="false" ht="15" hidden="false" customHeight="true" outlineLevel="0" collapsed="false">
      <c r="A9" s="23" t="str">
        <f aca="false">IF(OR(차량목록!$A3="",정비항목!$A6="",차량목록!$G3="매각"),"",차량목록!$A3)</f>
        <v>12가3456</v>
      </c>
      <c r="B9" s="23" t="str">
        <f aca="false">IF($A9="","",차량목록!$B3)</f>
        <v>포터2</v>
      </c>
      <c r="C9" s="23" t="str">
        <f aca="false">IF($A9="","",정비항목!$B6)</f>
        <v>브레이크 패드</v>
      </c>
      <c r="D9" s="24" t="n">
        <f aca="false">IF($A9="","",IF(정비항목!$C6="",0,정비항목!$C6))</f>
        <v>40000</v>
      </c>
      <c r="E9" s="25" t="n">
        <f aca="false">IF($A9="","",IF(정비항목!$D6="",0,정비항목!$D6))</f>
        <v>24</v>
      </c>
      <c r="F9" s="26" t="str">
        <f aca="false">IF($A9="","",IF(COUNTIFS(정비이력!$B$3:$B$1002,$A9,정비이력!$D$3:$D$1002,정비항목!$A6)=0,"",SUMPRODUCT(MAX((정비이력!$B$3:$B$1002=$A9)*(정비이력!$D$3:$D$1002=정비항목!$A6)*정비이력!$A$3:$A$1002))))</f>
        <v/>
      </c>
      <c r="G9" s="27" t="str">
        <f aca="false">IF($A9="","",IF($F9="","",SUMPRODUCT(MAX((정비이력!$B$3:$B$1002=$A9)*(정비이력!$D$3:$D$1002=정비항목!$A6)*정비이력!$F$3:$F$1002))))</f>
        <v/>
      </c>
      <c r="H9" s="27" t="n">
        <f aca="false">IF($A9="","",IF(차량목록!$E3="",0,차량목록!$E3))</f>
        <v>81800</v>
      </c>
      <c r="I9" s="27" t="n">
        <f aca="false">IF(OR($A9="",$D9=0),"",IF($G9="",$H9+$D9,$G9+$D9))</f>
        <v>121800</v>
      </c>
      <c r="J9" s="24" t="n">
        <f aca="false">IF($I9="","",$I9-$H9)</f>
        <v>40000</v>
      </c>
      <c r="K9" s="26" t="n">
        <f aca="true">IF(OR($A9="",$E9=0),"",IF($F9="",EDATE(TODAY(),$E9),EDATE($F9,$E9)))</f>
        <v>47010</v>
      </c>
      <c r="L9" s="28" t="n">
        <f aca="true">IF($K9="","",$K9-TODAY())</f>
        <v>731</v>
      </c>
      <c r="M9" s="28" t="str">
        <f aca="false">IF($A9="","",IF(AND($J9="",$L9=""),"-",IF(OR(AND($J9&lt;&gt;"",$J9&lt;=0),AND($L9&lt;&gt;"",$L9&lt;0)),"교체",IF(OR(AND($J9&lt;&gt;"",$J9&lt;=사용안내!$C$16),AND($L9&lt;&gt;"",$L9&lt;=사용안내!$C$17)),"임박","정상"))))</f>
        <v>정상</v>
      </c>
    </row>
    <row r="10" customFormat="false" ht="15" hidden="false" customHeight="true" outlineLevel="0" collapsed="false">
      <c r="A10" s="23" t="str">
        <f aca="false">IF(OR(차량목록!$A3="",정비항목!$A7="",차량목록!$G3="매각"),"",차량목록!$A3)</f>
        <v>12가3456</v>
      </c>
      <c r="B10" s="23" t="str">
        <f aca="false">IF($A10="","",차량목록!$B3)</f>
        <v>포터2</v>
      </c>
      <c r="C10" s="23" t="str">
        <f aca="false">IF($A10="","",정비항목!$B7)</f>
        <v>정기검사</v>
      </c>
      <c r="D10" s="24" t="n">
        <f aca="false">IF($A10="","",IF(정비항목!$C7="",0,정비항목!$C7))</f>
        <v>0</v>
      </c>
      <c r="E10" s="25" t="n">
        <f aca="false">IF($A10="","",IF(정비항목!$D7="",0,정비항목!$D7))</f>
        <v>12</v>
      </c>
      <c r="F10" s="26" t="str">
        <f aca="false">IF($A10="","",IF(COUNTIFS(정비이력!$B$3:$B$1002,$A10,정비이력!$D$3:$D$1002,정비항목!$A7)=0,"",SUMPRODUCT(MAX((정비이력!$B$3:$B$1002=$A10)*(정비이력!$D$3:$D$1002=정비항목!$A7)*정비이력!$A$3:$A$1002))))</f>
        <v/>
      </c>
      <c r="G10" s="27" t="str">
        <f aca="false">IF($A10="","",IF($F10="","",SUMPRODUCT(MAX((정비이력!$B$3:$B$1002=$A10)*(정비이력!$D$3:$D$1002=정비항목!$A7)*정비이력!$F$3:$F$1002))))</f>
        <v/>
      </c>
      <c r="H10" s="27" t="n">
        <f aca="false">IF($A10="","",IF(차량목록!$E3="",0,차량목록!$E3))</f>
        <v>81800</v>
      </c>
      <c r="I10" s="27" t="str">
        <f aca="false">IF(OR($A10="",$D10=0),"",IF($G10="",$H10+$D10,$G10+$D10))</f>
        <v/>
      </c>
      <c r="J10" s="24" t="str">
        <f aca="false">IF($I10="","",$I10-$H10)</f>
        <v/>
      </c>
      <c r="K10" s="26" t="n">
        <f aca="true">IF(OR($A10="",$E10=0),"",IF($F10="",EDATE(TODAY(),$E10),EDATE($F10,$E10)))</f>
        <v>46644</v>
      </c>
      <c r="L10" s="28" t="n">
        <f aca="true">IF($K10="","",$K10-TODAY())</f>
        <v>365</v>
      </c>
      <c r="M10" s="28" t="str">
        <f aca="false">IF($A10="","",IF(AND($J10="",$L10=""),"-",IF(OR(AND($J10&lt;&gt;"",$J10&lt;=0),AND($L10&lt;&gt;"",$L10&lt;0)),"교체",IF(OR(AND($J10&lt;&gt;"",$J10&lt;=사용안내!$C$16),AND($L10&lt;&gt;"",$L10&lt;=사용안내!$C$17)),"임박","정상"))))</f>
        <v>정상</v>
      </c>
    </row>
    <row r="11" customFormat="false" ht="15" hidden="false" customHeight="true" outlineLevel="0" collapsed="false">
      <c r="A11" s="23" t="str">
        <f aca="false">IF(OR(차량목록!$A3="",정비항목!$A8="",차량목록!$G3="매각"),"",차량목록!$A3)</f>
        <v/>
      </c>
      <c r="B11" s="23" t="str">
        <f aca="false">IF($A11="","",차량목록!$B3)</f>
        <v/>
      </c>
      <c r="C11" s="23" t="str">
        <f aca="false">IF($A11="","",정비항목!$B8)</f>
        <v/>
      </c>
      <c r="D11" s="24" t="str">
        <f aca="false">IF($A11="","",IF(정비항목!$C8="",0,정비항목!$C8))</f>
        <v/>
      </c>
      <c r="E11" s="28" t="str">
        <f aca="false">IF($A11="","",IF(정비항목!$D8="",0,정비항목!$D8))</f>
        <v/>
      </c>
      <c r="F11" s="26" t="str">
        <f aca="false">IF($A11="","",IF(COUNTIFS(정비이력!$B$3:$B$1002,$A11,정비이력!$D$3:$D$1002,정비항목!$A8)=0,"",SUMPRODUCT(MAX((정비이력!$B$3:$B$1002=$A11)*(정비이력!$D$3:$D$1002=정비항목!$A8)*정비이력!$A$3:$A$1002))))</f>
        <v/>
      </c>
      <c r="G11" s="27" t="str">
        <f aca="false">IF($A11="","",IF($F11="","",SUMPRODUCT(MAX((정비이력!$B$3:$B$1002=$A11)*(정비이력!$D$3:$D$1002=정비항목!$A8)*정비이력!$F$3:$F$1002))))</f>
        <v/>
      </c>
      <c r="H11" s="27" t="str">
        <f aca="false">IF($A11="","",IF(차량목록!$E3="",0,차량목록!$E3))</f>
        <v/>
      </c>
      <c r="I11" s="27" t="str">
        <f aca="false">IF(OR($A11="",$D11=0),"",IF($G11="",$H11+$D11,$G11+$D11))</f>
        <v/>
      </c>
      <c r="J11" s="24" t="str">
        <f aca="false">IF($I11="","",$I11-$H11)</f>
        <v/>
      </c>
      <c r="K11" s="26" t="str">
        <f aca="true">IF(OR($A11="",$E11=0),"",IF($F11="",EDATE(TODAY(),$E11),EDATE($F11,$E11)))</f>
        <v/>
      </c>
      <c r="L11" s="28" t="str">
        <f aca="true">IF($K11="","",$K11-TODAY())</f>
        <v/>
      </c>
      <c r="M11" s="28" t="str">
        <f aca="false">IF($A11="","",IF(AND($J11="",$L11=""),"-",IF(OR(AND($J11&lt;&gt;"",$J11&lt;=0),AND($L11&lt;&gt;"",$L11&lt;0)),"교체",IF(OR(AND($J11&lt;&gt;"",$J11&lt;=사용안내!$C$16),AND($L11&lt;&gt;"",$L11&lt;=사용안내!$C$17)),"임박","정상"))))</f>
        <v/>
      </c>
    </row>
    <row r="12" customFormat="false" ht="15" hidden="false" customHeight="true" outlineLevel="0" collapsed="false">
      <c r="A12" s="23" t="str">
        <f aca="false">IF(OR(차량목록!$A3="",정비항목!$A9="",차량목록!$G3="매각"),"",차량목록!$A3)</f>
        <v/>
      </c>
      <c r="B12" s="23" t="str">
        <f aca="false">IF($A12="","",차량목록!$B3)</f>
        <v/>
      </c>
      <c r="C12" s="23" t="str">
        <f aca="false">IF($A12="","",정비항목!$B9)</f>
        <v/>
      </c>
      <c r="D12" s="24" t="str">
        <f aca="false">IF($A12="","",IF(정비항목!$C9="",0,정비항목!$C9))</f>
        <v/>
      </c>
      <c r="E12" s="28" t="str">
        <f aca="false">IF($A12="","",IF(정비항목!$D9="",0,정비항목!$D9))</f>
        <v/>
      </c>
      <c r="F12" s="26" t="str">
        <f aca="false">IF($A12="","",IF(COUNTIFS(정비이력!$B$3:$B$1002,$A12,정비이력!$D$3:$D$1002,정비항목!$A9)=0,"",SUMPRODUCT(MAX((정비이력!$B$3:$B$1002=$A12)*(정비이력!$D$3:$D$1002=정비항목!$A9)*정비이력!$A$3:$A$1002))))</f>
        <v/>
      </c>
      <c r="G12" s="27" t="str">
        <f aca="false">IF($A12="","",IF($F12="","",SUMPRODUCT(MAX((정비이력!$B$3:$B$1002=$A12)*(정비이력!$D$3:$D$1002=정비항목!$A9)*정비이력!$F$3:$F$1002))))</f>
        <v/>
      </c>
      <c r="H12" s="27" t="str">
        <f aca="false">IF($A12="","",IF(차량목록!$E3="",0,차량목록!$E3))</f>
        <v/>
      </c>
      <c r="I12" s="27" t="str">
        <f aca="false">IF(OR($A12="",$D12=0),"",IF($G12="",$H12+$D12,$G12+$D12))</f>
        <v/>
      </c>
      <c r="J12" s="24" t="str">
        <f aca="false">IF($I12="","",$I12-$H12)</f>
        <v/>
      </c>
      <c r="K12" s="26" t="str">
        <f aca="true">IF(OR($A12="",$E12=0),"",IF($F12="",EDATE(TODAY(),$E12),EDATE($F12,$E12)))</f>
        <v/>
      </c>
      <c r="L12" s="28" t="str">
        <f aca="true">IF($K12="","",$K12-TODAY())</f>
        <v/>
      </c>
      <c r="M12" s="28" t="str">
        <f aca="false">IF($A12="","",IF(AND($J12="",$L12=""),"-",IF(OR(AND($J12&lt;&gt;"",$J12&lt;=0),AND($L12&lt;&gt;"",$L12&lt;0)),"교체",IF(OR(AND($J12&lt;&gt;"",$J12&lt;=사용안내!$C$16),AND($L12&lt;&gt;"",$L12&lt;=사용안내!$C$17)),"임박","정상"))))</f>
        <v/>
      </c>
    </row>
    <row r="13" customFormat="false" ht="15" hidden="false" customHeight="true" outlineLevel="0" collapsed="false">
      <c r="A13" s="23" t="str">
        <f aca="false">IF(OR(차량목록!$A3="",정비항목!$A10="",차량목록!$G3="매각"),"",차량목록!$A3)</f>
        <v/>
      </c>
      <c r="B13" s="23" t="str">
        <f aca="false">IF($A13="","",차량목록!$B3)</f>
        <v/>
      </c>
      <c r="C13" s="23" t="str">
        <f aca="false">IF($A13="","",정비항목!$B10)</f>
        <v/>
      </c>
      <c r="D13" s="24" t="str">
        <f aca="false">IF($A13="","",IF(정비항목!$C10="",0,정비항목!$C10))</f>
        <v/>
      </c>
      <c r="E13" s="28" t="str">
        <f aca="false">IF($A13="","",IF(정비항목!$D10="",0,정비항목!$D10))</f>
        <v/>
      </c>
      <c r="F13" s="26" t="str">
        <f aca="false">IF($A13="","",IF(COUNTIFS(정비이력!$B$3:$B$1002,$A13,정비이력!$D$3:$D$1002,정비항목!$A10)=0,"",SUMPRODUCT(MAX((정비이력!$B$3:$B$1002=$A13)*(정비이력!$D$3:$D$1002=정비항목!$A10)*정비이력!$A$3:$A$1002))))</f>
        <v/>
      </c>
      <c r="G13" s="27" t="str">
        <f aca="false">IF($A13="","",IF($F13="","",SUMPRODUCT(MAX((정비이력!$B$3:$B$1002=$A13)*(정비이력!$D$3:$D$1002=정비항목!$A10)*정비이력!$F$3:$F$1002))))</f>
        <v/>
      </c>
      <c r="H13" s="27" t="str">
        <f aca="false">IF($A13="","",IF(차량목록!$E3="",0,차량목록!$E3))</f>
        <v/>
      </c>
      <c r="I13" s="27" t="str">
        <f aca="false">IF(OR($A13="",$D13=0),"",IF($G13="",$H13+$D13,$G13+$D13))</f>
        <v/>
      </c>
      <c r="J13" s="24" t="str">
        <f aca="false">IF($I13="","",$I13-$H13)</f>
        <v/>
      </c>
      <c r="K13" s="26" t="str">
        <f aca="true">IF(OR($A13="",$E13=0),"",IF($F13="",EDATE(TODAY(),$E13),EDATE($F13,$E13)))</f>
        <v/>
      </c>
      <c r="L13" s="28" t="str">
        <f aca="true">IF($K13="","",$K13-TODAY())</f>
        <v/>
      </c>
      <c r="M13" s="28" t="str">
        <f aca="false">IF($A13="","",IF(AND($J13="",$L13=""),"-",IF(OR(AND($J13&lt;&gt;"",$J13&lt;=0),AND($L13&lt;&gt;"",$L13&lt;0)),"교체",IF(OR(AND($J13&lt;&gt;"",$J13&lt;=사용안내!$C$16),AND($L13&lt;&gt;"",$L13&lt;=사용안내!$C$17)),"임박","정상"))))</f>
        <v/>
      </c>
    </row>
    <row r="14" customFormat="false" ht="15" hidden="false" customHeight="true" outlineLevel="0" collapsed="false">
      <c r="A14" s="23" t="str">
        <f aca="false">IF(OR(차량목록!$A3="",정비항목!$A11="",차량목록!$G3="매각"),"",차량목록!$A3)</f>
        <v/>
      </c>
      <c r="B14" s="23" t="str">
        <f aca="false">IF($A14="","",차량목록!$B3)</f>
        <v/>
      </c>
      <c r="C14" s="23" t="str">
        <f aca="false">IF($A14="","",정비항목!$B11)</f>
        <v/>
      </c>
      <c r="D14" s="24" t="str">
        <f aca="false">IF($A14="","",IF(정비항목!$C11="",0,정비항목!$C11))</f>
        <v/>
      </c>
      <c r="E14" s="28" t="str">
        <f aca="false">IF($A14="","",IF(정비항목!$D11="",0,정비항목!$D11))</f>
        <v/>
      </c>
      <c r="F14" s="26" t="str">
        <f aca="false">IF($A14="","",IF(COUNTIFS(정비이력!$B$3:$B$1002,$A14,정비이력!$D$3:$D$1002,정비항목!$A11)=0,"",SUMPRODUCT(MAX((정비이력!$B$3:$B$1002=$A14)*(정비이력!$D$3:$D$1002=정비항목!$A11)*정비이력!$A$3:$A$1002))))</f>
        <v/>
      </c>
      <c r="G14" s="27" t="str">
        <f aca="false">IF($A14="","",IF($F14="","",SUMPRODUCT(MAX((정비이력!$B$3:$B$1002=$A14)*(정비이력!$D$3:$D$1002=정비항목!$A11)*정비이력!$F$3:$F$1002))))</f>
        <v/>
      </c>
      <c r="H14" s="27" t="str">
        <f aca="false">IF($A14="","",IF(차량목록!$E3="",0,차량목록!$E3))</f>
        <v/>
      </c>
      <c r="I14" s="27" t="str">
        <f aca="false">IF(OR($A14="",$D14=0),"",IF($G14="",$H14+$D14,$G14+$D14))</f>
        <v/>
      </c>
      <c r="J14" s="24" t="str">
        <f aca="false">IF($I14="","",$I14-$H14)</f>
        <v/>
      </c>
      <c r="K14" s="26" t="str">
        <f aca="true">IF(OR($A14="",$E14=0),"",IF($F14="",EDATE(TODAY(),$E14),EDATE($F14,$E14)))</f>
        <v/>
      </c>
      <c r="L14" s="28" t="str">
        <f aca="true">IF($K14="","",$K14-TODAY())</f>
        <v/>
      </c>
      <c r="M14" s="28" t="str">
        <f aca="false">IF($A14="","",IF(AND($J14="",$L14=""),"-",IF(OR(AND($J14&lt;&gt;"",$J14&lt;=0),AND($L14&lt;&gt;"",$L14&lt;0)),"교체",IF(OR(AND($J14&lt;&gt;"",$J14&lt;=사용안내!$C$16),AND($L14&lt;&gt;"",$L14&lt;=사용안내!$C$17)),"임박","정상"))))</f>
        <v/>
      </c>
    </row>
    <row r="15" customFormat="false" ht="15" hidden="false" customHeight="true" outlineLevel="0" collapsed="false">
      <c r="A15" s="23" t="str">
        <f aca="false">IF(OR(차량목록!$A3="",정비항목!$A12="",차량목록!$G3="매각"),"",차량목록!$A3)</f>
        <v/>
      </c>
      <c r="B15" s="23" t="str">
        <f aca="false">IF($A15="","",차량목록!$B3)</f>
        <v/>
      </c>
      <c r="C15" s="23" t="str">
        <f aca="false">IF($A15="","",정비항목!$B12)</f>
        <v/>
      </c>
      <c r="D15" s="24" t="str">
        <f aca="false">IF($A15="","",IF(정비항목!$C12="",0,정비항목!$C12))</f>
        <v/>
      </c>
      <c r="E15" s="28" t="str">
        <f aca="false">IF($A15="","",IF(정비항목!$D12="",0,정비항목!$D12))</f>
        <v/>
      </c>
      <c r="F15" s="26" t="str">
        <f aca="false">IF($A15="","",IF(COUNTIFS(정비이력!$B$3:$B$1002,$A15,정비이력!$D$3:$D$1002,정비항목!$A12)=0,"",SUMPRODUCT(MAX((정비이력!$B$3:$B$1002=$A15)*(정비이력!$D$3:$D$1002=정비항목!$A12)*정비이력!$A$3:$A$1002))))</f>
        <v/>
      </c>
      <c r="G15" s="27" t="str">
        <f aca="false">IF($A15="","",IF($F15="","",SUMPRODUCT(MAX((정비이력!$B$3:$B$1002=$A15)*(정비이력!$D$3:$D$1002=정비항목!$A12)*정비이력!$F$3:$F$1002))))</f>
        <v/>
      </c>
      <c r="H15" s="27" t="str">
        <f aca="false">IF($A15="","",IF(차량목록!$E3="",0,차량목록!$E3))</f>
        <v/>
      </c>
      <c r="I15" s="27" t="str">
        <f aca="false">IF(OR($A15="",$D15=0),"",IF($G15="",$H15+$D15,$G15+$D15))</f>
        <v/>
      </c>
      <c r="J15" s="24" t="str">
        <f aca="false">IF($I15="","",$I15-$H15)</f>
        <v/>
      </c>
      <c r="K15" s="26" t="str">
        <f aca="true">IF(OR($A15="",$E15=0),"",IF($F15="",EDATE(TODAY(),$E15),EDATE($F15,$E15)))</f>
        <v/>
      </c>
      <c r="L15" s="28" t="str">
        <f aca="true">IF($K15="","",$K15-TODAY())</f>
        <v/>
      </c>
      <c r="M15" s="28" t="str">
        <f aca="false">IF($A15="","",IF(AND($J15="",$L15=""),"-",IF(OR(AND($J15&lt;&gt;"",$J15&lt;=0),AND($L15&lt;&gt;"",$L15&lt;0)),"교체",IF(OR(AND($J15&lt;&gt;"",$J15&lt;=사용안내!$C$16),AND($L15&lt;&gt;"",$L15&lt;=사용안내!$C$17)),"임박","정상"))))</f>
        <v/>
      </c>
    </row>
    <row r="16" customFormat="false" ht="15" hidden="false" customHeight="true" outlineLevel="0" collapsed="false">
      <c r="A16" s="23" t="str">
        <f aca="false">IF(OR(차량목록!$A3="",정비항목!$A13="",차량목록!$G3="매각"),"",차량목록!$A3)</f>
        <v/>
      </c>
      <c r="B16" s="23" t="str">
        <f aca="false">IF($A16="","",차량목록!$B3)</f>
        <v/>
      </c>
      <c r="C16" s="23" t="str">
        <f aca="false">IF($A16="","",정비항목!$B13)</f>
        <v/>
      </c>
      <c r="D16" s="24" t="str">
        <f aca="false">IF($A16="","",IF(정비항목!$C13="",0,정비항목!$C13))</f>
        <v/>
      </c>
      <c r="E16" s="28" t="str">
        <f aca="false">IF($A16="","",IF(정비항목!$D13="",0,정비항목!$D13))</f>
        <v/>
      </c>
      <c r="F16" s="26" t="str">
        <f aca="false">IF($A16="","",IF(COUNTIFS(정비이력!$B$3:$B$1002,$A16,정비이력!$D$3:$D$1002,정비항목!$A13)=0,"",SUMPRODUCT(MAX((정비이력!$B$3:$B$1002=$A16)*(정비이력!$D$3:$D$1002=정비항목!$A13)*정비이력!$A$3:$A$1002))))</f>
        <v/>
      </c>
      <c r="G16" s="27" t="str">
        <f aca="false">IF($A16="","",IF($F16="","",SUMPRODUCT(MAX((정비이력!$B$3:$B$1002=$A16)*(정비이력!$D$3:$D$1002=정비항목!$A13)*정비이력!$F$3:$F$1002))))</f>
        <v/>
      </c>
      <c r="H16" s="27" t="str">
        <f aca="false">IF($A16="","",IF(차량목록!$E3="",0,차량목록!$E3))</f>
        <v/>
      </c>
      <c r="I16" s="27" t="str">
        <f aca="false">IF(OR($A16="",$D16=0),"",IF($G16="",$H16+$D16,$G16+$D16))</f>
        <v/>
      </c>
      <c r="J16" s="24" t="str">
        <f aca="false">IF($I16="","",$I16-$H16)</f>
        <v/>
      </c>
      <c r="K16" s="26" t="str">
        <f aca="true">IF(OR($A16="",$E16=0),"",IF($F16="",EDATE(TODAY(),$E16),EDATE($F16,$E16)))</f>
        <v/>
      </c>
      <c r="L16" s="28" t="str">
        <f aca="true">IF($K16="","",$K16-TODAY())</f>
        <v/>
      </c>
      <c r="M16" s="28" t="str">
        <f aca="false">IF($A16="","",IF(AND($J16="",$L16=""),"-",IF(OR(AND($J16&lt;&gt;"",$J16&lt;=0),AND($L16&lt;&gt;"",$L16&lt;0)),"교체",IF(OR(AND($J16&lt;&gt;"",$J16&lt;=사용안내!$C$16),AND($L16&lt;&gt;"",$L16&lt;=사용안내!$C$17)),"임박","정상"))))</f>
        <v/>
      </c>
    </row>
    <row r="17" customFormat="false" ht="15" hidden="false" customHeight="true" outlineLevel="0" collapsed="false">
      <c r="A17" s="23" t="str">
        <f aca="false">IF(OR(차량목록!$A3="",정비항목!$A14="",차량목록!$G3="매각"),"",차량목록!$A3)</f>
        <v/>
      </c>
      <c r="B17" s="23" t="str">
        <f aca="false">IF($A17="","",차량목록!$B3)</f>
        <v/>
      </c>
      <c r="C17" s="23" t="str">
        <f aca="false">IF($A17="","",정비항목!$B14)</f>
        <v/>
      </c>
      <c r="D17" s="24" t="str">
        <f aca="false">IF($A17="","",IF(정비항목!$C14="",0,정비항목!$C14))</f>
        <v/>
      </c>
      <c r="E17" s="28" t="str">
        <f aca="false">IF($A17="","",IF(정비항목!$D14="",0,정비항목!$D14))</f>
        <v/>
      </c>
      <c r="F17" s="26" t="str">
        <f aca="false">IF($A17="","",IF(COUNTIFS(정비이력!$B$3:$B$1002,$A17,정비이력!$D$3:$D$1002,정비항목!$A14)=0,"",SUMPRODUCT(MAX((정비이력!$B$3:$B$1002=$A17)*(정비이력!$D$3:$D$1002=정비항목!$A14)*정비이력!$A$3:$A$1002))))</f>
        <v/>
      </c>
      <c r="G17" s="27" t="str">
        <f aca="false">IF($A17="","",IF($F17="","",SUMPRODUCT(MAX((정비이력!$B$3:$B$1002=$A17)*(정비이력!$D$3:$D$1002=정비항목!$A14)*정비이력!$F$3:$F$1002))))</f>
        <v/>
      </c>
      <c r="H17" s="27" t="str">
        <f aca="false">IF($A17="","",IF(차량목록!$E3="",0,차량목록!$E3))</f>
        <v/>
      </c>
      <c r="I17" s="27" t="str">
        <f aca="false">IF(OR($A17="",$D17=0),"",IF($G17="",$H17+$D17,$G17+$D17))</f>
        <v/>
      </c>
      <c r="J17" s="24" t="str">
        <f aca="false">IF($I17="","",$I17-$H17)</f>
        <v/>
      </c>
      <c r="K17" s="26" t="str">
        <f aca="true">IF(OR($A17="",$E17=0),"",IF($F17="",EDATE(TODAY(),$E17),EDATE($F17,$E17)))</f>
        <v/>
      </c>
      <c r="L17" s="28" t="str">
        <f aca="true">IF($K17="","",$K17-TODAY())</f>
        <v/>
      </c>
      <c r="M17" s="28" t="str">
        <f aca="false">IF($A17="","",IF(AND($J17="",$L17=""),"-",IF(OR(AND($J17&lt;&gt;"",$J17&lt;=0),AND($L17&lt;&gt;"",$L17&lt;0)),"교체",IF(OR(AND($J17&lt;&gt;"",$J17&lt;=사용안내!$C$16),AND($L17&lt;&gt;"",$L17&lt;=사용안내!$C$17)),"임박","정상"))))</f>
        <v/>
      </c>
    </row>
    <row r="18" customFormat="false" ht="15" hidden="false" customHeight="true" outlineLevel="0" collapsed="false">
      <c r="A18" s="23" t="str">
        <f aca="false">IF(OR(차량목록!$A4="",정비항목!$A3="",차량목록!$G4="매각"),"",차량목록!$A4)</f>
        <v>34나5678</v>
      </c>
      <c r="B18" s="23" t="str">
        <f aca="false">IF($A18="","",차량목록!$B4)</f>
        <v>봉고3</v>
      </c>
      <c r="C18" s="23" t="str">
        <f aca="false">IF($A18="","",정비항목!$B3)</f>
        <v>엔진오일</v>
      </c>
      <c r="D18" s="24" t="n">
        <f aca="false">IF($A18="","",IF(정비항목!$C3="",0,정비항목!$C3))</f>
        <v>10000</v>
      </c>
      <c r="E18" s="25" t="n">
        <f aca="false">IF($A18="","",IF(정비항목!$D3="",0,정비항목!$D3))</f>
        <v>6</v>
      </c>
      <c r="F18" s="26" t="n">
        <f aca="false">IF($A18="","",IF(COUNTIFS(정비이력!$B$3:$B$1002,$A18,정비이력!$D$3:$D$1002,정비항목!$A3)=0,"",SUMPRODUCT(MAX((정비이력!$B$3:$B$1002=$A18)*(정비이력!$D$3:$D$1002=정비항목!$A3)*정비이력!$A$3:$A$1002))))</f>
        <v>46235</v>
      </c>
      <c r="G18" s="27" t="n">
        <f aca="false">IF($A18="","",IF($F18="","",SUMPRODUCT(MAX((정비이력!$B$3:$B$1002=$A18)*(정비이력!$D$3:$D$1002=정비항목!$A3)*정비이력!$F$3:$F$1002))))</f>
        <v>38000</v>
      </c>
      <c r="H18" s="27" t="n">
        <f aca="false">IF($A18="","",IF(차량목록!$E4="",0,차량목록!$E4))</f>
        <v>42300</v>
      </c>
      <c r="I18" s="27" t="n">
        <f aca="false">IF(OR($A18="",$D18=0),"",IF($G18="",$H18+$D18,$G18+$D18))</f>
        <v>48000</v>
      </c>
      <c r="J18" s="24" t="n">
        <f aca="false">IF($I18="","",$I18-$H18)</f>
        <v>5700</v>
      </c>
      <c r="K18" s="26" t="n">
        <f aca="true">IF(OR($A18="",$E18=0),"",IF($F18="",EDATE(TODAY(),$E18),EDATE($F18,$E18)))</f>
        <v>46419</v>
      </c>
      <c r="L18" s="28" t="n">
        <f aca="true">IF($K18="","",$K18-TODAY())</f>
        <v>140</v>
      </c>
      <c r="M18" s="28" t="str">
        <f aca="false">IF($A18="","",IF(AND($J18="",$L18=""),"-",IF(OR(AND($J18&lt;&gt;"",$J18&lt;=0),AND($L18&lt;&gt;"",$L18&lt;0)),"교체",IF(OR(AND($J18&lt;&gt;"",$J18&lt;=사용안내!$C$16),AND($L18&lt;&gt;"",$L18&lt;=사용안내!$C$17)),"임박","정상"))))</f>
        <v>정상</v>
      </c>
    </row>
    <row r="19" customFormat="false" ht="15" hidden="false" customHeight="true" outlineLevel="0" collapsed="false">
      <c r="A19" s="23" t="str">
        <f aca="false">IF(OR(차량목록!$A4="",정비항목!$A4="",차량목록!$G4="매각"),"",차량목록!$A4)</f>
        <v>34나5678</v>
      </c>
      <c r="B19" s="23" t="str">
        <f aca="false">IF($A19="","",차량목록!$B4)</f>
        <v>봉고3</v>
      </c>
      <c r="C19" s="23" t="str">
        <f aca="false">IF($A19="","",정비항목!$B4)</f>
        <v>에어크리너</v>
      </c>
      <c r="D19" s="24" t="n">
        <f aca="false">IF($A19="","",IF(정비항목!$C4="",0,정비항목!$C4))</f>
        <v>20000</v>
      </c>
      <c r="E19" s="25" t="n">
        <f aca="false">IF($A19="","",IF(정비항목!$D4="",0,정비항목!$D4))</f>
        <v>12</v>
      </c>
      <c r="F19" s="26" t="str">
        <f aca="false">IF($A19="","",IF(COUNTIFS(정비이력!$B$3:$B$1002,$A19,정비이력!$D$3:$D$1002,정비항목!$A4)=0,"",SUMPRODUCT(MAX((정비이력!$B$3:$B$1002=$A19)*(정비이력!$D$3:$D$1002=정비항목!$A4)*정비이력!$A$3:$A$1002))))</f>
        <v/>
      </c>
      <c r="G19" s="27" t="str">
        <f aca="false">IF($A19="","",IF($F19="","",SUMPRODUCT(MAX((정비이력!$B$3:$B$1002=$A19)*(정비이력!$D$3:$D$1002=정비항목!$A4)*정비이력!$F$3:$F$1002))))</f>
        <v/>
      </c>
      <c r="H19" s="27" t="n">
        <f aca="false">IF($A19="","",IF(차량목록!$E4="",0,차량목록!$E4))</f>
        <v>42300</v>
      </c>
      <c r="I19" s="27" t="n">
        <f aca="false">IF(OR($A19="",$D19=0),"",IF($G19="",$H19+$D19,$G19+$D19))</f>
        <v>62300</v>
      </c>
      <c r="J19" s="24" t="n">
        <f aca="false">IF($I19="","",$I19-$H19)</f>
        <v>20000</v>
      </c>
      <c r="K19" s="26" t="n">
        <f aca="true">IF(OR($A19="",$E19=0),"",IF($F19="",EDATE(TODAY(),$E19),EDATE($F19,$E19)))</f>
        <v>46644</v>
      </c>
      <c r="L19" s="28" t="n">
        <f aca="true">IF($K19="","",$K19-TODAY())</f>
        <v>365</v>
      </c>
      <c r="M19" s="28" t="str">
        <f aca="false">IF($A19="","",IF(AND($J19="",$L19=""),"-",IF(OR(AND($J19&lt;&gt;"",$J19&lt;=0),AND($L19&lt;&gt;"",$L19&lt;0)),"교체",IF(OR(AND($J19&lt;&gt;"",$J19&lt;=사용안내!$C$16),AND($L19&lt;&gt;"",$L19&lt;=사용안내!$C$17)),"임박","정상"))))</f>
        <v>정상</v>
      </c>
    </row>
    <row r="20" customFormat="false" ht="15" hidden="false" customHeight="true" outlineLevel="0" collapsed="false">
      <c r="A20" s="23" t="str">
        <f aca="false">IF(OR(차량목록!$A4="",정비항목!$A5="",차량목록!$G4="매각"),"",차량목록!$A4)</f>
        <v>34나5678</v>
      </c>
      <c r="B20" s="23" t="str">
        <f aca="false">IF($A20="","",차량목록!$B4)</f>
        <v>봉고3</v>
      </c>
      <c r="C20" s="23" t="str">
        <f aca="false">IF($A20="","",정비항목!$B5)</f>
        <v>타이어</v>
      </c>
      <c r="D20" s="24" t="n">
        <f aca="false">IF($A20="","",IF(정비항목!$C5="",0,정비항목!$C5))</f>
        <v>50000</v>
      </c>
      <c r="E20" s="25" t="n">
        <f aca="false">IF($A20="","",IF(정비항목!$D5="",0,정비항목!$D5))</f>
        <v>36</v>
      </c>
      <c r="F20" s="26" t="str">
        <f aca="false">IF($A20="","",IF(COUNTIFS(정비이력!$B$3:$B$1002,$A20,정비이력!$D$3:$D$1002,정비항목!$A5)=0,"",SUMPRODUCT(MAX((정비이력!$B$3:$B$1002=$A20)*(정비이력!$D$3:$D$1002=정비항목!$A5)*정비이력!$A$3:$A$1002))))</f>
        <v/>
      </c>
      <c r="G20" s="27" t="str">
        <f aca="false">IF($A20="","",IF($F20="","",SUMPRODUCT(MAX((정비이력!$B$3:$B$1002=$A20)*(정비이력!$D$3:$D$1002=정비항목!$A5)*정비이력!$F$3:$F$1002))))</f>
        <v/>
      </c>
      <c r="H20" s="27" t="n">
        <f aca="false">IF($A20="","",IF(차량목록!$E4="",0,차량목록!$E4))</f>
        <v>42300</v>
      </c>
      <c r="I20" s="27" t="n">
        <f aca="false">IF(OR($A20="",$D20=0),"",IF($G20="",$H20+$D20,$G20+$D20))</f>
        <v>92300</v>
      </c>
      <c r="J20" s="24" t="n">
        <f aca="false">IF($I20="","",$I20-$H20)</f>
        <v>50000</v>
      </c>
      <c r="K20" s="26" t="n">
        <f aca="true">IF(OR($A20="",$E20=0),"",IF($F20="",EDATE(TODAY(),$E20),EDATE($F20,$E20)))</f>
        <v>47375</v>
      </c>
      <c r="L20" s="28" t="n">
        <f aca="true">IF($K20="","",$K20-TODAY())</f>
        <v>1096</v>
      </c>
      <c r="M20" s="28" t="str">
        <f aca="false">IF($A20="","",IF(AND($J20="",$L20=""),"-",IF(OR(AND($J20&lt;&gt;"",$J20&lt;=0),AND($L20&lt;&gt;"",$L20&lt;0)),"교체",IF(OR(AND($J20&lt;&gt;"",$J20&lt;=사용안내!$C$16),AND($L20&lt;&gt;"",$L20&lt;=사용안내!$C$17)),"임박","정상"))))</f>
        <v>정상</v>
      </c>
    </row>
    <row r="21" customFormat="false" ht="15" hidden="false" customHeight="true" outlineLevel="0" collapsed="false">
      <c r="A21" s="23" t="str">
        <f aca="false">IF(OR(차량목록!$A4="",정비항목!$A6="",차량목록!$G4="매각"),"",차량목록!$A4)</f>
        <v>34나5678</v>
      </c>
      <c r="B21" s="23" t="str">
        <f aca="false">IF($A21="","",차량목록!$B4)</f>
        <v>봉고3</v>
      </c>
      <c r="C21" s="23" t="str">
        <f aca="false">IF($A21="","",정비항목!$B6)</f>
        <v>브레이크 패드</v>
      </c>
      <c r="D21" s="24" t="n">
        <f aca="false">IF($A21="","",IF(정비항목!$C6="",0,정비항목!$C6))</f>
        <v>40000</v>
      </c>
      <c r="E21" s="25" t="n">
        <f aca="false">IF($A21="","",IF(정비항목!$D6="",0,정비항목!$D6))</f>
        <v>24</v>
      </c>
      <c r="F21" s="26" t="str">
        <f aca="false">IF($A21="","",IF(COUNTIFS(정비이력!$B$3:$B$1002,$A21,정비이력!$D$3:$D$1002,정비항목!$A6)=0,"",SUMPRODUCT(MAX((정비이력!$B$3:$B$1002=$A21)*(정비이력!$D$3:$D$1002=정비항목!$A6)*정비이력!$A$3:$A$1002))))</f>
        <v/>
      </c>
      <c r="G21" s="27" t="str">
        <f aca="false">IF($A21="","",IF($F21="","",SUMPRODUCT(MAX((정비이력!$B$3:$B$1002=$A21)*(정비이력!$D$3:$D$1002=정비항목!$A6)*정비이력!$F$3:$F$1002))))</f>
        <v/>
      </c>
      <c r="H21" s="27" t="n">
        <f aca="false">IF($A21="","",IF(차량목록!$E4="",0,차량목록!$E4))</f>
        <v>42300</v>
      </c>
      <c r="I21" s="27" t="n">
        <f aca="false">IF(OR($A21="",$D21=0),"",IF($G21="",$H21+$D21,$G21+$D21))</f>
        <v>82300</v>
      </c>
      <c r="J21" s="24" t="n">
        <f aca="false">IF($I21="","",$I21-$H21)</f>
        <v>40000</v>
      </c>
      <c r="K21" s="26" t="n">
        <f aca="true">IF(OR($A21="",$E21=0),"",IF($F21="",EDATE(TODAY(),$E21),EDATE($F21,$E21)))</f>
        <v>47010</v>
      </c>
      <c r="L21" s="28" t="n">
        <f aca="true">IF($K21="","",$K21-TODAY())</f>
        <v>731</v>
      </c>
      <c r="M21" s="28" t="str">
        <f aca="false">IF($A21="","",IF(AND($J21="",$L21=""),"-",IF(OR(AND($J21&lt;&gt;"",$J21&lt;=0),AND($L21&lt;&gt;"",$L21&lt;0)),"교체",IF(OR(AND($J21&lt;&gt;"",$J21&lt;=사용안내!$C$16),AND($L21&lt;&gt;"",$L21&lt;=사용안내!$C$17)),"임박","정상"))))</f>
        <v>정상</v>
      </c>
    </row>
    <row r="22" customFormat="false" ht="15" hidden="false" customHeight="true" outlineLevel="0" collapsed="false">
      <c r="A22" s="23" t="str">
        <f aca="false">IF(OR(차량목록!$A4="",정비항목!$A7="",차량목록!$G4="매각"),"",차량목록!$A4)</f>
        <v>34나5678</v>
      </c>
      <c r="B22" s="23" t="str">
        <f aca="false">IF($A22="","",차량목록!$B4)</f>
        <v>봉고3</v>
      </c>
      <c r="C22" s="23" t="str">
        <f aca="false">IF($A22="","",정비항목!$B7)</f>
        <v>정기검사</v>
      </c>
      <c r="D22" s="24" t="n">
        <f aca="false">IF($A22="","",IF(정비항목!$C7="",0,정비항목!$C7))</f>
        <v>0</v>
      </c>
      <c r="E22" s="25" t="n">
        <f aca="false">IF($A22="","",IF(정비항목!$D7="",0,정비항목!$D7))</f>
        <v>12</v>
      </c>
      <c r="F22" s="26" t="str">
        <f aca="false">IF($A22="","",IF(COUNTIFS(정비이력!$B$3:$B$1002,$A22,정비이력!$D$3:$D$1002,정비항목!$A7)=0,"",SUMPRODUCT(MAX((정비이력!$B$3:$B$1002=$A22)*(정비이력!$D$3:$D$1002=정비항목!$A7)*정비이력!$A$3:$A$1002))))</f>
        <v/>
      </c>
      <c r="G22" s="27" t="str">
        <f aca="false">IF($A22="","",IF($F22="","",SUMPRODUCT(MAX((정비이력!$B$3:$B$1002=$A22)*(정비이력!$D$3:$D$1002=정비항목!$A7)*정비이력!$F$3:$F$1002))))</f>
        <v/>
      </c>
      <c r="H22" s="27" t="n">
        <f aca="false">IF($A22="","",IF(차량목록!$E4="",0,차량목록!$E4))</f>
        <v>42300</v>
      </c>
      <c r="I22" s="27" t="str">
        <f aca="false">IF(OR($A22="",$D22=0),"",IF($G22="",$H22+$D22,$G22+$D22))</f>
        <v/>
      </c>
      <c r="J22" s="24" t="str">
        <f aca="false">IF($I22="","",$I22-$H22)</f>
        <v/>
      </c>
      <c r="K22" s="26" t="n">
        <f aca="true">IF(OR($A22="",$E22=0),"",IF($F22="",EDATE(TODAY(),$E22),EDATE($F22,$E22)))</f>
        <v>46644</v>
      </c>
      <c r="L22" s="28" t="n">
        <f aca="true">IF($K22="","",$K22-TODAY())</f>
        <v>365</v>
      </c>
      <c r="M22" s="28" t="str">
        <f aca="false">IF($A22="","",IF(AND($J22="",$L22=""),"-",IF(OR(AND($J22&lt;&gt;"",$J22&lt;=0),AND($L22&lt;&gt;"",$L22&lt;0)),"교체",IF(OR(AND($J22&lt;&gt;"",$J22&lt;=사용안내!$C$16),AND($L22&lt;&gt;"",$L22&lt;=사용안내!$C$17)),"임박","정상"))))</f>
        <v>정상</v>
      </c>
    </row>
    <row r="23" customFormat="false" ht="15" hidden="false" customHeight="true" outlineLevel="0" collapsed="false">
      <c r="A23" s="23" t="str">
        <f aca="false">IF(OR(차량목록!$A4="",정비항목!$A8="",차량목록!$G4="매각"),"",차량목록!$A4)</f>
        <v/>
      </c>
      <c r="B23" s="23" t="str">
        <f aca="false">IF($A23="","",차량목록!$B4)</f>
        <v/>
      </c>
      <c r="C23" s="23" t="str">
        <f aca="false">IF($A23="","",정비항목!$B8)</f>
        <v/>
      </c>
      <c r="D23" s="24" t="str">
        <f aca="false">IF($A23="","",IF(정비항목!$C8="",0,정비항목!$C8))</f>
        <v/>
      </c>
      <c r="E23" s="28" t="str">
        <f aca="false">IF($A23="","",IF(정비항목!$D8="",0,정비항목!$D8))</f>
        <v/>
      </c>
      <c r="F23" s="26" t="str">
        <f aca="false">IF($A23="","",IF(COUNTIFS(정비이력!$B$3:$B$1002,$A23,정비이력!$D$3:$D$1002,정비항목!$A8)=0,"",SUMPRODUCT(MAX((정비이력!$B$3:$B$1002=$A23)*(정비이력!$D$3:$D$1002=정비항목!$A8)*정비이력!$A$3:$A$1002))))</f>
        <v/>
      </c>
      <c r="G23" s="27" t="str">
        <f aca="false">IF($A23="","",IF($F23="","",SUMPRODUCT(MAX((정비이력!$B$3:$B$1002=$A23)*(정비이력!$D$3:$D$1002=정비항목!$A8)*정비이력!$F$3:$F$1002))))</f>
        <v/>
      </c>
      <c r="H23" s="27" t="str">
        <f aca="false">IF($A23="","",IF(차량목록!$E4="",0,차량목록!$E4))</f>
        <v/>
      </c>
      <c r="I23" s="27" t="str">
        <f aca="false">IF(OR($A23="",$D23=0),"",IF($G23="",$H23+$D23,$G23+$D23))</f>
        <v/>
      </c>
      <c r="J23" s="24" t="str">
        <f aca="false">IF($I23="","",$I23-$H23)</f>
        <v/>
      </c>
      <c r="K23" s="26" t="str">
        <f aca="true">IF(OR($A23="",$E23=0),"",IF($F23="",EDATE(TODAY(),$E23),EDATE($F23,$E23)))</f>
        <v/>
      </c>
      <c r="L23" s="28" t="str">
        <f aca="true">IF($K23="","",$K23-TODAY())</f>
        <v/>
      </c>
      <c r="M23" s="28" t="str">
        <f aca="false">IF($A23="","",IF(AND($J23="",$L23=""),"-",IF(OR(AND($J23&lt;&gt;"",$J23&lt;=0),AND($L23&lt;&gt;"",$L23&lt;0)),"교체",IF(OR(AND($J23&lt;&gt;"",$J23&lt;=사용안내!$C$16),AND($L23&lt;&gt;"",$L23&lt;=사용안내!$C$17)),"임박","정상"))))</f>
        <v/>
      </c>
    </row>
    <row r="24" customFormat="false" ht="15" hidden="false" customHeight="true" outlineLevel="0" collapsed="false">
      <c r="A24" s="23" t="str">
        <f aca="false">IF(OR(차량목록!$A4="",정비항목!$A9="",차량목록!$G4="매각"),"",차량목록!$A4)</f>
        <v/>
      </c>
      <c r="B24" s="23" t="str">
        <f aca="false">IF($A24="","",차량목록!$B4)</f>
        <v/>
      </c>
      <c r="C24" s="23" t="str">
        <f aca="false">IF($A24="","",정비항목!$B9)</f>
        <v/>
      </c>
      <c r="D24" s="24" t="str">
        <f aca="false">IF($A24="","",IF(정비항목!$C9="",0,정비항목!$C9))</f>
        <v/>
      </c>
      <c r="E24" s="28" t="str">
        <f aca="false">IF($A24="","",IF(정비항목!$D9="",0,정비항목!$D9))</f>
        <v/>
      </c>
      <c r="F24" s="26" t="str">
        <f aca="false">IF($A24="","",IF(COUNTIFS(정비이력!$B$3:$B$1002,$A24,정비이력!$D$3:$D$1002,정비항목!$A9)=0,"",SUMPRODUCT(MAX((정비이력!$B$3:$B$1002=$A24)*(정비이력!$D$3:$D$1002=정비항목!$A9)*정비이력!$A$3:$A$1002))))</f>
        <v/>
      </c>
      <c r="G24" s="27" t="str">
        <f aca="false">IF($A24="","",IF($F24="","",SUMPRODUCT(MAX((정비이력!$B$3:$B$1002=$A24)*(정비이력!$D$3:$D$1002=정비항목!$A9)*정비이력!$F$3:$F$1002))))</f>
        <v/>
      </c>
      <c r="H24" s="27" t="str">
        <f aca="false">IF($A24="","",IF(차량목록!$E4="",0,차량목록!$E4))</f>
        <v/>
      </c>
      <c r="I24" s="27" t="str">
        <f aca="false">IF(OR($A24="",$D24=0),"",IF($G24="",$H24+$D24,$G24+$D24))</f>
        <v/>
      </c>
      <c r="J24" s="24" t="str">
        <f aca="false">IF($I24="","",$I24-$H24)</f>
        <v/>
      </c>
      <c r="K24" s="26" t="str">
        <f aca="true">IF(OR($A24="",$E24=0),"",IF($F24="",EDATE(TODAY(),$E24),EDATE($F24,$E24)))</f>
        <v/>
      </c>
      <c r="L24" s="28" t="str">
        <f aca="true">IF($K24="","",$K24-TODAY())</f>
        <v/>
      </c>
      <c r="M24" s="28" t="str">
        <f aca="false">IF($A24="","",IF(AND($J24="",$L24=""),"-",IF(OR(AND($J24&lt;&gt;"",$J24&lt;=0),AND($L24&lt;&gt;"",$L24&lt;0)),"교체",IF(OR(AND($J24&lt;&gt;"",$J24&lt;=사용안내!$C$16),AND($L24&lt;&gt;"",$L24&lt;=사용안내!$C$17)),"임박","정상"))))</f>
        <v/>
      </c>
    </row>
    <row r="25" customFormat="false" ht="15" hidden="false" customHeight="true" outlineLevel="0" collapsed="false">
      <c r="A25" s="23" t="str">
        <f aca="false">IF(OR(차량목록!$A4="",정비항목!$A10="",차량목록!$G4="매각"),"",차량목록!$A4)</f>
        <v/>
      </c>
      <c r="B25" s="23" t="str">
        <f aca="false">IF($A25="","",차량목록!$B4)</f>
        <v/>
      </c>
      <c r="C25" s="23" t="str">
        <f aca="false">IF($A25="","",정비항목!$B10)</f>
        <v/>
      </c>
      <c r="D25" s="24" t="str">
        <f aca="false">IF($A25="","",IF(정비항목!$C10="",0,정비항목!$C10))</f>
        <v/>
      </c>
      <c r="E25" s="28" t="str">
        <f aca="false">IF($A25="","",IF(정비항목!$D10="",0,정비항목!$D10))</f>
        <v/>
      </c>
      <c r="F25" s="26" t="str">
        <f aca="false">IF($A25="","",IF(COUNTIFS(정비이력!$B$3:$B$1002,$A25,정비이력!$D$3:$D$1002,정비항목!$A10)=0,"",SUMPRODUCT(MAX((정비이력!$B$3:$B$1002=$A25)*(정비이력!$D$3:$D$1002=정비항목!$A10)*정비이력!$A$3:$A$1002))))</f>
        <v/>
      </c>
      <c r="G25" s="27" t="str">
        <f aca="false">IF($A25="","",IF($F25="","",SUMPRODUCT(MAX((정비이력!$B$3:$B$1002=$A25)*(정비이력!$D$3:$D$1002=정비항목!$A10)*정비이력!$F$3:$F$1002))))</f>
        <v/>
      </c>
      <c r="H25" s="27" t="str">
        <f aca="false">IF($A25="","",IF(차량목록!$E4="",0,차량목록!$E4))</f>
        <v/>
      </c>
      <c r="I25" s="27" t="str">
        <f aca="false">IF(OR($A25="",$D25=0),"",IF($G25="",$H25+$D25,$G25+$D25))</f>
        <v/>
      </c>
      <c r="J25" s="24" t="str">
        <f aca="false">IF($I25="","",$I25-$H25)</f>
        <v/>
      </c>
      <c r="K25" s="26" t="str">
        <f aca="true">IF(OR($A25="",$E25=0),"",IF($F25="",EDATE(TODAY(),$E25),EDATE($F25,$E25)))</f>
        <v/>
      </c>
      <c r="L25" s="28" t="str">
        <f aca="true">IF($K25="","",$K25-TODAY())</f>
        <v/>
      </c>
      <c r="M25" s="28" t="str">
        <f aca="false">IF($A25="","",IF(AND($J25="",$L25=""),"-",IF(OR(AND($J25&lt;&gt;"",$J25&lt;=0),AND($L25&lt;&gt;"",$L25&lt;0)),"교체",IF(OR(AND($J25&lt;&gt;"",$J25&lt;=사용안내!$C$16),AND($L25&lt;&gt;"",$L25&lt;=사용안내!$C$17)),"임박","정상"))))</f>
        <v/>
      </c>
    </row>
    <row r="26" customFormat="false" ht="15" hidden="false" customHeight="true" outlineLevel="0" collapsed="false">
      <c r="A26" s="23" t="str">
        <f aca="false">IF(OR(차량목록!$A4="",정비항목!$A11="",차량목록!$G4="매각"),"",차량목록!$A4)</f>
        <v/>
      </c>
      <c r="B26" s="23" t="str">
        <f aca="false">IF($A26="","",차량목록!$B4)</f>
        <v/>
      </c>
      <c r="C26" s="23" t="str">
        <f aca="false">IF($A26="","",정비항목!$B11)</f>
        <v/>
      </c>
      <c r="D26" s="24" t="str">
        <f aca="false">IF($A26="","",IF(정비항목!$C11="",0,정비항목!$C11))</f>
        <v/>
      </c>
      <c r="E26" s="28" t="str">
        <f aca="false">IF($A26="","",IF(정비항목!$D11="",0,정비항목!$D11))</f>
        <v/>
      </c>
      <c r="F26" s="26" t="str">
        <f aca="false">IF($A26="","",IF(COUNTIFS(정비이력!$B$3:$B$1002,$A26,정비이력!$D$3:$D$1002,정비항목!$A11)=0,"",SUMPRODUCT(MAX((정비이력!$B$3:$B$1002=$A26)*(정비이력!$D$3:$D$1002=정비항목!$A11)*정비이력!$A$3:$A$1002))))</f>
        <v/>
      </c>
      <c r="G26" s="27" t="str">
        <f aca="false">IF($A26="","",IF($F26="","",SUMPRODUCT(MAX((정비이력!$B$3:$B$1002=$A26)*(정비이력!$D$3:$D$1002=정비항목!$A11)*정비이력!$F$3:$F$1002))))</f>
        <v/>
      </c>
      <c r="H26" s="27" t="str">
        <f aca="false">IF($A26="","",IF(차량목록!$E4="",0,차량목록!$E4))</f>
        <v/>
      </c>
      <c r="I26" s="27" t="str">
        <f aca="false">IF(OR($A26="",$D26=0),"",IF($G26="",$H26+$D26,$G26+$D26))</f>
        <v/>
      </c>
      <c r="J26" s="24" t="str">
        <f aca="false">IF($I26="","",$I26-$H26)</f>
        <v/>
      </c>
      <c r="K26" s="26" t="str">
        <f aca="true">IF(OR($A26="",$E26=0),"",IF($F26="",EDATE(TODAY(),$E26),EDATE($F26,$E26)))</f>
        <v/>
      </c>
      <c r="L26" s="28" t="str">
        <f aca="true">IF($K26="","",$K26-TODAY())</f>
        <v/>
      </c>
      <c r="M26" s="28" t="str">
        <f aca="false">IF($A26="","",IF(AND($J26="",$L26=""),"-",IF(OR(AND($J26&lt;&gt;"",$J26&lt;=0),AND($L26&lt;&gt;"",$L26&lt;0)),"교체",IF(OR(AND($J26&lt;&gt;"",$J26&lt;=사용안내!$C$16),AND($L26&lt;&gt;"",$L26&lt;=사용안내!$C$17)),"임박","정상"))))</f>
        <v/>
      </c>
    </row>
    <row r="27" customFormat="false" ht="15" hidden="false" customHeight="true" outlineLevel="0" collapsed="false">
      <c r="A27" s="23" t="str">
        <f aca="false">IF(OR(차량목록!$A4="",정비항목!$A12="",차량목록!$G4="매각"),"",차량목록!$A4)</f>
        <v/>
      </c>
      <c r="B27" s="23" t="str">
        <f aca="false">IF($A27="","",차량목록!$B4)</f>
        <v/>
      </c>
      <c r="C27" s="23" t="str">
        <f aca="false">IF($A27="","",정비항목!$B12)</f>
        <v/>
      </c>
      <c r="D27" s="24" t="str">
        <f aca="false">IF($A27="","",IF(정비항목!$C12="",0,정비항목!$C12))</f>
        <v/>
      </c>
      <c r="E27" s="28" t="str">
        <f aca="false">IF($A27="","",IF(정비항목!$D12="",0,정비항목!$D12))</f>
        <v/>
      </c>
      <c r="F27" s="26" t="str">
        <f aca="false">IF($A27="","",IF(COUNTIFS(정비이력!$B$3:$B$1002,$A27,정비이력!$D$3:$D$1002,정비항목!$A12)=0,"",SUMPRODUCT(MAX((정비이력!$B$3:$B$1002=$A27)*(정비이력!$D$3:$D$1002=정비항목!$A12)*정비이력!$A$3:$A$1002))))</f>
        <v/>
      </c>
      <c r="G27" s="27" t="str">
        <f aca="false">IF($A27="","",IF($F27="","",SUMPRODUCT(MAX((정비이력!$B$3:$B$1002=$A27)*(정비이력!$D$3:$D$1002=정비항목!$A12)*정비이력!$F$3:$F$1002))))</f>
        <v/>
      </c>
      <c r="H27" s="27" t="str">
        <f aca="false">IF($A27="","",IF(차량목록!$E4="",0,차량목록!$E4))</f>
        <v/>
      </c>
      <c r="I27" s="27" t="str">
        <f aca="false">IF(OR($A27="",$D27=0),"",IF($G27="",$H27+$D27,$G27+$D27))</f>
        <v/>
      </c>
      <c r="J27" s="24" t="str">
        <f aca="false">IF($I27="","",$I27-$H27)</f>
        <v/>
      </c>
      <c r="K27" s="26" t="str">
        <f aca="true">IF(OR($A27="",$E27=0),"",IF($F27="",EDATE(TODAY(),$E27),EDATE($F27,$E27)))</f>
        <v/>
      </c>
      <c r="L27" s="28" t="str">
        <f aca="true">IF($K27="","",$K27-TODAY())</f>
        <v/>
      </c>
      <c r="M27" s="28" t="str">
        <f aca="false">IF($A27="","",IF(AND($J27="",$L27=""),"-",IF(OR(AND($J27&lt;&gt;"",$J27&lt;=0),AND($L27&lt;&gt;"",$L27&lt;0)),"교체",IF(OR(AND($J27&lt;&gt;"",$J27&lt;=사용안내!$C$16),AND($L27&lt;&gt;"",$L27&lt;=사용안내!$C$17)),"임박","정상"))))</f>
        <v/>
      </c>
    </row>
    <row r="28" customFormat="false" ht="15" hidden="false" customHeight="true" outlineLevel="0" collapsed="false">
      <c r="A28" s="23" t="str">
        <f aca="false">IF(OR(차량목록!$A4="",정비항목!$A13="",차량목록!$G4="매각"),"",차량목록!$A4)</f>
        <v/>
      </c>
      <c r="B28" s="23" t="str">
        <f aca="false">IF($A28="","",차량목록!$B4)</f>
        <v/>
      </c>
      <c r="C28" s="23" t="str">
        <f aca="false">IF($A28="","",정비항목!$B13)</f>
        <v/>
      </c>
      <c r="D28" s="24" t="str">
        <f aca="false">IF($A28="","",IF(정비항목!$C13="",0,정비항목!$C13))</f>
        <v/>
      </c>
      <c r="E28" s="28" t="str">
        <f aca="false">IF($A28="","",IF(정비항목!$D13="",0,정비항목!$D13))</f>
        <v/>
      </c>
      <c r="F28" s="26" t="str">
        <f aca="false">IF($A28="","",IF(COUNTIFS(정비이력!$B$3:$B$1002,$A28,정비이력!$D$3:$D$1002,정비항목!$A13)=0,"",SUMPRODUCT(MAX((정비이력!$B$3:$B$1002=$A28)*(정비이력!$D$3:$D$1002=정비항목!$A13)*정비이력!$A$3:$A$1002))))</f>
        <v/>
      </c>
      <c r="G28" s="27" t="str">
        <f aca="false">IF($A28="","",IF($F28="","",SUMPRODUCT(MAX((정비이력!$B$3:$B$1002=$A28)*(정비이력!$D$3:$D$1002=정비항목!$A13)*정비이력!$F$3:$F$1002))))</f>
        <v/>
      </c>
      <c r="H28" s="27" t="str">
        <f aca="false">IF($A28="","",IF(차량목록!$E4="",0,차량목록!$E4))</f>
        <v/>
      </c>
      <c r="I28" s="27" t="str">
        <f aca="false">IF(OR($A28="",$D28=0),"",IF($G28="",$H28+$D28,$G28+$D28))</f>
        <v/>
      </c>
      <c r="J28" s="24" t="str">
        <f aca="false">IF($I28="","",$I28-$H28)</f>
        <v/>
      </c>
      <c r="K28" s="26" t="str">
        <f aca="true">IF(OR($A28="",$E28=0),"",IF($F28="",EDATE(TODAY(),$E28),EDATE($F28,$E28)))</f>
        <v/>
      </c>
      <c r="L28" s="28" t="str">
        <f aca="true">IF($K28="","",$K28-TODAY())</f>
        <v/>
      </c>
      <c r="M28" s="28" t="str">
        <f aca="false">IF($A28="","",IF(AND($J28="",$L28=""),"-",IF(OR(AND($J28&lt;&gt;"",$J28&lt;=0),AND($L28&lt;&gt;"",$L28&lt;0)),"교체",IF(OR(AND($J28&lt;&gt;"",$J28&lt;=사용안내!$C$16),AND($L28&lt;&gt;"",$L28&lt;=사용안내!$C$17)),"임박","정상"))))</f>
        <v/>
      </c>
    </row>
    <row r="29" customFormat="false" ht="15" hidden="false" customHeight="true" outlineLevel="0" collapsed="false">
      <c r="A29" s="23" t="str">
        <f aca="false">IF(OR(차량목록!$A4="",정비항목!$A14="",차량목록!$G4="매각"),"",차량목록!$A4)</f>
        <v/>
      </c>
      <c r="B29" s="23" t="str">
        <f aca="false">IF($A29="","",차량목록!$B4)</f>
        <v/>
      </c>
      <c r="C29" s="23" t="str">
        <f aca="false">IF($A29="","",정비항목!$B14)</f>
        <v/>
      </c>
      <c r="D29" s="24" t="str">
        <f aca="false">IF($A29="","",IF(정비항목!$C14="",0,정비항목!$C14))</f>
        <v/>
      </c>
      <c r="E29" s="28" t="str">
        <f aca="false">IF($A29="","",IF(정비항목!$D14="",0,정비항목!$D14))</f>
        <v/>
      </c>
      <c r="F29" s="26" t="str">
        <f aca="false">IF($A29="","",IF(COUNTIFS(정비이력!$B$3:$B$1002,$A29,정비이력!$D$3:$D$1002,정비항목!$A14)=0,"",SUMPRODUCT(MAX((정비이력!$B$3:$B$1002=$A29)*(정비이력!$D$3:$D$1002=정비항목!$A14)*정비이력!$A$3:$A$1002))))</f>
        <v/>
      </c>
      <c r="G29" s="27" t="str">
        <f aca="false">IF($A29="","",IF($F29="","",SUMPRODUCT(MAX((정비이력!$B$3:$B$1002=$A29)*(정비이력!$D$3:$D$1002=정비항목!$A14)*정비이력!$F$3:$F$1002))))</f>
        <v/>
      </c>
      <c r="H29" s="27" t="str">
        <f aca="false">IF($A29="","",IF(차량목록!$E4="",0,차량목록!$E4))</f>
        <v/>
      </c>
      <c r="I29" s="27" t="str">
        <f aca="false">IF(OR($A29="",$D29=0),"",IF($G29="",$H29+$D29,$G29+$D29))</f>
        <v/>
      </c>
      <c r="J29" s="24" t="str">
        <f aca="false">IF($I29="","",$I29-$H29)</f>
        <v/>
      </c>
      <c r="K29" s="26" t="str">
        <f aca="true">IF(OR($A29="",$E29=0),"",IF($F29="",EDATE(TODAY(),$E29),EDATE($F29,$E29)))</f>
        <v/>
      </c>
      <c r="L29" s="28" t="str">
        <f aca="true">IF($K29="","",$K29-TODAY())</f>
        <v/>
      </c>
      <c r="M29" s="28" t="str">
        <f aca="false">IF($A29="","",IF(AND($J29="",$L29=""),"-",IF(OR(AND($J29&lt;&gt;"",$J29&lt;=0),AND($L29&lt;&gt;"",$L29&lt;0)),"교체",IF(OR(AND($J29&lt;&gt;"",$J29&lt;=사용안내!$C$16),AND($L29&lt;&gt;"",$L29&lt;=사용안내!$C$17)),"임박","정상"))))</f>
        <v/>
      </c>
    </row>
    <row r="30" customFormat="false" ht="15" hidden="false" customHeight="true" outlineLevel="0" collapsed="false">
      <c r="A30" s="23" t="str">
        <f aca="false">IF(OR(차량목록!$A5="",정비항목!$A3="",차량목록!$G5="매각"),"",차량목록!$A5)</f>
        <v>56다7890</v>
      </c>
      <c r="B30" s="23" t="str">
        <f aca="false">IF($A30="","",차량목록!$B5)</f>
        <v>스타렉스</v>
      </c>
      <c r="C30" s="23" t="str">
        <f aca="false">IF($A30="","",정비항목!$B3)</f>
        <v>엔진오일</v>
      </c>
      <c r="D30" s="24" t="n">
        <f aca="false">IF($A30="","",IF(정비항목!$C3="",0,정비항목!$C3))</f>
        <v>10000</v>
      </c>
      <c r="E30" s="25" t="n">
        <f aca="false">IF($A30="","",IF(정비항목!$D3="",0,정비항목!$D3))</f>
        <v>6</v>
      </c>
      <c r="F30" s="26" t="str">
        <f aca="false">IF($A30="","",IF(COUNTIFS(정비이력!$B$3:$B$1002,$A30,정비이력!$D$3:$D$1002,정비항목!$A3)=0,"",SUMPRODUCT(MAX((정비이력!$B$3:$B$1002=$A30)*(정비이력!$D$3:$D$1002=정비항목!$A3)*정비이력!$A$3:$A$1002))))</f>
        <v/>
      </c>
      <c r="G30" s="27" t="str">
        <f aca="false">IF($A30="","",IF($F30="","",SUMPRODUCT(MAX((정비이력!$B$3:$B$1002=$A30)*(정비이력!$D$3:$D$1002=정비항목!$A3)*정비이력!$F$3:$F$1002))))</f>
        <v/>
      </c>
      <c r="H30" s="27" t="n">
        <f aca="false">IF($A30="","",IF(차량목록!$E5="",0,차량목록!$E5))</f>
        <v>125000</v>
      </c>
      <c r="I30" s="27" t="n">
        <f aca="false">IF(OR($A30="",$D30=0),"",IF($G30="",$H30+$D30,$G30+$D30))</f>
        <v>135000</v>
      </c>
      <c r="J30" s="24" t="n">
        <f aca="false">IF($I30="","",$I30-$H30)</f>
        <v>10000</v>
      </c>
      <c r="K30" s="26" t="n">
        <f aca="true">IF(OR($A30="",$E30=0),"",IF($F30="",EDATE(TODAY(),$E30),EDATE($F30,$E30)))</f>
        <v>46460</v>
      </c>
      <c r="L30" s="28" t="n">
        <f aca="true">IF($K30="","",$K30-TODAY())</f>
        <v>181</v>
      </c>
      <c r="M30" s="28" t="str">
        <f aca="false">IF($A30="","",IF(AND($J30="",$L30=""),"-",IF(OR(AND($J30&lt;&gt;"",$J30&lt;=0),AND($L30&lt;&gt;"",$L30&lt;0)),"교체",IF(OR(AND($J30&lt;&gt;"",$J30&lt;=사용안내!$C$16),AND($L30&lt;&gt;"",$L30&lt;=사용안내!$C$17)),"임박","정상"))))</f>
        <v>정상</v>
      </c>
    </row>
    <row r="31" customFormat="false" ht="15" hidden="false" customHeight="true" outlineLevel="0" collapsed="false">
      <c r="A31" s="23" t="str">
        <f aca="false">IF(OR(차량목록!$A5="",정비항목!$A4="",차량목록!$G5="매각"),"",차량목록!$A5)</f>
        <v>56다7890</v>
      </c>
      <c r="B31" s="23" t="str">
        <f aca="false">IF($A31="","",차량목록!$B5)</f>
        <v>스타렉스</v>
      </c>
      <c r="C31" s="23" t="str">
        <f aca="false">IF($A31="","",정비항목!$B4)</f>
        <v>에어크리너</v>
      </c>
      <c r="D31" s="24" t="n">
        <f aca="false">IF($A31="","",IF(정비항목!$C4="",0,정비항목!$C4))</f>
        <v>20000</v>
      </c>
      <c r="E31" s="25" t="n">
        <f aca="false">IF($A31="","",IF(정비항목!$D4="",0,정비항목!$D4))</f>
        <v>12</v>
      </c>
      <c r="F31" s="26" t="str">
        <f aca="false">IF($A31="","",IF(COUNTIFS(정비이력!$B$3:$B$1002,$A31,정비이력!$D$3:$D$1002,정비항목!$A4)=0,"",SUMPRODUCT(MAX((정비이력!$B$3:$B$1002=$A31)*(정비이력!$D$3:$D$1002=정비항목!$A4)*정비이력!$A$3:$A$1002))))</f>
        <v/>
      </c>
      <c r="G31" s="27" t="str">
        <f aca="false">IF($A31="","",IF($F31="","",SUMPRODUCT(MAX((정비이력!$B$3:$B$1002=$A31)*(정비이력!$D$3:$D$1002=정비항목!$A4)*정비이력!$F$3:$F$1002))))</f>
        <v/>
      </c>
      <c r="H31" s="27" t="n">
        <f aca="false">IF($A31="","",IF(차량목록!$E5="",0,차량목록!$E5))</f>
        <v>125000</v>
      </c>
      <c r="I31" s="27" t="n">
        <f aca="false">IF(OR($A31="",$D31=0),"",IF($G31="",$H31+$D31,$G31+$D31))</f>
        <v>145000</v>
      </c>
      <c r="J31" s="24" t="n">
        <f aca="false">IF($I31="","",$I31-$H31)</f>
        <v>20000</v>
      </c>
      <c r="K31" s="26" t="n">
        <f aca="true">IF(OR($A31="",$E31=0),"",IF($F31="",EDATE(TODAY(),$E31),EDATE($F31,$E31)))</f>
        <v>46644</v>
      </c>
      <c r="L31" s="28" t="n">
        <f aca="true">IF($K31="","",$K31-TODAY())</f>
        <v>365</v>
      </c>
      <c r="M31" s="28" t="str">
        <f aca="false">IF($A31="","",IF(AND($J31="",$L31=""),"-",IF(OR(AND($J31&lt;&gt;"",$J31&lt;=0),AND($L31&lt;&gt;"",$L31&lt;0)),"교체",IF(OR(AND($J31&lt;&gt;"",$J31&lt;=사용안내!$C$16),AND($L31&lt;&gt;"",$L31&lt;=사용안내!$C$17)),"임박","정상"))))</f>
        <v>정상</v>
      </c>
    </row>
    <row r="32" customFormat="false" ht="15" hidden="false" customHeight="true" outlineLevel="0" collapsed="false">
      <c r="A32" s="23" t="str">
        <f aca="false">IF(OR(차량목록!$A5="",정비항목!$A5="",차량목록!$G5="매각"),"",차량목록!$A5)</f>
        <v>56다7890</v>
      </c>
      <c r="B32" s="23" t="str">
        <f aca="false">IF($A32="","",차량목록!$B5)</f>
        <v>스타렉스</v>
      </c>
      <c r="C32" s="23" t="str">
        <f aca="false">IF($A32="","",정비항목!$B5)</f>
        <v>타이어</v>
      </c>
      <c r="D32" s="24" t="n">
        <f aca="false">IF($A32="","",IF(정비항목!$C5="",0,정비항목!$C5))</f>
        <v>50000</v>
      </c>
      <c r="E32" s="25" t="n">
        <f aca="false">IF($A32="","",IF(정비항목!$D5="",0,정비항목!$D5))</f>
        <v>36</v>
      </c>
      <c r="F32" s="26" t="n">
        <f aca="false">IF($A32="","",IF(COUNTIFS(정비이력!$B$3:$B$1002,$A32,정비이력!$D$3:$D$1002,정비항목!$A5)=0,"",SUMPRODUCT(MAX((정비이력!$B$3:$B$1002=$A32)*(정비이력!$D$3:$D$1002=정비항목!$A5)*정비이력!$A$3:$A$1002))))</f>
        <v>45536</v>
      </c>
      <c r="G32" s="27" t="n">
        <f aca="false">IF($A32="","",IF($F32="","",SUMPRODUCT(MAX((정비이력!$B$3:$B$1002=$A32)*(정비이력!$D$3:$D$1002=정비항목!$A5)*정비이력!$F$3:$F$1002))))</f>
        <v>95000</v>
      </c>
      <c r="H32" s="27" t="n">
        <f aca="false">IF($A32="","",IF(차량목록!$E5="",0,차량목록!$E5))</f>
        <v>125000</v>
      </c>
      <c r="I32" s="27" t="n">
        <f aca="false">IF(OR($A32="",$D32=0),"",IF($G32="",$H32+$D32,$G32+$D32))</f>
        <v>145000</v>
      </c>
      <c r="J32" s="24" t="n">
        <f aca="false">IF($I32="","",$I32-$H32)</f>
        <v>20000</v>
      </c>
      <c r="K32" s="26" t="n">
        <f aca="true">IF(OR($A32="",$E32=0),"",IF($F32="",EDATE(TODAY(),$E32),EDATE($F32,$E32)))</f>
        <v>46631</v>
      </c>
      <c r="L32" s="28" t="n">
        <f aca="true">IF($K32="","",$K32-TODAY())</f>
        <v>352</v>
      </c>
      <c r="M32" s="28" t="str">
        <f aca="false">IF($A32="","",IF(AND($J32="",$L32=""),"-",IF(OR(AND($J32&lt;&gt;"",$J32&lt;=0),AND($L32&lt;&gt;"",$L32&lt;0)),"교체",IF(OR(AND($J32&lt;&gt;"",$J32&lt;=사용안내!$C$16),AND($L32&lt;&gt;"",$L32&lt;=사용안내!$C$17)),"임박","정상"))))</f>
        <v>정상</v>
      </c>
    </row>
    <row r="33" customFormat="false" ht="15" hidden="false" customHeight="true" outlineLevel="0" collapsed="false">
      <c r="A33" s="23" t="str">
        <f aca="false">IF(OR(차량목록!$A5="",정비항목!$A6="",차량목록!$G5="매각"),"",차량목록!$A5)</f>
        <v>56다7890</v>
      </c>
      <c r="B33" s="23" t="str">
        <f aca="false">IF($A33="","",차량목록!$B5)</f>
        <v>스타렉스</v>
      </c>
      <c r="C33" s="23" t="str">
        <f aca="false">IF($A33="","",정비항목!$B6)</f>
        <v>브레이크 패드</v>
      </c>
      <c r="D33" s="24" t="n">
        <f aca="false">IF($A33="","",IF(정비항목!$C6="",0,정비항목!$C6))</f>
        <v>40000</v>
      </c>
      <c r="E33" s="25" t="n">
        <f aca="false">IF($A33="","",IF(정비항목!$D6="",0,정비항목!$D6))</f>
        <v>24</v>
      </c>
      <c r="F33" s="26" t="str">
        <f aca="false">IF($A33="","",IF(COUNTIFS(정비이력!$B$3:$B$1002,$A33,정비이력!$D$3:$D$1002,정비항목!$A6)=0,"",SUMPRODUCT(MAX((정비이력!$B$3:$B$1002=$A33)*(정비이력!$D$3:$D$1002=정비항목!$A6)*정비이력!$A$3:$A$1002))))</f>
        <v/>
      </c>
      <c r="G33" s="27" t="str">
        <f aca="false">IF($A33="","",IF($F33="","",SUMPRODUCT(MAX((정비이력!$B$3:$B$1002=$A33)*(정비이력!$D$3:$D$1002=정비항목!$A6)*정비이력!$F$3:$F$1002))))</f>
        <v/>
      </c>
      <c r="H33" s="27" t="n">
        <f aca="false">IF($A33="","",IF(차량목록!$E5="",0,차량목록!$E5))</f>
        <v>125000</v>
      </c>
      <c r="I33" s="27" t="n">
        <f aca="false">IF(OR($A33="",$D33=0),"",IF($G33="",$H33+$D33,$G33+$D33))</f>
        <v>165000</v>
      </c>
      <c r="J33" s="24" t="n">
        <f aca="false">IF($I33="","",$I33-$H33)</f>
        <v>40000</v>
      </c>
      <c r="K33" s="26" t="n">
        <f aca="true">IF(OR($A33="",$E33=0),"",IF($F33="",EDATE(TODAY(),$E33),EDATE($F33,$E33)))</f>
        <v>47010</v>
      </c>
      <c r="L33" s="28" t="n">
        <f aca="true">IF($K33="","",$K33-TODAY())</f>
        <v>731</v>
      </c>
      <c r="M33" s="28" t="str">
        <f aca="false">IF($A33="","",IF(AND($J33="",$L33=""),"-",IF(OR(AND($J33&lt;&gt;"",$J33&lt;=0),AND($L33&lt;&gt;"",$L33&lt;0)),"교체",IF(OR(AND($J33&lt;&gt;"",$J33&lt;=사용안내!$C$16),AND($L33&lt;&gt;"",$L33&lt;=사용안내!$C$17)),"임박","정상"))))</f>
        <v>정상</v>
      </c>
    </row>
    <row r="34" customFormat="false" ht="15" hidden="false" customHeight="true" outlineLevel="0" collapsed="false">
      <c r="A34" s="23" t="str">
        <f aca="false">IF(OR(차량목록!$A5="",정비항목!$A7="",차량목록!$G5="매각"),"",차량목록!$A5)</f>
        <v>56다7890</v>
      </c>
      <c r="B34" s="23" t="str">
        <f aca="false">IF($A34="","",차량목록!$B5)</f>
        <v>스타렉스</v>
      </c>
      <c r="C34" s="23" t="str">
        <f aca="false">IF($A34="","",정비항목!$B7)</f>
        <v>정기검사</v>
      </c>
      <c r="D34" s="24" t="n">
        <f aca="false">IF($A34="","",IF(정비항목!$C7="",0,정비항목!$C7))</f>
        <v>0</v>
      </c>
      <c r="E34" s="25" t="n">
        <f aca="false">IF($A34="","",IF(정비항목!$D7="",0,정비항목!$D7))</f>
        <v>12</v>
      </c>
      <c r="F34" s="26" t="str">
        <f aca="false">IF($A34="","",IF(COUNTIFS(정비이력!$B$3:$B$1002,$A34,정비이력!$D$3:$D$1002,정비항목!$A7)=0,"",SUMPRODUCT(MAX((정비이력!$B$3:$B$1002=$A34)*(정비이력!$D$3:$D$1002=정비항목!$A7)*정비이력!$A$3:$A$1002))))</f>
        <v/>
      </c>
      <c r="G34" s="27" t="str">
        <f aca="false">IF($A34="","",IF($F34="","",SUMPRODUCT(MAX((정비이력!$B$3:$B$1002=$A34)*(정비이력!$D$3:$D$1002=정비항목!$A7)*정비이력!$F$3:$F$1002))))</f>
        <v/>
      </c>
      <c r="H34" s="27" t="n">
        <f aca="false">IF($A34="","",IF(차량목록!$E5="",0,차량목록!$E5))</f>
        <v>125000</v>
      </c>
      <c r="I34" s="27" t="str">
        <f aca="false">IF(OR($A34="",$D34=0),"",IF($G34="",$H34+$D34,$G34+$D34))</f>
        <v/>
      </c>
      <c r="J34" s="24" t="str">
        <f aca="false">IF($I34="","",$I34-$H34)</f>
        <v/>
      </c>
      <c r="K34" s="26" t="n">
        <f aca="true">IF(OR($A34="",$E34=0),"",IF($F34="",EDATE(TODAY(),$E34),EDATE($F34,$E34)))</f>
        <v>46644</v>
      </c>
      <c r="L34" s="28" t="n">
        <f aca="true">IF($K34="","",$K34-TODAY())</f>
        <v>365</v>
      </c>
      <c r="M34" s="28" t="str">
        <f aca="false">IF($A34="","",IF(AND($J34="",$L34=""),"-",IF(OR(AND($J34&lt;&gt;"",$J34&lt;=0),AND($L34&lt;&gt;"",$L34&lt;0)),"교체",IF(OR(AND($J34&lt;&gt;"",$J34&lt;=사용안내!$C$16),AND($L34&lt;&gt;"",$L34&lt;=사용안내!$C$17)),"임박","정상"))))</f>
        <v>정상</v>
      </c>
    </row>
    <row r="35" customFormat="false" ht="15" hidden="false" customHeight="true" outlineLevel="0" collapsed="false">
      <c r="A35" s="23" t="str">
        <f aca="false">IF(OR(차량목록!$A5="",정비항목!$A8="",차량목록!$G5="매각"),"",차량목록!$A5)</f>
        <v/>
      </c>
      <c r="B35" s="23" t="str">
        <f aca="false">IF($A35="","",차량목록!$B5)</f>
        <v/>
      </c>
      <c r="C35" s="23" t="str">
        <f aca="false">IF($A35="","",정비항목!$B8)</f>
        <v/>
      </c>
      <c r="D35" s="24" t="str">
        <f aca="false">IF($A35="","",IF(정비항목!$C8="",0,정비항목!$C8))</f>
        <v/>
      </c>
      <c r="E35" s="28" t="str">
        <f aca="false">IF($A35="","",IF(정비항목!$D8="",0,정비항목!$D8))</f>
        <v/>
      </c>
      <c r="F35" s="26" t="str">
        <f aca="false">IF($A35="","",IF(COUNTIFS(정비이력!$B$3:$B$1002,$A35,정비이력!$D$3:$D$1002,정비항목!$A8)=0,"",SUMPRODUCT(MAX((정비이력!$B$3:$B$1002=$A35)*(정비이력!$D$3:$D$1002=정비항목!$A8)*정비이력!$A$3:$A$1002))))</f>
        <v/>
      </c>
      <c r="G35" s="27" t="str">
        <f aca="false">IF($A35="","",IF($F35="","",SUMPRODUCT(MAX((정비이력!$B$3:$B$1002=$A35)*(정비이력!$D$3:$D$1002=정비항목!$A8)*정비이력!$F$3:$F$1002))))</f>
        <v/>
      </c>
      <c r="H35" s="27" t="str">
        <f aca="false">IF($A35="","",IF(차량목록!$E5="",0,차량목록!$E5))</f>
        <v/>
      </c>
      <c r="I35" s="27" t="str">
        <f aca="false">IF(OR($A35="",$D35=0),"",IF($G35="",$H35+$D35,$G35+$D35))</f>
        <v/>
      </c>
      <c r="J35" s="24" t="str">
        <f aca="false">IF($I35="","",$I35-$H35)</f>
        <v/>
      </c>
      <c r="K35" s="26" t="str">
        <f aca="true">IF(OR($A35="",$E35=0),"",IF($F35="",EDATE(TODAY(),$E35),EDATE($F35,$E35)))</f>
        <v/>
      </c>
      <c r="L35" s="28" t="str">
        <f aca="true">IF($K35="","",$K35-TODAY())</f>
        <v/>
      </c>
      <c r="M35" s="28" t="str">
        <f aca="false">IF($A35="","",IF(AND($J35="",$L35=""),"-",IF(OR(AND($J35&lt;&gt;"",$J35&lt;=0),AND($L35&lt;&gt;"",$L35&lt;0)),"교체",IF(OR(AND($J35&lt;&gt;"",$J35&lt;=사용안내!$C$16),AND($L35&lt;&gt;"",$L35&lt;=사용안내!$C$17)),"임박","정상"))))</f>
        <v/>
      </c>
    </row>
    <row r="36" customFormat="false" ht="15" hidden="false" customHeight="true" outlineLevel="0" collapsed="false">
      <c r="A36" s="23" t="str">
        <f aca="false">IF(OR(차량목록!$A5="",정비항목!$A9="",차량목록!$G5="매각"),"",차량목록!$A5)</f>
        <v/>
      </c>
      <c r="B36" s="23" t="str">
        <f aca="false">IF($A36="","",차량목록!$B5)</f>
        <v/>
      </c>
      <c r="C36" s="23" t="str">
        <f aca="false">IF($A36="","",정비항목!$B9)</f>
        <v/>
      </c>
      <c r="D36" s="24" t="str">
        <f aca="false">IF($A36="","",IF(정비항목!$C9="",0,정비항목!$C9))</f>
        <v/>
      </c>
      <c r="E36" s="28" t="str">
        <f aca="false">IF($A36="","",IF(정비항목!$D9="",0,정비항목!$D9))</f>
        <v/>
      </c>
      <c r="F36" s="26" t="str">
        <f aca="false">IF($A36="","",IF(COUNTIFS(정비이력!$B$3:$B$1002,$A36,정비이력!$D$3:$D$1002,정비항목!$A9)=0,"",SUMPRODUCT(MAX((정비이력!$B$3:$B$1002=$A36)*(정비이력!$D$3:$D$1002=정비항목!$A9)*정비이력!$A$3:$A$1002))))</f>
        <v/>
      </c>
      <c r="G36" s="27" t="str">
        <f aca="false">IF($A36="","",IF($F36="","",SUMPRODUCT(MAX((정비이력!$B$3:$B$1002=$A36)*(정비이력!$D$3:$D$1002=정비항목!$A9)*정비이력!$F$3:$F$1002))))</f>
        <v/>
      </c>
      <c r="H36" s="27" t="str">
        <f aca="false">IF($A36="","",IF(차량목록!$E5="",0,차량목록!$E5))</f>
        <v/>
      </c>
      <c r="I36" s="27" t="str">
        <f aca="false">IF(OR($A36="",$D36=0),"",IF($G36="",$H36+$D36,$G36+$D36))</f>
        <v/>
      </c>
      <c r="J36" s="24" t="str">
        <f aca="false">IF($I36="","",$I36-$H36)</f>
        <v/>
      </c>
      <c r="K36" s="26" t="str">
        <f aca="true">IF(OR($A36="",$E36=0),"",IF($F36="",EDATE(TODAY(),$E36),EDATE($F36,$E36)))</f>
        <v/>
      </c>
      <c r="L36" s="28" t="str">
        <f aca="true">IF($K36="","",$K36-TODAY())</f>
        <v/>
      </c>
      <c r="M36" s="28" t="str">
        <f aca="false">IF($A36="","",IF(AND($J36="",$L36=""),"-",IF(OR(AND($J36&lt;&gt;"",$J36&lt;=0),AND($L36&lt;&gt;"",$L36&lt;0)),"교체",IF(OR(AND($J36&lt;&gt;"",$J36&lt;=사용안내!$C$16),AND($L36&lt;&gt;"",$L36&lt;=사용안내!$C$17)),"임박","정상"))))</f>
        <v/>
      </c>
    </row>
    <row r="37" customFormat="false" ht="15" hidden="false" customHeight="true" outlineLevel="0" collapsed="false">
      <c r="A37" s="23" t="str">
        <f aca="false">IF(OR(차량목록!$A5="",정비항목!$A10="",차량목록!$G5="매각"),"",차량목록!$A5)</f>
        <v/>
      </c>
      <c r="B37" s="23" t="str">
        <f aca="false">IF($A37="","",차량목록!$B5)</f>
        <v/>
      </c>
      <c r="C37" s="23" t="str">
        <f aca="false">IF($A37="","",정비항목!$B10)</f>
        <v/>
      </c>
      <c r="D37" s="24" t="str">
        <f aca="false">IF($A37="","",IF(정비항목!$C10="",0,정비항목!$C10))</f>
        <v/>
      </c>
      <c r="E37" s="28" t="str">
        <f aca="false">IF($A37="","",IF(정비항목!$D10="",0,정비항목!$D10))</f>
        <v/>
      </c>
      <c r="F37" s="26" t="str">
        <f aca="false">IF($A37="","",IF(COUNTIFS(정비이력!$B$3:$B$1002,$A37,정비이력!$D$3:$D$1002,정비항목!$A10)=0,"",SUMPRODUCT(MAX((정비이력!$B$3:$B$1002=$A37)*(정비이력!$D$3:$D$1002=정비항목!$A10)*정비이력!$A$3:$A$1002))))</f>
        <v/>
      </c>
      <c r="G37" s="27" t="str">
        <f aca="false">IF($A37="","",IF($F37="","",SUMPRODUCT(MAX((정비이력!$B$3:$B$1002=$A37)*(정비이력!$D$3:$D$1002=정비항목!$A10)*정비이력!$F$3:$F$1002))))</f>
        <v/>
      </c>
      <c r="H37" s="27" t="str">
        <f aca="false">IF($A37="","",IF(차량목록!$E5="",0,차량목록!$E5))</f>
        <v/>
      </c>
      <c r="I37" s="27" t="str">
        <f aca="false">IF(OR($A37="",$D37=0),"",IF($G37="",$H37+$D37,$G37+$D37))</f>
        <v/>
      </c>
      <c r="J37" s="24" t="str">
        <f aca="false">IF($I37="","",$I37-$H37)</f>
        <v/>
      </c>
      <c r="K37" s="26" t="str">
        <f aca="true">IF(OR($A37="",$E37=0),"",IF($F37="",EDATE(TODAY(),$E37),EDATE($F37,$E37)))</f>
        <v/>
      </c>
      <c r="L37" s="28" t="str">
        <f aca="true">IF($K37="","",$K37-TODAY())</f>
        <v/>
      </c>
      <c r="M37" s="28" t="str">
        <f aca="false">IF($A37="","",IF(AND($J37="",$L37=""),"-",IF(OR(AND($J37&lt;&gt;"",$J37&lt;=0),AND($L37&lt;&gt;"",$L37&lt;0)),"교체",IF(OR(AND($J37&lt;&gt;"",$J37&lt;=사용안내!$C$16),AND($L37&lt;&gt;"",$L37&lt;=사용안내!$C$17)),"임박","정상"))))</f>
        <v/>
      </c>
    </row>
    <row r="38" customFormat="false" ht="15" hidden="false" customHeight="true" outlineLevel="0" collapsed="false">
      <c r="A38" s="23" t="str">
        <f aca="false">IF(OR(차량목록!$A5="",정비항목!$A11="",차량목록!$G5="매각"),"",차량목록!$A5)</f>
        <v/>
      </c>
      <c r="B38" s="23" t="str">
        <f aca="false">IF($A38="","",차량목록!$B5)</f>
        <v/>
      </c>
      <c r="C38" s="23" t="str">
        <f aca="false">IF($A38="","",정비항목!$B11)</f>
        <v/>
      </c>
      <c r="D38" s="24" t="str">
        <f aca="false">IF($A38="","",IF(정비항목!$C11="",0,정비항목!$C11))</f>
        <v/>
      </c>
      <c r="E38" s="28" t="str">
        <f aca="false">IF($A38="","",IF(정비항목!$D11="",0,정비항목!$D11))</f>
        <v/>
      </c>
      <c r="F38" s="26" t="str">
        <f aca="false">IF($A38="","",IF(COUNTIFS(정비이력!$B$3:$B$1002,$A38,정비이력!$D$3:$D$1002,정비항목!$A11)=0,"",SUMPRODUCT(MAX((정비이력!$B$3:$B$1002=$A38)*(정비이력!$D$3:$D$1002=정비항목!$A11)*정비이력!$A$3:$A$1002))))</f>
        <v/>
      </c>
      <c r="G38" s="27" t="str">
        <f aca="false">IF($A38="","",IF($F38="","",SUMPRODUCT(MAX((정비이력!$B$3:$B$1002=$A38)*(정비이력!$D$3:$D$1002=정비항목!$A11)*정비이력!$F$3:$F$1002))))</f>
        <v/>
      </c>
      <c r="H38" s="27" t="str">
        <f aca="false">IF($A38="","",IF(차량목록!$E5="",0,차량목록!$E5))</f>
        <v/>
      </c>
      <c r="I38" s="27" t="str">
        <f aca="false">IF(OR($A38="",$D38=0),"",IF($G38="",$H38+$D38,$G38+$D38))</f>
        <v/>
      </c>
      <c r="J38" s="24" t="str">
        <f aca="false">IF($I38="","",$I38-$H38)</f>
        <v/>
      </c>
      <c r="K38" s="26" t="str">
        <f aca="true">IF(OR($A38="",$E38=0),"",IF($F38="",EDATE(TODAY(),$E38),EDATE($F38,$E38)))</f>
        <v/>
      </c>
      <c r="L38" s="28" t="str">
        <f aca="true">IF($K38="","",$K38-TODAY())</f>
        <v/>
      </c>
      <c r="M38" s="28" t="str">
        <f aca="false">IF($A38="","",IF(AND($J38="",$L38=""),"-",IF(OR(AND($J38&lt;&gt;"",$J38&lt;=0),AND($L38&lt;&gt;"",$L38&lt;0)),"교체",IF(OR(AND($J38&lt;&gt;"",$J38&lt;=사용안내!$C$16),AND($L38&lt;&gt;"",$L38&lt;=사용안내!$C$17)),"임박","정상"))))</f>
        <v/>
      </c>
    </row>
    <row r="39" customFormat="false" ht="15" hidden="false" customHeight="true" outlineLevel="0" collapsed="false">
      <c r="A39" s="23" t="str">
        <f aca="false">IF(OR(차량목록!$A5="",정비항목!$A12="",차량목록!$G5="매각"),"",차량목록!$A5)</f>
        <v/>
      </c>
      <c r="B39" s="23" t="str">
        <f aca="false">IF($A39="","",차량목록!$B5)</f>
        <v/>
      </c>
      <c r="C39" s="23" t="str">
        <f aca="false">IF($A39="","",정비항목!$B12)</f>
        <v/>
      </c>
      <c r="D39" s="24" t="str">
        <f aca="false">IF($A39="","",IF(정비항목!$C12="",0,정비항목!$C12))</f>
        <v/>
      </c>
      <c r="E39" s="28" t="str">
        <f aca="false">IF($A39="","",IF(정비항목!$D12="",0,정비항목!$D12))</f>
        <v/>
      </c>
      <c r="F39" s="26" t="str">
        <f aca="false">IF($A39="","",IF(COUNTIFS(정비이력!$B$3:$B$1002,$A39,정비이력!$D$3:$D$1002,정비항목!$A12)=0,"",SUMPRODUCT(MAX((정비이력!$B$3:$B$1002=$A39)*(정비이력!$D$3:$D$1002=정비항목!$A12)*정비이력!$A$3:$A$1002))))</f>
        <v/>
      </c>
      <c r="G39" s="27" t="str">
        <f aca="false">IF($A39="","",IF($F39="","",SUMPRODUCT(MAX((정비이력!$B$3:$B$1002=$A39)*(정비이력!$D$3:$D$1002=정비항목!$A12)*정비이력!$F$3:$F$1002))))</f>
        <v/>
      </c>
      <c r="H39" s="27" t="str">
        <f aca="false">IF($A39="","",IF(차량목록!$E5="",0,차량목록!$E5))</f>
        <v/>
      </c>
      <c r="I39" s="27" t="str">
        <f aca="false">IF(OR($A39="",$D39=0),"",IF($G39="",$H39+$D39,$G39+$D39))</f>
        <v/>
      </c>
      <c r="J39" s="24" t="str">
        <f aca="false">IF($I39="","",$I39-$H39)</f>
        <v/>
      </c>
      <c r="K39" s="26" t="str">
        <f aca="true">IF(OR($A39="",$E39=0),"",IF($F39="",EDATE(TODAY(),$E39),EDATE($F39,$E39)))</f>
        <v/>
      </c>
      <c r="L39" s="28" t="str">
        <f aca="true">IF($K39="","",$K39-TODAY())</f>
        <v/>
      </c>
      <c r="M39" s="28" t="str">
        <f aca="false">IF($A39="","",IF(AND($J39="",$L39=""),"-",IF(OR(AND($J39&lt;&gt;"",$J39&lt;=0),AND($L39&lt;&gt;"",$L39&lt;0)),"교체",IF(OR(AND($J39&lt;&gt;"",$J39&lt;=사용안내!$C$16),AND($L39&lt;&gt;"",$L39&lt;=사용안내!$C$17)),"임박","정상"))))</f>
        <v/>
      </c>
    </row>
    <row r="40" customFormat="false" ht="15" hidden="false" customHeight="true" outlineLevel="0" collapsed="false">
      <c r="A40" s="23" t="str">
        <f aca="false">IF(OR(차량목록!$A5="",정비항목!$A13="",차량목록!$G5="매각"),"",차량목록!$A5)</f>
        <v/>
      </c>
      <c r="B40" s="23" t="str">
        <f aca="false">IF($A40="","",차량목록!$B5)</f>
        <v/>
      </c>
      <c r="C40" s="23" t="str">
        <f aca="false">IF($A40="","",정비항목!$B13)</f>
        <v/>
      </c>
      <c r="D40" s="24" t="str">
        <f aca="false">IF($A40="","",IF(정비항목!$C13="",0,정비항목!$C13))</f>
        <v/>
      </c>
      <c r="E40" s="28" t="str">
        <f aca="false">IF($A40="","",IF(정비항목!$D13="",0,정비항목!$D13))</f>
        <v/>
      </c>
      <c r="F40" s="26" t="str">
        <f aca="false">IF($A40="","",IF(COUNTIFS(정비이력!$B$3:$B$1002,$A40,정비이력!$D$3:$D$1002,정비항목!$A13)=0,"",SUMPRODUCT(MAX((정비이력!$B$3:$B$1002=$A40)*(정비이력!$D$3:$D$1002=정비항목!$A13)*정비이력!$A$3:$A$1002))))</f>
        <v/>
      </c>
      <c r="G40" s="27" t="str">
        <f aca="false">IF($A40="","",IF($F40="","",SUMPRODUCT(MAX((정비이력!$B$3:$B$1002=$A40)*(정비이력!$D$3:$D$1002=정비항목!$A13)*정비이력!$F$3:$F$1002))))</f>
        <v/>
      </c>
      <c r="H40" s="27" t="str">
        <f aca="false">IF($A40="","",IF(차량목록!$E5="",0,차량목록!$E5))</f>
        <v/>
      </c>
      <c r="I40" s="27" t="str">
        <f aca="false">IF(OR($A40="",$D40=0),"",IF($G40="",$H40+$D40,$G40+$D40))</f>
        <v/>
      </c>
      <c r="J40" s="24" t="str">
        <f aca="false">IF($I40="","",$I40-$H40)</f>
        <v/>
      </c>
      <c r="K40" s="26" t="str">
        <f aca="true">IF(OR($A40="",$E40=0),"",IF($F40="",EDATE(TODAY(),$E40),EDATE($F40,$E40)))</f>
        <v/>
      </c>
      <c r="L40" s="28" t="str">
        <f aca="true">IF($K40="","",$K40-TODAY())</f>
        <v/>
      </c>
      <c r="M40" s="28" t="str">
        <f aca="false">IF($A40="","",IF(AND($J40="",$L40=""),"-",IF(OR(AND($J40&lt;&gt;"",$J40&lt;=0),AND($L40&lt;&gt;"",$L40&lt;0)),"교체",IF(OR(AND($J40&lt;&gt;"",$J40&lt;=사용안내!$C$16),AND($L40&lt;&gt;"",$L40&lt;=사용안내!$C$17)),"임박","정상"))))</f>
        <v/>
      </c>
    </row>
    <row r="41" customFormat="false" ht="15" hidden="false" customHeight="true" outlineLevel="0" collapsed="false">
      <c r="A41" s="23" t="str">
        <f aca="false">IF(OR(차량목록!$A5="",정비항목!$A14="",차량목록!$G5="매각"),"",차량목록!$A5)</f>
        <v/>
      </c>
      <c r="B41" s="23" t="str">
        <f aca="false">IF($A41="","",차량목록!$B5)</f>
        <v/>
      </c>
      <c r="C41" s="23" t="str">
        <f aca="false">IF($A41="","",정비항목!$B14)</f>
        <v/>
      </c>
      <c r="D41" s="24" t="str">
        <f aca="false">IF($A41="","",IF(정비항목!$C14="",0,정비항목!$C14))</f>
        <v/>
      </c>
      <c r="E41" s="28" t="str">
        <f aca="false">IF($A41="","",IF(정비항목!$D14="",0,정비항목!$D14))</f>
        <v/>
      </c>
      <c r="F41" s="26" t="str">
        <f aca="false">IF($A41="","",IF(COUNTIFS(정비이력!$B$3:$B$1002,$A41,정비이력!$D$3:$D$1002,정비항목!$A14)=0,"",SUMPRODUCT(MAX((정비이력!$B$3:$B$1002=$A41)*(정비이력!$D$3:$D$1002=정비항목!$A14)*정비이력!$A$3:$A$1002))))</f>
        <v/>
      </c>
      <c r="G41" s="27" t="str">
        <f aca="false">IF($A41="","",IF($F41="","",SUMPRODUCT(MAX((정비이력!$B$3:$B$1002=$A41)*(정비이력!$D$3:$D$1002=정비항목!$A14)*정비이력!$F$3:$F$1002))))</f>
        <v/>
      </c>
      <c r="H41" s="27" t="str">
        <f aca="false">IF($A41="","",IF(차량목록!$E5="",0,차량목록!$E5))</f>
        <v/>
      </c>
      <c r="I41" s="27" t="str">
        <f aca="false">IF(OR($A41="",$D41=0),"",IF($G41="",$H41+$D41,$G41+$D41))</f>
        <v/>
      </c>
      <c r="J41" s="24" t="str">
        <f aca="false">IF($I41="","",$I41-$H41)</f>
        <v/>
      </c>
      <c r="K41" s="26" t="str">
        <f aca="true">IF(OR($A41="",$E41=0),"",IF($F41="",EDATE(TODAY(),$E41),EDATE($F41,$E41)))</f>
        <v/>
      </c>
      <c r="L41" s="28" t="str">
        <f aca="true">IF($K41="","",$K41-TODAY())</f>
        <v/>
      </c>
      <c r="M41" s="28" t="str">
        <f aca="false">IF($A41="","",IF(AND($J41="",$L41=""),"-",IF(OR(AND($J41&lt;&gt;"",$J41&lt;=0),AND($L41&lt;&gt;"",$L41&lt;0)),"교체",IF(OR(AND($J41&lt;&gt;"",$J41&lt;=사용안내!$C$16),AND($L41&lt;&gt;"",$L41&lt;=사용안내!$C$17)),"임박","정상"))))</f>
        <v/>
      </c>
    </row>
    <row r="42" customFormat="false" ht="15" hidden="false" customHeight="true" outlineLevel="0" collapsed="false">
      <c r="A42" s="23" t="str">
        <f aca="false">IF(OR(차량목록!$A6="",정비항목!$A3="",차량목록!$G6="매각"),"",차량목록!$A6)</f>
        <v/>
      </c>
      <c r="B42" s="23" t="str">
        <f aca="false">IF($A42="","",차량목록!$B6)</f>
        <v/>
      </c>
      <c r="C42" s="23" t="str">
        <f aca="false">IF($A42="","",정비항목!$B3)</f>
        <v/>
      </c>
      <c r="D42" s="24" t="str">
        <f aca="false">IF($A42="","",IF(정비항목!$C3="",0,정비항목!$C3))</f>
        <v/>
      </c>
      <c r="E42" s="28" t="str">
        <f aca="false">IF($A42="","",IF(정비항목!$D3="",0,정비항목!$D3))</f>
        <v/>
      </c>
      <c r="F42" s="26" t="str">
        <f aca="false">IF($A42="","",IF(COUNTIFS(정비이력!$B$3:$B$1002,$A42,정비이력!$D$3:$D$1002,정비항목!$A3)=0,"",SUMPRODUCT(MAX((정비이력!$B$3:$B$1002=$A42)*(정비이력!$D$3:$D$1002=정비항목!$A3)*정비이력!$A$3:$A$1002))))</f>
        <v/>
      </c>
      <c r="G42" s="27" t="str">
        <f aca="false">IF($A42="","",IF($F42="","",SUMPRODUCT(MAX((정비이력!$B$3:$B$1002=$A42)*(정비이력!$D$3:$D$1002=정비항목!$A3)*정비이력!$F$3:$F$1002))))</f>
        <v/>
      </c>
      <c r="H42" s="27" t="str">
        <f aca="false">IF($A42="","",IF(차량목록!$E6="",0,차량목록!$E6))</f>
        <v/>
      </c>
      <c r="I42" s="27" t="str">
        <f aca="false">IF(OR($A42="",$D42=0),"",IF($G42="",$H42+$D42,$G42+$D42))</f>
        <v/>
      </c>
      <c r="J42" s="24" t="str">
        <f aca="false">IF($I42="","",$I42-$H42)</f>
        <v/>
      </c>
      <c r="K42" s="26" t="str">
        <f aca="true">IF(OR($A42="",$E42=0),"",IF($F42="",EDATE(TODAY(),$E42),EDATE($F42,$E42)))</f>
        <v/>
      </c>
      <c r="L42" s="28" t="str">
        <f aca="true">IF($K42="","",$K42-TODAY())</f>
        <v/>
      </c>
      <c r="M42" s="28" t="str">
        <f aca="false">IF($A42="","",IF(AND($J42="",$L42=""),"-",IF(OR(AND($J42&lt;&gt;"",$J42&lt;=0),AND($L42&lt;&gt;"",$L42&lt;0)),"교체",IF(OR(AND($J42&lt;&gt;"",$J42&lt;=사용안내!$C$16),AND($L42&lt;&gt;"",$L42&lt;=사용안내!$C$17)),"임박","정상"))))</f>
        <v/>
      </c>
    </row>
    <row r="43" customFormat="false" ht="15" hidden="false" customHeight="true" outlineLevel="0" collapsed="false">
      <c r="A43" s="23" t="str">
        <f aca="false">IF(OR(차량목록!$A6="",정비항목!$A4="",차량목록!$G6="매각"),"",차량목록!$A6)</f>
        <v/>
      </c>
      <c r="B43" s="23" t="str">
        <f aca="false">IF($A43="","",차량목록!$B6)</f>
        <v/>
      </c>
      <c r="C43" s="23" t="str">
        <f aca="false">IF($A43="","",정비항목!$B4)</f>
        <v/>
      </c>
      <c r="D43" s="24" t="str">
        <f aca="false">IF($A43="","",IF(정비항목!$C4="",0,정비항목!$C4))</f>
        <v/>
      </c>
      <c r="E43" s="28" t="str">
        <f aca="false">IF($A43="","",IF(정비항목!$D4="",0,정비항목!$D4))</f>
        <v/>
      </c>
      <c r="F43" s="26" t="str">
        <f aca="false">IF($A43="","",IF(COUNTIFS(정비이력!$B$3:$B$1002,$A43,정비이력!$D$3:$D$1002,정비항목!$A4)=0,"",SUMPRODUCT(MAX((정비이력!$B$3:$B$1002=$A43)*(정비이력!$D$3:$D$1002=정비항목!$A4)*정비이력!$A$3:$A$1002))))</f>
        <v/>
      </c>
      <c r="G43" s="27" t="str">
        <f aca="false">IF($A43="","",IF($F43="","",SUMPRODUCT(MAX((정비이력!$B$3:$B$1002=$A43)*(정비이력!$D$3:$D$1002=정비항목!$A4)*정비이력!$F$3:$F$1002))))</f>
        <v/>
      </c>
      <c r="H43" s="27" t="str">
        <f aca="false">IF($A43="","",IF(차량목록!$E6="",0,차량목록!$E6))</f>
        <v/>
      </c>
      <c r="I43" s="27" t="str">
        <f aca="false">IF(OR($A43="",$D43=0),"",IF($G43="",$H43+$D43,$G43+$D43))</f>
        <v/>
      </c>
      <c r="J43" s="24" t="str">
        <f aca="false">IF($I43="","",$I43-$H43)</f>
        <v/>
      </c>
      <c r="K43" s="26" t="str">
        <f aca="true">IF(OR($A43="",$E43=0),"",IF($F43="",EDATE(TODAY(),$E43),EDATE($F43,$E43)))</f>
        <v/>
      </c>
      <c r="L43" s="28" t="str">
        <f aca="true">IF($K43="","",$K43-TODAY())</f>
        <v/>
      </c>
      <c r="M43" s="28" t="str">
        <f aca="false">IF($A43="","",IF(AND($J43="",$L43=""),"-",IF(OR(AND($J43&lt;&gt;"",$J43&lt;=0),AND($L43&lt;&gt;"",$L43&lt;0)),"교체",IF(OR(AND($J43&lt;&gt;"",$J43&lt;=사용안내!$C$16),AND($L43&lt;&gt;"",$L43&lt;=사용안내!$C$17)),"임박","정상"))))</f>
        <v/>
      </c>
    </row>
    <row r="44" customFormat="false" ht="15" hidden="false" customHeight="true" outlineLevel="0" collapsed="false">
      <c r="A44" s="23" t="str">
        <f aca="false">IF(OR(차량목록!$A6="",정비항목!$A5="",차량목록!$G6="매각"),"",차량목록!$A6)</f>
        <v/>
      </c>
      <c r="B44" s="23" t="str">
        <f aca="false">IF($A44="","",차량목록!$B6)</f>
        <v/>
      </c>
      <c r="C44" s="23" t="str">
        <f aca="false">IF($A44="","",정비항목!$B5)</f>
        <v/>
      </c>
      <c r="D44" s="24" t="str">
        <f aca="false">IF($A44="","",IF(정비항목!$C5="",0,정비항목!$C5))</f>
        <v/>
      </c>
      <c r="E44" s="28" t="str">
        <f aca="false">IF($A44="","",IF(정비항목!$D5="",0,정비항목!$D5))</f>
        <v/>
      </c>
      <c r="F44" s="26" t="str">
        <f aca="false">IF($A44="","",IF(COUNTIFS(정비이력!$B$3:$B$1002,$A44,정비이력!$D$3:$D$1002,정비항목!$A5)=0,"",SUMPRODUCT(MAX((정비이력!$B$3:$B$1002=$A44)*(정비이력!$D$3:$D$1002=정비항목!$A5)*정비이력!$A$3:$A$1002))))</f>
        <v/>
      </c>
      <c r="G44" s="27" t="str">
        <f aca="false">IF($A44="","",IF($F44="","",SUMPRODUCT(MAX((정비이력!$B$3:$B$1002=$A44)*(정비이력!$D$3:$D$1002=정비항목!$A5)*정비이력!$F$3:$F$1002))))</f>
        <v/>
      </c>
      <c r="H44" s="27" t="str">
        <f aca="false">IF($A44="","",IF(차량목록!$E6="",0,차량목록!$E6))</f>
        <v/>
      </c>
      <c r="I44" s="27" t="str">
        <f aca="false">IF(OR($A44="",$D44=0),"",IF($G44="",$H44+$D44,$G44+$D44))</f>
        <v/>
      </c>
      <c r="J44" s="24" t="str">
        <f aca="false">IF($I44="","",$I44-$H44)</f>
        <v/>
      </c>
      <c r="K44" s="26" t="str">
        <f aca="true">IF(OR($A44="",$E44=0),"",IF($F44="",EDATE(TODAY(),$E44),EDATE($F44,$E44)))</f>
        <v/>
      </c>
      <c r="L44" s="28" t="str">
        <f aca="true">IF($K44="","",$K44-TODAY())</f>
        <v/>
      </c>
      <c r="M44" s="28" t="str">
        <f aca="false">IF($A44="","",IF(AND($J44="",$L44=""),"-",IF(OR(AND($J44&lt;&gt;"",$J44&lt;=0),AND($L44&lt;&gt;"",$L44&lt;0)),"교체",IF(OR(AND($J44&lt;&gt;"",$J44&lt;=사용안내!$C$16),AND($L44&lt;&gt;"",$L44&lt;=사용안내!$C$17)),"임박","정상"))))</f>
        <v/>
      </c>
    </row>
    <row r="45" customFormat="false" ht="15" hidden="false" customHeight="true" outlineLevel="0" collapsed="false">
      <c r="A45" s="23" t="str">
        <f aca="false">IF(OR(차량목록!$A6="",정비항목!$A6="",차량목록!$G6="매각"),"",차량목록!$A6)</f>
        <v/>
      </c>
      <c r="B45" s="23" t="str">
        <f aca="false">IF($A45="","",차량목록!$B6)</f>
        <v/>
      </c>
      <c r="C45" s="23" t="str">
        <f aca="false">IF($A45="","",정비항목!$B6)</f>
        <v/>
      </c>
      <c r="D45" s="24" t="str">
        <f aca="false">IF($A45="","",IF(정비항목!$C6="",0,정비항목!$C6))</f>
        <v/>
      </c>
      <c r="E45" s="28" t="str">
        <f aca="false">IF($A45="","",IF(정비항목!$D6="",0,정비항목!$D6))</f>
        <v/>
      </c>
      <c r="F45" s="26" t="str">
        <f aca="false">IF($A45="","",IF(COUNTIFS(정비이력!$B$3:$B$1002,$A45,정비이력!$D$3:$D$1002,정비항목!$A6)=0,"",SUMPRODUCT(MAX((정비이력!$B$3:$B$1002=$A45)*(정비이력!$D$3:$D$1002=정비항목!$A6)*정비이력!$A$3:$A$1002))))</f>
        <v/>
      </c>
      <c r="G45" s="27" t="str">
        <f aca="false">IF($A45="","",IF($F45="","",SUMPRODUCT(MAX((정비이력!$B$3:$B$1002=$A45)*(정비이력!$D$3:$D$1002=정비항목!$A6)*정비이력!$F$3:$F$1002))))</f>
        <v/>
      </c>
      <c r="H45" s="27" t="str">
        <f aca="false">IF($A45="","",IF(차량목록!$E6="",0,차량목록!$E6))</f>
        <v/>
      </c>
      <c r="I45" s="27" t="str">
        <f aca="false">IF(OR($A45="",$D45=0),"",IF($G45="",$H45+$D45,$G45+$D45))</f>
        <v/>
      </c>
      <c r="J45" s="24" t="str">
        <f aca="false">IF($I45="","",$I45-$H45)</f>
        <v/>
      </c>
      <c r="K45" s="26" t="str">
        <f aca="true">IF(OR($A45="",$E45=0),"",IF($F45="",EDATE(TODAY(),$E45),EDATE($F45,$E45)))</f>
        <v/>
      </c>
      <c r="L45" s="28" t="str">
        <f aca="true">IF($K45="","",$K45-TODAY())</f>
        <v/>
      </c>
      <c r="M45" s="28" t="str">
        <f aca="false">IF($A45="","",IF(AND($J45="",$L45=""),"-",IF(OR(AND($J45&lt;&gt;"",$J45&lt;=0),AND($L45&lt;&gt;"",$L45&lt;0)),"교체",IF(OR(AND($J45&lt;&gt;"",$J45&lt;=사용안내!$C$16),AND($L45&lt;&gt;"",$L45&lt;=사용안내!$C$17)),"임박","정상"))))</f>
        <v/>
      </c>
    </row>
    <row r="46" customFormat="false" ht="15" hidden="false" customHeight="true" outlineLevel="0" collapsed="false">
      <c r="A46" s="23" t="str">
        <f aca="false">IF(OR(차량목록!$A6="",정비항목!$A7="",차량목록!$G6="매각"),"",차량목록!$A6)</f>
        <v/>
      </c>
      <c r="B46" s="23" t="str">
        <f aca="false">IF($A46="","",차량목록!$B6)</f>
        <v/>
      </c>
      <c r="C46" s="23" t="str">
        <f aca="false">IF($A46="","",정비항목!$B7)</f>
        <v/>
      </c>
      <c r="D46" s="24" t="str">
        <f aca="false">IF($A46="","",IF(정비항목!$C7="",0,정비항목!$C7))</f>
        <v/>
      </c>
      <c r="E46" s="28" t="str">
        <f aca="false">IF($A46="","",IF(정비항목!$D7="",0,정비항목!$D7))</f>
        <v/>
      </c>
      <c r="F46" s="26" t="str">
        <f aca="false">IF($A46="","",IF(COUNTIFS(정비이력!$B$3:$B$1002,$A46,정비이력!$D$3:$D$1002,정비항목!$A7)=0,"",SUMPRODUCT(MAX((정비이력!$B$3:$B$1002=$A46)*(정비이력!$D$3:$D$1002=정비항목!$A7)*정비이력!$A$3:$A$1002))))</f>
        <v/>
      </c>
      <c r="G46" s="27" t="str">
        <f aca="false">IF($A46="","",IF($F46="","",SUMPRODUCT(MAX((정비이력!$B$3:$B$1002=$A46)*(정비이력!$D$3:$D$1002=정비항목!$A7)*정비이력!$F$3:$F$1002))))</f>
        <v/>
      </c>
      <c r="H46" s="27" t="str">
        <f aca="false">IF($A46="","",IF(차량목록!$E6="",0,차량목록!$E6))</f>
        <v/>
      </c>
      <c r="I46" s="27" t="str">
        <f aca="false">IF(OR($A46="",$D46=0),"",IF($G46="",$H46+$D46,$G46+$D46))</f>
        <v/>
      </c>
      <c r="J46" s="24" t="str">
        <f aca="false">IF($I46="","",$I46-$H46)</f>
        <v/>
      </c>
      <c r="K46" s="26" t="str">
        <f aca="true">IF(OR($A46="",$E46=0),"",IF($F46="",EDATE(TODAY(),$E46),EDATE($F46,$E46)))</f>
        <v/>
      </c>
      <c r="L46" s="28" t="str">
        <f aca="true">IF($K46="","",$K46-TODAY())</f>
        <v/>
      </c>
      <c r="M46" s="28" t="str">
        <f aca="false">IF($A46="","",IF(AND($J46="",$L46=""),"-",IF(OR(AND($J46&lt;&gt;"",$J46&lt;=0),AND($L46&lt;&gt;"",$L46&lt;0)),"교체",IF(OR(AND($J46&lt;&gt;"",$J46&lt;=사용안내!$C$16),AND($L46&lt;&gt;"",$L46&lt;=사용안내!$C$17)),"임박","정상"))))</f>
        <v/>
      </c>
    </row>
    <row r="47" customFormat="false" ht="15" hidden="false" customHeight="true" outlineLevel="0" collapsed="false">
      <c r="A47" s="23" t="str">
        <f aca="false">IF(OR(차량목록!$A6="",정비항목!$A8="",차량목록!$G6="매각"),"",차량목록!$A6)</f>
        <v/>
      </c>
      <c r="B47" s="23" t="str">
        <f aca="false">IF($A47="","",차량목록!$B6)</f>
        <v/>
      </c>
      <c r="C47" s="23" t="str">
        <f aca="false">IF($A47="","",정비항목!$B8)</f>
        <v/>
      </c>
      <c r="D47" s="24" t="str">
        <f aca="false">IF($A47="","",IF(정비항목!$C8="",0,정비항목!$C8))</f>
        <v/>
      </c>
      <c r="E47" s="28" t="str">
        <f aca="false">IF($A47="","",IF(정비항목!$D8="",0,정비항목!$D8))</f>
        <v/>
      </c>
      <c r="F47" s="26" t="str">
        <f aca="false">IF($A47="","",IF(COUNTIFS(정비이력!$B$3:$B$1002,$A47,정비이력!$D$3:$D$1002,정비항목!$A8)=0,"",SUMPRODUCT(MAX((정비이력!$B$3:$B$1002=$A47)*(정비이력!$D$3:$D$1002=정비항목!$A8)*정비이력!$A$3:$A$1002))))</f>
        <v/>
      </c>
      <c r="G47" s="27" t="str">
        <f aca="false">IF($A47="","",IF($F47="","",SUMPRODUCT(MAX((정비이력!$B$3:$B$1002=$A47)*(정비이력!$D$3:$D$1002=정비항목!$A8)*정비이력!$F$3:$F$1002))))</f>
        <v/>
      </c>
      <c r="H47" s="27" t="str">
        <f aca="false">IF($A47="","",IF(차량목록!$E6="",0,차량목록!$E6))</f>
        <v/>
      </c>
      <c r="I47" s="27" t="str">
        <f aca="false">IF(OR($A47="",$D47=0),"",IF($G47="",$H47+$D47,$G47+$D47))</f>
        <v/>
      </c>
      <c r="J47" s="24" t="str">
        <f aca="false">IF($I47="","",$I47-$H47)</f>
        <v/>
      </c>
      <c r="K47" s="26" t="str">
        <f aca="true">IF(OR($A47="",$E47=0),"",IF($F47="",EDATE(TODAY(),$E47),EDATE($F47,$E47)))</f>
        <v/>
      </c>
      <c r="L47" s="28" t="str">
        <f aca="true">IF($K47="","",$K47-TODAY())</f>
        <v/>
      </c>
      <c r="M47" s="28" t="str">
        <f aca="false">IF($A47="","",IF(AND($J47="",$L47=""),"-",IF(OR(AND($J47&lt;&gt;"",$J47&lt;=0),AND($L47&lt;&gt;"",$L47&lt;0)),"교체",IF(OR(AND($J47&lt;&gt;"",$J47&lt;=사용안내!$C$16),AND($L47&lt;&gt;"",$L47&lt;=사용안내!$C$17)),"임박","정상"))))</f>
        <v/>
      </c>
    </row>
    <row r="48" customFormat="false" ht="15" hidden="false" customHeight="true" outlineLevel="0" collapsed="false">
      <c r="A48" s="23" t="str">
        <f aca="false">IF(OR(차량목록!$A6="",정비항목!$A9="",차량목록!$G6="매각"),"",차량목록!$A6)</f>
        <v/>
      </c>
      <c r="B48" s="23" t="str">
        <f aca="false">IF($A48="","",차량목록!$B6)</f>
        <v/>
      </c>
      <c r="C48" s="23" t="str">
        <f aca="false">IF($A48="","",정비항목!$B9)</f>
        <v/>
      </c>
      <c r="D48" s="24" t="str">
        <f aca="false">IF($A48="","",IF(정비항목!$C9="",0,정비항목!$C9))</f>
        <v/>
      </c>
      <c r="E48" s="28" t="str">
        <f aca="false">IF($A48="","",IF(정비항목!$D9="",0,정비항목!$D9))</f>
        <v/>
      </c>
      <c r="F48" s="26" t="str">
        <f aca="false">IF($A48="","",IF(COUNTIFS(정비이력!$B$3:$B$1002,$A48,정비이력!$D$3:$D$1002,정비항목!$A9)=0,"",SUMPRODUCT(MAX((정비이력!$B$3:$B$1002=$A48)*(정비이력!$D$3:$D$1002=정비항목!$A9)*정비이력!$A$3:$A$1002))))</f>
        <v/>
      </c>
      <c r="G48" s="27" t="str">
        <f aca="false">IF($A48="","",IF($F48="","",SUMPRODUCT(MAX((정비이력!$B$3:$B$1002=$A48)*(정비이력!$D$3:$D$1002=정비항목!$A9)*정비이력!$F$3:$F$1002))))</f>
        <v/>
      </c>
      <c r="H48" s="27" t="str">
        <f aca="false">IF($A48="","",IF(차량목록!$E6="",0,차량목록!$E6))</f>
        <v/>
      </c>
      <c r="I48" s="27" t="str">
        <f aca="false">IF(OR($A48="",$D48=0),"",IF($G48="",$H48+$D48,$G48+$D48))</f>
        <v/>
      </c>
      <c r="J48" s="24" t="str">
        <f aca="false">IF($I48="","",$I48-$H48)</f>
        <v/>
      </c>
      <c r="K48" s="26" t="str">
        <f aca="true">IF(OR($A48="",$E48=0),"",IF($F48="",EDATE(TODAY(),$E48),EDATE($F48,$E48)))</f>
        <v/>
      </c>
      <c r="L48" s="28" t="str">
        <f aca="true">IF($K48="","",$K48-TODAY())</f>
        <v/>
      </c>
      <c r="M48" s="28" t="str">
        <f aca="false">IF($A48="","",IF(AND($J48="",$L48=""),"-",IF(OR(AND($J48&lt;&gt;"",$J48&lt;=0),AND($L48&lt;&gt;"",$L48&lt;0)),"교체",IF(OR(AND($J48&lt;&gt;"",$J48&lt;=사용안내!$C$16),AND($L48&lt;&gt;"",$L48&lt;=사용안내!$C$17)),"임박","정상"))))</f>
        <v/>
      </c>
    </row>
    <row r="49" customFormat="false" ht="15" hidden="false" customHeight="true" outlineLevel="0" collapsed="false">
      <c r="A49" s="23" t="str">
        <f aca="false">IF(OR(차량목록!$A6="",정비항목!$A10="",차량목록!$G6="매각"),"",차량목록!$A6)</f>
        <v/>
      </c>
      <c r="B49" s="23" t="str">
        <f aca="false">IF($A49="","",차량목록!$B6)</f>
        <v/>
      </c>
      <c r="C49" s="23" t="str">
        <f aca="false">IF($A49="","",정비항목!$B10)</f>
        <v/>
      </c>
      <c r="D49" s="24" t="str">
        <f aca="false">IF($A49="","",IF(정비항목!$C10="",0,정비항목!$C10))</f>
        <v/>
      </c>
      <c r="E49" s="28" t="str">
        <f aca="false">IF($A49="","",IF(정비항목!$D10="",0,정비항목!$D10))</f>
        <v/>
      </c>
      <c r="F49" s="26" t="str">
        <f aca="false">IF($A49="","",IF(COUNTIFS(정비이력!$B$3:$B$1002,$A49,정비이력!$D$3:$D$1002,정비항목!$A10)=0,"",SUMPRODUCT(MAX((정비이력!$B$3:$B$1002=$A49)*(정비이력!$D$3:$D$1002=정비항목!$A10)*정비이력!$A$3:$A$1002))))</f>
        <v/>
      </c>
      <c r="G49" s="27" t="str">
        <f aca="false">IF($A49="","",IF($F49="","",SUMPRODUCT(MAX((정비이력!$B$3:$B$1002=$A49)*(정비이력!$D$3:$D$1002=정비항목!$A10)*정비이력!$F$3:$F$1002))))</f>
        <v/>
      </c>
      <c r="H49" s="27" t="str">
        <f aca="false">IF($A49="","",IF(차량목록!$E6="",0,차량목록!$E6))</f>
        <v/>
      </c>
      <c r="I49" s="27" t="str">
        <f aca="false">IF(OR($A49="",$D49=0),"",IF($G49="",$H49+$D49,$G49+$D49))</f>
        <v/>
      </c>
      <c r="J49" s="24" t="str">
        <f aca="false">IF($I49="","",$I49-$H49)</f>
        <v/>
      </c>
      <c r="K49" s="26" t="str">
        <f aca="true">IF(OR($A49="",$E49=0),"",IF($F49="",EDATE(TODAY(),$E49),EDATE($F49,$E49)))</f>
        <v/>
      </c>
      <c r="L49" s="28" t="str">
        <f aca="true">IF($K49="","",$K49-TODAY())</f>
        <v/>
      </c>
      <c r="M49" s="28" t="str">
        <f aca="false">IF($A49="","",IF(AND($J49="",$L49=""),"-",IF(OR(AND($J49&lt;&gt;"",$J49&lt;=0),AND($L49&lt;&gt;"",$L49&lt;0)),"교체",IF(OR(AND($J49&lt;&gt;"",$J49&lt;=사용안내!$C$16),AND($L49&lt;&gt;"",$L49&lt;=사용안내!$C$17)),"임박","정상"))))</f>
        <v/>
      </c>
    </row>
    <row r="50" customFormat="false" ht="15" hidden="false" customHeight="true" outlineLevel="0" collapsed="false">
      <c r="A50" s="23" t="str">
        <f aca="false">IF(OR(차량목록!$A6="",정비항목!$A11="",차량목록!$G6="매각"),"",차량목록!$A6)</f>
        <v/>
      </c>
      <c r="B50" s="23" t="str">
        <f aca="false">IF($A50="","",차량목록!$B6)</f>
        <v/>
      </c>
      <c r="C50" s="23" t="str">
        <f aca="false">IF($A50="","",정비항목!$B11)</f>
        <v/>
      </c>
      <c r="D50" s="24" t="str">
        <f aca="false">IF($A50="","",IF(정비항목!$C11="",0,정비항목!$C11))</f>
        <v/>
      </c>
      <c r="E50" s="28" t="str">
        <f aca="false">IF($A50="","",IF(정비항목!$D11="",0,정비항목!$D11))</f>
        <v/>
      </c>
      <c r="F50" s="26" t="str">
        <f aca="false">IF($A50="","",IF(COUNTIFS(정비이력!$B$3:$B$1002,$A50,정비이력!$D$3:$D$1002,정비항목!$A11)=0,"",SUMPRODUCT(MAX((정비이력!$B$3:$B$1002=$A50)*(정비이력!$D$3:$D$1002=정비항목!$A11)*정비이력!$A$3:$A$1002))))</f>
        <v/>
      </c>
      <c r="G50" s="27" t="str">
        <f aca="false">IF($A50="","",IF($F50="","",SUMPRODUCT(MAX((정비이력!$B$3:$B$1002=$A50)*(정비이력!$D$3:$D$1002=정비항목!$A11)*정비이력!$F$3:$F$1002))))</f>
        <v/>
      </c>
      <c r="H50" s="27" t="str">
        <f aca="false">IF($A50="","",IF(차량목록!$E6="",0,차량목록!$E6))</f>
        <v/>
      </c>
      <c r="I50" s="27" t="str">
        <f aca="false">IF(OR($A50="",$D50=0),"",IF($G50="",$H50+$D50,$G50+$D50))</f>
        <v/>
      </c>
      <c r="J50" s="24" t="str">
        <f aca="false">IF($I50="","",$I50-$H50)</f>
        <v/>
      </c>
      <c r="K50" s="26" t="str">
        <f aca="true">IF(OR($A50="",$E50=0),"",IF($F50="",EDATE(TODAY(),$E50),EDATE($F50,$E50)))</f>
        <v/>
      </c>
      <c r="L50" s="28" t="str">
        <f aca="true">IF($K50="","",$K50-TODAY())</f>
        <v/>
      </c>
      <c r="M50" s="28" t="str">
        <f aca="false">IF($A50="","",IF(AND($J50="",$L50=""),"-",IF(OR(AND($J50&lt;&gt;"",$J50&lt;=0),AND($L50&lt;&gt;"",$L50&lt;0)),"교체",IF(OR(AND($J50&lt;&gt;"",$J50&lt;=사용안내!$C$16),AND($L50&lt;&gt;"",$L50&lt;=사용안내!$C$17)),"임박","정상"))))</f>
        <v/>
      </c>
    </row>
    <row r="51" customFormat="false" ht="15" hidden="false" customHeight="true" outlineLevel="0" collapsed="false">
      <c r="A51" s="23" t="str">
        <f aca="false">IF(OR(차량목록!$A6="",정비항목!$A12="",차량목록!$G6="매각"),"",차량목록!$A6)</f>
        <v/>
      </c>
      <c r="B51" s="23" t="str">
        <f aca="false">IF($A51="","",차량목록!$B6)</f>
        <v/>
      </c>
      <c r="C51" s="23" t="str">
        <f aca="false">IF($A51="","",정비항목!$B12)</f>
        <v/>
      </c>
      <c r="D51" s="24" t="str">
        <f aca="false">IF($A51="","",IF(정비항목!$C12="",0,정비항목!$C12))</f>
        <v/>
      </c>
      <c r="E51" s="28" t="str">
        <f aca="false">IF($A51="","",IF(정비항목!$D12="",0,정비항목!$D12))</f>
        <v/>
      </c>
      <c r="F51" s="26" t="str">
        <f aca="false">IF($A51="","",IF(COUNTIFS(정비이력!$B$3:$B$1002,$A51,정비이력!$D$3:$D$1002,정비항목!$A12)=0,"",SUMPRODUCT(MAX((정비이력!$B$3:$B$1002=$A51)*(정비이력!$D$3:$D$1002=정비항목!$A12)*정비이력!$A$3:$A$1002))))</f>
        <v/>
      </c>
      <c r="G51" s="27" t="str">
        <f aca="false">IF($A51="","",IF($F51="","",SUMPRODUCT(MAX((정비이력!$B$3:$B$1002=$A51)*(정비이력!$D$3:$D$1002=정비항목!$A12)*정비이력!$F$3:$F$1002))))</f>
        <v/>
      </c>
      <c r="H51" s="27" t="str">
        <f aca="false">IF($A51="","",IF(차량목록!$E6="",0,차량목록!$E6))</f>
        <v/>
      </c>
      <c r="I51" s="27" t="str">
        <f aca="false">IF(OR($A51="",$D51=0),"",IF($G51="",$H51+$D51,$G51+$D51))</f>
        <v/>
      </c>
      <c r="J51" s="24" t="str">
        <f aca="false">IF($I51="","",$I51-$H51)</f>
        <v/>
      </c>
      <c r="K51" s="26" t="str">
        <f aca="true">IF(OR($A51="",$E51=0),"",IF($F51="",EDATE(TODAY(),$E51),EDATE($F51,$E51)))</f>
        <v/>
      </c>
      <c r="L51" s="28" t="str">
        <f aca="true">IF($K51="","",$K51-TODAY())</f>
        <v/>
      </c>
      <c r="M51" s="28" t="str">
        <f aca="false">IF($A51="","",IF(AND($J51="",$L51=""),"-",IF(OR(AND($J51&lt;&gt;"",$J51&lt;=0),AND($L51&lt;&gt;"",$L51&lt;0)),"교체",IF(OR(AND($J51&lt;&gt;"",$J51&lt;=사용안내!$C$16),AND($L51&lt;&gt;"",$L51&lt;=사용안내!$C$17)),"임박","정상"))))</f>
        <v/>
      </c>
    </row>
    <row r="52" customFormat="false" ht="15" hidden="false" customHeight="true" outlineLevel="0" collapsed="false">
      <c r="A52" s="23" t="str">
        <f aca="false">IF(OR(차량목록!$A6="",정비항목!$A13="",차량목록!$G6="매각"),"",차량목록!$A6)</f>
        <v/>
      </c>
      <c r="B52" s="23" t="str">
        <f aca="false">IF($A52="","",차량목록!$B6)</f>
        <v/>
      </c>
      <c r="C52" s="23" t="str">
        <f aca="false">IF($A52="","",정비항목!$B13)</f>
        <v/>
      </c>
      <c r="D52" s="24" t="str">
        <f aca="false">IF($A52="","",IF(정비항목!$C13="",0,정비항목!$C13))</f>
        <v/>
      </c>
      <c r="E52" s="28" t="str">
        <f aca="false">IF($A52="","",IF(정비항목!$D13="",0,정비항목!$D13))</f>
        <v/>
      </c>
      <c r="F52" s="26" t="str">
        <f aca="false">IF($A52="","",IF(COUNTIFS(정비이력!$B$3:$B$1002,$A52,정비이력!$D$3:$D$1002,정비항목!$A13)=0,"",SUMPRODUCT(MAX((정비이력!$B$3:$B$1002=$A52)*(정비이력!$D$3:$D$1002=정비항목!$A13)*정비이력!$A$3:$A$1002))))</f>
        <v/>
      </c>
      <c r="G52" s="27" t="str">
        <f aca="false">IF($A52="","",IF($F52="","",SUMPRODUCT(MAX((정비이력!$B$3:$B$1002=$A52)*(정비이력!$D$3:$D$1002=정비항목!$A13)*정비이력!$F$3:$F$1002))))</f>
        <v/>
      </c>
      <c r="H52" s="27" t="str">
        <f aca="false">IF($A52="","",IF(차량목록!$E6="",0,차량목록!$E6))</f>
        <v/>
      </c>
      <c r="I52" s="27" t="str">
        <f aca="false">IF(OR($A52="",$D52=0),"",IF($G52="",$H52+$D52,$G52+$D52))</f>
        <v/>
      </c>
      <c r="J52" s="24" t="str">
        <f aca="false">IF($I52="","",$I52-$H52)</f>
        <v/>
      </c>
      <c r="K52" s="26" t="str">
        <f aca="true">IF(OR($A52="",$E52=0),"",IF($F52="",EDATE(TODAY(),$E52),EDATE($F52,$E52)))</f>
        <v/>
      </c>
      <c r="L52" s="28" t="str">
        <f aca="true">IF($K52="","",$K52-TODAY())</f>
        <v/>
      </c>
      <c r="M52" s="28" t="str">
        <f aca="false">IF($A52="","",IF(AND($J52="",$L52=""),"-",IF(OR(AND($J52&lt;&gt;"",$J52&lt;=0),AND($L52&lt;&gt;"",$L52&lt;0)),"교체",IF(OR(AND($J52&lt;&gt;"",$J52&lt;=사용안내!$C$16),AND($L52&lt;&gt;"",$L52&lt;=사용안내!$C$17)),"임박","정상"))))</f>
        <v/>
      </c>
    </row>
    <row r="53" customFormat="false" ht="15" hidden="false" customHeight="true" outlineLevel="0" collapsed="false">
      <c r="A53" s="23" t="str">
        <f aca="false">IF(OR(차량목록!$A6="",정비항목!$A14="",차량목록!$G6="매각"),"",차량목록!$A6)</f>
        <v/>
      </c>
      <c r="B53" s="23" t="str">
        <f aca="false">IF($A53="","",차량목록!$B6)</f>
        <v/>
      </c>
      <c r="C53" s="23" t="str">
        <f aca="false">IF($A53="","",정비항목!$B14)</f>
        <v/>
      </c>
      <c r="D53" s="24" t="str">
        <f aca="false">IF($A53="","",IF(정비항목!$C14="",0,정비항목!$C14))</f>
        <v/>
      </c>
      <c r="E53" s="28" t="str">
        <f aca="false">IF($A53="","",IF(정비항목!$D14="",0,정비항목!$D14))</f>
        <v/>
      </c>
      <c r="F53" s="26" t="str">
        <f aca="false">IF($A53="","",IF(COUNTIFS(정비이력!$B$3:$B$1002,$A53,정비이력!$D$3:$D$1002,정비항목!$A14)=0,"",SUMPRODUCT(MAX((정비이력!$B$3:$B$1002=$A53)*(정비이력!$D$3:$D$1002=정비항목!$A14)*정비이력!$A$3:$A$1002))))</f>
        <v/>
      </c>
      <c r="G53" s="27" t="str">
        <f aca="false">IF($A53="","",IF($F53="","",SUMPRODUCT(MAX((정비이력!$B$3:$B$1002=$A53)*(정비이력!$D$3:$D$1002=정비항목!$A14)*정비이력!$F$3:$F$1002))))</f>
        <v/>
      </c>
      <c r="H53" s="27" t="str">
        <f aca="false">IF($A53="","",IF(차량목록!$E6="",0,차량목록!$E6))</f>
        <v/>
      </c>
      <c r="I53" s="27" t="str">
        <f aca="false">IF(OR($A53="",$D53=0),"",IF($G53="",$H53+$D53,$G53+$D53))</f>
        <v/>
      </c>
      <c r="J53" s="24" t="str">
        <f aca="false">IF($I53="","",$I53-$H53)</f>
        <v/>
      </c>
      <c r="K53" s="26" t="str">
        <f aca="true">IF(OR($A53="",$E53=0),"",IF($F53="",EDATE(TODAY(),$E53),EDATE($F53,$E53)))</f>
        <v/>
      </c>
      <c r="L53" s="28" t="str">
        <f aca="true">IF($K53="","",$K53-TODAY())</f>
        <v/>
      </c>
      <c r="M53" s="28" t="str">
        <f aca="false">IF($A53="","",IF(AND($J53="",$L53=""),"-",IF(OR(AND($J53&lt;&gt;"",$J53&lt;=0),AND($L53&lt;&gt;"",$L53&lt;0)),"교체",IF(OR(AND($J53&lt;&gt;"",$J53&lt;=사용안내!$C$16),AND($L53&lt;&gt;"",$L53&lt;=사용안내!$C$17)),"임박","정상"))))</f>
        <v/>
      </c>
    </row>
    <row r="54" customFormat="false" ht="15" hidden="false" customHeight="true" outlineLevel="0" collapsed="false">
      <c r="A54" s="23" t="str">
        <f aca="false">IF(OR(차량목록!$A7="",정비항목!$A3="",차량목록!$G7="매각"),"",차량목록!$A7)</f>
        <v/>
      </c>
      <c r="B54" s="23" t="str">
        <f aca="false">IF($A54="","",차량목록!$B7)</f>
        <v/>
      </c>
      <c r="C54" s="23" t="str">
        <f aca="false">IF($A54="","",정비항목!$B3)</f>
        <v/>
      </c>
      <c r="D54" s="24" t="str">
        <f aca="false">IF($A54="","",IF(정비항목!$C3="",0,정비항목!$C3))</f>
        <v/>
      </c>
      <c r="E54" s="28" t="str">
        <f aca="false">IF($A54="","",IF(정비항목!$D3="",0,정비항목!$D3))</f>
        <v/>
      </c>
      <c r="F54" s="26" t="str">
        <f aca="false">IF($A54="","",IF(COUNTIFS(정비이력!$B$3:$B$1002,$A54,정비이력!$D$3:$D$1002,정비항목!$A3)=0,"",SUMPRODUCT(MAX((정비이력!$B$3:$B$1002=$A54)*(정비이력!$D$3:$D$1002=정비항목!$A3)*정비이력!$A$3:$A$1002))))</f>
        <v/>
      </c>
      <c r="G54" s="27" t="str">
        <f aca="false">IF($A54="","",IF($F54="","",SUMPRODUCT(MAX((정비이력!$B$3:$B$1002=$A54)*(정비이력!$D$3:$D$1002=정비항목!$A3)*정비이력!$F$3:$F$1002))))</f>
        <v/>
      </c>
      <c r="H54" s="27" t="str">
        <f aca="false">IF($A54="","",IF(차량목록!$E7="",0,차량목록!$E7))</f>
        <v/>
      </c>
      <c r="I54" s="27" t="str">
        <f aca="false">IF(OR($A54="",$D54=0),"",IF($G54="",$H54+$D54,$G54+$D54))</f>
        <v/>
      </c>
      <c r="J54" s="24" t="str">
        <f aca="false">IF($I54="","",$I54-$H54)</f>
        <v/>
      </c>
      <c r="K54" s="26" t="str">
        <f aca="true">IF(OR($A54="",$E54=0),"",IF($F54="",EDATE(TODAY(),$E54),EDATE($F54,$E54)))</f>
        <v/>
      </c>
      <c r="L54" s="28" t="str">
        <f aca="true">IF($K54="","",$K54-TODAY())</f>
        <v/>
      </c>
      <c r="M54" s="28" t="str">
        <f aca="false">IF($A54="","",IF(AND($J54="",$L54=""),"-",IF(OR(AND($J54&lt;&gt;"",$J54&lt;=0),AND($L54&lt;&gt;"",$L54&lt;0)),"교체",IF(OR(AND($J54&lt;&gt;"",$J54&lt;=사용안내!$C$16),AND($L54&lt;&gt;"",$L54&lt;=사용안내!$C$17)),"임박","정상"))))</f>
        <v/>
      </c>
    </row>
    <row r="55" customFormat="false" ht="15" hidden="false" customHeight="true" outlineLevel="0" collapsed="false">
      <c r="A55" s="23" t="str">
        <f aca="false">IF(OR(차량목록!$A7="",정비항목!$A4="",차량목록!$G7="매각"),"",차량목록!$A7)</f>
        <v/>
      </c>
      <c r="B55" s="23" t="str">
        <f aca="false">IF($A55="","",차량목록!$B7)</f>
        <v/>
      </c>
      <c r="C55" s="23" t="str">
        <f aca="false">IF($A55="","",정비항목!$B4)</f>
        <v/>
      </c>
      <c r="D55" s="24" t="str">
        <f aca="false">IF($A55="","",IF(정비항목!$C4="",0,정비항목!$C4))</f>
        <v/>
      </c>
      <c r="E55" s="28" t="str">
        <f aca="false">IF($A55="","",IF(정비항목!$D4="",0,정비항목!$D4))</f>
        <v/>
      </c>
      <c r="F55" s="26" t="str">
        <f aca="false">IF($A55="","",IF(COUNTIFS(정비이력!$B$3:$B$1002,$A55,정비이력!$D$3:$D$1002,정비항목!$A4)=0,"",SUMPRODUCT(MAX((정비이력!$B$3:$B$1002=$A55)*(정비이력!$D$3:$D$1002=정비항목!$A4)*정비이력!$A$3:$A$1002))))</f>
        <v/>
      </c>
      <c r="G55" s="27" t="str">
        <f aca="false">IF($A55="","",IF($F55="","",SUMPRODUCT(MAX((정비이력!$B$3:$B$1002=$A55)*(정비이력!$D$3:$D$1002=정비항목!$A4)*정비이력!$F$3:$F$1002))))</f>
        <v/>
      </c>
      <c r="H55" s="27" t="str">
        <f aca="false">IF($A55="","",IF(차량목록!$E7="",0,차량목록!$E7))</f>
        <v/>
      </c>
      <c r="I55" s="27" t="str">
        <f aca="false">IF(OR($A55="",$D55=0),"",IF($G55="",$H55+$D55,$G55+$D55))</f>
        <v/>
      </c>
      <c r="J55" s="24" t="str">
        <f aca="false">IF($I55="","",$I55-$H55)</f>
        <v/>
      </c>
      <c r="K55" s="26" t="str">
        <f aca="true">IF(OR($A55="",$E55=0),"",IF($F55="",EDATE(TODAY(),$E55),EDATE($F55,$E55)))</f>
        <v/>
      </c>
      <c r="L55" s="28" t="str">
        <f aca="true">IF($K55="","",$K55-TODAY())</f>
        <v/>
      </c>
      <c r="M55" s="28" t="str">
        <f aca="false">IF($A55="","",IF(AND($J55="",$L55=""),"-",IF(OR(AND($J55&lt;&gt;"",$J55&lt;=0),AND($L55&lt;&gt;"",$L55&lt;0)),"교체",IF(OR(AND($J55&lt;&gt;"",$J55&lt;=사용안내!$C$16),AND($L55&lt;&gt;"",$L55&lt;=사용안내!$C$17)),"임박","정상"))))</f>
        <v/>
      </c>
    </row>
    <row r="56" customFormat="false" ht="15" hidden="false" customHeight="true" outlineLevel="0" collapsed="false">
      <c r="A56" s="23" t="str">
        <f aca="false">IF(OR(차량목록!$A7="",정비항목!$A5="",차량목록!$G7="매각"),"",차량목록!$A7)</f>
        <v/>
      </c>
      <c r="B56" s="23" t="str">
        <f aca="false">IF($A56="","",차량목록!$B7)</f>
        <v/>
      </c>
      <c r="C56" s="23" t="str">
        <f aca="false">IF($A56="","",정비항목!$B5)</f>
        <v/>
      </c>
      <c r="D56" s="24" t="str">
        <f aca="false">IF($A56="","",IF(정비항목!$C5="",0,정비항목!$C5))</f>
        <v/>
      </c>
      <c r="E56" s="28" t="str">
        <f aca="false">IF($A56="","",IF(정비항목!$D5="",0,정비항목!$D5))</f>
        <v/>
      </c>
      <c r="F56" s="26" t="str">
        <f aca="false">IF($A56="","",IF(COUNTIFS(정비이력!$B$3:$B$1002,$A56,정비이력!$D$3:$D$1002,정비항목!$A5)=0,"",SUMPRODUCT(MAX((정비이력!$B$3:$B$1002=$A56)*(정비이력!$D$3:$D$1002=정비항목!$A5)*정비이력!$A$3:$A$1002))))</f>
        <v/>
      </c>
      <c r="G56" s="27" t="str">
        <f aca="false">IF($A56="","",IF($F56="","",SUMPRODUCT(MAX((정비이력!$B$3:$B$1002=$A56)*(정비이력!$D$3:$D$1002=정비항목!$A5)*정비이력!$F$3:$F$1002))))</f>
        <v/>
      </c>
      <c r="H56" s="27" t="str">
        <f aca="false">IF($A56="","",IF(차량목록!$E7="",0,차량목록!$E7))</f>
        <v/>
      </c>
      <c r="I56" s="27" t="str">
        <f aca="false">IF(OR($A56="",$D56=0),"",IF($G56="",$H56+$D56,$G56+$D56))</f>
        <v/>
      </c>
      <c r="J56" s="24" t="str">
        <f aca="false">IF($I56="","",$I56-$H56)</f>
        <v/>
      </c>
      <c r="K56" s="26" t="str">
        <f aca="true">IF(OR($A56="",$E56=0),"",IF($F56="",EDATE(TODAY(),$E56),EDATE($F56,$E56)))</f>
        <v/>
      </c>
      <c r="L56" s="28" t="str">
        <f aca="true">IF($K56="","",$K56-TODAY())</f>
        <v/>
      </c>
      <c r="M56" s="28" t="str">
        <f aca="false">IF($A56="","",IF(AND($J56="",$L56=""),"-",IF(OR(AND($J56&lt;&gt;"",$J56&lt;=0),AND($L56&lt;&gt;"",$L56&lt;0)),"교체",IF(OR(AND($J56&lt;&gt;"",$J56&lt;=사용안내!$C$16),AND($L56&lt;&gt;"",$L56&lt;=사용안내!$C$17)),"임박","정상"))))</f>
        <v/>
      </c>
    </row>
    <row r="57" customFormat="false" ht="15" hidden="false" customHeight="true" outlineLevel="0" collapsed="false">
      <c r="A57" s="23" t="str">
        <f aca="false">IF(OR(차량목록!$A7="",정비항목!$A6="",차량목록!$G7="매각"),"",차량목록!$A7)</f>
        <v/>
      </c>
      <c r="B57" s="23" t="str">
        <f aca="false">IF($A57="","",차량목록!$B7)</f>
        <v/>
      </c>
      <c r="C57" s="23" t="str">
        <f aca="false">IF($A57="","",정비항목!$B6)</f>
        <v/>
      </c>
      <c r="D57" s="24" t="str">
        <f aca="false">IF($A57="","",IF(정비항목!$C6="",0,정비항목!$C6))</f>
        <v/>
      </c>
      <c r="E57" s="28" t="str">
        <f aca="false">IF($A57="","",IF(정비항목!$D6="",0,정비항목!$D6))</f>
        <v/>
      </c>
      <c r="F57" s="26" t="str">
        <f aca="false">IF($A57="","",IF(COUNTIFS(정비이력!$B$3:$B$1002,$A57,정비이력!$D$3:$D$1002,정비항목!$A6)=0,"",SUMPRODUCT(MAX((정비이력!$B$3:$B$1002=$A57)*(정비이력!$D$3:$D$1002=정비항목!$A6)*정비이력!$A$3:$A$1002))))</f>
        <v/>
      </c>
      <c r="G57" s="27" t="str">
        <f aca="false">IF($A57="","",IF($F57="","",SUMPRODUCT(MAX((정비이력!$B$3:$B$1002=$A57)*(정비이력!$D$3:$D$1002=정비항목!$A6)*정비이력!$F$3:$F$1002))))</f>
        <v/>
      </c>
      <c r="H57" s="27" t="str">
        <f aca="false">IF($A57="","",IF(차량목록!$E7="",0,차량목록!$E7))</f>
        <v/>
      </c>
      <c r="I57" s="27" t="str">
        <f aca="false">IF(OR($A57="",$D57=0),"",IF($G57="",$H57+$D57,$G57+$D57))</f>
        <v/>
      </c>
      <c r="J57" s="24" t="str">
        <f aca="false">IF($I57="","",$I57-$H57)</f>
        <v/>
      </c>
      <c r="K57" s="26" t="str">
        <f aca="true">IF(OR($A57="",$E57=0),"",IF($F57="",EDATE(TODAY(),$E57),EDATE($F57,$E57)))</f>
        <v/>
      </c>
      <c r="L57" s="28" t="str">
        <f aca="true">IF($K57="","",$K57-TODAY())</f>
        <v/>
      </c>
      <c r="M57" s="28" t="str">
        <f aca="false">IF($A57="","",IF(AND($J57="",$L57=""),"-",IF(OR(AND($J57&lt;&gt;"",$J57&lt;=0),AND($L57&lt;&gt;"",$L57&lt;0)),"교체",IF(OR(AND($J57&lt;&gt;"",$J57&lt;=사용안내!$C$16),AND($L57&lt;&gt;"",$L57&lt;=사용안내!$C$17)),"임박","정상"))))</f>
        <v/>
      </c>
    </row>
    <row r="58" customFormat="false" ht="15" hidden="false" customHeight="true" outlineLevel="0" collapsed="false">
      <c r="A58" s="23" t="str">
        <f aca="false">IF(OR(차량목록!$A7="",정비항목!$A7="",차량목록!$G7="매각"),"",차량목록!$A7)</f>
        <v/>
      </c>
      <c r="B58" s="23" t="str">
        <f aca="false">IF($A58="","",차량목록!$B7)</f>
        <v/>
      </c>
      <c r="C58" s="23" t="str">
        <f aca="false">IF($A58="","",정비항목!$B7)</f>
        <v/>
      </c>
      <c r="D58" s="24" t="str">
        <f aca="false">IF($A58="","",IF(정비항목!$C7="",0,정비항목!$C7))</f>
        <v/>
      </c>
      <c r="E58" s="28" t="str">
        <f aca="false">IF($A58="","",IF(정비항목!$D7="",0,정비항목!$D7))</f>
        <v/>
      </c>
      <c r="F58" s="26" t="str">
        <f aca="false">IF($A58="","",IF(COUNTIFS(정비이력!$B$3:$B$1002,$A58,정비이력!$D$3:$D$1002,정비항목!$A7)=0,"",SUMPRODUCT(MAX((정비이력!$B$3:$B$1002=$A58)*(정비이력!$D$3:$D$1002=정비항목!$A7)*정비이력!$A$3:$A$1002))))</f>
        <v/>
      </c>
      <c r="G58" s="27" t="str">
        <f aca="false">IF($A58="","",IF($F58="","",SUMPRODUCT(MAX((정비이력!$B$3:$B$1002=$A58)*(정비이력!$D$3:$D$1002=정비항목!$A7)*정비이력!$F$3:$F$1002))))</f>
        <v/>
      </c>
      <c r="H58" s="27" t="str">
        <f aca="false">IF($A58="","",IF(차량목록!$E7="",0,차량목록!$E7))</f>
        <v/>
      </c>
      <c r="I58" s="27" t="str">
        <f aca="false">IF(OR($A58="",$D58=0),"",IF($G58="",$H58+$D58,$G58+$D58))</f>
        <v/>
      </c>
      <c r="J58" s="24" t="str">
        <f aca="false">IF($I58="","",$I58-$H58)</f>
        <v/>
      </c>
      <c r="K58" s="26" t="str">
        <f aca="true">IF(OR($A58="",$E58=0),"",IF($F58="",EDATE(TODAY(),$E58),EDATE($F58,$E58)))</f>
        <v/>
      </c>
      <c r="L58" s="28" t="str">
        <f aca="true">IF($K58="","",$K58-TODAY())</f>
        <v/>
      </c>
      <c r="M58" s="28" t="str">
        <f aca="false">IF($A58="","",IF(AND($J58="",$L58=""),"-",IF(OR(AND($J58&lt;&gt;"",$J58&lt;=0),AND($L58&lt;&gt;"",$L58&lt;0)),"교체",IF(OR(AND($J58&lt;&gt;"",$J58&lt;=사용안내!$C$16),AND($L58&lt;&gt;"",$L58&lt;=사용안내!$C$17)),"임박","정상"))))</f>
        <v/>
      </c>
    </row>
    <row r="59" customFormat="false" ht="15" hidden="false" customHeight="true" outlineLevel="0" collapsed="false">
      <c r="A59" s="23" t="str">
        <f aca="false">IF(OR(차량목록!$A7="",정비항목!$A8="",차량목록!$G7="매각"),"",차량목록!$A7)</f>
        <v/>
      </c>
      <c r="B59" s="23" t="str">
        <f aca="false">IF($A59="","",차량목록!$B7)</f>
        <v/>
      </c>
      <c r="C59" s="23" t="str">
        <f aca="false">IF($A59="","",정비항목!$B8)</f>
        <v/>
      </c>
      <c r="D59" s="24" t="str">
        <f aca="false">IF($A59="","",IF(정비항목!$C8="",0,정비항목!$C8))</f>
        <v/>
      </c>
      <c r="E59" s="28" t="str">
        <f aca="false">IF($A59="","",IF(정비항목!$D8="",0,정비항목!$D8))</f>
        <v/>
      </c>
      <c r="F59" s="26" t="str">
        <f aca="false">IF($A59="","",IF(COUNTIFS(정비이력!$B$3:$B$1002,$A59,정비이력!$D$3:$D$1002,정비항목!$A8)=0,"",SUMPRODUCT(MAX((정비이력!$B$3:$B$1002=$A59)*(정비이력!$D$3:$D$1002=정비항목!$A8)*정비이력!$A$3:$A$1002))))</f>
        <v/>
      </c>
      <c r="G59" s="27" t="str">
        <f aca="false">IF($A59="","",IF($F59="","",SUMPRODUCT(MAX((정비이력!$B$3:$B$1002=$A59)*(정비이력!$D$3:$D$1002=정비항목!$A8)*정비이력!$F$3:$F$1002))))</f>
        <v/>
      </c>
      <c r="H59" s="27" t="str">
        <f aca="false">IF($A59="","",IF(차량목록!$E7="",0,차량목록!$E7))</f>
        <v/>
      </c>
      <c r="I59" s="27" t="str">
        <f aca="false">IF(OR($A59="",$D59=0),"",IF($G59="",$H59+$D59,$G59+$D59))</f>
        <v/>
      </c>
      <c r="J59" s="24" t="str">
        <f aca="false">IF($I59="","",$I59-$H59)</f>
        <v/>
      </c>
      <c r="K59" s="26" t="str">
        <f aca="true">IF(OR($A59="",$E59=0),"",IF($F59="",EDATE(TODAY(),$E59),EDATE($F59,$E59)))</f>
        <v/>
      </c>
      <c r="L59" s="28" t="str">
        <f aca="true">IF($K59="","",$K59-TODAY())</f>
        <v/>
      </c>
      <c r="M59" s="28" t="str">
        <f aca="false">IF($A59="","",IF(AND($J59="",$L59=""),"-",IF(OR(AND($J59&lt;&gt;"",$J59&lt;=0),AND($L59&lt;&gt;"",$L59&lt;0)),"교체",IF(OR(AND($J59&lt;&gt;"",$J59&lt;=사용안내!$C$16),AND($L59&lt;&gt;"",$L59&lt;=사용안내!$C$17)),"임박","정상"))))</f>
        <v/>
      </c>
    </row>
    <row r="60" customFormat="false" ht="15" hidden="false" customHeight="true" outlineLevel="0" collapsed="false">
      <c r="A60" s="23" t="str">
        <f aca="false">IF(OR(차량목록!$A7="",정비항목!$A9="",차량목록!$G7="매각"),"",차량목록!$A7)</f>
        <v/>
      </c>
      <c r="B60" s="23" t="str">
        <f aca="false">IF($A60="","",차량목록!$B7)</f>
        <v/>
      </c>
      <c r="C60" s="23" t="str">
        <f aca="false">IF($A60="","",정비항목!$B9)</f>
        <v/>
      </c>
      <c r="D60" s="24" t="str">
        <f aca="false">IF($A60="","",IF(정비항목!$C9="",0,정비항목!$C9))</f>
        <v/>
      </c>
      <c r="E60" s="28" t="str">
        <f aca="false">IF($A60="","",IF(정비항목!$D9="",0,정비항목!$D9))</f>
        <v/>
      </c>
      <c r="F60" s="26" t="str">
        <f aca="false">IF($A60="","",IF(COUNTIFS(정비이력!$B$3:$B$1002,$A60,정비이력!$D$3:$D$1002,정비항목!$A9)=0,"",SUMPRODUCT(MAX((정비이력!$B$3:$B$1002=$A60)*(정비이력!$D$3:$D$1002=정비항목!$A9)*정비이력!$A$3:$A$1002))))</f>
        <v/>
      </c>
      <c r="G60" s="27" t="str">
        <f aca="false">IF($A60="","",IF($F60="","",SUMPRODUCT(MAX((정비이력!$B$3:$B$1002=$A60)*(정비이력!$D$3:$D$1002=정비항목!$A9)*정비이력!$F$3:$F$1002))))</f>
        <v/>
      </c>
      <c r="H60" s="27" t="str">
        <f aca="false">IF($A60="","",IF(차량목록!$E7="",0,차량목록!$E7))</f>
        <v/>
      </c>
      <c r="I60" s="27" t="str">
        <f aca="false">IF(OR($A60="",$D60=0),"",IF($G60="",$H60+$D60,$G60+$D60))</f>
        <v/>
      </c>
      <c r="J60" s="24" t="str">
        <f aca="false">IF($I60="","",$I60-$H60)</f>
        <v/>
      </c>
      <c r="K60" s="26" t="str">
        <f aca="true">IF(OR($A60="",$E60=0),"",IF($F60="",EDATE(TODAY(),$E60),EDATE($F60,$E60)))</f>
        <v/>
      </c>
      <c r="L60" s="28" t="str">
        <f aca="true">IF($K60="","",$K60-TODAY())</f>
        <v/>
      </c>
      <c r="M60" s="28" t="str">
        <f aca="false">IF($A60="","",IF(AND($J60="",$L60=""),"-",IF(OR(AND($J60&lt;&gt;"",$J60&lt;=0),AND($L60&lt;&gt;"",$L60&lt;0)),"교체",IF(OR(AND($J60&lt;&gt;"",$J60&lt;=사용안내!$C$16),AND($L60&lt;&gt;"",$L60&lt;=사용안내!$C$17)),"임박","정상"))))</f>
        <v/>
      </c>
    </row>
    <row r="61" customFormat="false" ht="15" hidden="false" customHeight="true" outlineLevel="0" collapsed="false">
      <c r="A61" s="23" t="str">
        <f aca="false">IF(OR(차량목록!$A7="",정비항목!$A10="",차량목록!$G7="매각"),"",차량목록!$A7)</f>
        <v/>
      </c>
      <c r="B61" s="23" t="str">
        <f aca="false">IF($A61="","",차량목록!$B7)</f>
        <v/>
      </c>
      <c r="C61" s="23" t="str">
        <f aca="false">IF($A61="","",정비항목!$B10)</f>
        <v/>
      </c>
      <c r="D61" s="24" t="str">
        <f aca="false">IF($A61="","",IF(정비항목!$C10="",0,정비항목!$C10))</f>
        <v/>
      </c>
      <c r="E61" s="28" t="str">
        <f aca="false">IF($A61="","",IF(정비항목!$D10="",0,정비항목!$D10))</f>
        <v/>
      </c>
      <c r="F61" s="26" t="str">
        <f aca="false">IF($A61="","",IF(COUNTIFS(정비이력!$B$3:$B$1002,$A61,정비이력!$D$3:$D$1002,정비항목!$A10)=0,"",SUMPRODUCT(MAX((정비이력!$B$3:$B$1002=$A61)*(정비이력!$D$3:$D$1002=정비항목!$A10)*정비이력!$A$3:$A$1002))))</f>
        <v/>
      </c>
      <c r="G61" s="27" t="str">
        <f aca="false">IF($A61="","",IF($F61="","",SUMPRODUCT(MAX((정비이력!$B$3:$B$1002=$A61)*(정비이력!$D$3:$D$1002=정비항목!$A10)*정비이력!$F$3:$F$1002))))</f>
        <v/>
      </c>
      <c r="H61" s="27" t="str">
        <f aca="false">IF($A61="","",IF(차량목록!$E7="",0,차량목록!$E7))</f>
        <v/>
      </c>
      <c r="I61" s="27" t="str">
        <f aca="false">IF(OR($A61="",$D61=0),"",IF($G61="",$H61+$D61,$G61+$D61))</f>
        <v/>
      </c>
      <c r="J61" s="24" t="str">
        <f aca="false">IF($I61="","",$I61-$H61)</f>
        <v/>
      </c>
      <c r="K61" s="26" t="str">
        <f aca="true">IF(OR($A61="",$E61=0),"",IF($F61="",EDATE(TODAY(),$E61),EDATE($F61,$E61)))</f>
        <v/>
      </c>
      <c r="L61" s="28" t="str">
        <f aca="true">IF($K61="","",$K61-TODAY())</f>
        <v/>
      </c>
      <c r="M61" s="28" t="str">
        <f aca="false">IF($A61="","",IF(AND($J61="",$L61=""),"-",IF(OR(AND($J61&lt;&gt;"",$J61&lt;=0),AND($L61&lt;&gt;"",$L61&lt;0)),"교체",IF(OR(AND($J61&lt;&gt;"",$J61&lt;=사용안내!$C$16),AND($L61&lt;&gt;"",$L61&lt;=사용안내!$C$17)),"임박","정상"))))</f>
        <v/>
      </c>
    </row>
    <row r="62" customFormat="false" ht="15" hidden="false" customHeight="true" outlineLevel="0" collapsed="false">
      <c r="A62" s="23" t="str">
        <f aca="false">IF(OR(차량목록!$A7="",정비항목!$A11="",차량목록!$G7="매각"),"",차량목록!$A7)</f>
        <v/>
      </c>
      <c r="B62" s="23" t="str">
        <f aca="false">IF($A62="","",차량목록!$B7)</f>
        <v/>
      </c>
      <c r="C62" s="23" t="str">
        <f aca="false">IF($A62="","",정비항목!$B11)</f>
        <v/>
      </c>
      <c r="D62" s="24" t="str">
        <f aca="false">IF($A62="","",IF(정비항목!$C11="",0,정비항목!$C11))</f>
        <v/>
      </c>
      <c r="E62" s="28" t="str">
        <f aca="false">IF($A62="","",IF(정비항목!$D11="",0,정비항목!$D11))</f>
        <v/>
      </c>
      <c r="F62" s="26" t="str">
        <f aca="false">IF($A62="","",IF(COUNTIFS(정비이력!$B$3:$B$1002,$A62,정비이력!$D$3:$D$1002,정비항목!$A11)=0,"",SUMPRODUCT(MAX((정비이력!$B$3:$B$1002=$A62)*(정비이력!$D$3:$D$1002=정비항목!$A11)*정비이력!$A$3:$A$1002))))</f>
        <v/>
      </c>
      <c r="G62" s="27" t="str">
        <f aca="false">IF($A62="","",IF($F62="","",SUMPRODUCT(MAX((정비이력!$B$3:$B$1002=$A62)*(정비이력!$D$3:$D$1002=정비항목!$A11)*정비이력!$F$3:$F$1002))))</f>
        <v/>
      </c>
      <c r="H62" s="27" t="str">
        <f aca="false">IF($A62="","",IF(차량목록!$E7="",0,차량목록!$E7))</f>
        <v/>
      </c>
      <c r="I62" s="27" t="str">
        <f aca="false">IF(OR($A62="",$D62=0),"",IF($G62="",$H62+$D62,$G62+$D62))</f>
        <v/>
      </c>
      <c r="J62" s="24" t="str">
        <f aca="false">IF($I62="","",$I62-$H62)</f>
        <v/>
      </c>
      <c r="K62" s="26" t="str">
        <f aca="true">IF(OR($A62="",$E62=0),"",IF($F62="",EDATE(TODAY(),$E62),EDATE($F62,$E62)))</f>
        <v/>
      </c>
      <c r="L62" s="28" t="str">
        <f aca="true">IF($K62="","",$K62-TODAY())</f>
        <v/>
      </c>
      <c r="M62" s="28" t="str">
        <f aca="false">IF($A62="","",IF(AND($J62="",$L62=""),"-",IF(OR(AND($J62&lt;&gt;"",$J62&lt;=0),AND($L62&lt;&gt;"",$L62&lt;0)),"교체",IF(OR(AND($J62&lt;&gt;"",$J62&lt;=사용안내!$C$16),AND($L62&lt;&gt;"",$L62&lt;=사용안내!$C$17)),"임박","정상"))))</f>
        <v/>
      </c>
    </row>
    <row r="63" customFormat="false" ht="15" hidden="false" customHeight="true" outlineLevel="0" collapsed="false">
      <c r="A63" s="23" t="str">
        <f aca="false">IF(OR(차량목록!$A7="",정비항목!$A12="",차량목록!$G7="매각"),"",차량목록!$A7)</f>
        <v/>
      </c>
      <c r="B63" s="23" t="str">
        <f aca="false">IF($A63="","",차량목록!$B7)</f>
        <v/>
      </c>
      <c r="C63" s="23" t="str">
        <f aca="false">IF($A63="","",정비항목!$B12)</f>
        <v/>
      </c>
      <c r="D63" s="24" t="str">
        <f aca="false">IF($A63="","",IF(정비항목!$C12="",0,정비항목!$C12))</f>
        <v/>
      </c>
      <c r="E63" s="28" t="str">
        <f aca="false">IF($A63="","",IF(정비항목!$D12="",0,정비항목!$D12))</f>
        <v/>
      </c>
      <c r="F63" s="26" t="str">
        <f aca="false">IF($A63="","",IF(COUNTIFS(정비이력!$B$3:$B$1002,$A63,정비이력!$D$3:$D$1002,정비항목!$A12)=0,"",SUMPRODUCT(MAX((정비이력!$B$3:$B$1002=$A63)*(정비이력!$D$3:$D$1002=정비항목!$A12)*정비이력!$A$3:$A$1002))))</f>
        <v/>
      </c>
      <c r="G63" s="27" t="str">
        <f aca="false">IF($A63="","",IF($F63="","",SUMPRODUCT(MAX((정비이력!$B$3:$B$1002=$A63)*(정비이력!$D$3:$D$1002=정비항목!$A12)*정비이력!$F$3:$F$1002))))</f>
        <v/>
      </c>
      <c r="H63" s="27" t="str">
        <f aca="false">IF($A63="","",IF(차량목록!$E7="",0,차량목록!$E7))</f>
        <v/>
      </c>
      <c r="I63" s="27" t="str">
        <f aca="false">IF(OR($A63="",$D63=0),"",IF($G63="",$H63+$D63,$G63+$D63))</f>
        <v/>
      </c>
      <c r="J63" s="24" t="str">
        <f aca="false">IF($I63="","",$I63-$H63)</f>
        <v/>
      </c>
      <c r="K63" s="26" t="str">
        <f aca="true">IF(OR($A63="",$E63=0),"",IF($F63="",EDATE(TODAY(),$E63),EDATE($F63,$E63)))</f>
        <v/>
      </c>
      <c r="L63" s="28" t="str">
        <f aca="true">IF($K63="","",$K63-TODAY())</f>
        <v/>
      </c>
      <c r="M63" s="28" t="str">
        <f aca="false">IF($A63="","",IF(AND($J63="",$L63=""),"-",IF(OR(AND($J63&lt;&gt;"",$J63&lt;=0),AND($L63&lt;&gt;"",$L63&lt;0)),"교체",IF(OR(AND($J63&lt;&gt;"",$J63&lt;=사용안내!$C$16),AND($L63&lt;&gt;"",$L63&lt;=사용안내!$C$17)),"임박","정상"))))</f>
        <v/>
      </c>
    </row>
    <row r="64" customFormat="false" ht="15" hidden="false" customHeight="true" outlineLevel="0" collapsed="false">
      <c r="A64" s="23" t="str">
        <f aca="false">IF(OR(차량목록!$A7="",정비항목!$A13="",차량목록!$G7="매각"),"",차량목록!$A7)</f>
        <v/>
      </c>
      <c r="B64" s="23" t="str">
        <f aca="false">IF($A64="","",차량목록!$B7)</f>
        <v/>
      </c>
      <c r="C64" s="23" t="str">
        <f aca="false">IF($A64="","",정비항목!$B13)</f>
        <v/>
      </c>
      <c r="D64" s="24" t="str">
        <f aca="false">IF($A64="","",IF(정비항목!$C13="",0,정비항목!$C13))</f>
        <v/>
      </c>
      <c r="E64" s="28" t="str">
        <f aca="false">IF($A64="","",IF(정비항목!$D13="",0,정비항목!$D13))</f>
        <v/>
      </c>
      <c r="F64" s="26" t="str">
        <f aca="false">IF($A64="","",IF(COUNTIFS(정비이력!$B$3:$B$1002,$A64,정비이력!$D$3:$D$1002,정비항목!$A13)=0,"",SUMPRODUCT(MAX((정비이력!$B$3:$B$1002=$A64)*(정비이력!$D$3:$D$1002=정비항목!$A13)*정비이력!$A$3:$A$1002))))</f>
        <v/>
      </c>
      <c r="G64" s="27" t="str">
        <f aca="false">IF($A64="","",IF($F64="","",SUMPRODUCT(MAX((정비이력!$B$3:$B$1002=$A64)*(정비이력!$D$3:$D$1002=정비항목!$A13)*정비이력!$F$3:$F$1002))))</f>
        <v/>
      </c>
      <c r="H64" s="27" t="str">
        <f aca="false">IF($A64="","",IF(차량목록!$E7="",0,차량목록!$E7))</f>
        <v/>
      </c>
      <c r="I64" s="27" t="str">
        <f aca="false">IF(OR($A64="",$D64=0),"",IF($G64="",$H64+$D64,$G64+$D64))</f>
        <v/>
      </c>
      <c r="J64" s="24" t="str">
        <f aca="false">IF($I64="","",$I64-$H64)</f>
        <v/>
      </c>
      <c r="K64" s="26" t="str">
        <f aca="true">IF(OR($A64="",$E64=0),"",IF($F64="",EDATE(TODAY(),$E64),EDATE($F64,$E64)))</f>
        <v/>
      </c>
      <c r="L64" s="28" t="str">
        <f aca="true">IF($K64="","",$K64-TODAY())</f>
        <v/>
      </c>
      <c r="M64" s="28" t="str">
        <f aca="false">IF($A64="","",IF(AND($J64="",$L64=""),"-",IF(OR(AND($J64&lt;&gt;"",$J64&lt;=0),AND($L64&lt;&gt;"",$L64&lt;0)),"교체",IF(OR(AND($J64&lt;&gt;"",$J64&lt;=사용안내!$C$16),AND($L64&lt;&gt;"",$L64&lt;=사용안내!$C$17)),"임박","정상"))))</f>
        <v/>
      </c>
    </row>
    <row r="65" customFormat="false" ht="15" hidden="false" customHeight="true" outlineLevel="0" collapsed="false">
      <c r="A65" s="23" t="str">
        <f aca="false">IF(OR(차량목록!$A7="",정비항목!$A14="",차량목록!$G7="매각"),"",차량목록!$A7)</f>
        <v/>
      </c>
      <c r="B65" s="23" t="str">
        <f aca="false">IF($A65="","",차량목록!$B7)</f>
        <v/>
      </c>
      <c r="C65" s="23" t="str">
        <f aca="false">IF($A65="","",정비항목!$B14)</f>
        <v/>
      </c>
      <c r="D65" s="24" t="str">
        <f aca="false">IF($A65="","",IF(정비항목!$C14="",0,정비항목!$C14))</f>
        <v/>
      </c>
      <c r="E65" s="28" t="str">
        <f aca="false">IF($A65="","",IF(정비항목!$D14="",0,정비항목!$D14))</f>
        <v/>
      </c>
      <c r="F65" s="26" t="str">
        <f aca="false">IF($A65="","",IF(COUNTIFS(정비이력!$B$3:$B$1002,$A65,정비이력!$D$3:$D$1002,정비항목!$A14)=0,"",SUMPRODUCT(MAX((정비이력!$B$3:$B$1002=$A65)*(정비이력!$D$3:$D$1002=정비항목!$A14)*정비이력!$A$3:$A$1002))))</f>
        <v/>
      </c>
      <c r="G65" s="27" t="str">
        <f aca="false">IF($A65="","",IF($F65="","",SUMPRODUCT(MAX((정비이력!$B$3:$B$1002=$A65)*(정비이력!$D$3:$D$1002=정비항목!$A14)*정비이력!$F$3:$F$1002))))</f>
        <v/>
      </c>
      <c r="H65" s="27" t="str">
        <f aca="false">IF($A65="","",IF(차량목록!$E7="",0,차량목록!$E7))</f>
        <v/>
      </c>
      <c r="I65" s="27" t="str">
        <f aca="false">IF(OR($A65="",$D65=0),"",IF($G65="",$H65+$D65,$G65+$D65))</f>
        <v/>
      </c>
      <c r="J65" s="24" t="str">
        <f aca="false">IF($I65="","",$I65-$H65)</f>
        <v/>
      </c>
      <c r="K65" s="26" t="str">
        <f aca="true">IF(OR($A65="",$E65=0),"",IF($F65="",EDATE(TODAY(),$E65),EDATE($F65,$E65)))</f>
        <v/>
      </c>
      <c r="L65" s="28" t="str">
        <f aca="true">IF($K65="","",$K65-TODAY())</f>
        <v/>
      </c>
      <c r="M65" s="28" t="str">
        <f aca="false">IF($A65="","",IF(AND($J65="",$L65=""),"-",IF(OR(AND($J65&lt;&gt;"",$J65&lt;=0),AND($L65&lt;&gt;"",$L65&lt;0)),"교체",IF(OR(AND($J65&lt;&gt;"",$J65&lt;=사용안내!$C$16),AND($L65&lt;&gt;"",$L65&lt;=사용안내!$C$17)),"임박","정상"))))</f>
        <v/>
      </c>
    </row>
    <row r="66" customFormat="false" ht="15" hidden="false" customHeight="true" outlineLevel="0" collapsed="false">
      <c r="A66" s="23" t="str">
        <f aca="false">IF(OR(차량목록!$A8="",정비항목!$A3="",차량목록!$G8="매각"),"",차량목록!$A8)</f>
        <v/>
      </c>
      <c r="B66" s="23" t="str">
        <f aca="false">IF($A66="","",차량목록!$B8)</f>
        <v/>
      </c>
      <c r="C66" s="23" t="str">
        <f aca="false">IF($A66="","",정비항목!$B3)</f>
        <v/>
      </c>
      <c r="D66" s="24" t="str">
        <f aca="false">IF($A66="","",IF(정비항목!$C3="",0,정비항목!$C3))</f>
        <v/>
      </c>
      <c r="E66" s="28" t="str">
        <f aca="false">IF($A66="","",IF(정비항목!$D3="",0,정비항목!$D3))</f>
        <v/>
      </c>
      <c r="F66" s="26" t="str">
        <f aca="false">IF($A66="","",IF(COUNTIFS(정비이력!$B$3:$B$1002,$A66,정비이력!$D$3:$D$1002,정비항목!$A3)=0,"",SUMPRODUCT(MAX((정비이력!$B$3:$B$1002=$A66)*(정비이력!$D$3:$D$1002=정비항목!$A3)*정비이력!$A$3:$A$1002))))</f>
        <v/>
      </c>
      <c r="G66" s="27" t="str">
        <f aca="false">IF($A66="","",IF($F66="","",SUMPRODUCT(MAX((정비이력!$B$3:$B$1002=$A66)*(정비이력!$D$3:$D$1002=정비항목!$A3)*정비이력!$F$3:$F$1002))))</f>
        <v/>
      </c>
      <c r="H66" s="27" t="str">
        <f aca="false">IF($A66="","",IF(차량목록!$E8="",0,차량목록!$E8))</f>
        <v/>
      </c>
      <c r="I66" s="27" t="str">
        <f aca="false">IF(OR($A66="",$D66=0),"",IF($G66="",$H66+$D66,$G66+$D66))</f>
        <v/>
      </c>
      <c r="J66" s="24" t="str">
        <f aca="false">IF($I66="","",$I66-$H66)</f>
        <v/>
      </c>
      <c r="K66" s="26" t="str">
        <f aca="true">IF(OR($A66="",$E66=0),"",IF($F66="",EDATE(TODAY(),$E66),EDATE($F66,$E66)))</f>
        <v/>
      </c>
      <c r="L66" s="28" t="str">
        <f aca="true">IF($K66="","",$K66-TODAY())</f>
        <v/>
      </c>
      <c r="M66" s="28" t="str">
        <f aca="false">IF($A66="","",IF(AND($J66="",$L66=""),"-",IF(OR(AND($J66&lt;&gt;"",$J66&lt;=0),AND($L66&lt;&gt;"",$L66&lt;0)),"교체",IF(OR(AND($J66&lt;&gt;"",$J66&lt;=사용안내!$C$16),AND($L66&lt;&gt;"",$L66&lt;=사용안내!$C$17)),"임박","정상"))))</f>
        <v/>
      </c>
    </row>
    <row r="67" customFormat="false" ht="15" hidden="false" customHeight="true" outlineLevel="0" collapsed="false">
      <c r="A67" s="23" t="str">
        <f aca="false">IF(OR(차량목록!$A8="",정비항목!$A4="",차량목록!$G8="매각"),"",차량목록!$A8)</f>
        <v/>
      </c>
      <c r="B67" s="23" t="str">
        <f aca="false">IF($A67="","",차량목록!$B8)</f>
        <v/>
      </c>
      <c r="C67" s="23" t="str">
        <f aca="false">IF($A67="","",정비항목!$B4)</f>
        <v/>
      </c>
      <c r="D67" s="24" t="str">
        <f aca="false">IF($A67="","",IF(정비항목!$C4="",0,정비항목!$C4))</f>
        <v/>
      </c>
      <c r="E67" s="28" t="str">
        <f aca="false">IF($A67="","",IF(정비항목!$D4="",0,정비항목!$D4))</f>
        <v/>
      </c>
      <c r="F67" s="26" t="str">
        <f aca="false">IF($A67="","",IF(COUNTIFS(정비이력!$B$3:$B$1002,$A67,정비이력!$D$3:$D$1002,정비항목!$A4)=0,"",SUMPRODUCT(MAX((정비이력!$B$3:$B$1002=$A67)*(정비이력!$D$3:$D$1002=정비항목!$A4)*정비이력!$A$3:$A$1002))))</f>
        <v/>
      </c>
      <c r="G67" s="27" t="str">
        <f aca="false">IF($A67="","",IF($F67="","",SUMPRODUCT(MAX((정비이력!$B$3:$B$1002=$A67)*(정비이력!$D$3:$D$1002=정비항목!$A4)*정비이력!$F$3:$F$1002))))</f>
        <v/>
      </c>
      <c r="H67" s="27" t="str">
        <f aca="false">IF($A67="","",IF(차량목록!$E8="",0,차량목록!$E8))</f>
        <v/>
      </c>
      <c r="I67" s="27" t="str">
        <f aca="false">IF(OR($A67="",$D67=0),"",IF($G67="",$H67+$D67,$G67+$D67))</f>
        <v/>
      </c>
      <c r="J67" s="24" t="str">
        <f aca="false">IF($I67="","",$I67-$H67)</f>
        <v/>
      </c>
      <c r="K67" s="26" t="str">
        <f aca="true">IF(OR($A67="",$E67=0),"",IF($F67="",EDATE(TODAY(),$E67),EDATE($F67,$E67)))</f>
        <v/>
      </c>
      <c r="L67" s="28" t="str">
        <f aca="true">IF($K67="","",$K67-TODAY())</f>
        <v/>
      </c>
      <c r="M67" s="28" t="str">
        <f aca="false">IF($A67="","",IF(AND($J67="",$L67=""),"-",IF(OR(AND($J67&lt;&gt;"",$J67&lt;=0),AND($L67&lt;&gt;"",$L67&lt;0)),"교체",IF(OR(AND($J67&lt;&gt;"",$J67&lt;=사용안내!$C$16),AND($L67&lt;&gt;"",$L67&lt;=사용안내!$C$17)),"임박","정상"))))</f>
        <v/>
      </c>
    </row>
    <row r="68" customFormat="false" ht="15" hidden="false" customHeight="true" outlineLevel="0" collapsed="false">
      <c r="A68" s="23" t="str">
        <f aca="false">IF(OR(차량목록!$A8="",정비항목!$A5="",차량목록!$G8="매각"),"",차량목록!$A8)</f>
        <v/>
      </c>
      <c r="B68" s="23" t="str">
        <f aca="false">IF($A68="","",차량목록!$B8)</f>
        <v/>
      </c>
      <c r="C68" s="23" t="str">
        <f aca="false">IF($A68="","",정비항목!$B5)</f>
        <v/>
      </c>
      <c r="D68" s="24" t="str">
        <f aca="false">IF($A68="","",IF(정비항목!$C5="",0,정비항목!$C5))</f>
        <v/>
      </c>
      <c r="E68" s="28" t="str">
        <f aca="false">IF($A68="","",IF(정비항목!$D5="",0,정비항목!$D5))</f>
        <v/>
      </c>
      <c r="F68" s="26" t="str">
        <f aca="false">IF($A68="","",IF(COUNTIFS(정비이력!$B$3:$B$1002,$A68,정비이력!$D$3:$D$1002,정비항목!$A5)=0,"",SUMPRODUCT(MAX((정비이력!$B$3:$B$1002=$A68)*(정비이력!$D$3:$D$1002=정비항목!$A5)*정비이력!$A$3:$A$1002))))</f>
        <v/>
      </c>
      <c r="G68" s="27" t="str">
        <f aca="false">IF($A68="","",IF($F68="","",SUMPRODUCT(MAX((정비이력!$B$3:$B$1002=$A68)*(정비이력!$D$3:$D$1002=정비항목!$A5)*정비이력!$F$3:$F$1002))))</f>
        <v/>
      </c>
      <c r="H68" s="27" t="str">
        <f aca="false">IF($A68="","",IF(차량목록!$E8="",0,차량목록!$E8))</f>
        <v/>
      </c>
      <c r="I68" s="27" t="str">
        <f aca="false">IF(OR($A68="",$D68=0),"",IF($G68="",$H68+$D68,$G68+$D68))</f>
        <v/>
      </c>
      <c r="J68" s="24" t="str">
        <f aca="false">IF($I68="","",$I68-$H68)</f>
        <v/>
      </c>
      <c r="K68" s="26" t="str">
        <f aca="true">IF(OR($A68="",$E68=0),"",IF($F68="",EDATE(TODAY(),$E68),EDATE($F68,$E68)))</f>
        <v/>
      </c>
      <c r="L68" s="28" t="str">
        <f aca="true">IF($K68="","",$K68-TODAY())</f>
        <v/>
      </c>
      <c r="M68" s="28" t="str">
        <f aca="false">IF($A68="","",IF(AND($J68="",$L68=""),"-",IF(OR(AND($J68&lt;&gt;"",$J68&lt;=0),AND($L68&lt;&gt;"",$L68&lt;0)),"교체",IF(OR(AND($J68&lt;&gt;"",$J68&lt;=사용안내!$C$16),AND($L68&lt;&gt;"",$L68&lt;=사용안내!$C$17)),"임박","정상"))))</f>
        <v/>
      </c>
    </row>
    <row r="69" customFormat="false" ht="15" hidden="false" customHeight="true" outlineLevel="0" collapsed="false">
      <c r="A69" s="23" t="str">
        <f aca="false">IF(OR(차량목록!$A8="",정비항목!$A6="",차량목록!$G8="매각"),"",차량목록!$A8)</f>
        <v/>
      </c>
      <c r="B69" s="23" t="str">
        <f aca="false">IF($A69="","",차량목록!$B8)</f>
        <v/>
      </c>
      <c r="C69" s="23" t="str">
        <f aca="false">IF($A69="","",정비항목!$B6)</f>
        <v/>
      </c>
      <c r="D69" s="24" t="str">
        <f aca="false">IF($A69="","",IF(정비항목!$C6="",0,정비항목!$C6))</f>
        <v/>
      </c>
      <c r="E69" s="28" t="str">
        <f aca="false">IF($A69="","",IF(정비항목!$D6="",0,정비항목!$D6))</f>
        <v/>
      </c>
      <c r="F69" s="26" t="str">
        <f aca="false">IF($A69="","",IF(COUNTIFS(정비이력!$B$3:$B$1002,$A69,정비이력!$D$3:$D$1002,정비항목!$A6)=0,"",SUMPRODUCT(MAX((정비이력!$B$3:$B$1002=$A69)*(정비이력!$D$3:$D$1002=정비항목!$A6)*정비이력!$A$3:$A$1002))))</f>
        <v/>
      </c>
      <c r="G69" s="27" t="str">
        <f aca="false">IF($A69="","",IF($F69="","",SUMPRODUCT(MAX((정비이력!$B$3:$B$1002=$A69)*(정비이력!$D$3:$D$1002=정비항목!$A6)*정비이력!$F$3:$F$1002))))</f>
        <v/>
      </c>
      <c r="H69" s="27" t="str">
        <f aca="false">IF($A69="","",IF(차량목록!$E8="",0,차량목록!$E8))</f>
        <v/>
      </c>
      <c r="I69" s="27" t="str">
        <f aca="false">IF(OR($A69="",$D69=0),"",IF($G69="",$H69+$D69,$G69+$D69))</f>
        <v/>
      </c>
      <c r="J69" s="24" t="str">
        <f aca="false">IF($I69="","",$I69-$H69)</f>
        <v/>
      </c>
      <c r="K69" s="26" t="str">
        <f aca="true">IF(OR($A69="",$E69=0),"",IF($F69="",EDATE(TODAY(),$E69),EDATE($F69,$E69)))</f>
        <v/>
      </c>
      <c r="L69" s="28" t="str">
        <f aca="true">IF($K69="","",$K69-TODAY())</f>
        <v/>
      </c>
      <c r="M69" s="28" t="str">
        <f aca="false">IF($A69="","",IF(AND($J69="",$L69=""),"-",IF(OR(AND($J69&lt;&gt;"",$J69&lt;=0),AND($L69&lt;&gt;"",$L69&lt;0)),"교체",IF(OR(AND($J69&lt;&gt;"",$J69&lt;=사용안내!$C$16),AND($L69&lt;&gt;"",$L69&lt;=사용안내!$C$17)),"임박","정상"))))</f>
        <v/>
      </c>
    </row>
    <row r="70" customFormat="false" ht="15" hidden="false" customHeight="true" outlineLevel="0" collapsed="false">
      <c r="A70" s="23" t="str">
        <f aca="false">IF(OR(차량목록!$A8="",정비항목!$A7="",차량목록!$G8="매각"),"",차량목록!$A8)</f>
        <v/>
      </c>
      <c r="B70" s="23" t="str">
        <f aca="false">IF($A70="","",차량목록!$B8)</f>
        <v/>
      </c>
      <c r="C70" s="23" t="str">
        <f aca="false">IF($A70="","",정비항목!$B7)</f>
        <v/>
      </c>
      <c r="D70" s="24" t="str">
        <f aca="false">IF($A70="","",IF(정비항목!$C7="",0,정비항목!$C7))</f>
        <v/>
      </c>
      <c r="E70" s="28" t="str">
        <f aca="false">IF($A70="","",IF(정비항목!$D7="",0,정비항목!$D7))</f>
        <v/>
      </c>
      <c r="F70" s="26" t="str">
        <f aca="false">IF($A70="","",IF(COUNTIFS(정비이력!$B$3:$B$1002,$A70,정비이력!$D$3:$D$1002,정비항목!$A7)=0,"",SUMPRODUCT(MAX((정비이력!$B$3:$B$1002=$A70)*(정비이력!$D$3:$D$1002=정비항목!$A7)*정비이력!$A$3:$A$1002))))</f>
        <v/>
      </c>
      <c r="G70" s="27" t="str">
        <f aca="false">IF($A70="","",IF($F70="","",SUMPRODUCT(MAX((정비이력!$B$3:$B$1002=$A70)*(정비이력!$D$3:$D$1002=정비항목!$A7)*정비이력!$F$3:$F$1002))))</f>
        <v/>
      </c>
      <c r="H70" s="27" t="str">
        <f aca="false">IF($A70="","",IF(차량목록!$E8="",0,차량목록!$E8))</f>
        <v/>
      </c>
      <c r="I70" s="27" t="str">
        <f aca="false">IF(OR($A70="",$D70=0),"",IF($G70="",$H70+$D70,$G70+$D70))</f>
        <v/>
      </c>
      <c r="J70" s="24" t="str">
        <f aca="false">IF($I70="","",$I70-$H70)</f>
        <v/>
      </c>
      <c r="K70" s="26" t="str">
        <f aca="true">IF(OR($A70="",$E70=0),"",IF($F70="",EDATE(TODAY(),$E70),EDATE($F70,$E70)))</f>
        <v/>
      </c>
      <c r="L70" s="28" t="str">
        <f aca="true">IF($K70="","",$K70-TODAY())</f>
        <v/>
      </c>
      <c r="M70" s="28" t="str">
        <f aca="false">IF($A70="","",IF(AND($J70="",$L70=""),"-",IF(OR(AND($J70&lt;&gt;"",$J70&lt;=0),AND($L70&lt;&gt;"",$L70&lt;0)),"교체",IF(OR(AND($J70&lt;&gt;"",$J70&lt;=사용안내!$C$16),AND($L70&lt;&gt;"",$L70&lt;=사용안내!$C$17)),"임박","정상"))))</f>
        <v/>
      </c>
    </row>
    <row r="71" customFormat="false" ht="15" hidden="false" customHeight="true" outlineLevel="0" collapsed="false">
      <c r="A71" s="23" t="str">
        <f aca="false">IF(OR(차량목록!$A8="",정비항목!$A8="",차량목록!$G8="매각"),"",차량목록!$A8)</f>
        <v/>
      </c>
      <c r="B71" s="23" t="str">
        <f aca="false">IF($A71="","",차량목록!$B8)</f>
        <v/>
      </c>
      <c r="C71" s="23" t="str">
        <f aca="false">IF($A71="","",정비항목!$B8)</f>
        <v/>
      </c>
      <c r="D71" s="24" t="str">
        <f aca="false">IF($A71="","",IF(정비항목!$C8="",0,정비항목!$C8))</f>
        <v/>
      </c>
      <c r="E71" s="28" t="str">
        <f aca="false">IF($A71="","",IF(정비항목!$D8="",0,정비항목!$D8))</f>
        <v/>
      </c>
      <c r="F71" s="26" t="str">
        <f aca="false">IF($A71="","",IF(COUNTIFS(정비이력!$B$3:$B$1002,$A71,정비이력!$D$3:$D$1002,정비항목!$A8)=0,"",SUMPRODUCT(MAX((정비이력!$B$3:$B$1002=$A71)*(정비이력!$D$3:$D$1002=정비항목!$A8)*정비이력!$A$3:$A$1002))))</f>
        <v/>
      </c>
      <c r="G71" s="27" t="str">
        <f aca="false">IF($A71="","",IF($F71="","",SUMPRODUCT(MAX((정비이력!$B$3:$B$1002=$A71)*(정비이력!$D$3:$D$1002=정비항목!$A8)*정비이력!$F$3:$F$1002))))</f>
        <v/>
      </c>
      <c r="H71" s="27" t="str">
        <f aca="false">IF($A71="","",IF(차량목록!$E8="",0,차량목록!$E8))</f>
        <v/>
      </c>
      <c r="I71" s="27" t="str">
        <f aca="false">IF(OR($A71="",$D71=0),"",IF($G71="",$H71+$D71,$G71+$D71))</f>
        <v/>
      </c>
      <c r="J71" s="24" t="str">
        <f aca="false">IF($I71="","",$I71-$H71)</f>
        <v/>
      </c>
      <c r="K71" s="26" t="str">
        <f aca="true">IF(OR($A71="",$E71=0),"",IF($F71="",EDATE(TODAY(),$E71),EDATE($F71,$E71)))</f>
        <v/>
      </c>
      <c r="L71" s="28" t="str">
        <f aca="true">IF($K71="","",$K71-TODAY())</f>
        <v/>
      </c>
      <c r="M71" s="28" t="str">
        <f aca="false">IF($A71="","",IF(AND($J71="",$L71=""),"-",IF(OR(AND($J71&lt;&gt;"",$J71&lt;=0),AND($L71&lt;&gt;"",$L71&lt;0)),"교체",IF(OR(AND($J71&lt;&gt;"",$J71&lt;=사용안내!$C$16),AND($L71&lt;&gt;"",$L71&lt;=사용안내!$C$17)),"임박","정상"))))</f>
        <v/>
      </c>
    </row>
    <row r="72" customFormat="false" ht="15" hidden="false" customHeight="true" outlineLevel="0" collapsed="false">
      <c r="A72" s="23" t="str">
        <f aca="false">IF(OR(차량목록!$A8="",정비항목!$A9="",차량목록!$G8="매각"),"",차량목록!$A8)</f>
        <v/>
      </c>
      <c r="B72" s="23" t="str">
        <f aca="false">IF($A72="","",차량목록!$B8)</f>
        <v/>
      </c>
      <c r="C72" s="23" t="str">
        <f aca="false">IF($A72="","",정비항목!$B9)</f>
        <v/>
      </c>
      <c r="D72" s="24" t="str">
        <f aca="false">IF($A72="","",IF(정비항목!$C9="",0,정비항목!$C9))</f>
        <v/>
      </c>
      <c r="E72" s="28" t="str">
        <f aca="false">IF($A72="","",IF(정비항목!$D9="",0,정비항목!$D9))</f>
        <v/>
      </c>
      <c r="F72" s="26" t="str">
        <f aca="false">IF($A72="","",IF(COUNTIFS(정비이력!$B$3:$B$1002,$A72,정비이력!$D$3:$D$1002,정비항목!$A9)=0,"",SUMPRODUCT(MAX((정비이력!$B$3:$B$1002=$A72)*(정비이력!$D$3:$D$1002=정비항목!$A9)*정비이력!$A$3:$A$1002))))</f>
        <v/>
      </c>
      <c r="G72" s="27" t="str">
        <f aca="false">IF($A72="","",IF($F72="","",SUMPRODUCT(MAX((정비이력!$B$3:$B$1002=$A72)*(정비이력!$D$3:$D$1002=정비항목!$A9)*정비이력!$F$3:$F$1002))))</f>
        <v/>
      </c>
      <c r="H72" s="27" t="str">
        <f aca="false">IF($A72="","",IF(차량목록!$E8="",0,차량목록!$E8))</f>
        <v/>
      </c>
      <c r="I72" s="27" t="str">
        <f aca="false">IF(OR($A72="",$D72=0),"",IF($G72="",$H72+$D72,$G72+$D72))</f>
        <v/>
      </c>
      <c r="J72" s="24" t="str">
        <f aca="false">IF($I72="","",$I72-$H72)</f>
        <v/>
      </c>
      <c r="K72" s="26" t="str">
        <f aca="true">IF(OR($A72="",$E72=0),"",IF($F72="",EDATE(TODAY(),$E72),EDATE($F72,$E72)))</f>
        <v/>
      </c>
      <c r="L72" s="28" t="str">
        <f aca="true">IF($K72="","",$K72-TODAY())</f>
        <v/>
      </c>
      <c r="M72" s="28" t="str">
        <f aca="false">IF($A72="","",IF(AND($J72="",$L72=""),"-",IF(OR(AND($J72&lt;&gt;"",$J72&lt;=0),AND($L72&lt;&gt;"",$L72&lt;0)),"교체",IF(OR(AND($J72&lt;&gt;"",$J72&lt;=사용안내!$C$16),AND($L72&lt;&gt;"",$L72&lt;=사용안내!$C$17)),"임박","정상"))))</f>
        <v/>
      </c>
    </row>
    <row r="73" customFormat="false" ht="15" hidden="false" customHeight="true" outlineLevel="0" collapsed="false">
      <c r="A73" s="23" t="str">
        <f aca="false">IF(OR(차량목록!$A8="",정비항목!$A10="",차량목록!$G8="매각"),"",차량목록!$A8)</f>
        <v/>
      </c>
      <c r="B73" s="23" t="str">
        <f aca="false">IF($A73="","",차량목록!$B8)</f>
        <v/>
      </c>
      <c r="C73" s="23" t="str">
        <f aca="false">IF($A73="","",정비항목!$B10)</f>
        <v/>
      </c>
      <c r="D73" s="24" t="str">
        <f aca="false">IF($A73="","",IF(정비항목!$C10="",0,정비항목!$C10))</f>
        <v/>
      </c>
      <c r="E73" s="28" t="str">
        <f aca="false">IF($A73="","",IF(정비항목!$D10="",0,정비항목!$D10))</f>
        <v/>
      </c>
      <c r="F73" s="26" t="str">
        <f aca="false">IF($A73="","",IF(COUNTIFS(정비이력!$B$3:$B$1002,$A73,정비이력!$D$3:$D$1002,정비항목!$A10)=0,"",SUMPRODUCT(MAX((정비이력!$B$3:$B$1002=$A73)*(정비이력!$D$3:$D$1002=정비항목!$A10)*정비이력!$A$3:$A$1002))))</f>
        <v/>
      </c>
      <c r="G73" s="27" t="str">
        <f aca="false">IF($A73="","",IF($F73="","",SUMPRODUCT(MAX((정비이력!$B$3:$B$1002=$A73)*(정비이력!$D$3:$D$1002=정비항목!$A10)*정비이력!$F$3:$F$1002))))</f>
        <v/>
      </c>
      <c r="H73" s="27" t="str">
        <f aca="false">IF($A73="","",IF(차량목록!$E8="",0,차량목록!$E8))</f>
        <v/>
      </c>
      <c r="I73" s="27" t="str">
        <f aca="false">IF(OR($A73="",$D73=0),"",IF($G73="",$H73+$D73,$G73+$D73))</f>
        <v/>
      </c>
      <c r="J73" s="24" t="str">
        <f aca="false">IF($I73="","",$I73-$H73)</f>
        <v/>
      </c>
      <c r="K73" s="26" t="str">
        <f aca="true">IF(OR($A73="",$E73=0),"",IF($F73="",EDATE(TODAY(),$E73),EDATE($F73,$E73)))</f>
        <v/>
      </c>
      <c r="L73" s="28" t="str">
        <f aca="true">IF($K73="","",$K73-TODAY())</f>
        <v/>
      </c>
      <c r="M73" s="28" t="str">
        <f aca="false">IF($A73="","",IF(AND($J73="",$L73=""),"-",IF(OR(AND($J73&lt;&gt;"",$J73&lt;=0),AND($L73&lt;&gt;"",$L73&lt;0)),"교체",IF(OR(AND($J73&lt;&gt;"",$J73&lt;=사용안내!$C$16),AND($L73&lt;&gt;"",$L73&lt;=사용안내!$C$17)),"임박","정상"))))</f>
        <v/>
      </c>
    </row>
    <row r="74" customFormat="false" ht="15" hidden="false" customHeight="true" outlineLevel="0" collapsed="false">
      <c r="A74" s="23" t="str">
        <f aca="false">IF(OR(차량목록!$A8="",정비항목!$A11="",차량목록!$G8="매각"),"",차량목록!$A8)</f>
        <v/>
      </c>
      <c r="B74" s="23" t="str">
        <f aca="false">IF($A74="","",차량목록!$B8)</f>
        <v/>
      </c>
      <c r="C74" s="23" t="str">
        <f aca="false">IF($A74="","",정비항목!$B11)</f>
        <v/>
      </c>
      <c r="D74" s="24" t="str">
        <f aca="false">IF($A74="","",IF(정비항목!$C11="",0,정비항목!$C11))</f>
        <v/>
      </c>
      <c r="E74" s="28" t="str">
        <f aca="false">IF($A74="","",IF(정비항목!$D11="",0,정비항목!$D11))</f>
        <v/>
      </c>
      <c r="F74" s="26" t="str">
        <f aca="false">IF($A74="","",IF(COUNTIFS(정비이력!$B$3:$B$1002,$A74,정비이력!$D$3:$D$1002,정비항목!$A11)=0,"",SUMPRODUCT(MAX((정비이력!$B$3:$B$1002=$A74)*(정비이력!$D$3:$D$1002=정비항목!$A11)*정비이력!$A$3:$A$1002))))</f>
        <v/>
      </c>
      <c r="G74" s="27" t="str">
        <f aca="false">IF($A74="","",IF($F74="","",SUMPRODUCT(MAX((정비이력!$B$3:$B$1002=$A74)*(정비이력!$D$3:$D$1002=정비항목!$A11)*정비이력!$F$3:$F$1002))))</f>
        <v/>
      </c>
      <c r="H74" s="27" t="str">
        <f aca="false">IF($A74="","",IF(차량목록!$E8="",0,차량목록!$E8))</f>
        <v/>
      </c>
      <c r="I74" s="27" t="str">
        <f aca="false">IF(OR($A74="",$D74=0),"",IF($G74="",$H74+$D74,$G74+$D74))</f>
        <v/>
      </c>
      <c r="J74" s="24" t="str">
        <f aca="false">IF($I74="","",$I74-$H74)</f>
        <v/>
      </c>
      <c r="K74" s="26" t="str">
        <f aca="true">IF(OR($A74="",$E74=0),"",IF($F74="",EDATE(TODAY(),$E74),EDATE($F74,$E74)))</f>
        <v/>
      </c>
      <c r="L74" s="28" t="str">
        <f aca="true">IF($K74="","",$K74-TODAY())</f>
        <v/>
      </c>
      <c r="M74" s="28" t="str">
        <f aca="false">IF($A74="","",IF(AND($J74="",$L74=""),"-",IF(OR(AND($J74&lt;&gt;"",$J74&lt;=0),AND($L74&lt;&gt;"",$L74&lt;0)),"교체",IF(OR(AND($J74&lt;&gt;"",$J74&lt;=사용안내!$C$16),AND($L74&lt;&gt;"",$L74&lt;=사용안내!$C$17)),"임박","정상"))))</f>
        <v/>
      </c>
    </row>
    <row r="75" customFormat="false" ht="15" hidden="false" customHeight="true" outlineLevel="0" collapsed="false">
      <c r="A75" s="23" t="str">
        <f aca="false">IF(OR(차량목록!$A8="",정비항목!$A12="",차량목록!$G8="매각"),"",차량목록!$A8)</f>
        <v/>
      </c>
      <c r="B75" s="23" t="str">
        <f aca="false">IF($A75="","",차량목록!$B8)</f>
        <v/>
      </c>
      <c r="C75" s="23" t="str">
        <f aca="false">IF($A75="","",정비항목!$B12)</f>
        <v/>
      </c>
      <c r="D75" s="24" t="str">
        <f aca="false">IF($A75="","",IF(정비항목!$C12="",0,정비항목!$C12))</f>
        <v/>
      </c>
      <c r="E75" s="28" t="str">
        <f aca="false">IF($A75="","",IF(정비항목!$D12="",0,정비항목!$D12))</f>
        <v/>
      </c>
      <c r="F75" s="26" t="str">
        <f aca="false">IF($A75="","",IF(COUNTIFS(정비이력!$B$3:$B$1002,$A75,정비이력!$D$3:$D$1002,정비항목!$A12)=0,"",SUMPRODUCT(MAX((정비이력!$B$3:$B$1002=$A75)*(정비이력!$D$3:$D$1002=정비항목!$A12)*정비이력!$A$3:$A$1002))))</f>
        <v/>
      </c>
      <c r="G75" s="27" t="str">
        <f aca="false">IF($A75="","",IF($F75="","",SUMPRODUCT(MAX((정비이력!$B$3:$B$1002=$A75)*(정비이력!$D$3:$D$1002=정비항목!$A12)*정비이력!$F$3:$F$1002))))</f>
        <v/>
      </c>
      <c r="H75" s="27" t="str">
        <f aca="false">IF($A75="","",IF(차량목록!$E8="",0,차량목록!$E8))</f>
        <v/>
      </c>
      <c r="I75" s="27" t="str">
        <f aca="false">IF(OR($A75="",$D75=0),"",IF($G75="",$H75+$D75,$G75+$D75))</f>
        <v/>
      </c>
      <c r="J75" s="24" t="str">
        <f aca="false">IF($I75="","",$I75-$H75)</f>
        <v/>
      </c>
      <c r="K75" s="26" t="str">
        <f aca="true">IF(OR($A75="",$E75=0),"",IF($F75="",EDATE(TODAY(),$E75),EDATE($F75,$E75)))</f>
        <v/>
      </c>
      <c r="L75" s="28" t="str">
        <f aca="true">IF($K75="","",$K75-TODAY())</f>
        <v/>
      </c>
      <c r="M75" s="28" t="str">
        <f aca="false">IF($A75="","",IF(AND($J75="",$L75=""),"-",IF(OR(AND($J75&lt;&gt;"",$J75&lt;=0),AND($L75&lt;&gt;"",$L75&lt;0)),"교체",IF(OR(AND($J75&lt;&gt;"",$J75&lt;=사용안내!$C$16),AND($L75&lt;&gt;"",$L75&lt;=사용안내!$C$17)),"임박","정상"))))</f>
        <v/>
      </c>
    </row>
    <row r="76" customFormat="false" ht="15" hidden="false" customHeight="true" outlineLevel="0" collapsed="false">
      <c r="A76" s="23" t="str">
        <f aca="false">IF(OR(차량목록!$A8="",정비항목!$A13="",차량목록!$G8="매각"),"",차량목록!$A8)</f>
        <v/>
      </c>
      <c r="B76" s="23" t="str">
        <f aca="false">IF($A76="","",차량목록!$B8)</f>
        <v/>
      </c>
      <c r="C76" s="23" t="str">
        <f aca="false">IF($A76="","",정비항목!$B13)</f>
        <v/>
      </c>
      <c r="D76" s="24" t="str">
        <f aca="false">IF($A76="","",IF(정비항목!$C13="",0,정비항목!$C13))</f>
        <v/>
      </c>
      <c r="E76" s="28" t="str">
        <f aca="false">IF($A76="","",IF(정비항목!$D13="",0,정비항목!$D13))</f>
        <v/>
      </c>
      <c r="F76" s="26" t="str">
        <f aca="false">IF($A76="","",IF(COUNTIFS(정비이력!$B$3:$B$1002,$A76,정비이력!$D$3:$D$1002,정비항목!$A13)=0,"",SUMPRODUCT(MAX((정비이력!$B$3:$B$1002=$A76)*(정비이력!$D$3:$D$1002=정비항목!$A13)*정비이력!$A$3:$A$1002))))</f>
        <v/>
      </c>
      <c r="G76" s="27" t="str">
        <f aca="false">IF($A76="","",IF($F76="","",SUMPRODUCT(MAX((정비이력!$B$3:$B$1002=$A76)*(정비이력!$D$3:$D$1002=정비항목!$A13)*정비이력!$F$3:$F$1002))))</f>
        <v/>
      </c>
      <c r="H76" s="27" t="str">
        <f aca="false">IF($A76="","",IF(차량목록!$E8="",0,차량목록!$E8))</f>
        <v/>
      </c>
      <c r="I76" s="27" t="str">
        <f aca="false">IF(OR($A76="",$D76=0),"",IF($G76="",$H76+$D76,$G76+$D76))</f>
        <v/>
      </c>
      <c r="J76" s="24" t="str">
        <f aca="false">IF($I76="","",$I76-$H76)</f>
        <v/>
      </c>
      <c r="K76" s="26" t="str">
        <f aca="true">IF(OR($A76="",$E76=0),"",IF($F76="",EDATE(TODAY(),$E76),EDATE($F76,$E76)))</f>
        <v/>
      </c>
      <c r="L76" s="28" t="str">
        <f aca="true">IF($K76="","",$K76-TODAY())</f>
        <v/>
      </c>
      <c r="M76" s="28" t="str">
        <f aca="false">IF($A76="","",IF(AND($J76="",$L76=""),"-",IF(OR(AND($J76&lt;&gt;"",$J76&lt;=0),AND($L76&lt;&gt;"",$L76&lt;0)),"교체",IF(OR(AND($J76&lt;&gt;"",$J76&lt;=사용안내!$C$16),AND($L76&lt;&gt;"",$L76&lt;=사용안내!$C$17)),"임박","정상"))))</f>
        <v/>
      </c>
    </row>
    <row r="77" customFormat="false" ht="15" hidden="false" customHeight="true" outlineLevel="0" collapsed="false">
      <c r="A77" s="23" t="str">
        <f aca="false">IF(OR(차량목록!$A8="",정비항목!$A14="",차량목록!$G8="매각"),"",차량목록!$A8)</f>
        <v/>
      </c>
      <c r="B77" s="23" t="str">
        <f aca="false">IF($A77="","",차량목록!$B8)</f>
        <v/>
      </c>
      <c r="C77" s="23" t="str">
        <f aca="false">IF($A77="","",정비항목!$B14)</f>
        <v/>
      </c>
      <c r="D77" s="24" t="str">
        <f aca="false">IF($A77="","",IF(정비항목!$C14="",0,정비항목!$C14))</f>
        <v/>
      </c>
      <c r="E77" s="28" t="str">
        <f aca="false">IF($A77="","",IF(정비항목!$D14="",0,정비항목!$D14))</f>
        <v/>
      </c>
      <c r="F77" s="26" t="str">
        <f aca="false">IF($A77="","",IF(COUNTIFS(정비이력!$B$3:$B$1002,$A77,정비이력!$D$3:$D$1002,정비항목!$A14)=0,"",SUMPRODUCT(MAX((정비이력!$B$3:$B$1002=$A77)*(정비이력!$D$3:$D$1002=정비항목!$A14)*정비이력!$A$3:$A$1002))))</f>
        <v/>
      </c>
      <c r="G77" s="27" t="str">
        <f aca="false">IF($A77="","",IF($F77="","",SUMPRODUCT(MAX((정비이력!$B$3:$B$1002=$A77)*(정비이력!$D$3:$D$1002=정비항목!$A14)*정비이력!$F$3:$F$1002))))</f>
        <v/>
      </c>
      <c r="H77" s="27" t="str">
        <f aca="false">IF($A77="","",IF(차량목록!$E8="",0,차량목록!$E8))</f>
        <v/>
      </c>
      <c r="I77" s="27" t="str">
        <f aca="false">IF(OR($A77="",$D77=0),"",IF($G77="",$H77+$D77,$G77+$D77))</f>
        <v/>
      </c>
      <c r="J77" s="24" t="str">
        <f aca="false">IF($I77="","",$I77-$H77)</f>
        <v/>
      </c>
      <c r="K77" s="26" t="str">
        <f aca="true">IF(OR($A77="",$E77=0),"",IF($F77="",EDATE(TODAY(),$E77),EDATE($F77,$E77)))</f>
        <v/>
      </c>
      <c r="L77" s="28" t="str">
        <f aca="true">IF($K77="","",$K77-TODAY())</f>
        <v/>
      </c>
      <c r="M77" s="28" t="str">
        <f aca="false">IF($A77="","",IF(AND($J77="",$L77=""),"-",IF(OR(AND($J77&lt;&gt;"",$J77&lt;=0),AND($L77&lt;&gt;"",$L77&lt;0)),"교체",IF(OR(AND($J77&lt;&gt;"",$J77&lt;=사용안내!$C$16),AND($L77&lt;&gt;"",$L77&lt;=사용안내!$C$17)),"임박","정상"))))</f>
        <v/>
      </c>
    </row>
    <row r="78" customFormat="false" ht="15" hidden="false" customHeight="true" outlineLevel="0" collapsed="false">
      <c r="A78" s="23" t="str">
        <f aca="false">IF(OR(차량목록!$A9="",정비항목!$A3="",차량목록!$G9="매각"),"",차량목록!$A9)</f>
        <v/>
      </c>
      <c r="B78" s="23" t="str">
        <f aca="false">IF($A78="","",차량목록!$B9)</f>
        <v/>
      </c>
      <c r="C78" s="23" t="str">
        <f aca="false">IF($A78="","",정비항목!$B3)</f>
        <v/>
      </c>
      <c r="D78" s="24" t="str">
        <f aca="false">IF($A78="","",IF(정비항목!$C3="",0,정비항목!$C3))</f>
        <v/>
      </c>
      <c r="E78" s="28" t="str">
        <f aca="false">IF($A78="","",IF(정비항목!$D3="",0,정비항목!$D3))</f>
        <v/>
      </c>
      <c r="F78" s="26" t="str">
        <f aca="false">IF($A78="","",IF(COUNTIFS(정비이력!$B$3:$B$1002,$A78,정비이력!$D$3:$D$1002,정비항목!$A3)=0,"",SUMPRODUCT(MAX((정비이력!$B$3:$B$1002=$A78)*(정비이력!$D$3:$D$1002=정비항목!$A3)*정비이력!$A$3:$A$1002))))</f>
        <v/>
      </c>
      <c r="G78" s="27" t="str">
        <f aca="false">IF($A78="","",IF($F78="","",SUMPRODUCT(MAX((정비이력!$B$3:$B$1002=$A78)*(정비이력!$D$3:$D$1002=정비항목!$A3)*정비이력!$F$3:$F$1002))))</f>
        <v/>
      </c>
      <c r="H78" s="27" t="str">
        <f aca="false">IF($A78="","",IF(차량목록!$E9="",0,차량목록!$E9))</f>
        <v/>
      </c>
      <c r="I78" s="27" t="str">
        <f aca="false">IF(OR($A78="",$D78=0),"",IF($G78="",$H78+$D78,$G78+$D78))</f>
        <v/>
      </c>
      <c r="J78" s="24" t="str">
        <f aca="false">IF($I78="","",$I78-$H78)</f>
        <v/>
      </c>
      <c r="K78" s="26" t="str">
        <f aca="true">IF(OR($A78="",$E78=0),"",IF($F78="",EDATE(TODAY(),$E78),EDATE($F78,$E78)))</f>
        <v/>
      </c>
      <c r="L78" s="28" t="str">
        <f aca="true">IF($K78="","",$K78-TODAY())</f>
        <v/>
      </c>
      <c r="M78" s="28" t="str">
        <f aca="false">IF($A78="","",IF(AND($J78="",$L78=""),"-",IF(OR(AND($J78&lt;&gt;"",$J78&lt;=0),AND($L78&lt;&gt;"",$L78&lt;0)),"교체",IF(OR(AND($J78&lt;&gt;"",$J78&lt;=사용안내!$C$16),AND($L78&lt;&gt;"",$L78&lt;=사용안내!$C$17)),"임박","정상"))))</f>
        <v/>
      </c>
    </row>
    <row r="79" customFormat="false" ht="15" hidden="false" customHeight="true" outlineLevel="0" collapsed="false">
      <c r="A79" s="23" t="str">
        <f aca="false">IF(OR(차량목록!$A9="",정비항목!$A4="",차량목록!$G9="매각"),"",차량목록!$A9)</f>
        <v/>
      </c>
      <c r="B79" s="23" t="str">
        <f aca="false">IF($A79="","",차량목록!$B9)</f>
        <v/>
      </c>
      <c r="C79" s="23" t="str">
        <f aca="false">IF($A79="","",정비항목!$B4)</f>
        <v/>
      </c>
      <c r="D79" s="24" t="str">
        <f aca="false">IF($A79="","",IF(정비항목!$C4="",0,정비항목!$C4))</f>
        <v/>
      </c>
      <c r="E79" s="28" t="str">
        <f aca="false">IF($A79="","",IF(정비항목!$D4="",0,정비항목!$D4))</f>
        <v/>
      </c>
      <c r="F79" s="26" t="str">
        <f aca="false">IF($A79="","",IF(COUNTIFS(정비이력!$B$3:$B$1002,$A79,정비이력!$D$3:$D$1002,정비항목!$A4)=0,"",SUMPRODUCT(MAX((정비이력!$B$3:$B$1002=$A79)*(정비이력!$D$3:$D$1002=정비항목!$A4)*정비이력!$A$3:$A$1002))))</f>
        <v/>
      </c>
      <c r="G79" s="27" t="str">
        <f aca="false">IF($A79="","",IF($F79="","",SUMPRODUCT(MAX((정비이력!$B$3:$B$1002=$A79)*(정비이력!$D$3:$D$1002=정비항목!$A4)*정비이력!$F$3:$F$1002))))</f>
        <v/>
      </c>
      <c r="H79" s="27" t="str">
        <f aca="false">IF($A79="","",IF(차량목록!$E9="",0,차량목록!$E9))</f>
        <v/>
      </c>
      <c r="I79" s="27" t="str">
        <f aca="false">IF(OR($A79="",$D79=0),"",IF($G79="",$H79+$D79,$G79+$D79))</f>
        <v/>
      </c>
      <c r="J79" s="24" t="str">
        <f aca="false">IF($I79="","",$I79-$H79)</f>
        <v/>
      </c>
      <c r="K79" s="26" t="str">
        <f aca="true">IF(OR($A79="",$E79=0),"",IF($F79="",EDATE(TODAY(),$E79),EDATE($F79,$E79)))</f>
        <v/>
      </c>
      <c r="L79" s="28" t="str">
        <f aca="true">IF($K79="","",$K79-TODAY())</f>
        <v/>
      </c>
      <c r="M79" s="28" t="str">
        <f aca="false">IF($A79="","",IF(AND($J79="",$L79=""),"-",IF(OR(AND($J79&lt;&gt;"",$J79&lt;=0),AND($L79&lt;&gt;"",$L79&lt;0)),"교체",IF(OR(AND($J79&lt;&gt;"",$J79&lt;=사용안내!$C$16),AND($L79&lt;&gt;"",$L79&lt;=사용안내!$C$17)),"임박","정상"))))</f>
        <v/>
      </c>
    </row>
    <row r="80" customFormat="false" ht="15" hidden="false" customHeight="true" outlineLevel="0" collapsed="false">
      <c r="A80" s="23" t="str">
        <f aca="false">IF(OR(차량목록!$A9="",정비항목!$A5="",차량목록!$G9="매각"),"",차량목록!$A9)</f>
        <v/>
      </c>
      <c r="B80" s="23" t="str">
        <f aca="false">IF($A80="","",차량목록!$B9)</f>
        <v/>
      </c>
      <c r="C80" s="23" t="str">
        <f aca="false">IF($A80="","",정비항목!$B5)</f>
        <v/>
      </c>
      <c r="D80" s="24" t="str">
        <f aca="false">IF($A80="","",IF(정비항목!$C5="",0,정비항목!$C5))</f>
        <v/>
      </c>
      <c r="E80" s="28" t="str">
        <f aca="false">IF($A80="","",IF(정비항목!$D5="",0,정비항목!$D5))</f>
        <v/>
      </c>
      <c r="F80" s="26" t="str">
        <f aca="false">IF($A80="","",IF(COUNTIFS(정비이력!$B$3:$B$1002,$A80,정비이력!$D$3:$D$1002,정비항목!$A5)=0,"",SUMPRODUCT(MAX((정비이력!$B$3:$B$1002=$A80)*(정비이력!$D$3:$D$1002=정비항목!$A5)*정비이력!$A$3:$A$1002))))</f>
        <v/>
      </c>
      <c r="G80" s="27" t="str">
        <f aca="false">IF($A80="","",IF($F80="","",SUMPRODUCT(MAX((정비이력!$B$3:$B$1002=$A80)*(정비이력!$D$3:$D$1002=정비항목!$A5)*정비이력!$F$3:$F$1002))))</f>
        <v/>
      </c>
      <c r="H80" s="27" t="str">
        <f aca="false">IF($A80="","",IF(차량목록!$E9="",0,차량목록!$E9))</f>
        <v/>
      </c>
      <c r="I80" s="27" t="str">
        <f aca="false">IF(OR($A80="",$D80=0),"",IF($G80="",$H80+$D80,$G80+$D80))</f>
        <v/>
      </c>
      <c r="J80" s="24" t="str">
        <f aca="false">IF($I80="","",$I80-$H80)</f>
        <v/>
      </c>
      <c r="K80" s="26" t="str">
        <f aca="true">IF(OR($A80="",$E80=0),"",IF($F80="",EDATE(TODAY(),$E80),EDATE($F80,$E80)))</f>
        <v/>
      </c>
      <c r="L80" s="28" t="str">
        <f aca="true">IF($K80="","",$K80-TODAY())</f>
        <v/>
      </c>
      <c r="M80" s="28" t="str">
        <f aca="false">IF($A80="","",IF(AND($J80="",$L80=""),"-",IF(OR(AND($J80&lt;&gt;"",$J80&lt;=0),AND($L80&lt;&gt;"",$L80&lt;0)),"교체",IF(OR(AND($J80&lt;&gt;"",$J80&lt;=사용안내!$C$16),AND($L80&lt;&gt;"",$L80&lt;=사용안내!$C$17)),"임박","정상"))))</f>
        <v/>
      </c>
    </row>
    <row r="81" customFormat="false" ht="15" hidden="false" customHeight="true" outlineLevel="0" collapsed="false">
      <c r="A81" s="23" t="str">
        <f aca="false">IF(OR(차량목록!$A9="",정비항목!$A6="",차량목록!$G9="매각"),"",차량목록!$A9)</f>
        <v/>
      </c>
      <c r="B81" s="23" t="str">
        <f aca="false">IF($A81="","",차량목록!$B9)</f>
        <v/>
      </c>
      <c r="C81" s="23" t="str">
        <f aca="false">IF($A81="","",정비항목!$B6)</f>
        <v/>
      </c>
      <c r="D81" s="24" t="str">
        <f aca="false">IF($A81="","",IF(정비항목!$C6="",0,정비항목!$C6))</f>
        <v/>
      </c>
      <c r="E81" s="28" t="str">
        <f aca="false">IF($A81="","",IF(정비항목!$D6="",0,정비항목!$D6))</f>
        <v/>
      </c>
      <c r="F81" s="26" t="str">
        <f aca="false">IF($A81="","",IF(COUNTIFS(정비이력!$B$3:$B$1002,$A81,정비이력!$D$3:$D$1002,정비항목!$A6)=0,"",SUMPRODUCT(MAX((정비이력!$B$3:$B$1002=$A81)*(정비이력!$D$3:$D$1002=정비항목!$A6)*정비이력!$A$3:$A$1002))))</f>
        <v/>
      </c>
      <c r="G81" s="27" t="str">
        <f aca="false">IF($A81="","",IF($F81="","",SUMPRODUCT(MAX((정비이력!$B$3:$B$1002=$A81)*(정비이력!$D$3:$D$1002=정비항목!$A6)*정비이력!$F$3:$F$1002))))</f>
        <v/>
      </c>
      <c r="H81" s="27" t="str">
        <f aca="false">IF($A81="","",IF(차량목록!$E9="",0,차량목록!$E9))</f>
        <v/>
      </c>
      <c r="I81" s="27" t="str">
        <f aca="false">IF(OR($A81="",$D81=0),"",IF($G81="",$H81+$D81,$G81+$D81))</f>
        <v/>
      </c>
      <c r="J81" s="24" t="str">
        <f aca="false">IF($I81="","",$I81-$H81)</f>
        <v/>
      </c>
      <c r="K81" s="26" t="str">
        <f aca="true">IF(OR($A81="",$E81=0),"",IF($F81="",EDATE(TODAY(),$E81),EDATE($F81,$E81)))</f>
        <v/>
      </c>
      <c r="L81" s="28" t="str">
        <f aca="true">IF($K81="","",$K81-TODAY())</f>
        <v/>
      </c>
      <c r="M81" s="28" t="str">
        <f aca="false">IF($A81="","",IF(AND($J81="",$L81=""),"-",IF(OR(AND($J81&lt;&gt;"",$J81&lt;=0),AND($L81&lt;&gt;"",$L81&lt;0)),"교체",IF(OR(AND($J81&lt;&gt;"",$J81&lt;=사용안내!$C$16),AND($L81&lt;&gt;"",$L81&lt;=사용안내!$C$17)),"임박","정상"))))</f>
        <v/>
      </c>
    </row>
    <row r="82" customFormat="false" ht="15" hidden="false" customHeight="true" outlineLevel="0" collapsed="false">
      <c r="A82" s="23" t="str">
        <f aca="false">IF(OR(차량목록!$A9="",정비항목!$A7="",차량목록!$G9="매각"),"",차량목록!$A9)</f>
        <v/>
      </c>
      <c r="B82" s="23" t="str">
        <f aca="false">IF($A82="","",차량목록!$B9)</f>
        <v/>
      </c>
      <c r="C82" s="23" t="str">
        <f aca="false">IF($A82="","",정비항목!$B7)</f>
        <v/>
      </c>
      <c r="D82" s="24" t="str">
        <f aca="false">IF($A82="","",IF(정비항목!$C7="",0,정비항목!$C7))</f>
        <v/>
      </c>
      <c r="E82" s="28" t="str">
        <f aca="false">IF($A82="","",IF(정비항목!$D7="",0,정비항목!$D7))</f>
        <v/>
      </c>
      <c r="F82" s="26" t="str">
        <f aca="false">IF($A82="","",IF(COUNTIFS(정비이력!$B$3:$B$1002,$A82,정비이력!$D$3:$D$1002,정비항목!$A7)=0,"",SUMPRODUCT(MAX((정비이력!$B$3:$B$1002=$A82)*(정비이력!$D$3:$D$1002=정비항목!$A7)*정비이력!$A$3:$A$1002))))</f>
        <v/>
      </c>
      <c r="G82" s="27" t="str">
        <f aca="false">IF($A82="","",IF($F82="","",SUMPRODUCT(MAX((정비이력!$B$3:$B$1002=$A82)*(정비이력!$D$3:$D$1002=정비항목!$A7)*정비이력!$F$3:$F$1002))))</f>
        <v/>
      </c>
      <c r="H82" s="27" t="str">
        <f aca="false">IF($A82="","",IF(차량목록!$E9="",0,차량목록!$E9))</f>
        <v/>
      </c>
      <c r="I82" s="27" t="str">
        <f aca="false">IF(OR($A82="",$D82=0),"",IF($G82="",$H82+$D82,$G82+$D82))</f>
        <v/>
      </c>
      <c r="J82" s="24" t="str">
        <f aca="false">IF($I82="","",$I82-$H82)</f>
        <v/>
      </c>
      <c r="K82" s="26" t="str">
        <f aca="true">IF(OR($A82="",$E82=0),"",IF($F82="",EDATE(TODAY(),$E82),EDATE($F82,$E82)))</f>
        <v/>
      </c>
      <c r="L82" s="28" t="str">
        <f aca="true">IF($K82="","",$K82-TODAY())</f>
        <v/>
      </c>
      <c r="M82" s="28" t="str">
        <f aca="false">IF($A82="","",IF(AND($J82="",$L82=""),"-",IF(OR(AND($J82&lt;&gt;"",$J82&lt;=0),AND($L82&lt;&gt;"",$L82&lt;0)),"교체",IF(OR(AND($J82&lt;&gt;"",$J82&lt;=사용안내!$C$16),AND($L82&lt;&gt;"",$L82&lt;=사용안내!$C$17)),"임박","정상"))))</f>
        <v/>
      </c>
    </row>
    <row r="83" customFormat="false" ht="15" hidden="false" customHeight="true" outlineLevel="0" collapsed="false">
      <c r="A83" s="23" t="str">
        <f aca="false">IF(OR(차량목록!$A9="",정비항목!$A8="",차량목록!$G9="매각"),"",차량목록!$A9)</f>
        <v/>
      </c>
      <c r="B83" s="23" t="str">
        <f aca="false">IF($A83="","",차량목록!$B9)</f>
        <v/>
      </c>
      <c r="C83" s="23" t="str">
        <f aca="false">IF($A83="","",정비항목!$B8)</f>
        <v/>
      </c>
      <c r="D83" s="24" t="str">
        <f aca="false">IF($A83="","",IF(정비항목!$C8="",0,정비항목!$C8))</f>
        <v/>
      </c>
      <c r="E83" s="28" t="str">
        <f aca="false">IF($A83="","",IF(정비항목!$D8="",0,정비항목!$D8))</f>
        <v/>
      </c>
      <c r="F83" s="26" t="str">
        <f aca="false">IF($A83="","",IF(COUNTIFS(정비이력!$B$3:$B$1002,$A83,정비이력!$D$3:$D$1002,정비항목!$A8)=0,"",SUMPRODUCT(MAX((정비이력!$B$3:$B$1002=$A83)*(정비이력!$D$3:$D$1002=정비항목!$A8)*정비이력!$A$3:$A$1002))))</f>
        <v/>
      </c>
      <c r="G83" s="27" t="str">
        <f aca="false">IF($A83="","",IF($F83="","",SUMPRODUCT(MAX((정비이력!$B$3:$B$1002=$A83)*(정비이력!$D$3:$D$1002=정비항목!$A8)*정비이력!$F$3:$F$1002))))</f>
        <v/>
      </c>
      <c r="H83" s="27" t="str">
        <f aca="false">IF($A83="","",IF(차량목록!$E9="",0,차량목록!$E9))</f>
        <v/>
      </c>
      <c r="I83" s="27" t="str">
        <f aca="false">IF(OR($A83="",$D83=0),"",IF($G83="",$H83+$D83,$G83+$D83))</f>
        <v/>
      </c>
      <c r="J83" s="24" t="str">
        <f aca="false">IF($I83="","",$I83-$H83)</f>
        <v/>
      </c>
      <c r="K83" s="26" t="str">
        <f aca="true">IF(OR($A83="",$E83=0),"",IF($F83="",EDATE(TODAY(),$E83),EDATE($F83,$E83)))</f>
        <v/>
      </c>
      <c r="L83" s="28" t="str">
        <f aca="true">IF($K83="","",$K83-TODAY())</f>
        <v/>
      </c>
      <c r="M83" s="28" t="str">
        <f aca="false">IF($A83="","",IF(AND($J83="",$L83=""),"-",IF(OR(AND($J83&lt;&gt;"",$J83&lt;=0),AND($L83&lt;&gt;"",$L83&lt;0)),"교체",IF(OR(AND($J83&lt;&gt;"",$J83&lt;=사용안내!$C$16),AND($L83&lt;&gt;"",$L83&lt;=사용안내!$C$17)),"임박","정상"))))</f>
        <v/>
      </c>
    </row>
    <row r="84" customFormat="false" ht="15" hidden="false" customHeight="true" outlineLevel="0" collapsed="false">
      <c r="A84" s="23" t="str">
        <f aca="false">IF(OR(차량목록!$A9="",정비항목!$A9="",차량목록!$G9="매각"),"",차량목록!$A9)</f>
        <v/>
      </c>
      <c r="B84" s="23" t="str">
        <f aca="false">IF($A84="","",차량목록!$B9)</f>
        <v/>
      </c>
      <c r="C84" s="23" t="str">
        <f aca="false">IF($A84="","",정비항목!$B9)</f>
        <v/>
      </c>
      <c r="D84" s="24" t="str">
        <f aca="false">IF($A84="","",IF(정비항목!$C9="",0,정비항목!$C9))</f>
        <v/>
      </c>
      <c r="E84" s="28" t="str">
        <f aca="false">IF($A84="","",IF(정비항목!$D9="",0,정비항목!$D9))</f>
        <v/>
      </c>
      <c r="F84" s="26" t="str">
        <f aca="false">IF($A84="","",IF(COUNTIFS(정비이력!$B$3:$B$1002,$A84,정비이력!$D$3:$D$1002,정비항목!$A9)=0,"",SUMPRODUCT(MAX((정비이력!$B$3:$B$1002=$A84)*(정비이력!$D$3:$D$1002=정비항목!$A9)*정비이력!$A$3:$A$1002))))</f>
        <v/>
      </c>
      <c r="G84" s="27" t="str">
        <f aca="false">IF($A84="","",IF($F84="","",SUMPRODUCT(MAX((정비이력!$B$3:$B$1002=$A84)*(정비이력!$D$3:$D$1002=정비항목!$A9)*정비이력!$F$3:$F$1002))))</f>
        <v/>
      </c>
      <c r="H84" s="27" t="str">
        <f aca="false">IF($A84="","",IF(차량목록!$E9="",0,차량목록!$E9))</f>
        <v/>
      </c>
      <c r="I84" s="27" t="str">
        <f aca="false">IF(OR($A84="",$D84=0),"",IF($G84="",$H84+$D84,$G84+$D84))</f>
        <v/>
      </c>
      <c r="J84" s="24" t="str">
        <f aca="false">IF($I84="","",$I84-$H84)</f>
        <v/>
      </c>
      <c r="K84" s="26" t="str">
        <f aca="true">IF(OR($A84="",$E84=0),"",IF($F84="",EDATE(TODAY(),$E84),EDATE($F84,$E84)))</f>
        <v/>
      </c>
      <c r="L84" s="28" t="str">
        <f aca="true">IF($K84="","",$K84-TODAY())</f>
        <v/>
      </c>
      <c r="M84" s="28" t="str">
        <f aca="false">IF($A84="","",IF(AND($J84="",$L84=""),"-",IF(OR(AND($J84&lt;&gt;"",$J84&lt;=0),AND($L84&lt;&gt;"",$L84&lt;0)),"교체",IF(OR(AND($J84&lt;&gt;"",$J84&lt;=사용안내!$C$16),AND($L84&lt;&gt;"",$L84&lt;=사용안내!$C$17)),"임박","정상"))))</f>
        <v/>
      </c>
    </row>
    <row r="85" customFormat="false" ht="15" hidden="false" customHeight="true" outlineLevel="0" collapsed="false">
      <c r="A85" s="23" t="str">
        <f aca="false">IF(OR(차량목록!$A9="",정비항목!$A10="",차량목록!$G9="매각"),"",차량목록!$A9)</f>
        <v/>
      </c>
      <c r="B85" s="23" t="str">
        <f aca="false">IF($A85="","",차량목록!$B9)</f>
        <v/>
      </c>
      <c r="C85" s="23" t="str">
        <f aca="false">IF($A85="","",정비항목!$B10)</f>
        <v/>
      </c>
      <c r="D85" s="24" t="str">
        <f aca="false">IF($A85="","",IF(정비항목!$C10="",0,정비항목!$C10))</f>
        <v/>
      </c>
      <c r="E85" s="28" t="str">
        <f aca="false">IF($A85="","",IF(정비항목!$D10="",0,정비항목!$D10))</f>
        <v/>
      </c>
      <c r="F85" s="26" t="str">
        <f aca="false">IF($A85="","",IF(COUNTIFS(정비이력!$B$3:$B$1002,$A85,정비이력!$D$3:$D$1002,정비항목!$A10)=0,"",SUMPRODUCT(MAX((정비이력!$B$3:$B$1002=$A85)*(정비이력!$D$3:$D$1002=정비항목!$A10)*정비이력!$A$3:$A$1002))))</f>
        <v/>
      </c>
      <c r="G85" s="27" t="str">
        <f aca="false">IF($A85="","",IF($F85="","",SUMPRODUCT(MAX((정비이력!$B$3:$B$1002=$A85)*(정비이력!$D$3:$D$1002=정비항목!$A10)*정비이력!$F$3:$F$1002))))</f>
        <v/>
      </c>
      <c r="H85" s="27" t="str">
        <f aca="false">IF($A85="","",IF(차량목록!$E9="",0,차량목록!$E9))</f>
        <v/>
      </c>
      <c r="I85" s="27" t="str">
        <f aca="false">IF(OR($A85="",$D85=0),"",IF($G85="",$H85+$D85,$G85+$D85))</f>
        <v/>
      </c>
      <c r="J85" s="24" t="str">
        <f aca="false">IF($I85="","",$I85-$H85)</f>
        <v/>
      </c>
      <c r="K85" s="26" t="str">
        <f aca="true">IF(OR($A85="",$E85=0),"",IF($F85="",EDATE(TODAY(),$E85),EDATE($F85,$E85)))</f>
        <v/>
      </c>
      <c r="L85" s="28" t="str">
        <f aca="true">IF($K85="","",$K85-TODAY())</f>
        <v/>
      </c>
      <c r="M85" s="28" t="str">
        <f aca="false">IF($A85="","",IF(AND($J85="",$L85=""),"-",IF(OR(AND($J85&lt;&gt;"",$J85&lt;=0),AND($L85&lt;&gt;"",$L85&lt;0)),"교체",IF(OR(AND($J85&lt;&gt;"",$J85&lt;=사용안내!$C$16),AND($L85&lt;&gt;"",$L85&lt;=사용안내!$C$17)),"임박","정상"))))</f>
        <v/>
      </c>
    </row>
    <row r="86" customFormat="false" ht="15" hidden="false" customHeight="true" outlineLevel="0" collapsed="false">
      <c r="A86" s="23" t="str">
        <f aca="false">IF(OR(차량목록!$A9="",정비항목!$A11="",차량목록!$G9="매각"),"",차량목록!$A9)</f>
        <v/>
      </c>
      <c r="B86" s="23" t="str">
        <f aca="false">IF($A86="","",차량목록!$B9)</f>
        <v/>
      </c>
      <c r="C86" s="23" t="str">
        <f aca="false">IF($A86="","",정비항목!$B11)</f>
        <v/>
      </c>
      <c r="D86" s="24" t="str">
        <f aca="false">IF($A86="","",IF(정비항목!$C11="",0,정비항목!$C11))</f>
        <v/>
      </c>
      <c r="E86" s="28" t="str">
        <f aca="false">IF($A86="","",IF(정비항목!$D11="",0,정비항목!$D11))</f>
        <v/>
      </c>
      <c r="F86" s="26" t="str">
        <f aca="false">IF($A86="","",IF(COUNTIFS(정비이력!$B$3:$B$1002,$A86,정비이력!$D$3:$D$1002,정비항목!$A11)=0,"",SUMPRODUCT(MAX((정비이력!$B$3:$B$1002=$A86)*(정비이력!$D$3:$D$1002=정비항목!$A11)*정비이력!$A$3:$A$1002))))</f>
        <v/>
      </c>
      <c r="G86" s="27" t="str">
        <f aca="false">IF($A86="","",IF($F86="","",SUMPRODUCT(MAX((정비이력!$B$3:$B$1002=$A86)*(정비이력!$D$3:$D$1002=정비항목!$A11)*정비이력!$F$3:$F$1002))))</f>
        <v/>
      </c>
      <c r="H86" s="27" t="str">
        <f aca="false">IF($A86="","",IF(차량목록!$E9="",0,차량목록!$E9))</f>
        <v/>
      </c>
      <c r="I86" s="27" t="str">
        <f aca="false">IF(OR($A86="",$D86=0),"",IF($G86="",$H86+$D86,$G86+$D86))</f>
        <v/>
      </c>
      <c r="J86" s="24" t="str">
        <f aca="false">IF($I86="","",$I86-$H86)</f>
        <v/>
      </c>
      <c r="K86" s="26" t="str">
        <f aca="true">IF(OR($A86="",$E86=0),"",IF($F86="",EDATE(TODAY(),$E86),EDATE($F86,$E86)))</f>
        <v/>
      </c>
      <c r="L86" s="28" t="str">
        <f aca="true">IF($K86="","",$K86-TODAY())</f>
        <v/>
      </c>
      <c r="M86" s="28" t="str">
        <f aca="false">IF($A86="","",IF(AND($J86="",$L86=""),"-",IF(OR(AND($J86&lt;&gt;"",$J86&lt;=0),AND($L86&lt;&gt;"",$L86&lt;0)),"교체",IF(OR(AND($J86&lt;&gt;"",$J86&lt;=사용안내!$C$16),AND($L86&lt;&gt;"",$L86&lt;=사용안내!$C$17)),"임박","정상"))))</f>
        <v/>
      </c>
    </row>
    <row r="87" customFormat="false" ht="15" hidden="false" customHeight="true" outlineLevel="0" collapsed="false">
      <c r="A87" s="23" t="str">
        <f aca="false">IF(OR(차량목록!$A9="",정비항목!$A12="",차량목록!$G9="매각"),"",차량목록!$A9)</f>
        <v/>
      </c>
      <c r="B87" s="23" t="str">
        <f aca="false">IF($A87="","",차량목록!$B9)</f>
        <v/>
      </c>
      <c r="C87" s="23" t="str">
        <f aca="false">IF($A87="","",정비항목!$B12)</f>
        <v/>
      </c>
      <c r="D87" s="24" t="str">
        <f aca="false">IF($A87="","",IF(정비항목!$C12="",0,정비항목!$C12))</f>
        <v/>
      </c>
      <c r="E87" s="28" t="str">
        <f aca="false">IF($A87="","",IF(정비항목!$D12="",0,정비항목!$D12))</f>
        <v/>
      </c>
      <c r="F87" s="26" t="str">
        <f aca="false">IF($A87="","",IF(COUNTIFS(정비이력!$B$3:$B$1002,$A87,정비이력!$D$3:$D$1002,정비항목!$A12)=0,"",SUMPRODUCT(MAX((정비이력!$B$3:$B$1002=$A87)*(정비이력!$D$3:$D$1002=정비항목!$A12)*정비이력!$A$3:$A$1002))))</f>
        <v/>
      </c>
      <c r="G87" s="27" t="str">
        <f aca="false">IF($A87="","",IF($F87="","",SUMPRODUCT(MAX((정비이력!$B$3:$B$1002=$A87)*(정비이력!$D$3:$D$1002=정비항목!$A12)*정비이력!$F$3:$F$1002))))</f>
        <v/>
      </c>
      <c r="H87" s="27" t="str">
        <f aca="false">IF($A87="","",IF(차량목록!$E9="",0,차량목록!$E9))</f>
        <v/>
      </c>
      <c r="I87" s="27" t="str">
        <f aca="false">IF(OR($A87="",$D87=0),"",IF($G87="",$H87+$D87,$G87+$D87))</f>
        <v/>
      </c>
      <c r="J87" s="24" t="str">
        <f aca="false">IF($I87="","",$I87-$H87)</f>
        <v/>
      </c>
      <c r="K87" s="26" t="str">
        <f aca="true">IF(OR($A87="",$E87=0),"",IF($F87="",EDATE(TODAY(),$E87),EDATE($F87,$E87)))</f>
        <v/>
      </c>
      <c r="L87" s="28" t="str">
        <f aca="true">IF($K87="","",$K87-TODAY())</f>
        <v/>
      </c>
      <c r="M87" s="28" t="str">
        <f aca="false">IF($A87="","",IF(AND($J87="",$L87=""),"-",IF(OR(AND($J87&lt;&gt;"",$J87&lt;=0),AND($L87&lt;&gt;"",$L87&lt;0)),"교체",IF(OR(AND($J87&lt;&gt;"",$J87&lt;=사용안내!$C$16),AND($L87&lt;&gt;"",$L87&lt;=사용안내!$C$17)),"임박","정상"))))</f>
        <v/>
      </c>
    </row>
    <row r="88" customFormat="false" ht="15" hidden="false" customHeight="true" outlineLevel="0" collapsed="false">
      <c r="A88" s="23" t="str">
        <f aca="false">IF(OR(차량목록!$A9="",정비항목!$A13="",차량목록!$G9="매각"),"",차량목록!$A9)</f>
        <v/>
      </c>
      <c r="B88" s="23" t="str">
        <f aca="false">IF($A88="","",차량목록!$B9)</f>
        <v/>
      </c>
      <c r="C88" s="23" t="str">
        <f aca="false">IF($A88="","",정비항목!$B13)</f>
        <v/>
      </c>
      <c r="D88" s="24" t="str">
        <f aca="false">IF($A88="","",IF(정비항목!$C13="",0,정비항목!$C13))</f>
        <v/>
      </c>
      <c r="E88" s="28" t="str">
        <f aca="false">IF($A88="","",IF(정비항목!$D13="",0,정비항목!$D13))</f>
        <v/>
      </c>
      <c r="F88" s="26" t="str">
        <f aca="false">IF($A88="","",IF(COUNTIFS(정비이력!$B$3:$B$1002,$A88,정비이력!$D$3:$D$1002,정비항목!$A13)=0,"",SUMPRODUCT(MAX((정비이력!$B$3:$B$1002=$A88)*(정비이력!$D$3:$D$1002=정비항목!$A13)*정비이력!$A$3:$A$1002))))</f>
        <v/>
      </c>
      <c r="G88" s="27" t="str">
        <f aca="false">IF($A88="","",IF($F88="","",SUMPRODUCT(MAX((정비이력!$B$3:$B$1002=$A88)*(정비이력!$D$3:$D$1002=정비항목!$A13)*정비이력!$F$3:$F$1002))))</f>
        <v/>
      </c>
      <c r="H88" s="27" t="str">
        <f aca="false">IF($A88="","",IF(차량목록!$E9="",0,차량목록!$E9))</f>
        <v/>
      </c>
      <c r="I88" s="27" t="str">
        <f aca="false">IF(OR($A88="",$D88=0),"",IF($G88="",$H88+$D88,$G88+$D88))</f>
        <v/>
      </c>
      <c r="J88" s="24" t="str">
        <f aca="false">IF($I88="","",$I88-$H88)</f>
        <v/>
      </c>
      <c r="K88" s="26" t="str">
        <f aca="true">IF(OR($A88="",$E88=0),"",IF($F88="",EDATE(TODAY(),$E88),EDATE($F88,$E88)))</f>
        <v/>
      </c>
      <c r="L88" s="28" t="str">
        <f aca="true">IF($K88="","",$K88-TODAY())</f>
        <v/>
      </c>
      <c r="M88" s="28" t="str">
        <f aca="false">IF($A88="","",IF(AND($J88="",$L88=""),"-",IF(OR(AND($J88&lt;&gt;"",$J88&lt;=0),AND($L88&lt;&gt;"",$L88&lt;0)),"교체",IF(OR(AND($J88&lt;&gt;"",$J88&lt;=사용안내!$C$16),AND($L88&lt;&gt;"",$L88&lt;=사용안내!$C$17)),"임박","정상"))))</f>
        <v/>
      </c>
    </row>
    <row r="89" customFormat="false" ht="15" hidden="false" customHeight="true" outlineLevel="0" collapsed="false">
      <c r="A89" s="23" t="str">
        <f aca="false">IF(OR(차량목록!$A9="",정비항목!$A14="",차량목록!$G9="매각"),"",차량목록!$A9)</f>
        <v/>
      </c>
      <c r="B89" s="23" t="str">
        <f aca="false">IF($A89="","",차량목록!$B9)</f>
        <v/>
      </c>
      <c r="C89" s="23" t="str">
        <f aca="false">IF($A89="","",정비항목!$B14)</f>
        <v/>
      </c>
      <c r="D89" s="24" t="str">
        <f aca="false">IF($A89="","",IF(정비항목!$C14="",0,정비항목!$C14))</f>
        <v/>
      </c>
      <c r="E89" s="28" t="str">
        <f aca="false">IF($A89="","",IF(정비항목!$D14="",0,정비항목!$D14))</f>
        <v/>
      </c>
      <c r="F89" s="26" t="str">
        <f aca="false">IF($A89="","",IF(COUNTIFS(정비이력!$B$3:$B$1002,$A89,정비이력!$D$3:$D$1002,정비항목!$A14)=0,"",SUMPRODUCT(MAX((정비이력!$B$3:$B$1002=$A89)*(정비이력!$D$3:$D$1002=정비항목!$A14)*정비이력!$A$3:$A$1002))))</f>
        <v/>
      </c>
      <c r="G89" s="27" t="str">
        <f aca="false">IF($A89="","",IF($F89="","",SUMPRODUCT(MAX((정비이력!$B$3:$B$1002=$A89)*(정비이력!$D$3:$D$1002=정비항목!$A14)*정비이력!$F$3:$F$1002))))</f>
        <v/>
      </c>
      <c r="H89" s="27" t="str">
        <f aca="false">IF($A89="","",IF(차량목록!$E9="",0,차량목록!$E9))</f>
        <v/>
      </c>
      <c r="I89" s="27" t="str">
        <f aca="false">IF(OR($A89="",$D89=0),"",IF($G89="",$H89+$D89,$G89+$D89))</f>
        <v/>
      </c>
      <c r="J89" s="24" t="str">
        <f aca="false">IF($I89="","",$I89-$H89)</f>
        <v/>
      </c>
      <c r="K89" s="26" t="str">
        <f aca="true">IF(OR($A89="",$E89=0),"",IF($F89="",EDATE(TODAY(),$E89),EDATE($F89,$E89)))</f>
        <v/>
      </c>
      <c r="L89" s="28" t="str">
        <f aca="true">IF($K89="","",$K89-TODAY())</f>
        <v/>
      </c>
      <c r="M89" s="28" t="str">
        <f aca="false">IF($A89="","",IF(AND($J89="",$L89=""),"-",IF(OR(AND($J89&lt;&gt;"",$J89&lt;=0),AND($L89&lt;&gt;"",$L89&lt;0)),"교체",IF(OR(AND($J89&lt;&gt;"",$J89&lt;=사용안내!$C$16),AND($L89&lt;&gt;"",$L89&lt;=사용안내!$C$17)),"임박","정상"))))</f>
        <v/>
      </c>
    </row>
    <row r="90" customFormat="false" ht="15" hidden="false" customHeight="true" outlineLevel="0" collapsed="false">
      <c r="A90" s="23" t="str">
        <f aca="false">IF(OR(차량목록!$A10="",정비항목!$A3="",차량목록!$G10="매각"),"",차량목록!$A10)</f>
        <v/>
      </c>
      <c r="B90" s="23" t="str">
        <f aca="false">IF($A90="","",차량목록!$B10)</f>
        <v/>
      </c>
      <c r="C90" s="23" t="str">
        <f aca="false">IF($A90="","",정비항목!$B3)</f>
        <v/>
      </c>
      <c r="D90" s="24" t="str">
        <f aca="false">IF($A90="","",IF(정비항목!$C3="",0,정비항목!$C3))</f>
        <v/>
      </c>
      <c r="E90" s="28" t="str">
        <f aca="false">IF($A90="","",IF(정비항목!$D3="",0,정비항목!$D3))</f>
        <v/>
      </c>
      <c r="F90" s="26" t="str">
        <f aca="false">IF($A90="","",IF(COUNTIFS(정비이력!$B$3:$B$1002,$A90,정비이력!$D$3:$D$1002,정비항목!$A3)=0,"",SUMPRODUCT(MAX((정비이력!$B$3:$B$1002=$A90)*(정비이력!$D$3:$D$1002=정비항목!$A3)*정비이력!$A$3:$A$1002))))</f>
        <v/>
      </c>
      <c r="G90" s="27" t="str">
        <f aca="false">IF($A90="","",IF($F90="","",SUMPRODUCT(MAX((정비이력!$B$3:$B$1002=$A90)*(정비이력!$D$3:$D$1002=정비항목!$A3)*정비이력!$F$3:$F$1002))))</f>
        <v/>
      </c>
      <c r="H90" s="27" t="str">
        <f aca="false">IF($A90="","",IF(차량목록!$E10="",0,차량목록!$E10))</f>
        <v/>
      </c>
      <c r="I90" s="27" t="str">
        <f aca="false">IF(OR($A90="",$D90=0),"",IF($G90="",$H90+$D90,$G90+$D90))</f>
        <v/>
      </c>
      <c r="J90" s="24" t="str">
        <f aca="false">IF($I90="","",$I90-$H90)</f>
        <v/>
      </c>
      <c r="K90" s="26" t="str">
        <f aca="true">IF(OR($A90="",$E90=0),"",IF($F90="",EDATE(TODAY(),$E90),EDATE($F90,$E90)))</f>
        <v/>
      </c>
      <c r="L90" s="28" t="str">
        <f aca="true">IF($K90="","",$K90-TODAY())</f>
        <v/>
      </c>
      <c r="M90" s="28" t="str">
        <f aca="false">IF($A90="","",IF(AND($J90="",$L90=""),"-",IF(OR(AND($J90&lt;&gt;"",$J90&lt;=0),AND($L90&lt;&gt;"",$L90&lt;0)),"교체",IF(OR(AND($J90&lt;&gt;"",$J90&lt;=사용안내!$C$16),AND($L90&lt;&gt;"",$L90&lt;=사용안내!$C$17)),"임박","정상"))))</f>
        <v/>
      </c>
    </row>
    <row r="91" customFormat="false" ht="15" hidden="false" customHeight="true" outlineLevel="0" collapsed="false">
      <c r="A91" s="23" t="str">
        <f aca="false">IF(OR(차량목록!$A10="",정비항목!$A4="",차량목록!$G10="매각"),"",차량목록!$A10)</f>
        <v/>
      </c>
      <c r="B91" s="23" t="str">
        <f aca="false">IF($A91="","",차량목록!$B10)</f>
        <v/>
      </c>
      <c r="C91" s="23" t="str">
        <f aca="false">IF($A91="","",정비항목!$B4)</f>
        <v/>
      </c>
      <c r="D91" s="24" t="str">
        <f aca="false">IF($A91="","",IF(정비항목!$C4="",0,정비항목!$C4))</f>
        <v/>
      </c>
      <c r="E91" s="28" t="str">
        <f aca="false">IF($A91="","",IF(정비항목!$D4="",0,정비항목!$D4))</f>
        <v/>
      </c>
      <c r="F91" s="26" t="str">
        <f aca="false">IF($A91="","",IF(COUNTIFS(정비이력!$B$3:$B$1002,$A91,정비이력!$D$3:$D$1002,정비항목!$A4)=0,"",SUMPRODUCT(MAX((정비이력!$B$3:$B$1002=$A91)*(정비이력!$D$3:$D$1002=정비항목!$A4)*정비이력!$A$3:$A$1002))))</f>
        <v/>
      </c>
      <c r="G91" s="27" t="str">
        <f aca="false">IF($A91="","",IF($F91="","",SUMPRODUCT(MAX((정비이력!$B$3:$B$1002=$A91)*(정비이력!$D$3:$D$1002=정비항목!$A4)*정비이력!$F$3:$F$1002))))</f>
        <v/>
      </c>
      <c r="H91" s="27" t="str">
        <f aca="false">IF($A91="","",IF(차량목록!$E10="",0,차량목록!$E10))</f>
        <v/>
      </c>
      <c r="I91" s="27" t="str">
        <f aca="false">IF(OR($A91="",$D91=0),"",IF($G91="",$H91+$D91,$G91+$D91))</f>
        <v/>
      </c>
      <c r="J91" s="24" t="str">
        <f aca="false">IF($I91="","",$I91-$H91)</f>
        <v/>
      </c>
      <c r="K91" s="26" t="str">
        <f aca="true">IF(OR($A91="",$E91=0),"",IF($F91="",EDATE(TODAY(),$E91),EDATE($F91,$E91)))</f>
        <v/>
      </c>
      <c r="L91" s="28" t="str">
        <f aca="true">IF($K91="","",$K91-TODAY())</f>
        <v/>
      </c>
      <c r="M91" s="28" t="str">
        <f aca="false">IF($A91="","",IF(AND($J91="",$L91=""),"-",IF(OR(AND($J91&lt;&gt;"",$J91&lt;=0),AND($L91&lt;&gt;"",$L91&lt;0)),"교체",IF(OR(AND($J91&lt;&gt;"",$J91&lt;=사용안내!$C$16),AND($L91&lt;&gt;"",$L91&lt;=사용안내!$C$17)),"임박","정상"))))</f>
        <v/>
      </c>
    </row>
    <row r="92" customFormat="false" ht="15" hidden="false" customHeight="true" outlineLevel="0" collapsed="false">
      <c r="A92" s="23" t="str">
        <f aca="false">IF(OR(차량목록!$A10="",정비항목!$A5="",차량목록!$G10="매각"),"",차량목록!$A10)</f>
        <v/>
      </c>
      <c r="B92" s="23" t="str">
        <f aca="false">IF($A92="","",차량목록!$B10)</f>
        <v/>
      </c>
      <c r="C92" s="23" t="str">
        <f aca="false">IF($A92="","",정비항목!$B5)</f>
        <v/>
      </c>
      <c r="D92" s="24" t="str">
        <f aca="false">IF($A92="","",IF(정비항목!$C5="",0,정비항목!$C5))</f>
        <v/>
      </c>
      <c r="E92" s="28" t="str">
        <f aca="false">IF($A92="","",IF(정비항목!$D5="",0,정비항목!$D5))</f>
        <v/>
      </c>
      <c r="F92" s="26" t="str">
        <f aca="false">IF($A92="","",IF(COUNTIFS(정비이력!$B$3:$B$1002,$A92,정비이력!$D$3:$D$1002,정비항목!$A5)=0,"",SUMPRODUCT(MAX((정비이력!$B$3:$B$1002=$A92)*(정비이력!$D$3:$D$1002=정비항목!$A5)*정비이력!$A$3:$A$1002))))</f>
        <v/>
      </c>
      <c r="G92" s="27" t="str">
        <f aca="false">IF($A92="","",IF($F92="","",SUMPRODUCT(MAX((정비이력!$B$3:$B$1002=$A92)*(정비이력!$D$3:$D$1002=정비항목!$A5)*정비이력!$F$3:$F$1002))))</f>
        <v/>
      </c>
      <c r="H92" s="27" t="str">
        <f aca="false">IF($A92="","",IF(차량목록!$E10="",0,차량목록!$E10))</f>
        <v/>
      </c>
      <c r="I92" s="27" t="str">
        <f aca="false">IF(OR($A92="",$D92=0),"",IF($G92="",$H92+$D92,$G92+$D92))</f>
        <v/>
      </c>
      <c r="J92" s="24" t="str">
        <f aca="false">IF($I92="","",$I92-$H92)</f>
        <v/>
      </c>
      <c r="K92" s="26" t="str">
        <f aca="true">IF(OR($A92="",$E92=0),"",IF($F92="",EDATE(TODAY(),$E92),EDATE($F92,$E92)))</f>
        <v/>
      </c>
      <c r="L92" s="28" t="str">
        <f aca="true">IF($K92="","",$K92-TODAY())</f>
        <v/>
      </c>
      <c r="M92" s="28" t="str">
        <f aca="false">IF($A92="","",IF(AND($J92="",$L92=""),"-",IF(OR(AND($J92&lt;&gt;"",$J92&lt;=0),AND($L92&lt;&gt;"",$L92&lt;0)),"교체",IF(OR(AND($J92&lt;&gt;"",$J92&lt;=사용안내!$C$16),AND($L92&lt;&gt;"",$L92&lt;=사용안내!$C$17)),"임박","정상"))))</f>
        <v/>
      </c>
    </row>
    <row r="93" customFormat="false" ht="15" hidden="false" customHeight="true" outlineLevel="0" collapsed="false">
      <c r="A93" s="23" t="str">
        <f aca="false">IF(OR(차량목록!$A10="",정비항목!$A6="",차량목록!$G10="매각"),"",차량목록!$A10)</f>
        <v/>
      </c>
      <c r="B93" s="23" t="str">
        <f aca="false">IF($A93="","",차량목록!$B10)</f>
        <v/>
      </c>
      <c r="C93" s="23" t="str">
        <f aca="false">IF($A93="","",정비항목!$B6)</f>
        <v/>
      </c>
      <c r="D93" s="24" t="str">
        <f aca="false">IF($A93="","",IF(정비항목!$C6="",0,정비항목!$C6))</f>
        <v/>
      </c>
      <c r="E93" s="28" t="str">
        <f aca="false">IF($A93="","",IF(정비항목!$D6="",0,정비항목!$D6))</f>
        <v/>
      </c>
      <c r="F93" s="26" t="str">
        <f aca="false">IF($A93="","",IF(COUNTIFS(정비이력!$B$3:$B$1002,$A93,정비이력!$D$3:$D$1002,정비항목!$A6)=0,"",SUMPRODUCT(MAX((정비이력!$B$3:$B$1002=$A93)*(정비이력!$D$3:$D$1002=정비항목!$A6)*정비이력!$A$3:$A$1002))))</f>
        <v/>
      </c>
      <c r="G93" s="27" t="str">
        <f aca="false">IF($A93="","",IF($F93="","",SUMPRODUCT(MAX((정비이력!$B$3:$B$1002=$A93)*(정비이력!$D$3:$D$1002=정비항목!$A6)*정비이력!$F$3:$F$1002))))</f>
        <v/>
      </c>
      <c r="H93" s="27" t="str">
        <f aca="false">IF($A93="","",IF(차량목록!$E10="",0,차량목록!$E10))</f>
        <v/>
      </c>
      <c r="I93" s="27" t="str">
        <f aca="false">IF(OR($A93="",$D93=0),"",IF($G93="",$H93+$D93,$G93+$D93))</f>
        <v/>
      </c>
      <c r="J93" s="24" t="str">
        <f aca="false">IF($I93="","",$I93-$H93)</f>
        <v/>
      </c>
      <c r="K93" s="26" t="str">
        <f aca="true">IF(OR($A93="",$E93=0),"",IF($F93="",EDATE(TODAY(),$E93),EDATE($F93,$E93)))</f>
        <v/>
      </c>
      <c r="L93" s="28" t="str">
        <f aca="true">IF($K93="","",$K93-TODAY())</f>
        <v/>
      </c>
      <c r="M93" s="28" t="str">
        <f aca="false">IF($A93="","",IF(AND($J93="",$L93=""),"-",IF(OR(AND($J93&lt;&gt;"",$J93&lt;=0),AND($L93&lt;&gt;"",$L93&lt;0)),"교체",IF(OR(AND($J93&lt;&gt;"",$J93&lt;=사용안내!$C$16),AND($L93&lt;&gt;"",$L93&lt;=사용안내!$C$17)),"임박","정상"))))</f>
        <v/>
      </c>
    </row>
    <row r="94" customFormat="false" ht="15" hidden="false" customHeight="true" outlineLevel="0" collapsed="false">
      <c r="A94" s="23" t="str">
        <f aca="false">IF(OR(차량목록!$A10="",정비항목!$A7="",차량목록!$G10="매각"),"",차량목록!$A10)</f>
        <v/>
      </c>
      <c r="B94" s="23" t="str">
        <f aca="false">IF($A94="","",차량목록!$B10)</f>
        <v/>
      </c>
      <c r="C94" s="23" t="str">
        <f aca="false">IF($A94="","",정비항목!$B7)</f>
        <v/>
      </c>
      <c r="D94" s="24" t="str">
        <f aca="false">IF($A94="","",IF(정비항목!$C7="",0,정비항목!$C7))</f>
        <v/>
      </c>
      <c r="E94" s="28" t="str">
        <f aca="false">IF($A94="","",IF(정비항목!$D7="",0,정비항목!$D7))</f>
        <v/>
      </c>
      <c r="F94" s="26" t="str">
        <f aca="false">IF($A94="","",IF(COUNTIFS(정비이력!$B$3:$B$1002,$A94,정비이력!$D$3:$D$1002,정비항목!$A7)=0,"",SUMPRODUCT(MAX((정비이력!$B$3:$B$1002=$A94)*(정비이력!$D$3:$D$1002=정비항목!$A7)*정비이력!$A$3:$A$1002))))</f>
        <v/>
      </c>
      <c r="G94" s="27" t="str">
        <f aca="false">IF($A94="","",IF($F94="","",SUMPRODUCT(MAX((정비이력!$B$3:$B$1002=$A94)*(정비이력!$D$3:$D$1002=정비항목!$A7)*정비이력!$F$3:$F$1002))))</f>
        <v/>
      </c>
      <c r="H94" s="27" t="str">
        <f aca="false">IF($A94="","",IF(차량목록!$E10="",0,차량목록!$E10))</f>
        <v/>
      </c>
      <c r="I94" s="27" t="str">
        <f aca="false">IF(OR($A94="",$D94=0),"",IF($G94="",$H94+$D94,$G94+$D94))</f>
        <v/>
      </c>
      <c r="J94" s="24" t="str">
        <f aca="false">IF($I94="","",$I94-$H94)</f>
        <v/>
      </c>
      <c r="K94" s="26" t="str">
        <f aca="true">IF(OR($A94="",$E94=0),"",IF($F94="",EDATE(TODAY(),$E94),EDATE($F94,$E94)))</f>
        <v/>
      </c>
      <c r="L94" s="28" t="str">
        <f aca="true">IF($K94="","",$K94-TODAY())</f>
        <v/>
      </c>
      <c r="M94" s="28" t="str">
        <f aca="false">IF($A94="","",IF(AND($J94="",$L94=""),"-",IF(OR(AND($J94&lt;&gt;"",$J94&lt;=0),AND($L94&lt;&gt;"",$L94&lt;0)),"교체",IF(OR(AND($J94&lt;&gt;"",$J94&lt;=사용안내!$C$16),AND($L94&lt;&gt;"",$L94&lt;=사용안내!$C$17)),"임박","정상"))))</f>
        <v/>
      </c>
    </row>
    <row r="95" customFormat="false" ht="15" hidden="false" customHeight="true" outlineLevel="0" collapsed="false">
      <c r="A95" s="23" t="str">
        <f aca="false">IF(OR(차량목록!$A10="",정비항목!$A8="",차량목록!$G10="매각"),"",차량목록!$A10)</f>
        <v/>
      </c>
      <c r="B95" s="23" t="str">
        <f aca="false">IF($A95="","",차량목록!$B10)</f>
        <v/>
      </c>
      <c r="C95" s="23" t="str">
        <f aca="false">IF($A95="","",정비항목!$B8)</f>
        <v/>
      </c>
      <c r="D95" s="24" t="str">
        <f aca="false">IF($A95="","",IF(정비항목!$C8="",0,정비항목!$C8))</f>
        <v/>
      </c>
      <c r="E95" s="28" t="str">
        <f aca="false">IF($A95="","",IF(정비항목!$D8="",0,정비항목!$D8))</f>
        <v/>
      </c>
      <c r="F95" s="26" t="str">
        <f aca="false">IF($A95="","",IF(COUNTIFS(정비이력!$B$3:$B$1002,$A95,정비이력!$D$3:$D$1002,정비항목!$A8)=0,"",SUMPRODUCT(MAX((정비이력!$B$3:$B$1002=$A95)*(정비이력!$D$3:$D$1002=정비항목!$A8)*정비이력!$A$3:$A$1002))))</f>
        <v/>
      </c>
      <c r="G95" s="27" t="str">
        <f aca="false">IF($A95="","",IF($F95="","",SUMPRODUCT(MAX((정비이력!$B$3:$B$1002=$A95)*(정비이력!$D$3:$D$1002=정비항목!$A8)*정비이력!$F$3:$F$1002))))</f>
        <v/>
      </c>
      <c r="H95" s="27" t="str">
        <f aca="false">IF($A95="","",IF(차량목록!$E10="",0,차량목록!$E10))</f>
        <v/>
      </c>
      <c r="I95" s="27" t="str">
        <f aca="false">IF(OR($A95="",$D95=0),"",IF($G95="",$H95+$D95,$G95+$D95))</f>
        <v/>
      </c>
      <c r="J95" s="24" t="str">
        <f aca="false">IF($I95="","",$I95-$H95)</f>
        <v/>
      </c>
      <c r="K95" s="26" t="str">
        <f aca="true">IF(OR($A95="",$E95=0),"",IF($F95="",EDATE(TODAY(),$E95),EDATE($F95,$E95)))</f>
        <v/>
      </c>
      <c r="L95" s="28" t="str">
        <f aca="true">IF($K95="","",$K95-TODAY())</f>
        <v/>
      </c>
      <c r="M95" s="28" t="str">
        <f aca="false">IF($A95="","",IF(AND($J95="",$L95=""),"-",IF(OR(AND($J95&lt;&gt;"",$J95&lt;=0),AND($L95&lt;&gt;"",$L95&lt;0)),"교체",IF(OR(AND($J95&lt;&gt;"",$J95&lt;=사용안내!$C$16),AND($L95&lt;&gt;"",$L95&lt;=사용안내!$C$17)),"임박","정상"))))</f>
        <v/>
      </c>
    </row>
    <row r="96" customFormat="false" ht="15" hidden="false" customHeight="true" outlineLevel="0" collapsed="false">
      <c r="A96" s="23" t="str">
        <f aca="false">IF(OR(차량목록!$A10="",정비항목!$A9="",차량목록!$G10="매각"),"",차량목록!$A10)</f>
        <v/>
      </c>
      <c r="B96" s="23" t="str">
        <f aca="false">IF($A96="","",차량목록!$B10)</f>
        <v/>
      </c>
      <c r="C96" s="23" t="str">
        <f aca="false">IF($A96="","",정비항목!$B9)</f>
        <v/>
      </c>
      <c r="D96" s="24" t="str">
        <f aca="false">IF($A96="","",IF(정비항목!$C9="",0,정비항목!$C9))</f>
        <v/>
      </c>
      <c r="E96" s="28" t="str">
        <f aca="false">IF($A96="","",IF(정비항목!$D9="",0,정비항목!$D9))</f>
        <v/>
      </c>
      <c r="F96" s="26" t="str">
        <f aca="false">IF($A96="","",IF(COUNTIFS(정비이력!$B$3:$B$1002,$A96,정비이력!$D$3:$D$1002,정비항목!$A9)=0,"",SUMPRODUCT(MAX((정비이력!$B$3:$B$1002=$A96)*(정비이력!$D$3:$D$1002=정비항목!$A9)*정비이력!$A$3:$A$1002))))</f>
        <v/>
      </c>
      <c r="G96" s="27" t="str">
        <f aca="false">IF($A96="","",IF($F96="","",SUMPRODUCT(MAX((정비이력!$B$3:$B$1002=$A96)*(정비이력!$D$3:$D$1002=정비항목!$A9)*정비이력!$F$3:$F$1002))))</f>
        <v/>
      </c>
      <c r="H96" s="27" t="str">
        <f aca="false">IF($A96="","",IF(차량목록!$E10="",0,차량목록!$E10))</f>
        <v/>
      </c>
      <c r="I96" s="27" t="str">
        <f aca="false">IF(OR($A96="",$D96=0),"",IF($G96="",$H96+$D96,$G96+$D96))</f>
        <v/>
      </c>
      <c r="J96" s="24" t="str">
        <f aca="false">IF($I96="","",$I96-$H96)</f>
        <v/>
      </c>
      <c r="K96" s="26" t="str">
        <f aca="true">IF(OR($A96="",$E96=0),"",IF($F96="",EDATE(TODAY(),$E96),EDATE($F96,$E96)))</f>
        <v/>
      </c>
      <c r="L96" s="28" t="str">
        <f aca="true">IF($K96="","",$K96-TODAY())</f>
        <v/>
      </c>
      <c r="M96" s="28" t="str">
        <f aca="false">IF($A96="","",IF(AND($J96="",$L96=""),"-",IF(OR(AND($J96&lt;&gt;"",$J96&lt;=0),AND($L96&lt;&gt;"",$L96&lt;0)),"교체",IF(OR(AND($J96&lt;&gt;"",$J96&lt;=사용안내!$C$16),AND($L96&lt;&gt;"",$L96&lt;=사용안내!$C$17)),"임박","정상"))))</f>
        <v/>
      </c>
    </row>
    <row r="97" customFormat="false" ht="15" hidden="false" customHeight="true" outlineLevel="0" collapsed="false">
      <c r="A97" s="23" t="str">
        <f aca="false">IF(OR(차량목록!$A10="",정비항목!$A10="",차량목록!$G10="매각"),"",차량목록!$A10)</f>
        <v/>
      </c>
      <c r="B97" s="23" t="str">
        <f aca="false">IF($A97="","",차량목록!$B10)</f>
        <v/>
      </c>
      <c r="C97" s="23" t="str">
        <f aca="false">IF($A97="","",정비항목!$B10)</f>
        <v/>
      </c>
      <c r="D97" s="24" t="str">
        <f aca="false">IF($A97="","",IF(정비항목!$C10="",0,정비항목!$C10))</f>
        <v/>
      </c>
      <c r="E97" s="28" t="str">
        <f aca="false">IF($A97="","",IF(정비항목!$D10="",0,정비항목!$D10))</f>
        <v/>
      </c>
      <c r="F97" s="26" t="str">
        <f aca="false">IF($A97="","",IF(COUNTIFS(정비이력!$B$3:$B$1002,$A97,정비이력!$D$3:$D$1002,정비항목!$A10)=0,"",SUMPRODUCT(MAX((정비이력!$B$3:$B$1002=$A97)*(정비이력!$D$3:$D$1002=정비항목!$A10)*정비이력!$A$3:$A$1002))))</f>
        <v/>
      </c>
      <c r="G97" s="27" t="str">
        <f aca="false">IF($A97="","",IF($F97="","",SUMPRODUCT(MAX((정비이력!$B$3:$B$1002=$A97)*(정비이력!$D$3:$D$1002=정비항목!$A10)*정비이력!$F$3:$F$1002))))</f>
        <v/>
      </c>
      <c r="H97" s="27" t="str">
        <f aca="false">IF($A97="","",IF(차량목록!$E10="",0,차량목록!$E10))</f>
        <v/>
      </c>
      <c r="I97" s="27" t="str">
        <f aca="false">IF(OR($A97="",$D97=0),"",IF($G97="",$H97+$D97,$G97+$D97))</f>
        <v/>
      </c>
      <c r="J97" s="24" t="str">
        <f aca="false">IF($I97="","",$I97-$H97)</f>
        <v/>
      </c>
      <c r="K97" s="26" t="str">
        <f aca="true">IF(OR($A97="",$E97=0),"",IF($F97="",EDATE(TODAY(),$E97),EDATE($F97,$E97)))</f>
        <v/>
      </c>
      <c r="L97" s="28" t="str">
        <f aca="true">IF($K97="","",$K97-TODAY())</f>
        <v/>
      </c>
      <c r="M97" s="28" t="str">
        <f aca="false">IF($A97="","",IF(AND($J97="",$L97=""),"-",IF(OR(AND($J97&lt;&gt;"",$J97&lt;=0),AND($L97&lt;&gt;"",$L97&lt;0)),"교체",IF(OR(AND($J97&lt;&gt;"",$J97&lt;=사용안내!$C$16),AND($L97&lt;&gt;"",$L97&lt;=사용안내!$C$17)),"임박","정상"))))</f>
        <v/>
      </c>
    </row>
    <row r="98" customFormat="false" ht="15" hidden="false" customHeight="true" outlineLevel="0" collapsed="false">
      <c r="A98" s="23" t="str">
        <f aca="false">IF(OR(차량목록!$A10="",정비항목!$A11="",차량목록!$G10="매각"),"",차량목록!$A10)</f>
        <v/>
      </c>
      <c r="B98" s="23" t="str">
        <f aca="false">IF($A98="","",차량목록!$B10)</f>
        <v/>
      </c>
      <c r="C98" s="23" t="str">
        <f aca="false">IF($A98="","",정비항목!$B11)</f>
        <v/>
      </c>
      <c r="D98" s="24" t="str">
        <f aca="false">IF($A98="","",IF(정비항목!$C11="",0,정비항목!$C11))</f>
        <v/>
      </c>
      <c r="E98" s="28" t="str">
        <f aca="false">IF($A98="","",IF(정비항목!$D11="",0,정비항목!$D11))</f>
        <v/>
      </c>
      <c r="F98" s="26" t="str">
        <f aca="false">IF($A98="","",IF(COUNTIFS(정비이력!$B$3:$B$1002,$A98,정비이력!$D$3:$D$1002,정비항목!$A11)=0,"",SUMPRODUCT(MAX((정비이력!$B$3:$B$1002=$A98)*(정비이력!$D$3:$D$1002=정비항목!$A11)*정비이력!$A$3:$A$1002))))</f>
        <v/>
      </c>
      <c r="G98" s="27" t="str">
        <f aca="false">IF($A98="","",IF($F98="","",SUMPRODUCT(MAX((정비이력!$B$3:$B$1002=$A98)*(정비이력!$D$3:$D$1002=정비항목!$A11)*정비이력!$F$3:$F$1002))))</f>
        <v/>
      </c>
      <c r="H98" s="27" t="str">
        <f aca="false">IF($A98="","",IF(차량목록!$E10="",0,차량목록!$E10))</f>
        <v/>
      </c>
      <c r="I98" s="27" t="str">
        <f aca="false">IF(OR($A98="",$D98=0),"",IF($G98="",$H98+$D98,$G98+$D98))</f>
        <v/>
      </c>
      <c r="J98" s="24" t="str">
        <f aca="false">IF($I98="","",$I98-$H98)</f>
        <v/>
      </c>
      <c r="K98" s="26" t="str">
        <f aca="true">IF(OR($A98="",$E98=0),"",IF($F98="",EDATE(TODAY(),$E98),EDATE($F98,$E98)))</f>
        <v/>
      </c>
      <c r="L98" s="28" t="str">
        <f aca="true">IF($K98="","",$K98-TODAY())</f>
        <v/>
      </c>
      <c r="M98" s="28" t="str">
        <f aca="false">IF($A98="","",IF(AND($J98="",$L98=""),"-",IF(OR(AND($J98&lt;&gt;"",$J98&lt;=0),AND($L98&lt;&gt;"",$L98&lt;0)),"교체",IF(OR(AND($J98&lt;&gt;"",$J98&lt;=사용안내!$C$16),AND($L98&lt;&gt;"",$L98&lt;=사용안내!$C$17)),"임박","정상"))))</f>
        <v/>
      </c>
    </row>
    <row r="99" customFormat="false" ht="15" hidden="false" customHeight="true" outlineLevel="0" collapsed="false">
      <c r="A99" s="23" t="str">
        <f aca="false">IF(OR(차량목록!$A10="",정비항목!$A12="",차량목록!$G10="매각"),"",차량목록!$A10)</f>
        <v/>
      </c>
      <c r="B99" s="23" t="str">
        <f aca="false">IF($A99="","",차량목록!$B10)</f>
        <v/>
      </c>
      <c r="C99" s="23" t="str">
        <f aca="false">IF($A99="","",정비항목!$B12)</f>
        <v/>
      </c>
      <c r="D99" s="24" t="str">
        <f aca="false">IF($A99="","",IF(정비항목!$C12="",0,정비항목!$C12))</f>
        <v/>
      </c>
      <c r="E99" s="28" t="str">
        <f aca="false">IF($A99="","",IF(정비항목!$D12="",0,정비항목!$D12))</f>
        <v/>
      </c>
      <c r="F99" s="26" t="str">
        <f aca="false">IF($A99="","",IF(COUNTIFS(정비이력!$B$3:$B$1002,$A99,정비이력!$D$3:$D$1002,정비항목!$A12)=0,"",SUMPRODUCT(MAX((정비이력!$B$3:$B$1002=$A99)*(정비이력!$D$3:$D$1002=정비항목!$A12)*정비이력!$A$3:$A$1002))))</f>
        <v/>
      </c>
      <c r="G99" s="27" t="str">
        <f aca="false">IF($A99="","",IF($F99="","",SUMPRODUCT(MAX((정비이력!$B$3:$B$1002=$A99)*(정비이력!$D$3:$D$1002=정비항목!$A12)*정비이력!$F$3:$F$1002))))</f>
        <v/>
      </c>
      <c r="H99" s="27" t="str">
        <f aca="false">IF($A99="","",IF(차량목록!$E10="",0,차량목록!$E10))</f>
        <v/>
      </c>
      <c r="I99" s="27" t="str">
        <f aca="false">IF(OR($A99="",$D99=0),"",IF($G99="",$H99+$D99,$G99+$D99))</f>
        <v/>
      </c>
      <c r="J99" s="24" t="str">
        <f aca="false">IF($I99="","",$I99-$H99)</f>
        <v/>
      </c>
      <c r="K99" s="26" t="str">
        <f aca="true">IF(OR($A99="",$E99=0),"",IF($F99="",EDATE(TODAY(),$E99),EDATE($F99,$E99)))</f>
        <v/>
      </c>
      <c r="L99" s="28" t="str">
        <f aca="true">IF($K99="","",$K99-TODAY())</f>
        <v/>
      </c>
      <c r="M99" s="28" t="str">
        <f aca="false">IF($A99="","",IF(AND($J99="",$L99=""),"-",IF(OR(AND($J99&lt;&gt;"",$J99&lt;=0),AND($L99&lt;&gt;"",$L99&lt;0)),"교체",IF(OR(AND($J99&lt;&gt;"",$J99&lt;=사용안내!$C$16),AND($L99&lt;&gt;"",$L99&lt;=사용안내!$C$17)),"임박","정상"))))</f>
        <v/>
      </c>
    </row>
    <row r="100" customFormat="false" ht="15" hidden="false" customHeight="true" outlineLevel="0" collapsed="false">
      <c r="A100" s="23" t="str">
        <f aca="false">IF(OR(차량목록!$A10="",정비항목!$A13="",차량목록!$G10="매각"),"",차량목록!$A10)</f>
        <v/>
      </c>
      <c r="B100" s="23" t="str">
        <f aca="false">IF($A100="","",차량목록!$B10)</f>
        <v/>
      </c>
      <c r="C100" s="23" t="str">
        <f aca="false">IF($A100="","",정비항목!$B13)</f>
        <v/>
      </c>
      <c r="D100" s="24" t="str">
        <f aca="false">IF($A100="","",IF(정비항목!$C13="",0,정비항목!$C13))</f>
        <v/>
      </c>
      <c r="E100" s="28" t="str">
        <f aca="false">IF($A100="","",IF(정비항목!$D13="",0,정비항목!$D13))</f>
        <v/>
      </c>
      <c r="F100" s="26" t="str">
        <f aca="false">IF($A100="","",IF(COUNTIFS(정비이력!$B$3:$B$1002,$A100,정비이력!$D$3:$D$1002,정비항목!$A13)=0,"",SUMPRODUCT(MAX((정비이력!$B$3:$B$1002=$A100)*(정비이력!$D$3:$D$1002=정비항목!$A13)*정비이력!$A$3:$A$1002))))</f>
        <v/>
      </c>
      <c r="G100" s="27" t="str">
        <f aca="false">IF($A100="","",IF($F100="","",SUMPRODUCT(MAX((정비이력!$B$3:$B$1002=$A100)*(정비이력!$D$3:$D$1002=정비항목!$A13)*정비이력!$F$3:$F$1002))))</f>
        <v/>
      </c>
      <c r="H100" s="27" t="str">
        <f aca="false">IF($A100="","",IF(차량목록!$E10="",0,차량목록!$E10))</f>
        <v/>
      </c>
      <c r="I100" s="27" t="str">
        <f aca="false">IF(OR($A100="",$D100=0),"",IF($G100="",$H100+$D100,$G100+$D100))</f>
        <v/>
      </c>
      <c r="J100" s="24" t="str">
        <f aca="false">IF($I100="","",$I100-$H100)</f>
        <v/>
      </c>
      <c r="K100" s="26" t="str">
        <f aca="true">IF(OR($A100="",$E100=0),"",IF($F100="",EDATE(TODAY(),$E100),EDATE($F100,$E100)))</f>
        <v/>
      </c>
      <c r="L100" s="28" t="str">
        <f aca="true">IF($K100="","",$K100-TODAY())</f>
        <v/>
      </c>
      <c r="M100" s="28" t="str">
        <f aca="false">IF($A100="","",IF(AND($J100="",$L100=""),"-",IF(OR(AND($J100&lt;&gt;"",$J100&lt;=0),AND($L100&lt;&gt;"",$L100&lt;0)),"교체",IF(OR(AND($J100&lt;&gt;"",$J100&lt;=사용안내!$C$16),AND($L100&lt;&gt;"",$L100&lt;=사용안내!$C$17)),"임박","정상"))))</f>
        <v/>
      </c>
    </row>
    <row r="101" customFormat="false" ht="15" hidden="false" customHeight="true" outlineLevel="0" collapsed="false">
      <c r="A101" s="23" t="str">
        <f aca="false">IF(OR(차량목록!$A10="",정비항목!$A14="",차량목록!$G10="매각"),"",차량목록!$A10)</f>
        <v/>
      </c>
      <c r="B101" s="23" t="str">
        <f aca="false">IF($A101="","",차량목록!$B10)</f>
        <v/>
      </c>
      <c r="C101" s="23" t="str">
        <f aca="false">IF($A101="","",정비항목!$B14)</f>
        <v/>
      </c>
      <c r="D101" s="24" t="str">
        <f aca="false">IF($A101="","",IF(정비항목!$C14="",0,정비항목!$C14))</f>
        <v/>
      </c>
      <c r="E101" s="28" t="str">
        <f aca="false">IF($A101="","",IF(정비항목!$D14="",0,정비항목!$D14))</f>
        <v/>
      </c>
      <c r="F101" s="26" t="str">
        <f aca="false">IF($A101="","",IF(COUNTIFS(정비이력!$B$3:$B$1002,$A101,정비이력!$D$3:$D$1002,정비항목!$A14)=0,"",SUMPRODUCT(MAX((정비이력!$B$3:$B$1002=$A101)*(정비이력!$D$3:$D$1002=정비항목!$A14)*정비이력!$A$3:$A$1002))))</f>
        <v/>
      </c>
      <c r="G101" s="27" t="str">
        <f aca="false">IF($A101="","",IF($F101="","",SUMPRODUCT(MAX((정비이력!$B$3:$B$1002=$A101)*(정비이력!$D$3:$D$1002=정비항목!$A14)*정비이력!$F$3:$F$1002))))</f>
        <v/>
      </c>
      <c r="H101" s="27" t="str">
        <f aca="false">IF($A101="","",IF(차량목록!$E10="",0,차량목록!$E10))</f>
        <v/>
      </c>
      <c r="I101" s="27" t="str">
        <f aca="false">IF(OR($A101="",$D101=0),"",IF($G101="",$H101+$D101,$G101+$D101))</f>
        <v/>
      </c>
      <c r="J101" s="24" t="str">
        <f aca="false">IF($I101="","",$I101-$H101)</f>
        <v/>
      </c>
      <c r="K101" s="26" t="str">
        <f aca="true">IF(OR($A101="",$E101=0),"",IF($F101="",EDATE(TODAY(),$E101),EDATE($F101,$E101)))</f>
        <v/>
      </c>
      <c r="L101" s="28" t="str">
        <f aca="true">IF($K101="","",$K101-TODAY())</f>
        <v/>
      </c>
      <c r="M101" s="28" t="str">
        <f aca="false">IF($A101="","",IF(AND($J101="",$L101=""),"-",IF(OR(AND($J101&lt;&gt;"",$J101&lt;=0),AND($L101&lt;&gt;"",$L101&lt;0)),"교체",IF(OR(AND($J101&lt;&gt;"",$J101&lt;=사용안내!$C$16),AND($L101&lt;&gt;"",$L101&lt;=사용안내!$C$17)),"임박","정상"))))</f>
        <v/>
      </c>
    </row>
    <row r="102" customFormat="false" ht="15" hidden="false" customHeight="true" outlineLevel="0" collapsed="false">
      <c r="A102" s="23" t="str">
        <f aca="false">IF(OR(차량목록!$A11="",정비항목!$A3="",차량목록!$G11="매각"),"",차량목록!$A11)</f>
        <v/>
      </c>
      <c r="B102" s="23" t="str">
        <f aca="false">IF($A102="","",차량목록!$B11)</f>
        <v/>
      </c>
      <c r="C102" s="23" t="str">
        <f aca="false">IF($A102="","",정비항목!$B3)</f>
        <v/>
      </c>
      <c r="D102" s="24" t="str">
        <f aca="false">IF($A102="","",IF(정비항목!$C3="",0,정비항목!$C3))</f>
        <v/>
      </c>
      <c r="E102" s="28" t="str">
        <f aca="false">IF($A102="","",IF(정비항목!$D3="",0,정비항목!$D3))</f>
        <v/>
      </c>
      <c r="F102" s="26" t="str">
        <f aca="false">IF($A102="","",IF(COUNTIFS(정비이력!$B$3:$B$1002,$A102,정비이력!$D$3:$D$1002,정비항목!$A3)=0,"",SUMPRODUCT(MAX((정비이력!$B$3:$B$1002=$A102)*(정비이력!$D$3:$D$1002=정비항목!$A3)*정비이력!$A$3:$A$1002))))</f>
        <v/>
      </c>
      <c r="G102" s="27" t="str">
        <f aca="false">IF($A102="","",IF($F102="","",SUMPRODUCT(MAX((정비이력!$B$3:$B$1002=$A102)*(정비이력!$D$3:$D$1002=정비항목!$A3)*정비이력!$F$3:$F$1002))))</f>
        <v/>
      </c>
      <c r="H102" s="27" t="str">
        <f aca="false">IF($A102="","",IF(차량목록!$E11="",0,차량목록!$E11))</f>
        <v/>
      </c>
      <c r="I102" s="27" t="str">
        <f aca="false">IF(OR($A102="",$D102=0),"",IF($G102="",$H102+$D102,$G102+$D102))</f>
        <v/>
      </c>
      <c r="J102" s="24" t="str">
        <f aca="false">IF($I102="","",$I102-$H102)</f>
        <v/>
      </c>
      <c r="K102" s="26" t="str">
        <f aca="true">IF(OR($A102="",$E102=0),"",IF($F102="",EDATE(TODAY(),$E102),EDATE($F102,$E102)))</f>
        <v/>
      </c>
      <c r="L102" s="28" t="str">
        <f aca="true">IF($K102="","",$K102-TODAY())</f>
        <v/>
      </c>
      <c r="M102" s="28" t="str">
        <f aca="false">IF($A102="","",IF(AND($J102="",$L102=""),"-",IF(OR(AND($J102&lt;&gt;"",$J102&lt;=0),AND($L102&lt;&gt;"",$L102&lt;0)),"교체",IF(OR(AND($J102&lt;&gt;"",$J102&lt;=사용안내!$C$16),AND($L102&lt;&gt;"",$L102&lt;=사용안내!$C$17)),"임박","정상"))))</f>
        <v/>
      </c>
    </row>
    <row r="103" customFormat="false" ht="15" hidden="false" customHeight="true" outlineLevel="0" collapsed="false">
      <c r="A103" s="23" t="str">
        <f aca="false">IF(OR(차량목록!$A11="",정비항목!$A4="",차량목록!$G11="매각"),"",차량목록!$A11)</f>
        <v/>
      </c>
      <c r="B103" s="23" t="str">
        <f aca="false">IF($A103="","",차량목록!$B11)</f>
        <v/>
      </c>
      <c r="C103" s="23" t="str">
        <f aca="false">IF($A103="","",정비항목!$B4)</f>
        <v/>
      </c>
      <c r="D103" s="24" t="str">
        <f aca="false">IF($A103="","",IF(정비항목!$C4="",0,정비항목!$C4))</f>
        <v/>
      </c>
      <c r="E103" s="28" t="str">
        <f aca="false">IF($A103="","",IF(정비항목!$D4="",0,정비항목!$D4))</f>
        <v/>
      </c>
      <c r="F103" s="26" t="str">
        <f aca="false">IF($A103="","",IF(COUNTIFS(정비이력!$B$3:$B$1002,$A103,정비이력!$D$3:$D$1002,정비항목!$A4)=0,"",SUMPRODUCT(MAX((정비이력!$B$3:$B$1002=$A103)*(정비이력!$D$3:$D$1002=정비항목!$A4)*정비이력!$A$3:$A$1002))))</f>
        <v/>
      </c>
      <c r="G103" s="27" t="str">
        <f aca="false">IF($A103="","",IF($F103="","",SUMPRODUCT(MAX((정비이력!$B$3:$B$1002=$A103)*(정비이력!$D$3:$D$1002=정비항목!$A4)*정비이력!$F$3:$F$1002))))</f>
        <v/>
      </c>
      <c r="H103" s="27" t="str">
        <f aca="false">IF($A103="","",IF(차량목록!$E11="",0,차량목록!$E11))</f>
        <v/>
      </c>
      <c r="I103" s="27" t="str">
        <f aca="false">IF(OR($A103="",$D103=0),"",IF($G103="",$H103+$D103,$G103+$D103))</f>
        <v/>
      </c>
      <c r="J103" s="24" t="str">
        <f aca="false">IF($I103="","",$I103-$H103)</f>
        <v/>
      </c>
      <c r="K103" s="26" t="str">
        <f aca="true">IF(OR($A103="",$E103=0),"",IF($F103="",EDATE(TODAY(),$E103),EDATE($F103,$E103)))</f>
        <v/>
      </c>
      <c r="L103" s="28" t="str">
        <f aca="true">IF($K103="","",$K103-TODAY())</f>
        <v/>
      </c>
      <c r="M103" s="28" t="str">
        <f aca="false">IF($A103="","",IF(AND($J103="",$L103=""),"-",IF(OR(AND($J103&lt;&gt;"",$J103&lt;=0),AND($L103&lt;&gt;"",$L103&lt;0)),"교체",IF(OR(AND($J103&lt;&gt;"",$J103&lt;=사용안내!$C$16),AND($L103&lt;&gt;"",$L103&lt;=사용안내!$C$17)),"임박","정상"))))</f>
        <v/>
      </c>
    </row>
    <row r="104" customFormat="false" ht="15" hidden="false" customHeight="true" outlineLevel="0" collapsed="false">
      <c r="A104" s="23" t="str">
        <f aca="false">IF(OR(차량목록!$A11="",정비항목!$A5="",차량목록!$G11="매각"),"",차량목록!$A11)</f>
        <v/>
      </c>
      <c r="B104" s="23" t="str">
        <f aca="false">IF($A104="","",차량목록!$B11)</f>
        <v/>
      </c>
      <c r="C104" s="23" t="str">
        <f aca="false">IF($A104="","",정비항목!$B5)</f>
        <v/>
      </c>
      <c r="D104" s="24" t="str">
        <f aca="false">IF($A104="","",IF(정비항목!$C5="",0,정비항목!$C5))</f>
        <v/>
      </c>
      <c r="E104" s="28" t="str">
        <f aca="false">IF($A104="","",IF(정비항목!$D5="",0,정비항목!$D5))</f>
        <v/>
      </c>
      <c r="F104" s="26" t="str">
        <f aca="false">IF($A104="","",IF(COUNTIFS(정비이력!$B$3:$B$1002,$A104,정비이력!$D$3:$D$1002,정비항목!$A5)=0,"",SUMPRODUCT(MAX((정비이력!$B$3:$B$1002=$A104)*(정비이력!$D$3:$D$1002=정비항목!$A5)*정비이력!$A$3:$A$1002))))</f>
        <v/>
      </c>
      <c r="G104" s="27" t="str">
        <f aca="false">IF($A104="","",IF($F104="","",SUMPRODUCT(MAX((정비이력!$B$3:$B$1002=$A104)*(정비이력!$D$3:$D$1002=정비항목!$A5)*정비이력!$F$3:$F$1002))))</f>
        <v/>
      </c>
      <c r="H104" s="27" t="str">
        <f aca="false">IF($A104="","",IF(차량목록!$E11="",0,차량목록!$E11))</f>
        <v/>
      </c>
      <c r="I104" s="27" t="str">
        <f aca="false">IF(OR($A104="",$D104=0),"",IF($G104="",$H104+$D104,$G104+$D104))</f>
        <v/>
      </c>
      <c r="J104" s="24" t="str">
        <f aca="false">IF($I104="","",$I104-$H104)</f>
        <v/>
      </c>
      <c r="K104" s="26" t="str">
        <f aca="true">IF(OR($A104="",$E104=0),"",IF($F104="",EDATE(TODAY(),$E104),EDATE($F104,$E104)))</f>
        <v/>
      </c>
      <c r="L104" s="28" t="str">
        <f aca="true">IF($K104="","",$K104-TODAY())</f>
        <v/>
      </c>
      <c r="M104" s="28" t="str">
        <f aca="false">IF($A104="","",IF(AND($J104="",$L104=""),"-",IF(OR(AND($J104&lt;&gt;"",$J104&lt;=0),AND($L104&lt;&gt;"",$L104&lt;0)),"교체",IF(OR(AND($J104&lt;&gt;"",$J104&lt;=사용안내!$C$16),AND($L104&lt;&gt;"",$L104&lt;=사용안내!$C$17)),"임박","정상"))))</f>
        <v/>
      </c>
    </row>
    <row r="105" customFormat="false" ht="15" hidden="false" customHeight="true" outlineLevel="0" collapsed="false">
      <c r="A105" s="23" t="str">
        <f aca="false">IF(OR(차량목록!$A11="",정비항목!$A6="",차량목록!$G11="매각"),"",차량목록!$A11)</f>
        <v/>
      </c>
      <c r="B105" s="23" t="str">
        <f aca="false">IF($A105="","",차량목록!$B11)</f>
        <v/>
      </c>
      <c r="C105" s="23" t="str">
        <f aca="false">IF($A105="","",정비항목!$B6)</f>
        <v/>
      </c>
      <c r="D105" s="24" t="str">
        <f aca="false">IF($A105="","",IF(정비항목!$C6="",0,정비항목!$C6))</f>
        <v/>
      </c>
      <c r="E105" s="28" t="str">
        <f aca="false">IF($A105="","",IF(정비항목!$D6="",0,정비항목!$D6))</f>
        <v/>
      </c>
      <c r="F105" s="26" t="str">
        <f aca="false">IF($A105="","",IF(COUNTIFS(정비이력!$B$3:$B$1002,$A105,정비이력!$D$3:$D$1002,정비항목!$A6)=0,"",SUMPRODUCT(MAX((정비이력!$B$3:$B$1002=$A105)*(정비이력!$D$3:$D$1002=정비항목!$A6)*정비이력!$A$3:$A$1002))))</f>
        <v/>
      </c>
      <c r="G105" s="27" t="str">
        <f aca="false">IF($A105="","",IF($F105="","",SUMPRODUCT(MAX((정비이력!$B$3:$B$1002=$A105)*(정비이력!$D$3:$D$1002=정비항목!$A6)*정비이력!$F$3:$F$1002))))</f>
        <v/>
      </c>
      <c r="H105" s="27" t="str">
        <f aca="false">IF($A105="","",IF(차량목록!$E11="",0,차량목록!$E11))</f>
        <v/>
      </c>
      <c r="I105" s="27" t="str">
        <f aca="false">IF(OR($A105="",$D105=0),"",IF($G105="",$H105+$D105,$G105+$D105))</f>
        <v/>
      </c>
      <c r="J105" s="24" t="str">
        <f aca="false">IF($I105="","",$I105-$H105)</f>
        <v/>
      </c>
      <c r="K105" s="26" t="str">
        <f aca="true">IF(OR($A105="",$E105=0),"",IF($F105="",EDATE(TODAY(),$E105),EDATE($F105,$E105)))</f>
        <v/>
      </c>
      <c r="L105" s="28" t="str">
        <f aca="true">IF($K105="","",$K105-TODAY())</f>
        <v/>
      </c>
      <c r="M105" s="28" t="str">
        <f aca="false">IF($A105="","",IF(AND($J105="",$L105=""),"-",IF(OR(AND($J105&lt;&gt;"",$J105&lt;=0),AND($L105&lt;&gt;"",$L105&lt;0)),"교체",IF(OR(AND($J105&lt;&gt;"",$J105&lt;=사용안내!$C$16),AND($L105&lt;&gt;"",$L105&lt;=사용안내!$C$17)),"임박","정상"))))</f>
        <v/>
      </c>
    </row>
    <row r="106" customFormat="false" ht="15" hidden="false" customHeight="true" outlineLevel="0" collapsed="false">
      <c r="A106" s="23" t="str">
        <f aca="false">IF(OR(차량목록!$A11="",정비항목!$A7="",차량목록!$G11="매각"),"",차량목록!$A11)</f>
        <v/>
      </c>
      <c r="B106" s="23" t="str">
        <f aca="false">IF($A106="","",차량목록!$B11)</f>
        <v/>
      </c>
      <c r="C106" s="23" t="str">
        <f aca="false">IF($A106="","",정비항목!$B7)</f>
        <v/>
      </c>
      <c r="D106" s="24" t="str">
        <f aca="false">IF($A106="","",IF(정비항목!$C7="",0,정비항목!$C7))</f>
        <v/>
      </c>
      <c r="E106" s="28" t="str">
        <f aca="false">IF($A106="","",IF(정비항목!$D7="",0,정비항목!$D7))</f>
        <v/>
      </c>
      <c r="F106" s="26" t="str">
        <f aca="false">IF($A106="","",IF(COUNTIFS(정비이력!$B$3:$B$1002,$A106,정비이력!$D$3:$D$1002,정비항목!$A7)=0,"",SUMPRODUCT(MAX((정비이력!$B$3:$B$1002=$A106)*(정비이력!$D$3:$D$1002=정비항목!$A7)*정비이력!$A$3:$A$1002))))</f>
        <v/>
      </c>
      <c r="G106" s="27" t="str">
        <f aca="false">IF($A106="","",IF($F106="","",SUMPRODUCT(MAX((정비이력!$B$3:$B$1002=$A106)*(정비이력!$D$3:$D$1002=정비항목!$A7)*정비이력!$F$3:$F$1002))))</f>
        <v/>
      </c>
      <c r="H106" s="27" t="str">
        <f aca="false">IF($A106="","",IF(차량목록!$E11="",0,차량목록!$E11))</f>
        <v/>
      </c>
      <c r="I106" s="27" t="str">
        <f aca="false">IF(OR($A106="",$D106=0),"",IF($G106="",$H106+$D106,$G106+$D106))</f>
        <v/>
      </c>
      <c r="J106" s="24" t="str">
        <f aca="false">IF($I106="","",$I106-$H106)</f>
        <v/>
      </c>
      <c r="K106" s="26" t="str">
        <f aca="true">IF(OR($A106="",$E106=0),"",IF($F106="",EDATE(TODAY(),$E106),EDATE($F106,$E106)))</f>
        <v/>
      </c>
      <c r="L106" s="28" t="str">
        <f aca="true">IF($K106="","",$K106-TODAY())</f>
        <v/>
      </c>
      <c r="M106" s="28" t="str">
        <f aca="false">IF($A106="","",IF(AND($J106="",$L106=""),"-",IF(OR(AND($J106&lt;&gt;"",$J106&lt;=0),AND($L106&lt;&gt;"",$L106&lt;0)),"교체",IF(OR(AND($J106&lt;&gt;"",$J106&lt;=사용안내!$C$16),AND($L106&lt;&gt;"",$L106&lt;=사용안내!$C$17)),"임박","정상"))))</f>
        <v/>
      </c>
    </row>
    <row r="107" customFormat="false" ht="15" hidden="false" customHeight="true" outlineLevel="0" collapsed="false">
      <c r="A107" s="23" t="str">
        <f aca="false">IF(OR(차량목록!$A11="",정비항목!$A8="",차량목록!$G11="매각"),"",차량목록!$A11)</f>
        <v/>
      </c>
      <c r="B107" s="23" t="str">
        <f aca="false">IF($A107="","",차량목록!$B11)</f>
        <v/>
      </c>
      <c r="C107" s="23" t="str">
        <f aca="false">IF($A107="","",정비항목!$B8)</f>
        <v/>
      </c>
      <c r="D107" s="24" t="str">
        <f aca="false">IF($A107="","",IF(정비항목!$C8="",0,정비항목!$C8))</f>
        <v/>
      </c>
      <c r="E107" s="28" t="str">
        <f aca="false">IF($A107="","",IF(정비항목!$D8="",0,정비항목!$D8))</f>
        <v/>
      </c>
      <c r="F107" s="26" t="str">
        <f aca="false">IF($A107="","",IF(COUNTIFS(정비이력!$B$3:$B$1002,$A107,정비이력!$D$3:$D$1002,정비항목!$A8)=0,"",SUMPRODUCT(MAX((정비이력!$B$3:$B$1002=$A107)*(정비이력!$D$3:$D$1002=정비항목!$A8)*정비이력!$A$3:$A$1002))))</f>
        <v/>
      </c>
      <c r="G107" s="27" t="str">
        <f aca="false">IF($A107="","",IF($F107="","",SUMPRODUCT(MAX((정비이력!$B$3:$B$1002=$A107)*(정비이력!$D$3:$D$1002=정비항목!$A8)*정비이력!$F$3:$F$1002))))</f>
        <v/>
      </c>
      <c r="H107" s="27" t="str">
        <f aca="false">IF($A107="","",IF(차량목록!$E11="",0,차량목록!$E11))</f>
        <v/>
      </c>
      <c r="I107" s="27" t="str">
        <f aca="false">IF(OR($A107="",$D107=0),"",IF($G107="",$H107+$D107,$G107+$D107))</f>
        <v/>
      </c>
      <c r="J107" s="24" t="str">
        <f aca="false">IF($I107="","",$I107-$H107)</f>
        <v/>
      </c>
      <c r="K107" s="26" t="str">
        <f aca="true">IF(OR($A107="",$E107=0),"",IF($F107="",EDATE(TODAY(),$E107),EDATE($F107,$E107)))</f>
        <v/>
      </c>
      <c r="L107" s="28" t="str">
        <f aca="true">IF($K107="","",$K107-TODAY())</f>
        <v/>
      </c>
      <c r="M107" s="28" t="str">
        <f aca="false">IF($A107="","",IF(AND($J107="",$L107=""),"-",IF(OR(AND($J107&lt;&gt;"",$J107&lt;=0),AND($L107&lt;&gt;"",$L107&lt;0)),"교체",IF(OR(AND($J107&lt;&gt;"",$J107&lt;=사용안내!$C$16),AND($L107&lt;&gt;"",$L107&lt;=사용안내!$C$17)),"임박","정상"))))</f>
        <v/>
      </c>
    </row>
    <row r="108" customFormat="false" ht="15" hidden="false" customHeight="true" outlineLevel="0" collapsed="false">
      <c r="A108" s="23" t="str">
        <f aca="false">IF(OR(차량목록!$A11="",정비항목!$A9="",차량목록!$G11="매각"),"",차량목록!$A11)</f>
        <v/>
      </c>
      <c r="B108" s="23" t="str">
        <f aca="false">IF($A108="","",차량목록!$B11)</f>
        <v/>
      </c>
      <c r="C108" s="23" t="str">
        <f aca="false">IF($A108="","",정비항목!$B9)</f>
        <v/>
      </c>
      <c r="D108" s="24" t="str">
        <f aca="false">IF($A108="","",IF(정비항목!$C9="",0,정비항목!$C9))</f>
        <v/>
      </c>
      <c r="E108" s="28" t="str">
        <f aca="false">IF($A108="","",IF(정비항목!$D9="",0,정비항목!$D9))</f>
        <v/>
      </c>
      <c r="F108" s="26" t="str">
        <f aca="false">IF($A108="","",IF(COUNTIFS(정비이력!$B$3:$B$1002,$A108,정비이력!$D$3:$D$1002,정비항목!$A9)=0,"",SUMPRODUCT(MAX((정비이력!$B$3:$B$1002=$A108)*(정비이력!$D$3:$D$1002=정비항목!$A9)*정비이력!$A$3:$A$1002))))</f>
        <v/>
      </c>
      <c r="G108" s="27" t="str">
        <f aca="false">IF($A108="","",IF($F108="","",SUMPRODUCT(MAX((정비이력!$B$3:$B$1002=$A108)*(정비이력!$D$3:$D$1002=정비항목!$A9)*정비이력!$F$3:$F$1002))))</f>
        <v/>
      </c>
      <c r="H108" s="27" t="str">
        <f aca="false">IF($A108="","",IF(차량목록!$E11="",0,차량목록!$E11))</f>
        <v/>
      </c>
      <c r="I108" s="27" t="str">
        <f aca="false">IF(OR($A108="",$D108=0),"",IF($G108="",$H108+$D108,$G108+$D108))</f>
        <v/>
      </c>
      <c r="J108" s="24" t="str">
        <f aca="false">IF($I108="","",$I108-$H108)</f>
        <v/>
      </c>
      <c r="K108" s="26" t="str">
        <f aca="true">IF(OR($A108="",$E108=0),"",IF($F108="",EDATE(TODAY(),$E108),EDATE($F108,$E108)))</f>
        <v/>
      </c>
      <c r="L108" s="28" t="str">
        <f aca="true">IF($K108="","",$K108-TODAY())</f>
        <v/>
      </c>
      <c r="M108" s="28" t="str">
        <f aca="false">IF($A108="","",IF(AND($J108="",$L108=""),"-",IF(OR(AND($J108&lt;&gt;"",$J108&lt;=0),AND($L108&lt;&gt;"",$L108&lt;0)),"교체",IF(OR(AND($J108&lt;&gt;"",$J108&lt;=사용안내!$C$16),AND($L108&lt;&gt;"",$L108&lt;=사용안내!$C$17)),"임박","정상"))))</f>
        <v/>
      </c>
    </row>
    <row r="109" customFormat="false" ht="15" hidden="false" customHeight="true" outlineLevel="0" collapsed="false">
      <c r="A109" s="23" t="str">
        <f aca="false">IF(OR(차량목록!$A11="",정비항목!$A10="",차량목록!$G11="매각"),"",차량목록!$A11)</f>
        <v/>
      </c>
      <c r="B109" s="23" t="str">
        <f aca="false">IF($A109="","",차량목록!$B11)</f>
        <v/>
      </c>
      <c r="C109" s="23" t="str">
        <f aca="false">IF($A109="","",정비항목!$B10)</f>
        <v/>
      </c>
      <c r="D109" s="24" t="str">
        <f aca="false">IF($A109="","",IF(정비항목!$C10="",0,정비항목!$C10))</f>
        <v/>
      </c>
      <c r="E109" s="28" t="str">
        <f aca="false">IF($A109="","",IF(정비항목!$D10="",0,정비항목!$D10))</f>
        <v/>
      </c>
      <c r="F109" s="26" t="str">
        <f aca="false">IF($A109="","",IF(COUNTIFS(정비이력!$B$3:$B$1002,$A109,정비이력!$D$3:$D$1002,정비항목!$A10)=0,"",SUMPRODUCT(MAX((정비이력!$B$3:$B$1002=$A109)*(정비이력!$D$3:$D$1002=정비항목!$A10)*정비이력!$A$3:$A$1002))))</f>
        <v/>
      </c>
      <c r="G109" s="27" t="str">
        <f aca="false">IF($A109="","",IF($F109="","",SUMPRODUCT(MAX((정비이력!$B$3:$B$1002=$A109)*(정비이력!$D$3:$D$1002=정비항목!$A10)*정비이력!$F$3:$F$1002))))</f>
        <v/>
      </c>
      <c r="H109" s="27" t="str">
        <f aca="false">IF($A109="","",IF(차량목록!$E11="",0,차량목록!$E11))</f>
        <v/>
      </c>
      <c r="I109" s="27" t="str">
        <f aca="false">IF(OR($A109="",$D109=0),"",IF($G109="",$H109+$D109,$G109+$D109))</f>
        <v/>
      </c>
      <c r="J109" s="24" t="str">
        <f aca="false">IF($I109="","",$I109-$H109)</f>
        <v/>
      </c>
      <c r="K109" s="26" t="str">
        <f aca="true">IF(OR($A109="",$E109=0),"",IF($F109="",EDATE(TODAY(),$E109),EDATE($F109,$E109)))</f>
        <v/>
      </c>
      <c r="L109" s="28" t="str">
        <f aca="true">IF($K109="","",$K109-TODAY())</f>
        <v/>
      </c>
      <c r="M109" s="28" t="str">
        <f aca="false">IF($A109="","",IF(AND($J109="",$L109=""),"-",IF(OR(AND($J109&lt;&gt;"",$J109&lt;=0),AND($L109&lt;&gt;"",$L109&lt;0)),"교체",IF(OR(AND($J109&lt;&gt;"",$J109&lt;=사용안내!$C$16),AND($L109&lt;&gt;"",$L109&lt;=사용안내!$C$17)),"임박","정상"))))</f>
        <v/>
      </c>
    </row>
    <row r="110" customFormat="false" ht="15" hidden="false" customHeight="true" outlineLevel="0" collapsed="false">
      <c r="A110" s="23" t="str">
        <f aca="false">IF(OR(차량목록!$A11="",정비항목!$A11="",차량목록!$G11="매각"),"",차량목록!$A11)</f>
        <v/>
      </c>
      <c r="B110" s="23" t="str">
        <f aca="false">IF($A110="","",차량목록!$B11)</f>
        <v/>
      </c>
      <c r="C110" s="23" t="str">
        <f aca="false">IF($A110="","",정비항목!$B11)</f>
        <v/>
      </c>
      <c r="D110" s="24" t="str">
        <f aca="false">IF($A110="","",IF(정비항목!$C11="",0,정비항목!$C11))</f>
        <v/>
      </c>
      <c r="E110" s="28" t="str">
        <f aca="false">IF($A110="","",IF(정비항목!$D11="",0,정비항목!$D11))</f>
        <v/>
      </c>
      <c r="F110" s="26" t="str">
        <f aca="false">IF($A110="","",IF(COUNTIFS(정비이력!$B$3:$B$1002,$A110,정비이력!$D$3:$D$1002,정비항목!$A11)=0,"",SUMPRODUCT(MAX((정비이력!$B$3:$B$1002=$A110)*(정비이력!$D$3:$D$1002=정비항목!$A11)*정비이력!$A$3:$A$1002))))</f>
        <v/>
      </c>
      <c r="G110" s="27" t="str">
        <f aca="false">IF($A110="","",IF($F110="","",SUMPRODUCT(MAX((정비이력!$B$3:$B$1002=$A110)*(정비이력!$D$3:$D$1002=정비항목!$A11)*정비이력!$F$3:$F$1002))))</f>
        <v/>
      </c>
      <c r="H110" s="27" t="str">
        <f aca="false">IF($A110="","",IF(차량목록!$E11="",0,차량목록!$E11))</f>
        <v/>
      </c>
      <c r="I110" s="27" t="str">
        <f aca="false">IF(OR($A110="",$D110=0),"",IF($G110="",$H110+$D110,$G110+$D110))</f>
        <v/>
      </c>
      <c r="J110" s="24" t="str">
        <f aca="false">IF($I110="","",$I110-$H110)</f>
        <v/>
      </c>
      <c r="K110" s="26" t="str">
        <f aca="true">IF(OR($A110="",$E110=0),"",IF($F110="",EDATE(TODAY(),$E110),EDATE($F110,$E110)))</f>
        <v/>
      </c>
      <c r="L110" s="28" t="str">
        <f aca="true">IF($K110="","",$K110-TODAY())</f>
        <v/>
      </c>
      <c r="M110" s="28" t="str">
        <f aca="false">IF($A110="","",IF(AND($J110="",$L110=""),"-",IF(OR(AND($J110&lt;&gt;"",$J110&lt;=0),AND($L110&lt;&gt;"",$L110&lt;0)),"교체",IF(OR(AND($J110&lt;&gt;"",$J110&lt;=사용안내!$C$16),AND($L110&lt;&gt;"",$L110&lt;=사용안내!$C$17)),"임박","정상"))))</f>
        <v/>
      </c>
    </row>
    <row r="111" customFormat="false" ht="15" hidden="false" customHeight="true" outlineLevel="0" collapsed="false">
      <c r="A111" s="23" t="str">
        <f aca="false">IF(OR(차량목록!$A11="",정비항목!$A12="",차량목록!$G11="매각"),"",차량목록!$A11)</f>
        <v/>
      </c>
      <c r="B111" s="23" t="str">
        <f aca="false">IF($A111="","",차량목록!$B11)</f>
        <v/>
      </c>
      <c r="C111" s="23" t="str">
        <f aca="false">IF($A111="","",정비항목!$B12)</f>
        <v/>
      </c>
      <c r="D111" s="24" t="str">
        <f aca="false">IF($A111="","",IF(정비항목!$C12="",0,정비항목!$C12))</f>
        <v/>
      </c>
      <c r="E111" s="28" t="str">
        <f aca="false">IF($A111="","",IF(정비항목!$D12="",0,정비항목!$D12))</f>
        <v/>
      </c>
      <c r="F111" s="26" t="str">
        <f aca="false">IF($A111="","",IF(COUNTIFS(정비이력!$B$3:$B$1002,$A111,정비이력!$D$3:$D$1002,정비항목!$A12)=0,"",SUMPRODUCT(MAX((정비이력!$B$3:$B$1002=$A111)*(정비이력!$D$3:$D$1002=정비항목!$A12)*정비이력!$A$3:$A$1002))))</f>
        <v/>
      </c>
      <c r="G111" s="27" t="str">
        <f aca="false">IF($A111="","",IF($F111="","",SUMPRODUCT(MAX((정비이력!$B$3:$B$1002=$A111)*(정비이력!$D$3:$D$1002=정비항목!$A12)*정비이력!$F$3:$F$1002))))</f>
        <v/>
      </c>
      <c r="H111" s="27" t="str">
        <f aca="false">IF($A111="","",IF(차량목록!$E11="",0,차량목록!$E11))</f>
        <v/>
      </c>
      <c r="I111" s="27" t="str">
        <f aca="false">IF(OR($A111="",$D111=0),"",IF($G111="",$H111+$D111,$G111+$D111))</f>
        <v/>
      </c>
      <c r="J111" s="24" t="str">
        <f aca="false">IF($I111="","",$I111-$H111)</f>
        <v/>
      </c>
      <c r="K111" s="26" t="str">
        <f aca="true">IF(OR($A111="",$E111=0),"",IF($F111="",EDATE(TODAY(),$E111),EDATE($F111,$E111)))</f>
        <v/>
      </c>
      <c r="L111" s="28" t="str">
        <f aca="true">IF($K111="","",$K111-TODAY())</f>
        <v/>
      </c>
      <c r="M111" s="28" t="str">
        <f aca="false">IF($A111="","",IF(AND($J111="",$L111=""),"-",IF(OR(AND($J111&lt;&gt;"",$J111&lt;=0),AND($L111&lt;&gt;"",$L111&lt;0)),"교체",IF(OR(AND($J111&lt;&gt;"",$J111&lt;=사용안내!$C$16),AND($L111&lt;&gt;"",$L111&lt;=사용안내!$C$17)),"임박","정상"))))</f>
        <v/>
      </c>
    </row>
    <row r="112" customFormat="false" ht="15" hidden="false" customHeight="true" outlineLevel="0" collapsed="false">
      <c r="A112" s="23" t="str">
        <f aca="false">IF(OR(차량목록!$A11="",정비항목!$A13="",차량목록!$G11="매각"),"",차량목록!$A11)</f>
        <v/>
      </c>
      <c r="B112" s="23" t="str">
        <f aca="false">IF($A112="","",차량목록!$B11)</f>
        <v/>
      </c>
      <c r="C112" s="23" t="str">
        <f aca="false">IF($A112="","",정비항목!$B13)</f>
        <v/>
      </c>
      <c r="D112" s="24" t="str">
        <f aca="false">IF($A112="","",IF(정비항목!$C13="",0,정비항목!$C13))</f>
        <v/>
      </c>
      <c r="E112" s="28" t="str">
        <f aca="false">IF($A112="","",IF(정비항목!$D13="",0,정비항목!$D13))</f>
        <v/>
      </c>
      <c r="F112" s="26" t="str">
        <f aca="false">IF($A112="","",IF(COUNTIFS(정비이력!$B$3:$B$1002,$A112,정비이력!$D$3:$D$1002,정비항목!$A13)=0,"",SUMPRODUCT(MAX((정비이력!$B$3:$B$1002=$A112)*(정비이력!$D$3:$D$1002=정비항목!$A13)*정비이력!$A$3:$A$1002))))</f>
        <v/>
      </c>
      <c r="G112" s="27" t="str">
        <f aca="false">IF($A112="","",IF($F112="","",SUMPRODUCT(MAX((정비이력!$B$3:$B$1002=$A112)*(정비이력!$D$3:$D$1002=정비항목!$A13)*정비이력!$F$3:$F$1002))))</f>
        <v/>
      </c>
      <c r="H112" s="27" t="str">
        <f aca="false">IF($A112="","",IF(차량목록!$E11="",0,차량목록!$E11))</f>
        <v/>
      </c>
      <c r="I112" s="27" t="str">
        <f aca="false">IF(OR($A112="",$D112=0),"",IF($G112="",$H112+$D112,$G112+$D112))</f>
        <v/>
      </c>
      <c r="J112" s="24" t="str">
        <f aca="false">IF($I112="","",$I112-$H112)</f>
        <v/>
      </c>
      <c r="K112" s="26" t="str">
        <f aca="true">IF(OR($A112="",$E112=0),"",IF($F112="",EDATE(TODAY(),$E112),EDATE($F112,$E112)))</f>
        <v/>
      </c>
      <c r="L112" s="28" t="str">
        <f aca="true">IF($K112="","",$K112-TODAY())</f>
        <v/>
      </c>
      <c r="M112" s="28" t="str">
        <f aca="false">IF($A112="","",IF(AND($J112="",$L112=""),"-",IF(OR(AND($J112&lt;&gt;"",$J112&lt;=0),AND($L112&lt;&gt;"",$L112&lt;0)),"교체",IF(OR(AND($J112&lt;&gt;"",$J112&lt;=사용안내!$C$16),AND($L112&lt;&gt;"",$L112&lt;=사용안내!$C$17)),"임박","정상"))))</f>
        <v/>
      </c>
    </row>
    <row r="113" customFormat="false" ht="15" hidden="false" customHeight="true" outlineLevel="0" collapsed="false">
      <c r="A113" s="23" t="str">
        <f aca="false">IF(OR(차량목록!$A11="",정비항목!$A14="",차량목록!$G11="매각"),"",차량목록!$A11)</f>
        <v/>
      </c>
      <c r="B113" s="23" t="str">
        <f aca="false">IF($A113="","",차량목록!$B11)</f>
        <v/>
      </c>
      <c r="C113" s="23" t="str">
        <f aca="false">IF($A113="","",정비항목!$B14)</f>
        <v/>
      </c>
      <c r="D113" s="24" t="str">
        <f aca="false">IF($A113="","",IF(정비항목!$C14="",0,정비항목!$C14))</f>
        <v/>
      </c>
      <c r="E113" s="28" t="str">
        <f aca="false">IF($A113="","",IF(정비항목!$D14="",0,정비항목!$D14))</f>
        <v/>
      </c>
      <c r="F113" s="26" t="str">
        <f aca="false">IF($A113="","",IF(COUNTIFS(정비이력!$B$3:$B$1002,$A113,정비이력!$D$3:$D$1002,정비항목!$A14)=0,"",SUMPRODUCT(MAX((정비이력!$B$3:$B$1002=$A113)*(정비이력!$D$3:$D$1002=정비항목!$A14)*정비이력!$A$3:$A$1002))))</f>
        <v/>
      </c>
      <c r="G113" s="27" t="str">
        <f aca="false">IF($A113="","",IF($F113="","",SUMPRODUCT(MAX((정비이력!$B$3:$B$1002=$A113)*(정비이력!$D$3:$D$1002=정비항목!$A14)*정비이력!$F$3:$F$1002))))</f>
        <v/>
      </c>
      <c r="H113" s="27" t="str">
        <f aca="false">IF($A113="","",IF(차량목록!$E11="",0,차량목록!$E11))</f>
        <v/>
      </c>
      <c r="I113" s="27" t="str">
        <f aca="false">IF(OR($A113="",$D113=0),"",IF($G113="",$H113+$D113,$G113+$D113))</f>
        <v/>
      </c>
      <c r="J113" s="24" t="str">
        <f aca="false">IF($I113="","",$I113-$H113)</f>
        <v/>
      </c>
      <c r="K113" s="26" t="str">
        <f aca="true">IF(OR($A113="",$E113=0),"",IF($F113="",EDATE(TODAY(),$E113),EDATE($F113,$E113)))</f>
        <v/>
      </c>
      <c r="L113" s="28" t="str">
        <f aca="true">IF($K113="","",$K113-TODAY())</f>
        <v/>
      </c>
      <c r="M113" s="28" t="str">
        <f aca="false">IF($A113="","",IF(AND($J113="",$L113=""),"-",IF(OR(AND($J113&lt;&gt;"",$J113&lt;=0),AND($L113&lt;&gt;"",$L113&lt;0)),"교체",IF(OR(AND($J113&lt;&gt;"",$J113&lt;=사용안내!$C$16),AND($L113&lt;&gt;"",$L113&lt;=사용안내!$C$17)),"임박","정상"))))</f>
        <v/>
      </c>
    </row>
    <row r="114" customFormat="false" ht="15" hidden="false" customHeight="true" outlineLevel="0" collapsed="false">
      <c r="A114" s="23" t="str">
        <f aca="false">IF(OR(차량목록!$A12="",정비항목!$A3="",차량목록!$G12="매각"),"",차량목록!$A12)</f>
        <v/>
      </c>
      <c r="B114" s="23" t="str">
        <f aca="false">IF($A114="","",차량목록!$B12)</f>
        <v/>
      </c>
      <c r="C114" s="23" t="str">
        <f aca="false">IF($A114="","",정비항목!$B3)</f>
        <v/>
      </c>
      <c r="D114" s="24" t="str">
        <f aca="false">IF($A114="","",IF(정비항목!$C3="",0,정비항목!$C3))</f>
        <v/>
      </c>
      <c r="E114" s="28" t="str">
        <f aca="false">IF($A114="","",IF(정비항목!$D3="",0,정비항목!$D3))</f>
        <v/>
      </c>
      <c r="F114" s="26" t="str">
        <f aca="false">IF($A114="","",IF(COUNTIFS(정비이력!$B$3:$B$1002,$A114,정비이력!$D$3:$D$1002,정비항목!$A3)=0,"",SUMPRODUCT(MAX((정비이력!$B$3:$B$1002=$A114)*(정비이력!$D$3:$D$1002=정비항목!$A3)*정비이력!$A$3:$A$1002))))</f>
        <v/>
      </c>
      <c r="G114" s="27" t="str">
        <f aca="false">IF($A114="","",IF($F114="","",SUMPRODUCT(MAX((정비이력!$B$3:$B$1002=$A114)*(정비이력!$D$3:$D$1002=정비항목!$A3)*정비이력!$F$3:$F$1002))))</f>
        <v/>
      </c>
      <c r="H114" s="27" t="str">
        <f aca="false">IF($A114="","",IF(차량목록!$E12="",0,차량목록!$E12))</f>
        <v/>
      </c>
      <c r="I114" s="27" t="str">
        <f aca="false">IF(OR($A114="",$D114=0),"",IF($G114="",$H114+$D114,$G114+$D114))</f>
        <v/>
      </c>
      <c r="J114" s="24" t="str">
        <f aca="false">IF($I114="","",$I114-$H114)</f>
        <v/>
      </c>
      <c r="K114" s="26" t="str">
        <f aca="true">IF(OR($A114="",$E114=0),"",IF($F114="",EDATE(TODAY(),$E114),EDATE($F114,$E114)))</f>
        <v/>
      </c>
      <c r="L114" s="28" t="str">
        <f aca="true">IF($K114="","",$K114-TODAY())</f>
        <v/>
      </c>
      <c r="M114" s="28" t="str">
        <f aca="false">IF($A114="","",IF(AND($J114="",$L114=""),"-",IF(OR(AND($J114&lt;&gt;"",$J114&lt;=0),AND($L114&lt;&gt;"",$L114&lt;0)),"교체",IF(OR(AND($J114&lt;&gt;"",$J114&lt;=사용안내!$C$16),AND($L114&lt;&gt;"",$L114&lt;=사용안내!$C$17)),"임박","정상"))))</f>
        <v/>
      </c>
    </row>
    <row r="115" customFormat="false" ht="15" hidden="false" customHeight="true" outlineLevel="0" collapsed="false">
      <c r="A115" s="23" t="str">
        <f aca="false">IF(OR(차량목록!$A12="",정비항목!$A4="",차량목록!$G12="매각"),"",차량목록!$A12)</f>
        <v/>
      </c>
      <c r="B115" s="23" t="str">
        <f aca="false">IF($A115="","",차량목록!$B12)</f>
        <v/>
      </c>
      <c r="C115" s="23" t="str">
        <f aca="false">IF($A115="","",정비항목!$B4)</f>
        <v/>
      </c>
      <c r="D115" s="24" t="str">
        <f aca="false">IF($A115="","",IF(정비항목!$C4="",0,정비항목!$C4))</f>
        <v/>
      </c>
      <c r="E115" s="28" t="str">
        <f aca="false">IF($A115="","",IF(정비항목!$D4="",0,정비항목!$D4))</f>
        <v/>
      </c>
      <c r="F115" s="26" t="str">
        <f aca="false">IF($A115="","",IF(COUNTIFS(정비이력!$B$3:$B$1002,$A115,정비이력!$D$3:$D$1002,정비항목!$A4)=0,"",SUMPRODUCT(MAX((정비이력!$B$3:$B$1002=$A115)*(정비이력!$D$3:$D$1002=정비항목!$A4)*정비이력!$A$3:$A$1002))))</f>
        <v/>
      </c>
      <c r="G115" s="27" t="str">
        <f aca="false">IF($A115="","",IF($F115="","",SUMPRODUCT(MAX((정비이력!$B$3:$B$1002=$A115)*(정비이력!$D$3:$D$1002=정비항목!$A4)*정비이력!$F$3:$F$1002))))</f>
        <v/>
      </c>
      <c r="H115" s="27" t="str">
        <f aca="false">IF($A115="","",IF(차량목록!$E12="",0,차량목록!$E12))</f>
        <v/>
      </c>
      <c r="I115" s="27" t="str">
        <f aca="false">IF(OR($A115="",$D115=0),"",IF($G115="",$H115+$D115,$G115+$D115))</f>
        <v/>
      </c>
      <c r="J115" s="24" t="str">
        <f aca="false">IF($I115="","",$I115-$H115)</f>
        <v/>
      </c>
      <c r="K115" s="26" t="str">
        <f aca="true">IF(OR($A115="",$E115=0),"",IF($F115="",EDATE(TODAY(),$E115),EDATE($F115,$E115)))</f>
        <v/>
      </c>
      <c r="L115" s="28" t="str">
        <f aca="true">IF($K115="","",$K115-TODAY())</f>
        <v/>
      </c>
      <c r="M115" s="28" t="str">
        <f aca="false">IF($A115="","",IF(AND($J115="",$L115=""),"-",IF(OR(AND($J115&lt;&gt;"",$J115&lt;=0),AND($L115&lt;&gt;"",$L115&lt;0)),"교체",IF(OR(AND($J115&lt;&gt;"",$J115&lt;=사용안내!$C$16),AND($L115&lt;&gt;"",$L115&lt;=사용안내!$C$17)),"임박","정상"))))</f>
        <v/>
      </c>
    </row>
    <row r="116" customFormat="false" ht="15" hidden="false" customHeight="true" outlineLevel="0" collapsed="false">
      <c r="A116" s="23" t="str">
        <f aca="false">IF(OR(차량목록!$A12="",정비항목!$A5="",차량목록!$G12="매각"),"",차량목록!$A12)</f>
        <v/>
      </c>
      <c r="B116" s="23" t="str">
        <f aca="false">IF($A116="","",차량목록!$B12)</f>
        <v/>
      </c>
      <c r="C116" s="23" t="str">
        <f aca="false">IF($A116="","",정비항목!$B5)</f>
        <v/>
      </c>
      <c r="D116" s="24" t="str">
        <f aca="false">IF($A116="","",IF(정비항목!$C5="",0,정비항목!$C5))</f>
        <v/>
      </c>
      <c r="E116" s="28" t="str">
        <f aca="false">IF($A116="","",IF(정비항목!$D5="",0,정비항목!$D5))</f>
        <v/>
      </c>
      <c r="F116" s="26" t="str">
        <f aca="false">IF($A116="","",IF(COUNTIFS(정비이력!$B$3:$B$1002,$A116,정비이력!$D$3:$D$1002,정비항목!$A5)=0,"",SUMPRODUCT(MAX((정비이력!$B$3:$B$1002=$A116)*(정비이력!$D$3:$D$1002=정비항목!$A5)*정비이력!$A$3:$A$1002))))</f>
        <v/>
      </c>
      <c r="G116" s="27" t="str">
        <f aca="false">IF($A116="","",IF($F116="","",SUMPRODUCT(MAX((정비이력!$B$3:$B$1002=$A116)*(정비이력!$D$3:$D$1002=정비항목!$A5)*정비이력!$F$3:$F$1002))))</f>
        <v/>
      </c>
      <c r="H116" s="27" t="str">
        <f aca="false">IF($A116="","",IF(차량목록!$E12="",0,차량목록!$E12))</f>
        <v/>
      </c>
      <c r="I116" s="27" t="str">
        <f aca="false">IF(OR($A116="",$D116=0),"",IF($G116="",$H116+$D116,$G116+$D116))</f>
        <v/>
      </c>
      <c r="J116" s="24" t="str">
        <f aca="false">IF($I116="","",$I116-$H116)</f>
        <v/>
      </c>
      <c r="K116" s="26" t="str">
        <f aca="true">IF(OR($A116="",$E116=0),"",IF($F116="",EDATE(TODAY(),$E116),EDATE($F116,$E116)))</f>
        <v/>
      </c>
      <c r="L116" s="28" t="str">
        <f aca="true">IF($K116="","",$K116-TODAY())</f>
        <v/>
      </c>
      <c r="M116" s="28" t="str">
        <f aca="false">IF($A116="","",IF(AND($J116="",$L116=""),"-",IF(OR(AND($J116&lt;&gt;"",$J116&lt;=0),AND($L116&lt;&gt;"",$L116&lt;0)),"교체",IF(OR(AND($J116&lt;&gt;"",$J116&lt;=사용안내!$C$16),AND($L116&lt;&gt;"",$L116&lt;=사용안내!$C$17)),"임박","정상"))))</f>
        <v/>
      </c>
    </row>
    <row r="117" customFormat="false" ht="15" hidden="false" customHeight="true" outlineLevel="0" collapsed="false">
      <c r="A117" s="23" t="str">
        <f aca="false">IF(OR(차량목록!$A12="",정비항목!$A6="",차량목록!$G12="매각"),"",차량목록!$A12)</f>
        <v/>
      </c>
      <c r="B117" s="23" t="str">
        <f aca="false">IF($A117="","",차량목록!$B12)</f>
        <v/>
      </c>
      <c r="C117" s="23" t="str">
        <f aca="false">IF($A117="","",정비항목!$B6)</f>
        <v/>
      </c>
      <c r="D117" s="24" t="str">
        <f aca="false">IF($A117="","",IF(정비항목!$C6="",0,정비항목!$C6))</f>
        <v/>
      </c>
      <c r="E117" s="28" t="str">
        <f aca="false">IF($A117="","",IF(정비항목!$D6="",0,정비항목!$D6))</f>
        <v/>
      </c>
      <c r="F117" s="26" t="str">
        <f aca="false">IF($A117="","",IF(COUNTIFS(정비이력!$B$3:$B$1002,$A117,정비이력!$D$3:$D$1002,정비항목!$A6)=0,"",SUMPRODUCT(MAX((정비이력!$B$3:$B$1002=$A117)*(정비이력!$D$3:$D$1002=정비항목!$A6)*정비이력!$A$3:$A$1002))))</f>
        <v/>
      </c>
      <c r="G117" s="27" t="str">
        <f aca="false">IF($A117="","",IF($F117="","",SUMPRODUCT(MAX((정비이력!$B$3:$B$1002=$A117)*(정비이력!$D$3:$D$1002=정비항목!$A6)*정비이력!$F$3:$F$1002))))</f>
        <v/>
      </c>
      <c r="H117" s="27" t="str">
        <f aca="false">IF($A117="","",IF(차량목록!$E12="",0,차량목록!$E12))</f>
        <v/>
      </c>
      <c r="I117" s="27" t="str">
        <f aca="false">IF(OR($A117="",$D117=0),"",IF($G117="",$H117+$D117,$G117+$D117))</f>
        <v/>
      </c>
      <c r="J117" s="24" t="str">
        <f aca="false">IF($I117="","",$I117-$H117)</f>
        <v/>
      </c>
      <c r="K117" s="26" t="str">
        <f aca="true">IF(OR($A117="",$E117=0),"",IF($F117="",EDATE(TODAY(),$E117),EDATE($F117,$E117)))</f>
        <v/>
      </c>
      <c r="L117" s="28" t="str">
        <f aca="true">IF($K117="","",$K117-TODAY())</f>
        <v/>
      </c>
      <c r="M117" s="28" t="str">
        <f aca="false">IF($A117="","",IF(AND($J117="",$L117=""),"-",IF(OR(AND($J117&lt;&gt;"",$J117&lt;=0),AND($L117&lt;&gt;"",$L117&lt;0)),"교체",IF(OR(AND($J117&lt;&gt;"",$J117&lt;=사용안내!$C$16),AND($L117&lt;&gt;"",$L117&lt;=사용안내!$C$17)),"임박","정상"))))</f>
        <v/>
      </c>
    </row>
    <row r="118" customFormat="false" ht="15" hidden="false" customHeight="true" outlineLevel="0" collapsed="false">
      <c r="A118" s="23" t="str">
        <f aca="false">IF(OR(차량목록!$A12="",정비항목!$A7="",차량목록!$G12="매각"),"",차량목록!$A12)</f>
        <v/>
      </c>
      <c r="B118" s="23" t="str">
        <f aca="false">IF($A118="","",차량목록!$B12)</f>
        <v/>
      </c>
      <c r="C118" s="23" t="str">
        <f aca="false">IF($A118="","",정비항목!$B7)</f>
        <v/>
      </c>
      <c r="D118" s="24" t="str">
        <f aca="false">IF($A118="","",IF(정비항목!$C7="",0,정비항목!$C7))</f>
        <v/>
      </c>
      <c r="E118" s="28" t="str">
        <f aca="false">IF($A118="","",IF(정비항목!$D7="",0,정비항목!$D7))</f>
        <v/>
      </c>
      <c r="F118" s="26" t="str">
        <f aca="false">IF($A118="","",IF(COUNTIFS(정비이력!$B$3:$B$1002,$A118,정비이력!$D$3:$D$1002,정비항목!$A7)=0,"",SUMPRODUCT(MAX((정비이력!$B$3:$B$1002=$A118)*(정비이력!$D$3:$D$1002=정비항목!$A7)*정비이력!$A$3:$A$1002))))</f>
        <v/>
      </c>
      <c r="G118" s="27" t="str">
        <f aca="false">IF($A118="","",IF($F118="","",SUMPRODUCT(MAX((정비이력!$B$3:$B$1002=$A118)*(정비이력!$D$3:$D$1002=정비항목!$A7)*정비이력!$F$3:$F$1002))))</f>
        <v/>
      </c>
      <c r="H118" s="27" t="str">
        <f aca="false">IF($A118="","",IF(차량목록!$E12="",0,차량목록!$E12))</f>
        <v/>
      </c>
      <c r="I118" s="27" t="str">
        <f aca="false">IF(OR($A118="",$D118=0),"",IF($G118="",$H118+$D118,$G118+$D118))</f>
        <v/>
      </c>
      <c r="J118" s="24" t="str">
        <f aca="false">IF($I118="","",$I118-$H118)</f>
        <v/>
      </c>
      <c r="K118" s="26" t="str">
        <f aca="true">IF(OR($A118="",$E118=0),"",IF($F118="",EDATE(TODAY(),$E118),EDATE($F118,$E118)))</f>
        <v/>
      </c>
      <c r="L118" s="28" t="str">
        <f aca="true">IF($K118="","",$K118-TODAY())</f>
        <v/>
      </c>
      <c r="M118" s="28" t="str">
        <f aca="false">IF($A118="","",IF(AND($J118="",$L118=""),"-",IF(OR(AND($J118&lt;&gt;"",$J118&lt;=0),AND($L118&lt;&gt;"",$L118&lt;0)),"교체",IF(OR(AND($J118&lt;&gt;"",$J118&lt;=사용안내!$C$16),AND($L118&lt;&gt;"",$L118&lt;=사용안내!$C$17)),"임박","정상"))))</f>
        <v/>
      </c>
    </row>
    <row r="119" customFormat="false" ht="15" hidden="false" customHeight="true" outlineLevel="0" collapsed="false">
      <c r="A119" s="23" t="str">
        <f aca="false">IF(OR(차량목록!$A12="",정비항목!$A8="",차량목록!$G12="매각"),"",차량목록!$A12)</f>
        <v/>
      </c>
      <c r="B119" s="23" t="str">
        <f aca="false">IF($A119="","",차량목록!$B12)</f>
        <v/>
      </c>
      <c r="C119" s="23" t="str">
        <f aca="false">IF($A119="","",정비항목!$B8)</f>
        <v/>
      </c>
      <c r="D119" s="24" t="str">
        <f aca="false">IF($A119="","",IF(정비항목!$C8="",0,정비항목!$C8))</f>
        <v/>
      </c>
      <c r="E119" s="28" t="str">
        <f aca="false">IF($A119="","",IF(정비항목!$D8="",0,정비항목!$D8))</f>
        <v/>
      </c>
      <c r="F119" s="26" t="str">
        <f aca="false">IF($A119="","",IF(COUNTIFS(정비이력!$B$3:$B$1002,$A119,정비이력!$D$3:$D$1002,정비항목!$A8)=0,"",SUMPRODUCT(MAX((정비이력!$B$3:$B$1002=$A119)*(정비이력!$D$3:$D$1002=정비항목!$A8)*정비이력!$A$3:$A$1002))))</f>
        <v/>
      </c>
      <c r="G119" s="27" t="str">
        <f aca="false">IF($A119="","",IF($F119="","",SUMPRODUCT(MAX((정비이력!$B$3:$B$1002=$A119)*(정비이력!$D$3:$D$1002=정비항목!$A8)*정비이력!$F$3:$F$1002))))</f>
        <v/>
      </c>
      <c r="H119" s="27" t="str">
        <f aca="false">IF($A119="","",IF(차량목록!$E12="",0,차량목록!$E12))</f>
        <v/>
      </c>
      <c r="I119" s="27" t="str">
        <f aca="false">IF(OR($A119="",$D119=0),"",IF($G119="",$H119+$D119,$G119+$D119))</f>
        <v/>
      </c>
      <c r="J119" s="24" t="str">
        <f aca="false">IF($I119="","",$I119-$H119)</f>
        <v/>
      </c>
      <c r="K119" s="26" t="str">
        <f aca="true">IF(OR($A119="",$E119=0),"",IF($F119="",EDATE(TODAY(),$E119),EDATE($F119,$E119)))</f>
        <v/>
      </c>
      <c r="L119" s="28" t="str">
        <f aca="true">IF($K119="","",$K119-TODAY())</f>
        <v/>
      </c>
      <c r="M119" s="28" t="str">
        <f aca="false">IF($A119="","",IF(AND($J119="",$L119=""),"-",IF(OR(AND($J119&lt;&gt;"",$J119&lt;=0),AND($L119&lt;&gt;"",$L119&lt;0)),"교체",IF(OR(AND($J119&lt;&gt;"",$J119&lt;=사용안내!$C$16),AND($L119&lt;&gt;"",$L119&lt;=사용안내!$C$17)),"임박","정상"))))</f>
        <v/>
      </c>
    </row>
    <row r="120" customFormat="false" ht="15" hidden="false" customHeight="true" outlineLevel="0" collapsed="false">
      <c r="A120" s="23" t="str">
        <f aca="false">IF(OR(차량목록!$A12="",정비항목!$A9="",차량목록!$G12="매각"),"",차량목록!$A12)</f>
        <v/>
      </c>
      <c r="B120" s="23" t="str">
        <f aca="false">IF($A120="","",차량목록!$B12)</f>
        <v/>
      </c>
      <c r="C120" s="23" t="str">
        <f aca="false">IF($A120="","",정비항목!$B9)</f>
        <v/>
      </c>
      <c r="D120" s="24" t="str">
        <f aca="false">IF($A120="","",IF(정비항목!$C9="",0,정비항목!$C9))</f>
        <v/>
      </c>
      <c r="E120" s="28" t="str">
        <f aca="false">IF($A120="","",IF(정비항목!$D9="",0,정비항목!$D9))</f>
        <v/>
      </c>
      <c r="F120" s="26" t="str">
        <f aca="false">IF($A120="","",IF(COUNTIFS(정비이력!$B$3:$B$1002,$A120,정비이력!$D$3:$D$1002,정비항목!$A9)=0,"",SUMPRODUCT(MAX((정비이력!$B$3:$B$1002=$A120)*(정비이력!$D$3:$D$1002=정비항목!$A9)*정비이력!$A$3:$A$1002))))</f>
        <v/>
      </c>
      <c r="G120" s="27" t="str">
        <f aca="false">IF($A120="","",IF($F120="","",SUMPRODUCT(MAX((정비이력!$B$3:$B$1002=$A120)*(정비이력!$D$3:$D$1002=정비항목!$A9)*정비이력!$F$3:$F$1002))))</f>
        <v/>
      </c>
      <c r="H120" s="27" t="str">
        <f aca="false">IF($A120="","",IF(차량목록!$E12="",0,차량목록!$E12))</f>
        <v/>
      </c>
      <c r="I120" s="27" t="str">
        <f aca="false">IF(OR($A120="",$D120=0),"",IF($G120="",$H120+$D120,$G120+$D120))</f>
        <v/>
      </c>
      <c r="J120" s="24" t="str">
        <f aca="false">IF($I120="","",$I120-$H120)</f>
        <v/>
      </c>
      <c r="K120" s="26" t="str">
        <f aca="true">IF(OR($A120="",$E120=0),"",IF($F120="",EDATE(TODAY(),$E120),EDATE($F120,$E120)))</f>
        <v/>
      </c>
      <c r="L120" s="28" t="str">
        <f aca="true">IF($K120="","",$K120-TODAY())</f>
        <v/>
      </c>
      <c r="M120" s="28" t="str">
        <f aca="false">IF($A120="","",IF(AND($J120="",$L120=""),"-",IF(OR(AND($J120&lt;&gt;"",$J120&lt;=0),AND($L120&lt;&gt;"",$L120&lt;0)),"교체",IF(OR(AND($J120&lt;&gt;"",$J120&lt;=사용안내!$C$16),AND($L120&lt;&gt;"",$L120&lt;=사용안내!$C$17)),"임박","정상"))))</f>
        <v/>
      </c>
    </row>
    <row r="121" customFormat="false" ht="15" hidden="false" customHeight="true" outlineLevel="0" collapsed="false">
      <c r="A121" s="23" t="str">
        <f aca="false">IF(OR(차량목록!$A12="",정비항목!$A10="",차량목록!$G12="매각"),"",차량목록!$A12)</f>
        <v/>
      </c>
      <c r="B121" s="23" t="str">
        <f aca="false">IF($A121="","",차량목록!$B12)</f>
        <v/>
      </c>
      <c r="C121" s="23" t="str">
        <f aca="false">IF($A121="","",정비항목!$B10)</f>
        <v/>
      </c>
      <c r="D121" s="24" t="str">
        <f aca="false">IF($A121="","",IF(정비항목!$C10="",0,정비항목!$C10))</f>
        <v/>
      </c>
      <c r="E121" s="28" t="str">
        <f aca="false">IF($A121="","",IF(정비항목!$D10="",0,정비항목!$D10))</f>
        <v/>
      </c>
      <c r="F121" s="26" t="str">
        <f aca="false">IF($A121="","",IF(COUNTIFS(정비이력!$B$3:$B$1002,$A121,정비이력!$D$3:$D$1002,정비항목!$A10)=0,"",SUMPRODUCT(MAX((정비이력!$B$3:$B$1002=$A121)*(정비이력!$D$3:$D$1002=정비항목!$A10)*정비이력!$A$3:$A$1002))))</f>
        <v/>
      </c>
      <c r="G121" s="27" t="str">
        <f aca="false">IF($A121="","",IF($F121="","",SUMPRODUCT(MAX((정비이력!$B$3:$B$1002=$A121)*(정비이력!$D$3:$D$1002=정비항목!$A10)*정비이력!$F$3:$F$1002))))</f>
        <v/>
      </c>
      <c r="H121" s="27" t="str">
        <f aca="false">IF($A121="","",IF(차량목록!$E12="",0,차량목록!$E12))</f>
        <v/>
      </c>
      <c r="I121" s="27" t="str">
        <f aca="false">IF(OR($A121="",$D121=0),"",IF($G121="",$H121+$D121,$G121+$D121))</f>
        <v/>
      </c>
      <c r="J121" s="24" t="str">
        <f aca="false">IF($I121="","",$I121-$H121)</f>
        <v/>
      </c>
      <c r="K121" s="26" t="str">
        <f aca="true">IF(OR($A121="",$E121=0),"",IF($F121="",EDATE(TODAY(),$E121),EDATE($F121,$E121)))</f>
        <v/>
      </c>
      <c r="L121" s="28" t="str">
        <f aca="true">IF($K121="","",$K121-TODAY())</f>
        <v/>
      </c>
      <c r="M121" s="28" t="str">
        <f aca="false">IF($A121="","",IF(AND($J121="",$L121=""),"-",IF(OR(AND($J121&lt;&gt;"",$J121&lt;=0),AND($L121&lt;&gt;"",$L121&lt;0)),"교체",IF(OR(AND($J121&lt;&gt;"",$J121&lt;=사용안내!$C$16),AND($L121&lt;&gt;"",$L121&lt;=사용안내!$C$17)),"임박","정상"))))</f>
        <v/>
      </c>
    </row>
    <row r="122" customFormat="false" ht="15" hidden="false" customHeight="true" outlineLevel="0" collapsed="false">
      <c r="A122" s="23" t="str">
        <f aca="false">IF(OR(차량목록!$A12="",정비항목!$A11="",차량목록!$G12="매각"),"",차량목록!$A12)</f>
        <v/>
      </c>
      <c r="B122" s="23" t="str">
        <f aca="false">IF($A122="","",차량목록!$B12)</f>
        <v/>
      </c>
      <c r="C122" s="23" t="str">
        <f aca="false">IF($A122="","",정비항목!$B11)</f>
        <v/>
      </c>
      <c r="D122" s="24" t="str">
        <f aca="false">IF($A122="","",IF(정비항목!$C11="",0,정비항목!$C11))</f>
        <v/>
      </c>
      <c r="E122" s="28" t="str">
        <f aca="false">IF($A122="","",IF(정비항목!$D11="",0,정비항목!$D11))</f>
        <v/>
      </c>
      <c r="F122" s="26" t="str">
        <f aca="false">IF($A122="","",IF(COUNTIFS(정비이력!$B$3:$B$1002,$A122,정비이력!$D$3:$D$1002,정비항목!$A11)=0,"",SUMPRODUCT(MAX((정비이력!$B$3:$B$1002=$A122)*(정비이력!$D$3:$D$1002=정비항목!$A11)*정비이력!$A$3:$A$1002))))</f>
        <v/>
      </c>
      <c r="G122" s="27" t="str">
        <f aca="false">IF($A122="","",IF($F122="","",SUMPRODUCT(MAX((정비이력!$B$3:$B$1002=$A122)*(정비이력!$D$3:$D$1002=정비항목!$A11)*정비이력!$F$3:$F$1002))))</f>
        <v/>
      </c>
      <c r="H122" s="27" t="str">
        <f aca="false">IF($A122="","",IF(차량목록!$E12="",0,차량목록!$E12))</f>
        <v/>
      </c>
      <c r="I122" s="27" t="str">
        <f aca="false">IF(OR($A122="",$D122=0),"",IF($G122="",$H122+$D122,$G122+$D122))</f>
        <v/>
      </c>
      <c r="J122" s="24" t="str">
        <f aca="false">IF($I122="","",$I122-$H122)</f>
        <v/>
      </c>
      <c r="K122" s="26" t="str">
        <f aca="true">IF(OR($A122="",$E122=0),"",IF($F122="",EDATE(TODAY(),$E122),EDATE($F122,$E122)))</f>
        <v/>
      </c>
      <c r="L122" s="28" t="str">
        <f aca="true">IF($K122="","",$K122-TODAY())</f>
        <v/>
      </c>
      <c r="M122" s="28" t="str">
        <f aca="false">IF($A122="","",IF(AND($J122="",$L122=""),"-",IF(OR(AND($J122&lt;&gt;"",$J122&lt;=0),AND($L122&lt;&gt;"",$L122&lt;0)),"교체",IF(OR(AND($J122&lt;&gt;"",$J122&lt;=사용안내!$C$16),AND($L122&lt;&gt;"",$L122&lt;=사용안내!$C$17)),"임박","정상"))))</f>
        <v/>
      </c>
    </row>
    <row r="123" customFormat="false" ht="15" hidden="false" customHeight="true" outlineLevel="0" collapsed="false">
      <c r="A123" s="23" t="str">
        <f aca="false">IF(OR(차량목록!$A12="",정비항목!$A12="",차량목록!$G12="매각"),"",차량목록!$A12)</f>
        <v/>
      </c>
      <c r="B123" s="23" t="str">
        <f aca="false">IF($A123="","",차량목록!$B12)</f>
        <v/>
      </c>
      <c r="C123" s="23" t="str">
        <f aca="false">IF($A123="","",정비항목!$B12)</f>
        <v/>
      </c>
      <c r="D123" s="24" t="str">
        <f aca="false">IF($A123="","",IF(정비항목!$C12="",0,정비항목!$C12))</f>
        <v/>
      </c>
      <c r="E123" s="28" t="str">
        <f aca="false">IF($A123="","",IF(정비항목!$D12="",0,정비항목!$D12))</f>
        <v/>
      </c>
      <c r="F123" s="26" t="str">
        <f aca="false">IF($A123="","",IF(COUNTIFS(정비이력!$B$3:$B$1002,$A123,정비이력!$D$3:$D$1002,정비항목!$A12)=0,"",SUMPRODUCT(MAX((정비이력!$B$3:$B$1002=$A123)*(정비이력!$D$3:$D$1002=정비항목!$A12)*정비이력!$A$3:$A$1002))))</f>
        <v/>
      </c>
      <c r="G123" s="27" t="str">
        <f aca="false">IF($A123="","",IF($F123="","",SUMPRODUCT(MAX((정비이력!$B$3:$B$1002=$A123)*(정비이력!$D$3:$D$1002=정비항목!$A12)*정비이력!$F$3:$F$1002))))</f>
        <v/>
      </c>
      <c r="H123" s="27" t="str">
        <f aca="false">IF($A123="","",IF(차량목록!$E12="",0,차량목록!$E12))</f>
        <v/>
      </c>
      <c r="I123" s="27" t="str">
        <f aca="false">IF(OR($A123="",$D123=0),"",IF($G123="",$H123+$D123,$G123+$D123))</f>
        <v/>
      </c>
      <c r="J123" s="24" t="str">
        <f aca="false">IF($I123="","",$I123-$H123)</f>
        <v/>
      </c>
      <c r="K123" s="26" t="str">
        <f aca="true">IF(OR($A123="",$E123=0),"",IF($F123="",EDATE(TODAY(),$E123),EDATE($F123,$E123)))</f>
        <v/>
      </c>
      <c r="L123" s="28" t="str">
        <f aca="true">IF($K123="","",$K123-TODAY())</f>
        <v/>
      </c>
      <c r="M123" s="28" t="str">
        <f aca="false">IF($A123="","",IF(AND($J123="",$L123=""),"-",IF(OR(AND($J123&lt;&gt;"",$J123&lt;=0),AND($L123&lt;&gt;"",$L123&lt;0)),"교체",IF(OR(AND($J123&lt;&gt;"",$J123&lt;=사용안내!$C$16),AND($L123&lt;&gt;"",$L123&lt;=사용안내!$C$17)),"임박","정상"))))</f>
        <v/>
      </c>
    </row>
    <row r="124" customFormat="false" ht="15" hidden="false" customHeight="true" outlineLevel="0" collapsed="false">
      <c r="A124" s="23" t="str">
        <f aca="false">IF(OR(차량목록!$A12="",정비항목!$A13="",차량목록!$G12="매각"),"",차량목록!$A12)</f>
        <v/>
      </c>
      <c r="B124" s="23" t="str">
        <f aca="false">IF($A124="","",차량목록!$B12)</f>
        <v/>
      </c>
      <c r="C124" s="23" t="str">
        <f aca="false">IF($A124="","",정비항목!$B13)</f>
        <v/>
      </c>
      <c r="D124" s="24" t="str">
        <f aca="false">IF($A124="","",IF(정비항목!$C13="",0,정비항목!$C13))</f>
        <v/>
      </c>
      <c r="E124" s="28" t="str">
        <f aca="false">IF($A124="","",IF(정비항목!$D13="",0,정비항목!$D13))</f>
        <v/>
      </c>
      <c r="F124" s="26" t="str">
        <f aca="false">IF($A124="","",IF(COUNTIFS(정비이력!$B$3:$B$1002,$A124,정비이력!$D$3:$D$1002,정비항목!$A13)=0,"",SUMPRODUCT(MAX((정비이력!$B$3:$B$1002=$A124)*(정비이력!$D$3:$D$1002=정비항목!$A13)*정비이력!$A$3:$A$1002))))</f>
        <v/>
      </c>
      <c r="G124" s="27" t="str">
        <f aca="false">IF($A124="","",IF($F124="","",SUMPRODUCT(MAX((정비이력!$B$3:$B$1002=$A124)*(정비이력!$D$3:$D$1002=정비항목!$A13)*정비이력!$F$3:$F$1002))))</f>
        <v/>
      </c>
      <c r="H124" s="27" t="str">
        <f aca="false">IF($A124="","",IF(차량목록!$E12="",0,차량목록!$E12))</f>
        <v/>
      </c>
      <c r="I124" s="27" t="str">
        <f aca="false">IF(OR($A124="",$D124=0),"",IF($G124="",$H124+$D124,$G124+$D124))</f>
        <v/>
      </c>
      <c r="J124" s="24" t="str">
        <f aca="false">IF($I124="","",$I124-$H124)</f>
        <v/>
      </c>
      <c r="K124" s="26" t="str">
        <f aca="true">IF(OR($A124="",$E124=0),"",IF($F124="",EDATE(TODAY(),$E124),EDATE($F124,$E124)))</f>
        <v/>
      </c>
      <c r="L124" s="28" t="str">
        <f aca="true">IF($K124="","",$K124-TODAY())</f>
        <v/>
      </c>
      <c r="M124" s="28" t="str">
        <f aca="false">IF($A124="","",IF(AND($J124="",$L124=""),"-",IF(OR(AND($J124&lt;&gt;"",$J124&lt;=0),AND($L124&lt;&gt;"",$L124&lt;0)),"교체",IF(OR(AND($J124&lt;&gt;"",$J124&lt;=사용안내!$C$16),AND($L124&lt;&gt;"",$L124&lt;=사용안내!$C$17)),"임박","정상"))))</f>
        <v/>
      </c>
    </row>
    <row r="125" customFormat="false" ht="15" hidden="false" customHeight="true" outlineLevel="0" collapsed="false">
      <c r="A125" s="23" t="str">
        <f aca="false">IF(OR(차량목록!$A12="",정비항목!$A14="",차량목록!$G12="매각"),"",차량목록!$A12)</f>
        <v/>
      </c>
      <c r="B125" s="23" t="str">
        <f aca="false">IF($A125="","",차량목록!$B12)</f>
        <v/>
      </c>
      <c r="C125" s="23" t="str">
        <f aca="false">IF($A125="","",정비항목!$B14)</f>
        <v/>
      </c>
      <c r="D125" s="24" t="str">
        <f aca="false">IF($A125="","",IF(정비항목!$C14="",0,정비항목!$C14))</f>
        <v/>
      </c>
      <c r="E125" s="28" t="str">
        <f aca="false">IF($A125="","",IF(정비항목!$D14="",0,정비항목!$D14))</f>
        <v/>
      </c>
      <c r="F125" s="26" t="str">
        <f aca="false">IF($A125="","",IF(COUNTIFS(정비이력!$B$3:$B$1002,$A125,정비이력!$D$3:$D$1002,정비항목!$A14)=0,"",SUMPRODUCT(MAX((정비이력!$B$3:$B$1002=$A125)*(정비이력!$D$3:$D$1002=정비항목!$A14)*정비이력!$A$3:$A$1002))))</f>
        <v/>
      </c>
      <c r="G125" s="27" t="str">
        <f aca="false">IF($A125="","",IF($F125="","",SUMPRODUCT(MAX((정비이력!$B$3:$B$1002=$A125)*(정비이력!$D$3:$D$1002=정비항목!$A14)*정비이력!$F$3:$F$1002))))</f>
        <v/>
      </c>
      <c r="H125" s="27" t="str">
        <f aca="false">IF($A125="","",IF(차량목록!$E12="",0,차량목록!$E12))</f>
        <v/>
      </c>
      <c r="I125" s="27" t="str">
        <f aca="false">IF(OR($A125="",$D125=0),"",IF($G125="",$H125+$D125,$G125+$D125))</f>
        <v/>
      </c>
      <c r="J125" s="24" t="str">
        <f aca="false">IF($I125="","",$I125-$H125)</f>
        <v/>
      </c>
      <c r="K125" s="26" t="str">
        <f aca="true">IF(OR($A125="",$E125=0),"",IF($F125="",EDATE(TODAY(),$E125),EDATE($F125,$E125)))</f>
        <v/>
      </c>
      <c r="L125" s="28" t="str">
        <f aca="true">IF($K125="","",$K125-TODAY())</f>
        <v/>
      </c>
      <c r="M125" s="28" t="str">
        <f aca="false">IF($A125="","",IF(AND($J125="",$L125=""),"-",IF(OR(AND($J125&lt;&gt;"",$J125&lt;=0),AND($L125&lt;&gt;"",$L125&lt;0)),"교체",IF(OR(AND($J125&lt;&gt;"",$J125&lt;=사용안내!$C$16),AND($L125&lt;&gt;"",$L125&lt;=사용안내!$C$17)),"임박","정상"))))</f>
        <v/>
      </c>
    </row>
    <row r="126" customFormat="false" ht="15" hidden="false" customHeight="true" outlineLevel="0" collapsed="false">
      <c r="A126" s="23" t="str">
        <f aca="false">IF(OR(차량목록!$A13="",정비항목!$A3="",차량목록!$G13="매각"),"",차량목록!$A13)</f>
        <v/>
      </c>
      <c r="B126" s="23" t="str">
        <f aca="false">IF($A126="","",차량목록!$B13)</f>
        <v/>
      </c>
      <c r="C126" s="23" t="str">
        <f aca="false">IF($A126="","",정비항목!$B3)</f>
        <v/>
      </c>
      <c r="D126" s="24" t="str">
        <f aca="false">IF($A126="","",IF(정비항목!$C3="",0,정비항목!$C3))</f>
        <v/>
      </c>
      <c r="E126" s="28" t="str">
        <f aca="false">IF($A126="","",IF(정비항목!$D3="",0,정비항목!$D3))</f>
        <v/>
      </c>
      <c r="F126" s="26" t="str">
        <f aca="false">IF($A126="","",IF(COUNTIFS(정비이력!$B$3:$B$1002,$A126,정비이력!$D$3:$D$1002,정비항목!$A3)=0,"",SUMPRODUCT(MAX((정비이력!$B$3:$B$1002=$A126)*(정비이력!$D$3:$D$1002=정비항목!$A3)*정비이력!$A$3:$A$1002))))</f>
        <v/>
      </c>
      <c r="G126" s="27" t="str">
        <f aca="false">IF($A126="","",IF($F126="","",SUMPRODUCT(MAX((정비이력!$B$3:$B$1002=$A126)*(정비이력!$D$3:$D$1002=정비항목!$A3)*정비이력!$F$3:$F$1002))))</f>
        <v/>
      </c>
      <c r="H126" s="27" t="str">
        <f aca="false">IF($A126="","",IF(차량목록!$E13="",0,차량목록!$E13))</f>
        <v/>
      </c>
      <c r="I126" s="27" t="str">
        <f aca="false">IF(OR($A126="",$D126=0),"",IF($G126="",$H126+$D126,$G126+$D126))</f>
        <v/>
      </c>
      <c r="J126" s="24" t="str">
        <f aca="false">IF($I126="","",$I126-$H126)</f>
        <v/>
      </c>
      <c r="K126" s="26" t="str">
        <f aca="true">IF(OR($A126="",$E126=0),"",IF($F126="",EDATE(TODAY(),$E126),EDATE($F126,$E126)))</f>
        <v/>
      </c>
      <c r="L126" s="28" t="str">
        <f aca="true">IF($K126="","",$K126-TODAY())</f>
        <v/>
      </c>
      <c r="M126" s="28" t="str">
        <f aca="false">IF($A126="","",IF(AND($J126="",$L126=""),"-",IF(OR(AND($J126&lt;&gt;"",$J126&lt;=0),AND($L126&lt;&gt;"",$L126&lt;0)),"교체",IF(OR(AND($J126&lt;&gt;"",$J126&lt;=사용안내!$C$16),AND($L126&lt;&gt;"",$L126&lt;=사용안내!$C$17)),"임박","정상"))))</f>
        <v/>
      </c>
    </row>
    <row r="127" customFormat="false" ht="15" hidden="false" customHeight="true" outlineLevel="0" collapsed="false">
      <c r="A127" s="23" t="str">
        <f aca="false">IF(OR(차량목록!$A13="",정비항목!$A4="",차량목록!$G13="매각"),"",차량목록!$A13)</f>
        <v/>
      </c>
      <c r="B127" s="23" t="str">
        <f aca="false">IF($A127="","",차량목록!$B13)</f>
        <v/>
      </c>
      <c r="C127" s="23" t="str">
        <f aca="false">IF($A127="","",정비항목!$B4)</f>
        <v/>
      </c>
      <c r="D127" s="24" t="str">
        <f aca="false">IF($A127="","",IF(정비항목!$C4="",0,정비항목!$C4))</f>
        <v/>
      </c>
      <c r="E127" s="28" t="str">
        <f aca="false">IF($A127="","",IF(정비항목!$D4="",0,정비항목!$D4))</f>
        <v/>
      </c>
      <c r="F127" s="26" t="str">
        <f aca="false">IF($A127="","",IF(COUNTIFS(정비이력!$B$3:$B$1002,$A127,정비이력!$D$3:$D$1002,정비항목!$A4)=0,"",SUMPRODUCT(MAX((정비이력!$B$3:$B$1002=$A127)*(정비이력!$D$3:$D$1002=정비항목!$A4)*정비이력!$A$3:$A$1002))))</f>
        <v/>
      </c>
      <c r="G127" s="27" t="str">
        <f aca="false">IF($A127="","",IF($F127="","",SUMPRODUCT(MAX((정비이력!$B$3:$B$1002=$A127)*(정비이력!$D$3:$D$1002=정비항목!$A4)*정비이력!$F$3:$F$1002))))</f>
        <v/>
      </c>
      <c r="H127" s="27" t="str">
        <f aca="false">IF($A127="","",IF(차량목록!$E13="",0,차량목록!$E13))</f>
        <v/>
      </c>
      <c r="I127" s="27" t="str">
        <f aca="false">IF(OR($A127="",$D127=0),"",IF($G127="",$H127+$D127,$G127+$D127))</f>
        <v/>
      </c>
      <c r="J127" s="24" t="str">
        <f aca="false">IF($I127="","",$I127-$H127)</f>
        <v/>
      </c>
      <c r="K127" s="26" t="str">
        <f aca="true">IF(OR($A127="",$E127=0),"",IF($F127="",EDATE(TODAY(),$E127),EDATE($F127,$E127)))</f>
        <v/>
      </c>
      <c r="L127" s="28" t="str">
        <f aca="true">IF($K127="","",$K127-TODAY())</f>
        <v/>
      </c>
      <c r="M127" s="28" t="str">
        <f aca="false">IF($A127="","",IF(AND($J127="",$L127=""),"-",IF(OR(AND($J127&lt;&gt;"",$J127&lt;=0),AND($L127&lt;&gt;"",$L127&lt;0)),"교체",IF(OR(AND($J127&lt;&gt;"",$J127&lt;=사용안내!$C$16),AND($L127&lt;&gt;"",$L127&lt;=사용안내!$C$17)),"임박","정상"))))</f>
        <v/>
      </c>
    </row>
    <row r="128" customFormat="false" ht="15" hidden="false" customHeight="true" outlineLevel="0" collapsed="false">
      <c r="A128" s="23" t="str">
        <f aca="false">IF(OR(차량목록!$A13="",정비항목!$A5="",차량목록!$G13="매각"),"",차량목록!$A13)</f>
        <v/>
      </c>
      <c r="B128" s="23" t="str">
        <f aca="false">IF($A128="","",차량목록!$B13)</f>
        <v/>
      </c>
      <c r="C128" s="23" t="str">
        <f aca="false">IF($A128="","",정비항목!$B5)</f>
        <v/>
      </c>
      <c r="D128" s="24" t="str">
        <f aca="false">IF($A128="","",IF(정비항목!$C5="",0,정비항목!$C5))</f>
        <v/>
      </c>
      <c r="E128" s="28" t="str">
        <f aca="false">IF($A128="","",IF(정비항목!$D5="",0,정비항목!$D5))</f>
        <v/>
      </c>
      <c r="F128" s="26" t="str">
        <f aca="false">IF($A128="","",IF(COUNTIFS(정비이력!$B$3:$B$1002,$A128,정비이력!$D$3:$D$1002,정비항목!$A5)=0,"",SUMPRODUCT(MAX((정비이력!$B$3:$B$1002=$A128)*(정비이력!$D$3:$D$1002=정비항목!$A5)*정비이력!$A$3:$A$1002))))</f>
        <v/>
      </c>
      <c r="G128" s="27" t="str">
        <f aca="false">IF($A128="","",IF($F128="","",SUMPRODUCT(MAX((정비이력!$B$3:$B$1002=$A128)*(정비이력!$D$3:$D$1002=정비항목!$A5)*정비이력!$F$3:$F$1002))))</f>
        <v/>
      </c>
      <c r="H128" s="27" t="str">
        <f aca="false">IF($A128="","",IF(차량목록!$E13="",0,차량목록!$E13))</f>
        <v/>
      </c>
      <c r="I128" s="27" t="str">
        <f aca="false">IF(OR($A128="",$D128=0),"",IF($G128="",$H128+$D128,$G128+$D128))</f>
        <v/>
      </c>
      <c r="J128" s="24" t="str">
        <f aca="false">IF($I128="","",$I128-$H128)</f>
        <v/>
      </c>
      <c r="K128" s="26" t="str">
        <f aca="true">IF(OR($A128="",$E128=0),"",IF($F128="",EDATE(TODAY(),$E128),EDATE($F128,$E128)))</f>
        <v/>
      </c>
      <c r="L128" s="28" t="str">
        <f aca="true">IF($K128="","",$K128-TODAY())</f>
        <v/>
      </c>
      <c r="M128" s="28" t="str">
        <f aca="false">IF($A128="","",IF(AND($J128="",$L128=""),"-",IF(OR(AND($J128&lt;&gt;"",$J128&lt;=0),AND($L128&lt;&gt;"",$L128&lt;0)),"교체",IF(OR(AND($J128&lt;&gt;"",$J128&lt;=사용안내!$C$16),AND($L128&lt;&gt;"",$L128&lt;=사용안내!$C$17)),"임박","정상"))))</f>
        <v/>
      </c>
    </row>
    <row r="129" customFormat="false" ht="15" hidden="false" customHeight="true" outlineLevel="0" collapsed="false">
      <c r="A129" s="23" t="str">
        <f aca="false">IF(OR(차량목록!$A13="",정비항목!$A6="",차량목록!$G13="매각"),"",차량목록!$A13)</f>
        <v/>
      </c>
      <c r="B129" s="23" t="str">
        <f aca="false">IF($A129="","",차량목록!$B13)</f>
        <v/>
      </c>
      <c r="C129" s="23" t="str">
        <f aca="false">IF($A129="","",정비항목!$B6)</f>
        <v/>
      </c>
      <c r="D129" s="24" t="str">
        <f aca="false">IF($A129="","",IF(정비항목!$C6="",0,정비항목!$C6))</f>
        <v/>
      </c>
      <c r="E129" s="28" t="str">
        <f aca="false">IF($A129="","",IF(정비항목!$D6="",0,정비항목!$D6))</f>
        <v/>
      </c>
      <c r="F129" s="26" t="str">
        <f aca="false">IF($A129="","",IF(COUNTIFS(정비이력!$B$3:$B$1002,$A129,정비이력!$D$3:$D$1002,정비항목!$A6)=0,"",SUMPRODUCT(MAX((정비이력!$B$3:$B$1002=$A129)*(정비이력!$D$3:$D$1002=정비항목!$A6)*정비이력!$A$3:$A$1002))))</f>
        <v/>
      </c>
      <c r="G129" s="27" t="str">
        <f aca="false">IF($A129="","",IF($F129="","",SUMPRODUCT(MAX((정비이력!$B$3:$B$1002=$A129)*(정비이력!$D$3:$D$1002=정비항목!$A6)*정비이력!$F$3:$F$1002))))</f>
        <v/>
      </c>
      <c r="H129" s="27" t="str">
        <f aca="false">IF($A129="","",IF(차량목록!$E13="",0,차량목록!$E13))</f>
        <v/>
      </c>
      <c r="I129" s="27" t="str">
        <f aca="false">IF(OR($A129="",$D129=0),"",IF($G129="",$H129+$D129,$G129+$D129))</f>
        <v/>
      </c>
      <c r="J129" s="24" t="str">
        <f aca="false">IF($I129="","",$I129-$H129)</f>
        <v/>
      </c>
      <c r="K129" s="26" t="str">
        <f aca="true">IF(OR($A129="",$E129=0),"",IF($F129="",EDATE(TODAY(),$E129),EDATE($F129,$E129)))</f>
        <v/>
      </c>
      <c r="L129" s="28" t="str">
        <f aca="true">IF($K129="","",$K129-TODAY())</f>
        <v/>
      </c>
      <c r="M129" s="28" t="str">
        <f aca="false">IF($A129="","",IF(AND($J129="",$L129=""),"-",IF(OR(AND($J129&lt;&gt;"",$J129&lt;=0),AND($L129&lt;&gt;"",$L129&lt;0)),"교체",IF(OR(AND($J129&lt;&gt;"",$J129&lt;=사용안내!$C$16),AND($L129&lt;&gt;"",$L129&lt;=사용안내!$C$17)),"임박","정상"))))</f>
        <v/>
      </c>
    </row>
    <row r="130" customFormat="false" ht="15" hidden="false" customHeight="true" outlineLevel="0" collapsed="false">
      <c r="A130" s="23" t="str">
        <f aca="false">IF(OR(차량목록!$A13="",정비항목!$A7="",차량목록!$G13="매각"),"",차량목록!$A13)</f>
        <v/>
      </c>
      <c r="B130" s="23" t="str">
        <f aca="false">IF($A130="","",차량목록!$B13)</f>
        <v/>
      </c>
      <c r="C130" s="23" t="str">
        <f aca="false">IF($A130="","",정비항목!$B7)</f>
        <v/>
      </c>
      <c r="D130" s="24" t="str">
        <f aca="false">IF($A130="","",IF(정비항목!$C7="",0,정비항목!$C7))</f>
        <v/>
      </c>
      <c r="E130" s="28" t="str">
        <f aca="false">IF($A130="","",IF(정비항목!$D7="",0,정비항목!$D7))</f>
        <v/>
      </c>
      <c r="F130" s="26" t="str">
        <f aca="false">IF($A130="","",IF(COUNTIFS(정비이력!$B$3:$B$1002,$A130,정비이력!$D$3:$D$1002,정비항목!$A7)=0,"",SUMPRODUCT(MAX((정비이력!$B$3:$B$1002=$A130)*(정비이력!$D$3:$D$1002=정비항목!$A7)*정비이력!$A$3:$A$1002))))</f>
        <v/>
      </c>
      <c r="G130" s="27" t="str">
        <f aca="false">IF($A130="","",IF($F130="","",SUMPRODUCT(MAX((정비이력!$B$3:$B$1002=$A130)*(정비이력!$D$3:$D$1002=정비항목!$A7)*정비이력!$F$3:$F$1002))))</f>
        <v/>
      </c>
      <c r="H130" s="27" t="str">
        <f aca="false">IF($A130="","",IF(차량목록!$E13="",0,차량목록!$E13))</f>
        <v/>
      </c>
      <c r="I130" s="27" t="str">
        <f aca="false">IF(OR($A130="",$D130=0),"",IF($G130="",$H130+$D130,$G130+$D130))</f>
        <v/>
      </c>
      <c r="J130" s="24" t="str">
        <f aca="false">IF($I130="","",$I130-$H130)</f>
        <v/>
      </c>
      <c r="K130" s="26" t="str">
        <f aca="true">IF(OR($A130="",$E130=0),"",IF($F130="",EDATE(TODAY(),$E130),EDATE($F130,$E130)))</f>
        <v/>
      </c>
      <c r="L130" s="28" t="str">
        <f aca="true">IF($K130="","",$K130-TODAY())</f>
        <v/>
      </c>
      <c r="M130" s="28" t="str">
        <f aca="false">IF($A130="","",IF(AND($J130="",$L130=""),"-",IF(OR(AND($J130&lt;&gt;"",$J130&lt;=0),AND($L130&lt;&gt;"",$L130&lt;0)),"교체",IF(OR(AND($J130&lt;&gt;"",$J130&lt;=사용안내!$C$16),AND($L130&lt;&gt;"",$L130&lt;=사용안내!$C$17)),"임박","정상"))))</f>
        <v/>
      </c>
    </row>
    <row r="131" customFormat="false" ht="15" hidden="false" customHeight="true" outlineLevel="0" collapsed="false">
      <c r="A131" s="23" t="str">
        <f aca="false">IF(OR(차량목록!$A13="",정비항목!$A8="",차량목록!$G13="매각"),"",차량목록!$A13)</f>
        <v/>
      </c>
      <c r="B131" s="23" t="str">
        <f aca="false">IF($A131="","",차량목록!$B13)</f>
        <v/>
      </c>
      <c r="C131" s="23" t="str">
        <f aca="false">IF($A131="","",정비항목!$B8)</f>
        <v/>
      </c>
      <c r="D131" s="24" t="str">
        <f aca="false">IF($A131="","",IF(정비항목!$C8="",0,정비항목!$C8))</f>
        <v/>
      </c>
      <c r="E131" s="28" t="str">
        <f aca="false">IF($A131="","",IF(정비항목!$D8="",0,정비항목!$D8))</f>
        <v/>
      </c>
      <c r="F131" s="26" t="str">
        <f aca="false">IF($A131="","",IF(COUNTIFS(정비이력!$B$3:$B$1002,$A131,정비이력!$D$3:$D$1002,정비항목!$A8)=0,"",SUMPRODUCT(MAX((정비이력!$B$3:$B$1002=$A131)*(정비이력!$D$3:$D$1002=정비항목!$A8)*정비이력!$A$3:$A$1002))))</f>
        <v/>
      </c>
      <c r="G131" s="27" t="str">
        <f aca="false">IF($A131="","",IF($F131="","",SUMPRODUCT(MAX((정비이력!$B$3:$B$1002=$A131)*(정비이력!$D$3:$D$1002=정비항목!$A8)*정비이력!$F$3:$F$1002))))</f>
        <v/>
      </c>
      <c r="H131" s="27" t="str">
        <f aca="false">IF($A131="","",IF(차량목록!$E13="",0,차량목록!$E13))</f>
        <v/>
      </c>
      <c r="I131" s="27" t="str">
        <f aca="false">IF(OR($A131="",$D131=0),"",IF($G131="",$H131+$D131,$G131+$D131))</f>
        <v/>
      </c>
      <c r="J131" s="24" t="str">
        <f aca="false">IF($I131="","",$I131-$H131)</f>
        <v/>
      </c>
      <c r="K131" s="26" t="str">
        <f aca="true">IF(OR($A131="",$E131=0),"",IF($F131="",EDATE(TODAY(),$E131),EDATE($F131,$E131)))</f>
        <v/>
      </c>
      <c r="L131" s="28" t="str">
        <f aca="true">IF($K131="","",$K131-TODAY())</f>
        <v/>
      </c>
      <c r="M131" s="28" t="str">
        <f aca="false">IF($A131="","",IF(AND($J131="",$L131=""),"-",IF(OR(AND($J131&lt;&gt;"",$J131&lt;=0),AND($L131&lt;&gt;"",$L131&lt;0)),"교체",IF(OR(AND($J131&lt;&gt;"",$J131&lt;=사용안내!$C$16),AND($L131&lt;&gt;"",$L131&lt;=사용안내!$C$17)),"임박","정상"))))</f>
        <v/>
      </c>
    </row>
    <row r="132" customFormat="false" ht="15" hidden="false" customHeight="true" outlineLevel="0" collapsed="false">
      <c r="A132" s="23" t="str">
        <f aca="false">IF(OR(차량목록!$A13="",정비항목!$A9="",차량목록!$G13="매각"),"",차량목록!$A13)</f>
        <v/>
      </c>
      <c r="B132" s="23" t="str">
        <f aca="false">IF($A132="","",차량목록!$B13)</f>
        <v/>
      </c>
      <c r="C132" s="23" t="str">
        <f aca="false">IF($A132="","",정비항목!$B9)</f>
        <v/>
      </c>
      <c r="D132" s="24" t="str">
        <f aca="false">IF($A132="","",IF(정비항목!$C9="",0,정비항목!$C9))</f>
        <v/>
      </c>
      <c r="E132" s="28" t="str">
        <f aca="false">IF($A132="","",IF(정비항목!$D9="",0,정비항목!$D9))</f>
        <v/>
      </c>
      <c r="F132" s="26" t="str">
        <f aca="false">IF($A132="","",IF(COUNTIFS(정비이력!$B$3:$B$1002,$A132,정비이력!$D$3:$D$1002,정비항목!$A9)=0,"",SUMPRODUCT(MAX((정비이력!$B$3:$B$1002=$A132)*(정비이력!$D$3:$D$1002=정비항목!$A9)*정비이력!$A$3:$A$1002))))</f>
        <v/>
      </c>
      <c r="G132" s="27" t="str">
        <f aca="false">IF($A132="","",IF($F132="","",SUMPRODUCT(MAX((정비이력!$B$3:$B$1002=$A132)*(정비이력!$D$3:$D$1002=정비항목!$A9)*정비이력!$F$3:$F$1002))))</f>
        <v/>
      </c>
      <c r="H132" s="27" t="str">
        <f aca="false">IF($A132="","",IF(차량목록!$E13="",0,차량목록!$E13))</f>
        <v/>
      </c>
      <c r="I132" s="27" t="str">
        <f aca="false">IF(OR($A132="",$D132=0),"",IF($G132="",$H132+$D132,$G132+$D132))</f>
        <v/>
      </c>
      <c r="J132" s="24" t="str">
        <f aca="false">IF($I132="","",$I132-$H132)</f>
        <v/>
      </c>
      <c r="K132" s="26" t="str">
        <f aca="true">IF(OR($A132="",$E132=0),"",IF($F132="",EDATE(TODAY(),$E132),EDATE($F132,$E132)))</f>
        <v/>
      </c>
      <c r="L132" s="28" t="str">
        <f aca="true">IF($K132="","",$K132-TODAY())</f>
        <v/>
      </c>
      <c r="M132" s="28" t="str">
        <f aca="false">IF($A132="","",IF(AND($J132="",$L132=""),"-",IF(OR(AND($J132&lt;&gt;"",$J132&lt;=0),AND($L132&lt;&gt;"",$L132&lt;0)),"교체",IF(OR(AND($J132&lt;&gt;"",$J132&lt;=사용안내!$C$16),AND($L132&lt;&gt;"",$L132&lt;=사용안내!$C$17)),"임박","정상"))))</f>
        <v/>
      </c>
    </row>
    <row r="133" customFormat="false" ht="15" hidden="false" customHeight="true" outlineLevel="0" collapsed="false">
      <c r="A133" s="23" t="str">
        <f aca="false">IF(OR(차량목록!$A13="",정비항목!$A10="",차량목록!$G13="매각"),"",차량목록!$A13)</f>
        <v/>
      </c>
      <c r="B133" s="23" t="str">
        <f aca="false">IF($A133="","",차량목록!$B13)</f>
        <v/>
      </c>
      <c r="C133" s="23" t="str">
        <f aca="false">IF($A133="","",정비항목!$B10)</f>
        <v/>
      </c>
      <c r="D133" s="24" t="str">
        <f aca="false">IF($A133="","",IF(정비항목!$C10="",0,정비항목!$C10))</f>
        <v/>
      </c>
      <c r="E133" s="28" t="str">
        <f aca="false">IF($A133="","",IF(정비항목!$D10="",0,정비항목!$D10))</f>
        <v/>
      </c>
      <c r="F133" s="26" t="str">
        <f aca="false">IF($A133="","",IF(COUNTIFS(정비이력!$B$3:$B$1002,$A133,정비이력!$D$3:$D$1002,정비항목!$A10)=0,"",SUMPRODUCT(MAX((정비이력!$B$3:$B$1002=$A133)*(정비이력!$D$3:$D$1002=정비항목!$A10)*정비이력!$A$3:$A$1002))))</f>
        <v/>
      </c>
      <c r="G133" s="27" t="str">
        <f aca="false">IF($A133="","",IF($F133="","",SUMPRODUCT(MAX((정비이력!$B$3:$B$1002=$A133)*(정비이력!$D$3:$D$1002=정비항목!$A10)*정비이력!$F$3:$F$1002))))</f>
        <v/>
      </c>
      <c r="H133" s="27" t="str">
        <f aca="false">IF($A133="","",IF(차량목록!$E13="",0,차량목록!$E13))</f>
        <v/>
      </c>
      <c r="I133" s="27" t="str">
        <f aca="false">IF(OR($A133="",$D133=0),"",IF($G133="",$H133+$D133,$G133+$D133))</f>
        <v/>
      </c>
      <c r="J133" s="24" t="str">
        <f aca="false">IF($I133="","",$I133-$H133)</f>
        <v/>
      </c>
      <c r="K133" s="26" t="str">
        <f aca="true">IF(OR($A133="",$E133=0),"",IF($F133="",EDATE(TODAY(),$E133),EDATE($F133,$E133)))</f>
        <v/>
      </c>
      <c r="L133" s="28" t="str">
        <f aca="true">IF($K133="","",$K133-TODAY())</f>
        <v/>
      </c>
      <c r="M133" s="28" t="str">
        <f aca="false">IF($A133="","",IF(AND($J133="",$L133=""),"-",IF(OR(AND($J133&lt;&gt;"",$J133&lt;=0),AND($L133&lt;&gt;"",$L133&lt;0)),"교체",IF(OR(AND($J133&lt;&gt;"",$J133&lt;=사용안내!$C$16),AND($L133&lt;&gt;"",$L133&lt;=사용안내!$C$17)),"임박","정상"))))</f>
        <v/>
      </c>
    </row>
    <row r="134" customFormat="false" ht="15" hidden="false" customHeight="true" outlineLevel="0" collapsed="false">
      <c r="A134" s="23" t="str">
        <f aca="false">IF(OR(차량목록!$A13="",정비항목!$A11="",차량목록!$G13="매각"),"",차량목록!$A13)</f>
        <v/>
      </c>
      <c r="B134" s="23" t="str">
        <f aca="false">IF($A134="","",차량목록!$B13)</f>
        <v/>
      </c>
      <c r="C134" s="23" t="str">
        <f aca="false">IF($A134="","",정비항목!$B11)</f>
        <v/>
      </c>
      <c r="D134" s="24" t="str">
        <f aca="false">IF($A134="","",IF(정비항목!$C11="",0,정비항목!$C11))</f>
        <v/>
      </c>
      <c r="E134" s="28" t="str">
        <f aca="false">IF($A134="","",IF(정비항목!$D11="",0,정비항목!$D11))</f>
        <v/>
      </c>
      <c r="F134" s="26" t="str">
        <f aca="false">IF($A134="","",IF(COUNTIFS(정비이력!$B$3:$B$1002,$A134,정비이력!$D$3:$D$1002,정비항목!$A11)=0,"",SUMPRODUCT(MAX((정비이력!$B$3:$B$1002=$A134)*(정비이력!$D$3:$D$1002=정비항목!$A11)*정비이력!$A$3:$A$1002))))</f>
        <v/>
      </c>
      <c r="G134" s="27" t="str">
        <f aca="false">IF($A134="","",IF($F134="","",SUMPRODUCT(MAX((정비이력!$B$3:$B$1002=$A134)*(정비이력!$D$3:$D$1002=정비항목!$A11)*정비이력!$F$3:$F$1002))))</f>
        <v/>
      </c>
      <c r="H134" s="27" t="str">
        <f aca="false">IF($A134="","",IF(차량목록!$E13="",0,차량목록!$E13))</f>
        <v/>
      </c>
      <c r="I134" s="27" t="str">
        <f aca="false">IF(OR($A134="",$D134=0),"",IF($G134="",$H134+$D134,$G134+$D134))</f>
        <v/>
      </c>
      <c r="J134" s="24" t="str">
        <f aca="false">IF($I134="","",$I134-$H134)</f>
        <v/>
      </c>
      <c r="K134" s="26" t="str">
        <f aca="true">IF(OR($A134="",$E134=0),"",IF($F134="",EDATE(TODAY(),$E134),EDATE($F134,$E134)))</f>
        <v/>
      </c>
      <c r="L134" s="28" t="str">
        <f aca="true">IF($K134="","",$K134-TODAY())</f>
        <v/>
      </c>
      <c r="M134" s="28" t="str">
        <f aca="false">IF($A134="","",IF(AND($J134="",$L134=""),"-",IF(OR(AND($J134&lt;&gt;"",$J134&lt;=0),AND($L134&lt;&gt;"",$L134&lt;0)),"교체",IF(OR(AND($J134&lt;&gt;"",$J134&lt;=사용안내!$C$16),AND($L134&lt;&gt;"",$L134&lt;=사용안내!$C$17)),"임박","정상"))))</f>
        <v/>
      </c>
    </row>
    <row r="135" customFormat="false" ht="15" hidden="false" customHeight="true" outlineLevel="0" collapsed="false">
      <c r="A135" s="23" t="str">
        <f aca="false">IF(OR(차량목록!$A13="",정비항목!$A12="",차량목록!$G13="매각"),"",차량목록!$A13)</f>
        <v/>
      </c>
      <c r="B135" s="23" t="str">
        <f aca="false">IF($A135="","",차량목록!$B13)</f>
        <v/>
      </c>
      <c r="C135" s="23" t="str">
        <f aca="false">IF($A135="","",정비항목!$B12)</f>
        <v/>
      </c>
      <c r="D135" s="24" t="str">
        <f aca="false">IF($A135="","",IF(정비항목!$C12="",0,정비항목!$C12))</f>
        <v/>
      </c>
      <c r="E135" s="28" t="str">
        <f aca="false">IF($A135="","",IF(정비항목!$D12="",0,정비항목!$D12))</f>
        <v/>
      </c>
      <c r="F135" s="26" t="str">
        <f aca="false">IF($A135="","",IF(COUNTIFS(정비이력!$B$3:$B$1002,$A135,정비이력!$D$3:$D$1002,정비항목!$A12)=0,"",SUMPRODUCT(MAX((정비이력!$B$3:$B$1002=$A135)*(정비이력!$D$3:$D$1002=정비항목!$A12)*정비이력!$A$3:$A$1002))))</f>
        <v/>
      </c>
      <c r="G135" s="27" t="str">
        <f aca="false">IF($A135="","",IF($F135="","",SUMPRODUCT(MAX((정비이력!$B$3:$B$1002=$A135)*(정비이력!$D$3:$D$1002=정비항목!$A12)*정비이력!$F$3:$F$1002))))</f>
        <v/>
      </c>
      <c r="H135" s="27" t="str">
        <f aca="false">IF($A135="","",IF(차량목록!$E13="",0,차량목록!$E13))</f>
        <v/>
      </c>
      <c r="I135" s="27" t="str">
        <f aca="false">IF(OR($A135="",$D135=0),"",IF($G135="",$H135+$D135,$G135+$D135))</f>
        <v/>
      </c>
      <c r="J135" s="24" t="str">
        <f aca="false">IF($I135="","",$I135-$H135)</f>
        <v/>
      </c>
      <c r="K135" s="26" t="str">
        <f aca="true">IF(OR($A135="",$E135=0),"",IF($F135="",EDATE(TODAY(),$E135),EDATE($F135,$E135)))</f>
        <v/>
      </c>
      <c r="L135" s="28" t="str">
        <f aca="true">IF($K135="","",$K135-TODAY())</f>
        <v/>
      </c>
      <c r="M135" s="28" t="str">
        <f aca="false">IF($A135="","",IF(AND($J135="",$L135=""),"-",IF(OR(AND($J135&lt;&gt;"",$J135&lt;=0),AND($L135&lt;&gt;"",$L135&lt;0)),"교체",IF(OR(AND($J135&lt;&gt;"",$J135&lt;=사용안내!$C$16),AND($L135&lt;&gt;"",$L135&lt;=사용안내!$C$17)),"임박","정상"))))</f>
        <v/>
      </c>
    </row>
    <row r="136" customFormat="false" ht="15" hidden="false" customHeight="true" outlineLevel="0" collapsed="false">
      <c r="A136" s="23" t="str">
        <f aca="false">IF(OR(차량목록!$A13="",정비항목!$A13="",차량목록!$G13="매각"),"",차량목록!$A13)</f>
        <v/>
      </c>
      <c r="B136" s="23" t="str">
        <f aca="false">IF($A136="","",차량목록!$B13)</f>
        <v/>
      </c>
      <c r="C136" s="23" t="str">
        <f aca="false">IF($A136="","",정비항목!$B13)</f>
        <v/>
      </c>
      <c r="D136" s="24" t="str">
        <f aca="false">IF($A136="","",IF(정비항목!$C13="",0,정비항목!$C13))</f>
        <v/>
      </c>
      <c r="E136" s="28" t="str">
        <f aca="false">IF($A136="","",IF(정비항목!$D13="",0,정비항목!$D13))</f>
        <v/>
      </c>
      <c r="F136" s="26" t="str">
        <f aca="false">IF($A136="","",IF(COUNTIFS(정비이력!$B$3:$B$1002,$A136,정비이력!$D$3:$D$1002,정비항목!$A13)=0,"",SUMPRODUCT(MAX((정비이력!$B$3:$B$1002=$A136)*(정비이력!$D$3:$D$1002=정비항목!$A13)*정비이력!$A$3:$A$1002))))</f>
        <v/>
      </c>
      <c r="G136" s="27" t="str">
        <f aca="false">IF($A136="","",IF($F136="","",SUMPRODUCT(MAX((정비이력!$B$3:$B$1002=$A136)*(정비이력!$D$3:$D$1002=정비항목!$A13)*정비이력!$F$3:$F$1002))))</f>
        <v/>
      </c>
      <c r="H136" s="27" t="str">
        <f aca="false">IF($A136="","",IF(차량목록!$E13="",0,차량목록!$E13))</f>
        <v/>
      </c>
      <c r="I136" s="27" t="str">
        <f aca="false">IF(OR($A136="",$D136=0),"",IF($G136="",$H136+$D136,$G136+$D136))</f>
        <v/>
      </c>
      <c r="J136" s="24" t="str">
        <f aca="false">IF($I136="","",$I136-$H136)</f>
        <v/>
      </c>
      <c r="K136" s="26" t="str">
        <f aca="true">IF(OR($A136="",$E136=0),"",IF($F136="",EDATE(TODAY(),$E136),EDATE($F136,$E136)))</f>
        <v/>
      </c>
      <c r="L136" s="28" t="str">
        <f aca="true">IF($K136="","",$K136-TODAY())</f>
        <v/>
      </c>
      <c r="M136" s="28" t="str">
        <f aca="false">IF($A136="","",IF(AND($J136="",$L136=""),"-",IF(OR(AND($J136&lt;&gt;"",$J136&lt;=0),AND($L136&lt;&gt;"",$L136&lt;0)),"교체",IF(OR(AND($J136&lt;&gt;"",$J136&lt;=사용안내!$C$16),AND($L136&lt;&gt;"",$L136&lt;=사용안내!$C$17)),"임박","정상"))))</f>
        <v/>
      </c>
    </row>
    <row r="137" customFormat="false" ht="15" hidden="false" customHeight="true" outlineLevel="0" collapsed="false">
      <c r="A137" s="23" t="str">
        <f aca="false">IF(OR(차량목록!$A13="",정비항목!$A14="",차량목록!$G13="매각"),"",차량목록!$A13)</f>
        <v/>
      </c>
      <c r="B137" s="23" t="str">
        <f aca="false">IF($A137="","",차량목록!$B13)</f>
        <v/>
      </c>
      <c r="C137" s="23" t="str">
        <f aca="false">IF($A137="","",정비항목!$B14)</f>
        <v/>
      </c>
      <c r="D137" s="24" t="str">
        <f aca="false">IF($A137="","",IF(정비항목!$C14="",0,정비항목!$C14))</f>
        <v/>
      </c>
      <c r="E137" s="28" t="str">
        <f aca="false">IF($A137="","",IF(정비항목!$D14="",0,정비항목!$D14))</f>
        <v/>
      </c>
      <c r="F137" s="26" t="str">
        <f aca="false">IF($A137="","",IF(COUNTIFS(정비이력!$B$3:$B$1002,$A137,정비이력!$D$3:$D$1002,정비항목!$A14)=0,"",SUMPRODUCT(MAX((정비이력!$B$3:$B$1002=$A137)*(정비이력!$D$3:$D$1002=정비항목!$A14)*정비이력!$A$3:$A$1002))))</f>
        <v/>
      </c>
      <c r="G137" s="27" t="str">
        <f aca="false">IF($A137="","",IF($F137="","",SUMPRODUCT(MAX((정비이력!$B$3:$B$1002=$A137)*(정비이력!$D$3:$D$1002=정비항목!$A14)*정비이력!$F$3:$F$1002))))</f>
        <v/>
      </c>
      <c r="H137" s="27" t="str">
        <f aca="false">IF($A137="","",IF(차량목록!$E13="",0,차량목록!$E13))</f>
        <v/>
      </c>
      <c r="I137" s="27" t="str">
        <f aca="false">IF(OR($A137="",$D137=0),"",IF($G137="",$H137+$D137,$G137+$D137))</f>
        <v/>
      </c>
      <c r="J137" s="24" t="str">
        <f aca="false">IF($I137="","",$I137-$H137)</f>
        <v/>
      </c>
      <c r="K137" s="26" t="str">
        <f aca="true">IF(OR($A137="",$E137=0),"",IF($F137="",EDATE(TODAY(),$E137),EDATE($F137,$E137)))</f>
        <v/>
      </c>
      <c r="L137" s="28" t="str">
        <f aca="true">IF($K137="","",$K137-TODAY())</f>
        <v/>
      </c>
      <c r="M137" s="28" t="str">
        <f aca="false">IF($A137="","",IF(AND($J137="",$L137=""),"-",IF(OR(AND($J137&lt;&gt;"",$J137&lt;=0),AND($L137&lt;&gt;"",$L137&lt;0)),"교체",IF(OR(AND($J137&lt;&gt;"",$J137&lt;=사용안내!$C$16),AND($L137&lt;&gt;"",$L137&lt;=사용안내!$C$17)),"임박","정상"))))</f>
        <v/>
      </c>
    </row>
    <row r="138" customFormat="false" ht="15" hidden="false" customHeight="true" outlineLevel="0" collapsed="false">
      <c r="A138" s="23" t="str">
        <f aca="false">IF(OR(차량목록!$A14="",정비항목!$A3="",차량목록!$G14="매각"),"",차량목록!$A14)</f>
        <v/>
      </c>
      <c r="B138" s="23" t="str">
        <f aca="false">IF($A138="","",차량목록!$B14)</f>
        <v/>
      </c>
      <c r="C138" s="23" t="str">
        <f aca="false">IF($A138="","",정비항목!$B3)</f>
        <v/>
      </c>
      <c r="D138" s="24" t="str">
        <f aca="false">IF($A138="","",IF(정비항목!$C3="",0,정비항목!$C3))</f>
        <v/>
      </c>
      <c r="E138" s="28" t="str">
        <f aca="false">IF($A138="","",IF(정비항목!$D3="",0,정비항목!$D3))</f>
        <v/>
      </c>
      <c r="F138" s="26" t="str">
        <f aca="false">IF($A138="","",IF(COUNTIFS(정비이력!$B$3:$B$1002,$A138,정비이력!$D$3:$D$1002,정비항목!$A3)=0,"",SUMPRODUCT(MAX((정비이력!$B$3:$B$1002=$A138)*(정비이력!$D$3:$D$1002=정비항목!$A3)*정비이력!$A$3:$A$1002))))</f>
        <v/>
      </c>
      <c r="G138" s="27" t="str">
        <f aca="false">IF($A138="","",IF($F138="","",SUMPRODUCT(MAX((정비이력!$B$3:$B$1002=$A138)*(정비이력!$D$3:$D$1002=정비항목!$A3)*정비이력!$F$3:$F$1002))))</f>
        <v/>
      </c>
      <c r="H138" s="27" t="str">
        <f aca="false">IF($A138="","",IF(차량목록!$E14="",0,차량목록!$E14))</f>
        <v/>
      </c>
      <c r="I138" s="27" t="str">
        <f aca="false">IF(OR($A138="",$D138=0),"",IF($G138="",$H138+$D138,$G138+$D138))</f>
        <v/>
      </c>
      <c r="J138" s="24" t="str">
        <f aca="false">IF($I138="","",$I138-$H138)</f>
        <v/>
      </c>
      <c r="K138" s="26" t="str">
        <f aca="true">IF(OR($A138="",$E138=0),"",IF($F138="",EDATE(TODAY(),$E138),EDATE($F138,$E138)))</f>
        <v/>
      </c>
      <c r="L138" s="28" t="str">
        <f aca="true">IF($K138="","",$K138-TODAY())</f>
        <v/>
      </c>
      <c r="M138" s="28" t="str">
        <f aca="false">IF($A138="","",IF(AND($J138="",$L138=""),"-",IF(OR(AND($J138&lt;&gt;"",$J138&lt;=0),AND($L138&lt;&gt;"",$L138&lt;0)),"교체",IF(OR(AND($J138&lt;&gt;"",$J138&lt;=사용안내!$C$16),AND($L138&lt;&gt;"",$L138&lt;=사용안내!$C$17)),"임박","정상"))))</f>
        <v/>
      </c>
    </row>
    <row r="139" customFormat="false" ht="15" hidden="false" customHeight="true" outlineLevel="0" collapsed="false">
      <c r="A139" s="23" t="str">
        <f aca="false">IF(OR(차량목록!$A14="",정비항목!$A4="",차량목록!$G14="매각"),"",차량목록!$A14)</f>
        <v/>
      </c>
      <c r="B139" s="23" t="str">
        <f aca="false">IF($A139="","",차량목록!$B14)</f>
        <v/>
      </c>
      <c r="C139" s="23" t="str">
        <f aca="false">IF($A139="","",정비항목!$B4)</f>
        <v/>
      </c>
      <c r="D139" s="24" t="str">
        <f aca="false">IF($A139="","",IF(정비항목!$C4="",0,정비항목!$C4))</f>
        <v/>
      </c>
      <c r="E139" s="28" t="str">
        <f aca="false">IF($A139="","",IF(정비항목!$D4="",0,정비항목!$D4))</f>
        <v/>
      </c>
      <c r="F139" s="26" t="str">
        <f aca="false">IF($A139="","",IF(COUNTIFS(정비이력!$B$3:$B$1002,$A139,정비이력!$D$3:$D$1002,정비항목!$A4)=0,"",SUMPRODUCT(MAX((정비이력!$B$3:$B$1002=$A139)*(정비이력!$D$3:$D$1002=정비항목!$A4)*정비이력!$A$3:$A$1002))))</f>
        <v/>
      </c>
      <c r="G139" s="27" t="str">
        <f aca="false">IF($A139="","",IF($F139="","",SUMPRODUCT(MAX((정비이력!$B$3:$B$1002=$A139)*(정비이력!$D$3:$D$1002=정비항목!$A4)*정비이력!$F$3:$F$1002))))</f>
        <v/>
      </c>
      <c r="H139" s="27" t="str">
        <f aca="false">IF($A139="","",IF(차량목록!$E14="",0,차량목록!$E14))</f>
        <v/>
      </c>
      <c r="I139" s="27" t="str">
        <f aca="false">IF(OR($A139="",$D139=0),"",IF($G139="",$H139+$D139,$G139+$D139))</f>
        <v/>
      </c>
      <c r="J139" s="24" t="str">
        <f aca="false">IF($I139="","",$I139-$H139)</f>
        <v/>
      </c>
      <c r="K139" s="26" t="str">
        <f aca="true">IF(OR($A139="",$E139=0),"",IF($F139="",EDATE(TODAY(),$E139),EDATE($F139,$E139)))</f>
        <v/>
      </c>
      <c r="L139" s="28" t="str">
        <f aca="true">IF($K139="","",$K139-TODAY())</f>
        <v/>
      </c>
      <c r="M139" s="28" t="str">
        <f aca="false">IF($A139="","",IF(AND($J139="",$L139=""),"-",IF(OR(AND($J139&lt;&gt;"",$J139&lt;=0),AND($L139&lt;&gt;"",$L139&lt;0)),"교체",IF(OR(AND($J139&lt;&gt;"",$J139&lt;=사용안내!$C$16),AND($L139&lt;&gt;"",$L139&lt;=사용안내!$C$17)),"임박","정상"))))</f>
        <v/>
      </c>
    </row>
    <row r="140" customFormat="false" ht="15" hidden="false" customHeight="true" outlineLevel="0" collapsed="false">
      <c r="A140" s="23" t="str">
        <f aca="false">IF(OR(차량목록!$A14="",정비항목!$A5="",차량목록!$G14="매각"),"",차량목록!$A14)</f>
        <v/>
      </c>
      <c r="B140" s="23" t="str">
        <f aca="false">IF($A140="","",차량목록!$B14)</f>
        <v/>
      </c>
      <c r="C140" s="23" t="str">
        <f aca="false">IF($A140="","",정비항목!$B5)</f>
        <v/>
      </c>
      <c r="D140" s="24" t="str">
        <f aca="false">IF($A140="","",IF(정비항목!$C5="",0,정비항목!$C5))</f>
        <v/>
      </c>
      <c r="E140" s="28" t="str">
        <f aca="false">IF($A140="","",IF(정비항목!$D5="",0,정비항목!$D5))</f>
        <v/>
      </c>
      <c r="F140" s="26" t="str">
        <f aca="false">IF($A140="","",IF(COUNTIFS(정비이력!$B$3:$B$1002,$A140,정비이력!$D$3:$D$1002,정비항목!$A5)=0,"",SUMPRODUCT(MAX((정비이력!$B$3:$B$1002=$A140)*(정비이력!$D$3:$D$1002=정비항목!$A5)*정비이력!$A$3:$A$1002))))</f>
        <v/>
      </c>
      <c r="G140" s="27" t="str">
        <f aca="false">IF($A140="","",IF($F140="","",SUMPRODUCT(MAX((정비이력!$B$3:$B$1002=$A140)*(정비이력!$D$3:$D$1002=정비항목!$A5)*정비이력!$F$3:$F$1002))))</f>
        <v/>
      </c>
      <c r="H140" s="27" t="str">
        <f aca="false">IF($A140="","",IF(차량목록!$E14="",0,차량목록!$E14))</f>
        <v/>
      </c>
      <c r="I140" s="27" t="str">
        <f aca="false">IF(OR($A140="",$D140=0),"",IF($G140="",$H140+$D140,$G140+$D140))</f>
        <v/>
      </c>
      <c r="J140" s="24" t="str">
        <f aca="false">IF($I140="","",$I140-$H140)</f>
        <v/>
      </c>
      <c r="K140" s="26" t="str">
        <f aca="true">IF(OR($A140="",$E140=0),"",IF($F140="",EDATE(TODAY(),$E140),EDATE($F140,$E140)))</f>
        <v/>
      </c>
      <c r="L140" s="28" t="str">
        <f aca="true">IF($K140="","",$K140-TODAY())</f>
        <v/>
      </c>
      <c r="M140" s="28" t="str">
        <f aca="false">IF($A140="","",IF(AND($J140="",$L140=""),"-",IF(OR(AND($J140&lt;&gt;"",$J140&lt;=0),AND($L140&lt;&gt;"",$L140&lt;0)),"교체",IF(OR(AND($J140&lt;&gt;"",$J140&lt;=사용안내!$C$16),AND($L140&lt;&gt;"",$L140&lt;=사용안내!$C$17)),"임박","정상"))))</f>
        <v/>
      </c>
    </row>
    <row r="141" customFormat="false" ht="15" hidden="false" customHeight="true" outlineLevel="0" collapsed="false">
      <c r="A141" s="23" t="str">
        <f aca="false">IF(OR(차량목록!$A14="",정비항목!$A6="",차량목록!$G14="매각"),"",차량목록!$A14)</f>
        <v/>
      </c>
      <c r="B141" s="23" t="str">
        <f aca="false">IF($A141="","",차량목록!$B14)</f>
        <v/>
      </c>
      <c r="C141" s="23" t="str">
        <f aca="false">IF($A141="","",정비항목!$B6)</f>
        <v/>
      </c>
      <c r="D141" s="24" t="str">
        <f aca="false">IF($A141="","",IF(정비항목!$C6="",0,정비항목!$C6))</f>
        <v/>
      </c>
      <c r="E141" s="28" t="str">
        <f aca="false">IF($A141="","",IF(정비항목!$D6="",0,정비항목!$D6))</f>
        <v/>
      </c>
      <c r="F141" s="26" t="str">
        <f aca="false">IF($A141="","",IF(COUNTIFS(정비이력!$B$3:$B$1002,$A141,정비이력!$D$3:$D$1002,정비항목!$A6)=0,"",SUMPRODUCT(MAX((정비이력!$B$3:$B$1002=$A141)*(정비이력!$D$3:$D$1002=정비항목!$A6)*정비이력!$A$3:$A$1002))))</f>
        <v/>
      </c>
      <c r="G141" s="27" t="str">
        <f aca="false">IF($A141="","",IF($F141="","",SUMPRODUCT(MAX((정비이력!$B$3:$B$1002=$A141)*(정비이력!$D$3:$D$1002=정비항목!$A6)*정비이력!$F$3:$F$1002))))</f>
        <v/>
      </c>
      <c r="H141" s="27" t="str">
        <f aca="false">IF($A141="","",IF(차량목록!$E14="",0,차량목록!$E14))</f>
        <v/>
      </c>
      <c r="I141" s="27" t="str">
        <f aca="false">IF(OR($A141="",$D141=0),"",IF($G141="",$H141+$D141,$G141+$D141))</f>
        <v/>
      </c>
      <c r="J141" s="24" t="str">
        <f aca="false">IF($I141="","",$I141-$H141)</f>
        <v/>
      </c>
      <c r="K141" s="26" t="str">
        <f aca="true">IF(OR($A141="",$E141=0),"",IF($F141="",EDATE(TODAY(),$E141),EDATE($F141,$E141)))</f>
        <v/>
      </c>
      <c r="L141" s="28" t="str">
        <f aca="true">IF($K141="","",$K141-TODAY())</f>
        <v/>
      </c>
      <c r="M141" s="28" t="str">
        <f aca="false">IF($A141="","",IF(AND($J141="",$L141=""),"-",IF(OR(AND($J141&lt;&gt;"",$J141&lt;=0),AND($L141&lt;&gt;"",$L141&lt;0)),"교체",IF(OR(AND($J141&lt;&gt;"",$J141&lt;=사용안내!$C$16),AND($L141&lt;&gt;"",$L141&lt;=사용안내!$C$17)),"임박","정상"))))</f>
        <v/>
      </c>
    </row>
    <row r="142" customFormat="false" ht="15" hidden="false" customHeight="true" outlineLevel="0" collapsed="false">
      <c r="A142" s="23" t="str">
        <f aca="false">IF(OR(차량목록!$A14="",정비항목!$A7="",차량목록!$G14="매각"),"",차량목록!$A14)</f>
        <v/>
      </c>
      <c r="B142" s="23" t="str">
        <f aca="false">IF($A142="","",차량목록!$B14)</f>
        <v/>
      </c>
      <c r="C142" s="23" t="str">
        <f aca="false">IF($A142="","",정비항목!$B7)</f>
        <v/>
      </c>
      <c r="D142" s="24" t="str">
        <f aca="false">IF($A142="","",IF(정비항목!$C7="",0,정비항목!$C7))</f>
        <v/>
      </c>
      <c r="E142" s="28" t="str">
        <f aca="false">IF($A142="","",IF(정비항목!$D7="",0,정비항목!$D7))</f>
        <v/>
      </c>
      <c r="F142" s="26" t="str">
        <f aca="false">IF($A142="","",IF(COUNTIFS(정비이력!$B$3:$B$1002,$A142,정비이력!$D$3:$D$1002,정비항목!$A7)=0,"",SUMPRODUCT(MAX((정비이력!$B$3:$B$1002=$A142)*(정비이력!$D$3:$D$1002=정비항목!$A7)*정비이력!$A$3:$A$1002))))</f>
        <v/>
      </c>
      <c r="G142" s="27" t="str">
        <f aca="false">IF($A142="","",IF($F142="","",SUMPRODUCT(MAX((정비이력!$B$3:$B$1002=$A142)*(정비이력!$D$3:$D$1002=정비항목!$A7)*정비이력!$F$3:$F$1002))))</f>
        <v/>
      </c>
      <c r="H142" s="27" t="str">
        <f aca="false">IF($A142="","",IF(차량목록!$E14="",0,차량목록!$E14))</f>
        <v/>
      </c>
      <c r="I142" s="27" t="str">
        <f aca="false">IF(OR($A142="",$D142=0),"",IF($G142="",$H142+$D142,$G142+$D142))</f>
        <v/>
      </c>
      <c r="J142" s="24" t="str">
        <f aca="false">IF($I142="","",$I142-$H142)</f>
        <v/>
      </c>
      <c r="K142" s="26" t="str">
        <f aca="true">IF(OR($A142="",$E142=0),"",IF($F142="",EDATE(TODAY(),$E142),EDATE($F142,$E142)))</f>
        <v/>
      </c>
      <c r="L142" s="28" t="str">
        <f aca="true">IF($K142="","",$K142-TODAY())</f>
        <v/>
      </c>
      <c r="M142" s="28" t="str">
        <f aca="false">IF($A142="","",IF(AND($J142="",$L142=""),"-",IF(OR(AND($J142&lt;&gt;"",$J142&lt;=0),AND($L142&lt;&gt;"",$L142&lt;0)),"교체",IF(OR(AND($J142&lt;&gt;"",$J142&lt;=사용안내!$C$16),AND($L142&lt;&gt;"",$L142&lt;=사용안내!$C$17)),"임박","정상"))))</f>
        <v/>
      </c>
    </row>
    <row r="143" customFormat="false" ht="15" hidden="false" customHeight="true" outlineLevel="0" collapsed="false">
      <c r="A143" s="23" t="str">
        <f aca="false">IF(OR(차량목록!$A14="",정비항목!$A8="",차량목록!$G14="매각"),"",차량목록!$A14)</f>
        <v/>
      </c>
      <c r="B143" s="23" t="str">
        <f aca="false">IF($A143="","",차량목록!$B14)</f>
        <v/>
      </c>
      <c r="C143" s="23" t="str">
        <f aca="false">IF($A143="","",정비항목!$B8)</f>
        <v/>
      </c>
      <c r="D143" s="24" t="str">
        <f aca="false">IF($A143="","",IF(정비항목!$C8="",0,정비항목!$C8))</f>
        <v/>
      </c>
      <c r="E143" s="28" t="str">
        <f aca="false">IF($A143="","",IF(정비항목!$D8="",0,정비항목!$D8))</f>
        <v/>
      </c>
      <c r="F143" s="26" t="str">
        <f aca="false">IF($A143="","",IF(COUNTIFS(정비이력!$B$3:$B$1002,$A143,정비이력!$D$3:$D$1002,정비항목!$A8)=0,"",SUMPRODUCT(MAX((정비이력!$B$3:$B$1002=$A143)*(정비이력!$D$3:$D$1002=정비항목!$A8)*정비이력!$A$3:$A$1002))))</f>
        <v/>
      </c>
      <c r="G143" s="27" t="str">
        <f aca="false">IF($A143="","",IF($F143="","",SUMPRODUCT(MAX((정비이력!$B$3:$B$1002=$A143)*(정비이력!$D$3:$D$1002=정비항목!$A8)*정비이력!$F$3:$F$1002))))</f>
        <v/>
      </c>
      <c r="H143" s="27" t="str">
        <f aca="false">IF($A143="","",IF(차량목록!$E14="",0,차량목록!$E14))</f>
        <v/>
      </c>
      <c r="I143" s="27" t="str">
        <f aca="false">IF(OR($A143="",$D143=0),"",IF($G143="",$H143+$D143,$G143+$D143))</f>
        <v/>
      </c>
      <c r="J143" s="24" t="str">
        <f aca="false">IF($I143="","",$I143-$H143)</f>
        <v/>
      </c>
      <c r="K143" s="26" t="str">
        <f aca="true">IF(OR($A143="",$E143=0),"",IF($F143="",EDATE(TODAY(),$E143),EDATE($F143,$E143)))</f>
        <v/>
      </c>
      <c r="L143" s="28" t="str">
        <f aca="true">IF($K143="","",$K143-TODAY())</f>
        <v/>
      </c>
      <c r="M143" s="28" t="str">
        <f aca="false">IF($A143="","",IF(AND($J143="",$L143=""),"-",IF(OR(AND($J143&lt;&gt;"",$J143&lt;=0),AND($L143&lt;&gt;"",$L143&lt;0)),"교체",IF(OR(AND($J143&lt;&gt;"",$J143&lt;=사용안내!$C$16),AND($L143&lt;&gt;"",$L143&lt;=사용안내!$C$17)),"임박","정상"))))</f>
        <v/>
      </c>
    </row>
    <row r="144" customFormat="false" ht="15" hidden="false" customHeight="true" outlineLevel="0" collapsed="false">
      <c r="A144" s="23" t="str">
        <f aca="false">IF(OR(차량목록!$A14="",정비항목!$A9="",차량목록!$G14="매각"),"",차량목록!$A14)</f>
        <v/>
      </c>
      <c r="B144" s="23" t="str">
        <f aca="false">IF($A144="","",차량목록!$B14)</f>
        <v/>
      </c>
      <c r="C144" s="23" t="str">
        <f aca="false">IF($A144="","",정비항목!$B9)</f>
        <v/>
      </c>
      <c r="D144" s="24" t="str">
        <f aca="false">IF($A144="","",IF(정비항목!$C9="",0,정비항목!$C9))</f>
        <v/>
      </c>
      <c r="E144" s="28" t="str">
        <f aca="false">IF($A144="","",IF(정비항목!$D9="",0,정비항목!$D9))</f>
        <v/>
      </c>
      <c r="F144" s="26" t="str">
        <f aca="false">IF($A144="","",IF(COUNTIFS(정비이력!$B$3:$B$1002,$A144,정비이력!$D$3:$D$1002,정비항목!$A9)=0,"",SUMPRODUCT(MAX((정비이력!$B$3:$B$1002=$A144)*(정비이력!$D$3:$D$1002=정비항목!$A9)*정비이력!$A$3:$A$1002))))</f>
        <v/>
      </c>
      <c r="G144" s="27" t="str">
        <f aca="false">IF($A144="","",IF($F144="","",SUMPRODUCT(MAX((정비이력!$B$3:$B$1002=$A144)*(정비이력!$D$3:$D$1002=정비항목!$A9)*정비이력!$F$3:$F$1002))))</f>
        <v/>
      </c>
      <c r="H144" s="27" t="str">
        <f aca="false">IF($A144="","",IF(차량목록!$E14="",0,차량목록!$E14))</f>
        <v/>
      </c>
      <c r="I144" s="27" t="str">
        <f aca="false">IF(OR($A144="",$D144=0),"",IF($G144="",$H144+$D144,$G144+$D144))</f>
        <v/>
      </c>
      <c r="J144" s="24" t="str">
        <f aca="false">IF($I144="","",$I144-$H144)</f>
        <v/>
      </c>
      <c r="K144" s="26" t="str">
        <f aca="true">IF(OR($A144="",$E144=0),"",IF($F144="",EDATE(TODAY(),$E144),EDATE($F144,$E144)))</f>
        <v/>
      </c>
      <c r="L144" s="28" t="str">
        <f aca="true">IF($K144="","",$K144-TODAY())</f>
        <v/>
      </c>
      <c r="M144" s="28" t="str">
        <f aca="false">IF($A144="","",IF(AND($J144="",$L144=""),"-",IF(OR(AND($J144&lt;&gt;"",$J144&lt;=0),AND($L144&lt;&gt;"",$L144&lt;0)),"교체",IF(OR(AND($J144&lt;&gt;"",$J144&lt;=사용안내!$C$16),AND($L144&lt;&gt;"",$L144&lt;=사용안내!$C$17)),"임박","정상"))))</f>
        <v/>
      </c>
    </row>
    <row r="145" customFormat="false" ht="15" hidden="false" customHeight="true" outlineLevel="0" collapsed="false">
      <c r="A145" s="23" t="str">
        <f aca="false">IF(OR(차량목록!$A14="",정비항목!$A10="",차량목록!$G14="매각"),"",차량목록!$A14)</f>
        <v/>
      </c>
      <c r="B145" s="23" t="str">
        <f aca="false">IF($A145="","",차량목록!$B14)</f>
        <v/>
      </c>
      <c r="C145" s="23" t="str">
        <f aca="false">IF($A145="","",정비항목!$B10)</f>
        <v/>
      </c>
      <c r="D145" s="24" t="str">
        <f aca="false">IF($A145="","",IF(정비항목!$C10="",0,정비항목!$C10))</f>
        <v/>
      </c>
      <c r="E145" s="28" t="str">
        <f aca="false">IF($A145="","",IF(정비항목!$D10="",0,정비항목!$D10))</f>
        <v/>
      </c>
      <c r="F145" s="26" t="str">
        <f aca="false">IF($A145="","",IF(COUNTIFS(정비이력!$B$3:$B$1002,$A145,정비이력!$D$3:$D$1002,정비항목!$A10)=0,"",SUMPRODUCT(MAX((정비이력!$B$3:$B$1002=$A145)*(정비이력!$D$3:$D$1002=정비항목!$A10)*정비이력!$A$3:$A$1002))))</f>
        <v/>
      </c>
      <c r="G145" s="27" t="str">
        <f aca="false">IF($A145="","",IF($F145="","",SUMPRODUCT(MAX((정비이력!$B$3:$B$1002=$A145)*(정비이력!$D$3:$D$1002=정비항목!$A10)*정비이력!$F$3:$F$1002))))</f>
        <v/>
      </c>
      <c r="H145" s="27" t="str">
        <f aca="false">IF($A145="","",IF(차량목록!$E14="",0,차량목록!$E14))</f>
        <v/>
      </c>
      <c r="I145" s="27" t="str">
        <f aca="false">IF(OR($A145="",$D145=0),"",IF($G145="",$H145+$D145,$G145+$D145))</f>
        <v/>
      </c>
      <c r="J145" s="24" t="str">
        <f aca="false">IF($I145="","",$I145-$H145)</f>
        <v/>
      </c>
      <c r="K145" s="26" t="str">
        <f aca="true">IF(OR($A145="",$E145=0),"",IF($F145="",EDATE(TODAY(),$E145),EDATE($F145,$E145)))</f>
        <v/>
      </c>
      <c r="L145" s="28" t="str">
        <f aca="true">IF($K145="","",$K145-TODAY())</f>
        <v/>
      </c>
      <c r="M145" s="28" t="str">
        <f aca="false">IF($A145="","",IF(AND($J145="",$L145=""),"-",IF(OR(AND($J145&lt;&gt;"",$J145&lt;=0),AND($L145&lt;&gt;"",$L145&lt;0)),"교체",IF(OR(AND($J145&lt;&gt;"",$J145&lt;=사용안내!$C$16),AND($L145&lt;&gt;"",$L145&lt;=사용안내!$C$17)),"임박","정상"))))</f>
        <v/>
      </c>
    </row>
    <row r="146" customFormat="false" ht="15" hidden="false" customHeight="true" outlineLevel="0" collapsed="false">
      <c r="A146" s="23" t="str">
        <f aca="false">IF(OR(차량목록!$A14="",정비항목!$A11="",차량목록!$G14="매각"),"",차량목록!$A14)</f>
        <v/>
      </c>
      <c r="B146" s="23" t="str">
        <f aca="false">IF($A146="","",차량목록!$B14)</f>
        <v/>
      </c>
      <c r="C146" s="23" t="str">
        <f aca="false">IF($A146="","",정비항목!$B11)</f>
        <v/>
      </c>
      <c r="D146" s="24" t="str">
        <f aca="false">IF($A146="","",IF(정비항목!$C11="",0,정비항목!$C11))</f>
        <v/>
      </c>
      <c r="E146" s="28" t="str">
        <f aca="false">IF($A146="","",IF(정비항목!$D11="",0,정비항목!$D11))</f>
        <v/>
      </c>
      <c r="F146" s="26" t="str">
        <f aca="false">IF($A146="","",IF(COUNTIFS(정비이력!$B$3:$B$1002,$A146,정비이력!$D$3:$D$1002,정비항목!$A11)=0,"",SUMPRODUCT(MAX((정비이력!$B$3:$B$1002=$A146)*(정비이력!$D$3:$D$1002=정비항목!$A11)*정비이력!$A$3:$A$1002))))</f>
        <v/>
      </c>
      <c r="G146" s="27" t="str">
        <f aca="false">IF($A146="","",IF($F146="","",SUMPRODUCT(MAX((정비이력!$B$3:$B$1002=$A146)*(정비이력!$D$3:$D$1002=정비항목!$A11)*정비이력!$F$3:$F$1002))))</f>
        <v/>
      </c>
      <c r="H146" s="27" t="str">
        <f aca="false">IF($A146="","",IF(차량목록!$E14="",0,차량목록!$E14))</f>
        <v/>
      </c>
      <c r="I146" s="27" t="str">
        <f aca="false">IF(OR($A146="",$D146=0),"",IF($G146="",$H146+$D146,$G146+$D146))</f>
        <v/>
      </c>
      <c r="J146" s="24" t="str">
        <f aca="false">IF($I146="","",$I146-$H146)</f>
        <v/>
      </c>
      <c r="K146" s="26" t="str">
        <f aca="true">IF(OR($A146="",$E146=0),"",IF($F146="",EDATE(TODAY(),$E146),EDATE($F146,$E146)))</f>
        <v/>
      </c>
      <c r="L146" s="28" t="str">
        <f aca="true">IF($K146="","",$K146-TODAY())</f>
        <v/>
      </c>
      <c r="M146" s="28" t="str">
        <f aca="false">IF($A146="","",IF(AND($J146="",$L146=""),"-",IF(OR(AND($J146&lt;&gt;"",$J146&lt;=0),AND($L146&lt;&gt;"",$L146&lt;0)),"교체",IF(OR(AND($J146&lt;&gt;"",$J146&lt;=사용안내!$C$16),AND($L146&lt;&gt;"",$L146&lt;=사용안내!$C$17)),"임박","정상"))))</f>
        <v/>
      </c>
    </row>
    <row r="147" customFormat="false" ht="15" hidden="false" customHeight="true" outlineLevel="0" collapsed="false">
      <c r="A147" s="23" t="str">
        <f aca="false">IF(OR(차량목록!$A14="",정비항목!$A12="",차량목록!$G14="매각"),"",차량목록!$A14)</f>
        <v/>
      </c>
      <c r="B147" s="23" t="str">
        <f aca="false">IF($A147="","",차량목록!$B14)</f>
        <v/>
      </c>
      <c r="C147" s="23" t="str">
        <f aca="false">IF($A147="","",정비항목!$B12)</f>
        <v/>
      </c>
      <c r="D147" s="24" t="str">
        <f aca="false">IF($A147="","",IF(정비항목!$C12="",0,정비항목!$C12))</f>
        <v/>
      </c>
      <c r="E147" s="28" t="str">
        <f aca="false">IF($A147="","",IF(정비항목!$D12="",0,정비항목!$D12))</f>
        <v/>
      </c>
      <c r="F147" s="26" t="str">
        <f aca="false">IF($A147="","",IF(COUNTIFS(정비이력!$B$3:$B$1002,$A147,정비이력!$D$3:$D$1002,정비항목!$A12)=0,"",SUMPRODUCT(MAX((정비이력!$B$3:$B$1002=$A147)*(정비이력!$D$3:$D$1002=정비항목!$A12)*정비이력!$A$3:$A$1002))))</f>
        <v/>
      </c>
      <c r="G147" s="27" t="str">
        <f aca="false">IF($A147="","",IF($F147="","",SUMPRODUCT(MAX((정비이력!$B$3:$B$1002=$A147)*(정비이력!$D$3:$D$1002=정비항목!$A12)*정비이력!$F$3:$F$1002))))</f>
        <v/>
      </c>
      <c r="H147" s="27" t="str">
        <f aca="false">IF($A147="","",IF(차량목록!$E14="",0,차량목록!$E14))</f>
        <v/>
      </c>
      <c r="I147" s="27" t="str">
        <f aca="false">IF(OR($A147="",$D147=0),"",IF($G147="",$H147+$D147,$G147+$D147))</f>
        <v/>
      </c>
      <c r="J147" s="24" t="str">
        <f aca="false">IF($I147="","",$I147-$H147)</f>
        <v/>
      </c>
      <c r="K147" s="26" t="str">
        <f aca="true">IF(OR($A147="",$E147=0),"",IF($F147="",EDATE(TODAY(),$E147),EDATE($F147,$E147)))</f>
        <v/>
      </c>
      <c r="L147" s="28" t="str">
        <f aca="true">IF($K147="","",$K147-TODAY())</f>
        <v/>
      </c>
      <c r="M147" s="28" t="str">
        <f aca="false">IF($A147="","",IF(AND($J147="",$L147=""),"-",IF(OR(AND($J147&lt;&gt;"",$J147&lt;=0),AND($L147&lt;&gt;"",$L147&lt;0)),"교체",IF(OR(AND($J147&lt;&gt;"",$J147&lt;=사용안내!$C$16),AND($L147&lt;&gt;"",$L147&lt;=사용안내!$C$17)),"임박","정상"))))</f>
        <v/>
      </c>
    </row>
    <row r="148" customFormat="false" ht="15" hidden="false" customHeight="true" outlineLevel="0" collapsed="false">
      <c r="A148" s="23" t="str">
        <f aca="false">IF(OR(차량목록!$A14="",정비항목!$A13="",차량목록!$G14="매각"),"",차량목록!$A14)</f>
        <v/>
      </c>
      <c r="B148" s="23" t="str">
        <f aca="false">IF($A148="","",차량목록!$B14)</f>
        <v/>
      </c>
      <c r="C148" s="23" t="str">
        <f aca="false">IF($A148="","",정비항목!$B13)</f>
        <v/>
      </c>
      <c r="D148" s="24" t="str">
        <f aca="false">IF($A148="","",IF(정비항목!$C13="",0,정비항목!$C13))</f>
        <v/>
      </c>
      <c r="E148" s="28" t="str">
        <f aca="false">IF($A148="","",IF(정비항목!$D13="",0,정비항목!$D13))</f>
        <v/>
      </c>
      <c r="F148" s="26" t="str">
        <f aca="false">IF($A148="","",IF(COUNTIFS(정비이력!$B$3:$B$1002,$A148,정비이력!$D$3:$D$1002,정비항목!$A13)=0,"",SUMPRODUCT(MAX((정비이력!$B$3:$B$1002=$A148)*(정비이력!$D$3:$D$1002=정비항목!$A13)*정비이력!$A$3:$A$1002))))</f>
        <v/>
      </c>
      <c r="G148" s="27" t="str">
        <f aca="false">IF($A148="","",IF($F148="","",SUMPRODUCT(MAX((정비이력!$B$3:$B$1002=$A148)*(정비이력!$D$3:$D$1002=정비항목!$A13)*정비이력!$F$3:$F$1002))))</f>
        <v/>
      </c>
      <c r="H148" s="27" t="str">
        <f aca="false">IF($A148="","",IF(차량목록!$E14="",0,차량목록!$E14))</f>
        <v/>
      </c>
      <c r="I148" s="27" t="str">
        <f aca="false">IF(OR($A148="",$D148=0),"",IF($G148="",$H148+$D148,$G148+$D148))</f>
        <v/>
      </c>
      <c r="J148" s="24" t="str">
        <f aca="false">IF($I148="","",$I148-$H148)</f>
        <v/>
      </c>
      <c r="K148" s="26" t="str">
        <f aca="true">IF(OR($A148="",$E148=0),"",IF($F148="",EDATE(TODAY(),$E148),EDATE($F148,$E148)))</f>
        <v/>
      </c>
      <c r="L148" s="28" t="str">
        <f aca="true">IF($K148="","",$K148-TODAY())</f>
        <v/>
      </c>
      <c r="M148" s="28" t="str">
        <f aca="false">IF($A148="","",IF(AND($J148="",$L148=""),"-",IF(OR(AND($J148&lt;&gt;"",$J148&lt;=0),AND($L148&lt;&gt;"",$L148&lt;0)),"교체",IF(OR(AND($J148&lt;&gt;"",$J148&lt;=사용안내!$C$16),AND($L148&lt;&gt;"",$L148&lt;=사용안내!$C$17)),"임박","정상"))))</f>
        <v/>
      </c>
    </row>
    <row r="149" customFormat="false" ht="15" hidden="false" customHeight="true" outlineLevel="0" collapsed="false">
      <c r="A149" s="23" t="str">
        <f aca="false">IF(OR(차량목록!$A14="",정비항목!$A14="",차량목록!$G14="매각"),"",차량목록!$A14)</f>
        <v/>
      </c>
      <c r="B149" s="23" t="str">
        <f aca="false">IF($A149="","",차량목록!$B14)</f>
        <v/>
      </c>
      <c r="C149" s="23" t="str">
        <f aca="false">IF($A149="","",정비항목!$B14)</f>
        <v/>
      </c>
      <c r="D149" s="24" t="str">
        <f aca="false">IF($A149="","",IF(정비항목!$C14="",0,정비항목!$C14))</f>
        <v/>
      </c>
      <c r="E149" s="28" t="str">
        <f aca="false">IF($A149="","",IF(정비항목!$D14="",0,정비항목!$D14))</f>
        <v/>
      </c>
      <c r="F149" s="26" t="str">
        <f aca="false">IF($A149="","",IF(COUNTIFS(정비이력!$B$3:$B$1002,$A149,정비이력!$D$3:$D$1002,정비항목!$A14)=0,"",SUMPRODUCT(MAX((정비이력!$B$3:$B$1002=$A149)*(정비이력!$D$3:$D$1002=정비항목!$A14)*정비이력!$A$3:$A$1002))))</f>
        <v/>
      </c>
      <c r="G149" s="27" t="str">
        <f aca="false">IF($A149="","",IF($F149="","",SUMPRODUCT(MAX((정비이력!$B$3:$B$1002=$A149)*(정비이력!$D$3:$D$1002=정비항목!$A14)*정비이력!$F$3:$F$1002))))</f>
        <v/>
      </c>
      <c r="H149" s="27" t="str">
        <f aca="false">IF($A149="","",IF(차량목록!$E14="",0,차량목록!$E14))</f>
        <v/>
      </c>
      <c r="I149" s="27" t="str">
        <f aca="false">IF(OR($A149="",$D149=0),"",IF($G149="",$H149+$D149,$G149+$D149))</f>
        <v/>
      </c>
      <c r="J149" s="24" t="str">
        <f aca="false">IF($I149="","",$I149-$H149)</f>
        <v/>
      </c>
      <c r="K149" s="26" t="str">
        <f aca="true">IF(OR($A149="",$E149=0),"",IF($F149="",EDATE(TODAY(),$E149),EDATE($F149,$E149)))</f>
        <v/>
      </c>
      <c r="L149" s="28" t="str">
        <f aca="true">IF($K149="","",$K149-TODAY())</f>
        <v/>
      </c>
      <c r="M149" s="28" t="str">
        <f aca="false">IF($A149="","",IF(AND($J149="",$L149=""),"-",IF(OR(AND($J149&lt;&gt;"",$J149&lt;=0),AND($L149&lt;&gt;"",$L149&lt;0)),"교체",IF(OR(AND($J149&lt;&gt;"",$J149&lt;=사용안내!$C$16),AND($L149&lt;&gt;"",$L149&lt;=사용안내!$C$17)),"임박","정상"))))</f>
        <v/>
      </c>
    </row>
    <row r="150" customFormat="false" ht="15" hidden="false" customHeight="true" outlineLevel="0" collapsed="false">
      <c r="A150" s="23" t="str">
        <f aca="false">IF(OR(차량목록!$A15="",정비항목!$A3="",차량목록!$G15="매각"),"",차량목록!$A15)</f>
        <v/>
      </c>
      <c r="B150" s="23" t="str">
        <f aca="false">IF($A150="","",차량목록!$B15)</f>
        <v/>
      </c>
      <c r="C150" s="23" t="str">
        <f aca="false">IF($A150="","",정비항목!$B3)</f>
        <v/>
      </c>
      <c r="D150" s="24" t="str">
        <f aca="false">IF($A150="","",IF(정비항목!$C3="",0,정비항목!$C3))</f>
        <v/>
      </c>
      <c r="E150" s="28" t="str">
        <f aca="false">IF($A150="","",IF(정비항목!$D3="",0,정비항목!$D3))</f>
        <v/>
      </c>
      <c r="F150" s="26" t="str">
        <f aca="false">IF($A150="","",IF(COUNTIFS(정비이력!$B$3:$B$1002,$A150,정비이력!$D$3:$D$1002,정비항목!$A3)=0,"",SUMPRODUCT(MAX((정비이력!$B$3:$B$1002=$A150)*(정비이력!$D$3:$D$1002=정비항목!$A3)*정비이력!$A$3:$A$1002))))</f>
        <v/>
      </c>
      <c r="G150" s="27" t="str">
        <f aca="false">IF($A150="","",IF($F150="","",SUMPRODUCT(MAX((정비이력!$B$3:$B$1002=$A150)*(정비이력!$D$3:$D$1002=정비항목!$A3)*정비이력!$F$3:$F$1002))))</f>
        <v/>
      </c>
      <c r="H150" s="27" t="str">
        <f aca="false">IF($A150="","",IF(차량목록!$E15="",0,차량목록!$E15))</f>
        <v/>
      </c>
      <c r="I150" s="27" t="str">
        <f aca="false">IF(OR($A150="",$D150=0),"",IF($G150="",$H150+$D150,$G150+$D150))</f>
        <v/>
      </c>
      <c r="J150" s="24" t="str">
        <f aca="false">IF($I150="","",$I150-$H150)</f>
        <v/>
      </c>
      <c r="K150" s="26" t="str">
        <f aca="true">IF(OR($A150="",$E150=0),"",IF($F150="",EDATE(TODAY(),$E150),EDATE($F150,$E150)))</f>
        <v/>
      </c>
      <c r="L150" s="28" t="str">
        <f aca="true">IF($K150="","",$K150-TODAY())</f>
        <v/>
      </c>
      <c r="M150" s="28" t="str">
        <f aca="false">IF($A150="","",IF(AND($J150="",$L150=""),"-",IF(OR(AND($J150&lt;&gt;"",$J150&lt;=0),AND($L150&lt;&gt;"",$L150&lt;0)),"교체",IF(OR(AND($J150&lt;&gt;"",$J150&lt;=사용안내!$C$16),AND($L150&lt;&gt;"",$L150&lt;=사용안내!$C$17)),"임박","정상"))))</f>
        <v/>
      </c>
    </row>
    <row r="151" customFormat="false" ht="15" hidden="false" customHeight="true" outlineLevel="0" collapsed="false">
      <c r="A151" s="23" t="str">
        <f aca="false">IF(OR(차량목록!$A15="",정비항목!$A4="",차량목록!$G15="매각"),"",차량목록!$A15)</f>
        <v/>
      </c>
      <c r="B151" s="23" t="str">
        <f aca="false">IF($A151="","",차량목록!$B15)</f>
        <v/>
      </c>
      <c r="C151" s="23" t="str">
        <f aca="false">IF($A151="","",정비항목!$B4)</f>
        <v/>
      </c>
      <c r="D151" s="24" t="str">
        <f aca="false">IF($A151="","",IF(정비항목!$C4="",0,정비항목!$C4))</f>
        <v/>
      </c>
      <c r="E151" s="28" t="str">
        <f aca="false">IF($A151="","",IF(정비항목!$D4="",0,정비항목!$D4))</f>
        <v/>
      </c>
      <c r="F151" s="26" t="str">
        <f aca="false">IF($A151="","",IF(COUNTIFS(정비이력!$B$3:$B$1002,$A151,정비이력!$D$3:$D$1002,정비항목!$A4)=0,"",SUMPRODUCT(MAX((정비이력!$B$3:$B$1002=$A151)*(정비이력!$D$3:$D$1002=정비항목!$A4)*정비이력!$A$3:$A$1002))))</f>
        <v/>
      </c>
      <c r="G151" s="27" t="str">
        <f aca="false">IF($A151="","",IF($F151="","",SUMPRODUCT(MAX((정비이력!$B$3:$B$1002=$A151)*(정비이력!$D$3:$D$1002=정비항목!$A4)*정비이력!$F$3:$F$1002))))</f>
        <v/>
      </c>
      <c r="H151" s="27" t="str">
        <f aca="false">IF($A151="","",IF(차량목록!$E15="",0,차량목록!$E15))</f>
        <v/>
      </c>
      <c r="I151" s="27" t="str">
        <f aca="false">IF(OR($A151="",$D151=0),"",IF($G151="",$H151+$D151,$G151+$D151))</f>
        <v/>
      </c>
      <c r="J151" s="24" t="str">
        <f aca="false">IF($I151="","",$I151-$H151)</f>
        <v/>
      </c>
      <c r="K151" s="26" t="str">
        <f aca="true">IF(OR($A151="",$E151=0),"",IF($F151="",EDATE(TODAY(),$E151),EDATE($F151,$E151)))</f>
        <v/>
      </c>
      <c r="L151" s="28" t="str">
        <f aca="true">IF($K151="","",$K151-TODAY())</f>
        <v/>
      </c>
      <c r="M151" s="28" t="str">
        <f aca="false">IF($A151="","",IF(AND($J151="",$L151=""),"-",IF(OR(AND($J151&lt;&gt;"",$J151&lt;=0),AND($L151&lt;&gt;"",$L151&lt;0)),"교체",IF(OR(AND($J151&lt;&gt;"",$J151&lt;=사용안내!$C$16),AND($L151&lt;&gt;"",$L151&lt;=사용안내!$C$17)),"임박","정상"))))</f>
        <v/>
      </c>
    </row>
    <row r="152" customFormat="false" ht="15" hidden="false" customHeight="true" outlineLevel="0" collapsed="false">
      <c r="A152" s="23" t="str">
        <f aca="false">IF(OR(차량목록!$A15="",정비항목!$A5="",차량목록!$G15="매각"),"",차량목록!$A15)</f>
        <v/>
      </c>
      <c r="B152" s="23" t="str">
        <f aca="false">IF($A152="","",차량목록!$B15)</f>
        <v/>
      </c>
      <c r="C152" s="23" t="str">
        <f aca="false">IF($A152="","",정비항목!$B5)</f>
        <v/>
      </c>
      <c r="D152" s="24" t="str">
        <f aca="false">IF($A152="","",IF(정비항목!$C5="",0,정비항목!$C5))</f>
        <v/>
      </c>
      <c r="E152" s="28" t="str">
        <f aca="false">IF($A152="","",IF(정비항목!$D5="",0,정비항목!$D5))</f>
        <v/>
      </c>
      <c r="F152" s="26" t="str">
        <f aca="false">IF($A152="","",IF(COUNTIFS(정비이력!$B$3:$B$1002,$A152,정비이력!$D$3:$D$1002,정비항목!$A5)=0,"",SUMPRODUCT(MAX((정비이력!$B$3:$B$1002=$A152)*(정비이력!$D$3:$D$1002=정비항목!$A5)*정비이력!$A$3:$A$1002))))</f>
        <v/>
      </c>
      <c r="G152" s="27" t="str">
        <f aca="false">IF($A152="","",IF($F152="","",SUMPRODUCT(MAX((정비이력!$B$3:$B$1002=$A152)*(정비이력!$D$3:$D$1002=정비항목!$A5)*정비이력!$F$3:$F$1002))))</f>
        <v/>
      </c>
      <c r="H152" s="27" t="str">
        <f aca="false">IF($A152="","",IF(차량목록!$E15="",0,차량목록!$E15))</f>
        <v/>
      </c>
      <c r="I152" s="27" t="str">
        <f aca="false">IF(OR($A152="",$D152=0),"",IF($G152="",$H152+$D152,$G152+$D152))</f>
        <v/>
      </c>
      <c r="J152" s="24" t="str">
        <f aca="false">IF($I152="","",$I152-$H152)</f>
        <v/>
      </c>
      <c r="K152" s="26" t="str">
        <f aca="true">IF(OR($A152="",$E152=0),"",IF($F152="",EDATE(TODAY(),$E152),EDATE($F152,$E152)))</f>
        <v/>
      </c>
      <c r="L152" s="28" t="str">
        <f aca="true">IF($K152="","",$K152-TODAY())</f>
        <v/>
      </c>
      <c r="M152" s="28" t="str">
        <f aca="false">IF($A152="","",IF(AND($J152="",$L152=""),"-",IF(OR(AND($J152&lt;&gt;"",$J152&lt;=0),AND($L152&lt;&gt;"",$L152&lt;0)),"교체",IF(OR(AND($J152&lt;&gt;"",$J152&lt;=사용안내!$C$16),AND($L152&lt;&gt;"",$L152&lt;=사용안내!$C$17)),"임박","정상"))))</f>
        <v/>
      </c>
    </row>
    <row r="153" customFormat="false" ht="15" hidden="false" customHeight="true" outlineLevel="0" collapsed="false">
      <c r="A153" s="23" t="str">
        <f aca="false">IF(OR(차량목록!$A15="",정비항목!$A6="",차량목록!$G15="매각"),"",차량목록!$A15)</f>
        <v/>
      </c>
      <c r="B153" s="23" t="str">
        <f aca="false">IF($A153="","",차량목록!$B15)</f>
        <v/>
      </c>
      <c r="C153" s="23" t="str">
        <f aca="false">IF($A153="","",정비항목!$B6)</f>
        <v/>
      </c>
      <c r="D153" s="24" t="str">
        <f aca="false">IF($A153="","",IF(정비항목!$C6="",0,정비항목!$C6))</f>
        <v/>
      </c>
      <c r="E153" s="28" t="str">
        <f aca="false">IF($A153="","",IF(정비항목!$D6="",0,정비항목!$D6))</f>
        <v/>
      </c>
      <c r="F153" s="26" t="str">
        <f aca="false">IF($A153="","",IF(COUNTIFS(정비이력!$B$3:$B$1002,$A153,정비이력!$D$3:$D$1002,정비항목!$A6)=0,"",SUMPRODUCT(MAX((정비이력!$B$3:$B$1002=$A153)*(정비이력!$D$3:$D$1002=정비항목!$A6)*정비이력!$A$3:$A$1002))))</f>
        <v/>
      </c>
      <c r="G153" s="27" t="str">
        <f aca="false">IF($A153="","",IF($F153="","",SUMPRODUCT(MAX((정비이력!$B$3:$B$1002=$A153)*(정비이력!$D$3:$D$1002=정비항목!$A6)*정비이력!$F$3:$F$1002))))</f>
        <v/>
      </c>
      <c r="H153" s="27" t="str">
        <f aca="false">IF($A153="","",IF(차량목록!$E15="",0,차량목록!$E15))</f>
        <v/>
      </c>
      <c r="I153" s="27" t="str">
        <f aca="false">IF(OR($A153="",$D153=0),"",IF($G153="",$H153+$D153,$G153+$D153))</f>
        <v/>
      </c>
      <c r="J153" s="24" t="str">
        <f aca="false">IF($I153="","",$I153-$H153)</f>
        <v/>
      </c>
      <c r="K153" s="26" t="str">
        <f aca="true">IF(OR($A153="",$E153=0),"",IF($F153="",EDATE(TODAY(),$E153),EDATE($F153,$E153)))</f>
        <v/>
      </c>
      <c r="L153" s="28" t="str">
        <f aca="true">IF($K153="","",$K153-TODAY())</f>
        <v/>
      </c>
      <c r="M153" s="28" t="str">
        <f aca="false">IF($A153="","",IF(AND($J153="",$L153=""),"-",IF(OR(AND($J153&lt;&gt;"",$J153&lt;=0),AND($L153&lt;&gt;"",$L153&lt;0)),"교체",IF(OR(AND($J153&lt;&gt;"",$J153&lt;=사용안내!$C$16),AND($L153&lt;&gt;"",$L153&lt;=사용안내!$C$17)),"임박","정상"))))</f>
        <v/>
      </c>
    </row>
    <row r="154" customFormat="false" ht="15" hidden="false" customHeight="true" outlineLevel="0" collapsed="false">
      <c r="A154" s="23" t="str">
        <f aca="false">IF(OR(차량목록!$A15="",정비항목!$A7="",차량목록!$G15="매각"),"",차량목록!$A15)</f>
        <v/>
      </c>
      <c r="B154" s="23" t="str">
        <f aca="false">IF($A154="","",차량목록!$B15)</f>
        <v/>
      </c>
      <c r="C154" s="23" t="str">
        <f aca="false">IF($A154="","",정비항목!$B7)</f>
        <v/>
      </c>
      <c r="D154" s="24" t="str">
        <f aca="false">IF($A154="","",IF(정비항목!$C7="",0,정비항목!$C7))</f>
        <v/>
      </c>
      <c r="E154" s="28" t="str">
        <f aca="false">IF($A154="","",IF(정비항목!$D7="",0,정비항목!$D7))</f>
        <v/>
      </c>
      <c r="F154" s="26" t="str">
        <f aca="false">IF($A154="","",IF(COUNTIFS(정비이력!$B$3:$B$1002,$A154,정비이력!$D$3:$D$1002,정비항목!$A7)=0,"",SUMPRODUCT(MAX((정비이력!$B$3:$B$1002=$A154)*(정비이력!$D$3:$D$1002=정비항목!$A7)*정비이력!$A$3:$A$1002))))</f>
        <v/>
      </c>
      <c r="G154" s="27" t="str">
        <f aca="false">IF($A154="","",IF($F154="","",SUMPRODUCT(MAX((정비이력!$B$3:$B$1002=$A154)*(정비이력!$D$3:$D$1002=정비항목!$A7)*정비이력!$F$3:$F$1002))))</f>
        <v/>
      </c>
      <c r="H154" s="27" t="str">
        <f aca="false">IF($A154="","",IF(차량목록!$E15="",0,차량목록!$E15))</f>
        <v/>
      </c>
      <c r="I154" s="27" t="str">
        <f aca="false">IF(OR($A154="",$D154=0),"",IF($G154="",$H154+$D154,$G154+$D154))</f>
        <v/>
      </c>
      <c r="J154" s="24" t="str">
        <f aca="false">IF($I154="","",$I154-$H154)</f>
        <v/>
      </c>
      <c r="K154" s="26" t="str">
        <f aca="true">IF(OR($A154="",$E154=0),"",IF($F154="",EDATE(TODAY(),$E154),EDATE($F154,$E154)))</f>
        <v/>
      </c>
      <c r="L154" s="28" t="str">
        <f aca="true">IF($K154="","",$K154-TODAY())</f>
        <v/>
      </c>
      <c r="M154" s="28" t="str">
        <f aca="false">IF($A154="","",IF(AND($J154="",$L154=""),"-",IF(OR(AND($J154&lt;&gt;"",$J154&lt;=0),AND($L154&lt;&gt;"",$L154&lt;0)),"교체",IF(OR(AND($J154&lt;&gt;"",$J154&lt;=사용안내!$C$16),AND($L154&lt;&gt;"",$L154&lt;=사용안내!$C$17)),"임박","정상"))))</f>
        <v/>
      </c>
    </row>
    <row r="155" customFormat="false" ht="15" hidden="false" customHeight="true" outlineLevel="0" collapsed="false">
      <c r="A155" s="23" t="str">
        <f aca="false">IF(OR(차량목록!$A15="",정비항목!$A8="",차량목록!$G15="매각"),"",차량목록!$A15)</f>
        <v/>
      </c>
      <c r="B155" s="23" t="str">
        <f aca="false">IF($A155="","",차량목록!$B15)</f>
        <v/>
      </c>
      <c r="C155" s="23" t="str">
        <f aca="false">IF($A155="","",정비항목!$B8)</f>
        <v/>
      </c>
      <c r="D155" s="24" t="str">
        <f aca="false">IF($A155="","",IF(정비항목!$C8="",0,정비항목!$C8))</f>
        <v/>
      </c>
      <c r="E155" s="28" t="str">
        <f aca="false">IF($A155="","",IF(정비항목!$D8="",0,정비항목!$D8))</f>
        <v/>
      </c>
      <c r="F155" s="26" t="str">
        <f aca="false">IF($A155="","",IF(COUNTIFS(정비이력!$B$3:$B$1002,$A155,정비이력!$D$3:$D$1002,정비항목!$A8)=0,"",SUMPRODUCT(MAX((정비이력!$B$3:$B$1002=$A155)*(정비이력!$D$3:$D$1002=정비항목!$A8)*정비이력!$A$3:$A$1002))))</f>
        <v/>
      </c>
      <c r="G155" s="27" t="str">
        <f aca="false">IF($A155="","",IF($F155="","",SUMPRODUCT(MAX((정비이력!$B$3:$B$1002=$A155)*(정비이력!$D$3:$D$1002=정비항목!$A8)*정비이력!$F$3:$F$1002))))</f>
        <v/>
      </c>
      <c r="H155" s="27" t="str">
        <f aca="false">IF($A155="","",IF(차량목록!$E15="",0,차량목록!$E15))</f>
        <v/>
      </c>
      <c r="I155" s="27" t="str">
        <f aca="false">IF(OR($A155="",$D155=0),"",IF($G155="",$H155+$D155,$G155+$D155))</f>
        <v/>
      </c>
      <c r="J155" s="24" t="str">
        <f aca="false">IF($I155="","",$I155-$H155)</f>
        <v/>
      </c>
      <c r="K155" s="26" t="str">
        <f aca="true">IF(OR($A155="",$E155=0),"",IF($F155="",EDATE(TODAY(),$E155),EDATE($F155,$E155)))</f>
        <v/>
      </c>
      <c r="L155" s="28" t="str">
        <f aca="true">IF($K155="","",$K155-TODAY())</f>
        <v/>
      </c>
      <c r="M155" s="28" t="str">
        <f aca="false">IF($A155="","",IF(AND($J155="",$L155=""),"-",IF(OR(AND($J155&lt;&gt;"",$J155&lt;=0),AND($L155&lt;&gt;"",$L155&lt;0)),"교체",IF(OR(AND($J155&lt;&gt;"",$J155&lt;=사용안내!$C$16),AND($L155&lt;&gt;"",$L155&lt;=사용안내!$C$17)),"임박","정상"))))</f>
        <v/>
      </c>
    </row>
    <row r="156" customFormat="false" ht="15" hidden="false" customHeight="true" outlineLevel="0" collapsed="false">
      <c r="A156" s="23" t="str">
        <f aca="false">IF(OR(차량목록!$A15="",정비항목!$A9="",차량목록!$G15="매각"),"",차량목록!$A15)</f>
        <v/>
      </c>
      <c r="B156" s="23" t="str">
        <f aca="false">IF($A156="","",차량목록!$B15)</f>
        <v/>
      </c>
      <c r="C156" s="23" t="str">
        <f aca="false">IF($A156="","",정비항목!$B9)</f>
        <v/>
      </c>
      <c r="D156" s="24" t="str">
        <f aca="false">IF($A156="","",IF(정비항목!$C9="",0,정비항목!$C9))</f>
        <v/>
      </c>
      <c r="E156" s="28" t="str">
        <f aca="false">IF($A156="","",IF(정비항목!$D9="",0,정비항목!$D9))</f>
        <v/>
      </c>
      <c r="F156" s="26" t="str">
        <f aca="false">IF($A156="","",IF(COUNTIFS(정비이력!$B$3:$B$1002,$A156,정비이력!$D$3:$D$1002,정비항목!$A9)=0,"",SUMPRODUCT(MAX((정비이력!$B$3:$B$1002=$A156)*(정비이력!$D$3:$D$1002=정비항목!$A9)*정비이력!$A$3:$A$1002))))</f>
        <v/>
      </c>
      <c r="G156" s="27" t="str">
        <f aca="false">IF($A156="","",IF($F156="","",SUMPRODUCT(MAX((정비이력!$B$3:$B$1002=$A156)*(정비이력!$D$3:$D$1002=정비항목!$A9)*정비이력!$F$3:$F$1002))))</f>
        <v/>
      </c>
      <c r="H156" s="27" t="str">
        <f aca="false">IF($A156="","",IF(차량목록!$E15="",0,차량목록!$E15))</f>
        <v/>
      </c>
      <c r="I156" s="27" t="str">
        <f aca="false">IF(OR($A156="",$D156=0),"",IF($G156="",$H156+$D156,$G156+$D156))</f>
        <v/>
      </c>
      <c r="J156" s="24" t="str">
        <f aca="false">IF($I156="","",$I156-$H156)</f>
        <v/>
      </c>
      <c r="K156" s="26" t="str">
        <f aca="true">IF(OR($A156="",$E156=0),"",IF($F156="",EDATE(TODAY(),$E156),EDATE($F156,$E156)))</f>
        <v/>
      </c>
      <c r="L156" s="28" t="str">
        <f aca="true">IF($K156="","",$K156-TODAY())</f>
        <v/>
      </c>
      <c r="M156" s="28" t="str">
        <f aca="false">IF($A156="","",IF(AND($J156="",$L156=""),"-",IF(OR(AND($J156&lt;&gt;"",$J156&lt;=0),AND($L156&lt;&gt;"",$L156&lt;0)),"교체",IF(OR(AND($J156&lt;&gt;"",$J156&lt;=사용안내!$C$16),AND($L156&lt;&gt;"",$L156&lt;=사용안내!$C$17)),"임박","정상"))))</f>
        <v/>
      </c>
    </row>
    <row r="157" customFormat="false" ht="15" hidden="false" customHeight="true" outlineLevel="0" collapsed="false">
      <c r="A157" s="23" t="str">
        <f aca="false">IF(OR(차량목록!$A15="",정비항목!$A10="",차량목록!$G15="매각"),"",차량목록!$A15)</f>
        <v/>
      </c>
      <c r="B157" s="23" t="str">
        <f aca="false">IF($A157="","",차량목록!$B15)</f>
        <v/>
      </c>
      <c r="C157" s="23" t="str">
        <f aca="false">IF($A157="","",정비항목!$B10)</f>
        <v/>
      </c>
      <c r="D157" s="24" t="str">
        <f aca="false">IF($A157="","",IF(정비항목!$C10="",0,정비항목!$C10))</f>
        <v/>
      </c>
      <c r="E157" s="28" t="str">
        <f aca="false">IF($A157="","",IF(정비항목!$D10="",0,정비항목!$D10))</f>
        <v/>
      </c>
      <c r="F157" s="26" t="str">
        <f aca="false">IF($A157="","",IF(COUNTIFS(정비이력!$B$3:$B$1002,$A157,정비이력!$D$3:$D$1002,정비항목!$A10)=0,"",SUMPRODUCT(MAX((정비이력!$B$3:$B$1002=$A157)*(정비이력!$D$3:$D$1002=정비항목!$A10)*정비이력!$A$3:$A$1002))))</f>
        <v/>
      </c>
      <c r="G157" s="27" t="str">
        <f aca="false">IF($A157="","",IF($F157="","",SUMPRODUCT(MAX((정비이력!$B$3:$B$1002=$A157)*(정비이력!$D$3:$D$1002=정비항목!$A10)*정비이력!$F$3:$F$1002))))</f>
        <v/>
      </c>
      <c r="H157" s="27" t="str">
        <f aca="false">IF($A157="","",IF(차량목록!$E15="",0,차량목록!$E15))</f>
        <v/>
      </c>
      <c r="I157" s="27" t="str">
        <f aca="false">IF(OR($A157="",$D157=0),"",IF($G157="",$H157+$D157,$G157+$D157))</f>
        <v/>
      </c>
      <c r="J157" s="24" t="str">
        <f aca="false">IF($I157="","",$I157-$H157)</f>
        <v/>
      </c>
      <c r="K157" s="26" t="str">
        <f aca="true">IF(OR($A157="",$E157=0),"",IF($F157="",EDATE(TODAY(),$E157),EDATE($F157,$E157)))</f>
        <v/>
      </c>
      <c r="L157" s="28" t="str">
        <f aca="true">IF($K157="","",$K157-TODAY())</f>
        <v/>
      </c>
      <c r="M157" s="28" t="str">
        <f aca="false">IF($A157="","",IF(AND($J157="",$L157=""),"-",IF(OR(AND($J157&lt;&gt;"",$J157&lt;=0),AND($L157&lt;&gt;"",$L157&lt;0)),"교체",IF(OR(AND($J157&lt;&gt;"",$J157&lt;=사용안내!$C$16),AND($L157&lt;&gt;"",$L157&lt;=사용안내!$C$17)),"임박","정상"))))</f>
        <v/>
      </c>
    </row>
    <row r="158" customFormat="false" ht="15" hidden="false" customHeight="true" outlineLevel="0" collapsed="false">
      <c r="A158" s="23" t="str">
        <f aca="false">IF(OR(차량목록!$A15="",정비항목!$A11="",차량목록!$G15="매각"),"",차량목록!$A15)</f>
        <v/>
      </c>
      <c r="B158" s="23" t="str">
        <f aca="false">IF($A158="","",차량목록!$B15)</f>
        <v/>
      </c>
      <c r="C158" s="23" t="str">
        <f aca="false">IF($A158="","",정비항목!$B11)</f>
        <v/>
      </c>
      <c r="D158" s="24" t="str">
        <f aca="false">IF($A158="","",IF(정비항목!$C11="",0,정비항목!$C11))</f>
        <v/>
      </c>
      <c r="E158" s="28" t="str">
        <f aca="false">IF($A158="","",IF(정비항목!$D11="",0,정비항목!$D11))</f>
        <v/>
      </c>
      <c r="F158" s="26" t="str">
        <f aca="false">IF($A158="","",IF(COUNTIFS(정비이력!$B$3:$B$1002,$A158,정비이력!$D$3:$D$1002,정비항목!$A11)=0,"",SUMPRODUCT(MAX((정비이력!$B$3:$B$1002=$A158)*(정비이력!$D$3:$D$1002=정비항목!$A11)*정비이력!$A$3:$A$1002))))</f>
        <v/>
      </c>
      <c r="G158" s="27" t="str">
        <f aca="false">IF($A158="","",IF($F158="","",SUMPRODUCT(MAX((정비이력!$B$3:$B$1002=$A158)*(정비이력!$D$3:$D$1002=정비항목!$A11)*정비이력!$F$3:$F$1002))))</f>
        <v/>
      </c>
      <c r="H158" s="27" t="str">
        <f aca="false">IF($A158="","",IF(차량목록!$E15="",0,차량목록!$E15))</f>
        <v/>
      </c>
      <c r="I158" s="27" t="str">
        <f aca="false">IF(OR($A158="",$D158=0),"",IF($G158="",$H158+$D158,$G158+$D158))</f>
        <v/>
      </c>
      <c r="J158" s="24" t="str">
        <f aca="false">IF($I158="","",$I158-$H158)</f>
        <v/>
      </c>
      <c r="K158" s="26" t="str">
        <f aca="true">IF(OR($A158="",$E158=0),"",IF($F158="",EDATE(TODAY(),$E158),EDATE($F158,$E158)))</f>
        <v/>
      </c>
      <c r="L158" s="28" t="str">
        <f aca="true">IF($K158="","",$K158-TODAY())</f>
        <v/>
      </c>
      <c r="M158" s="28" t="str">
        <f aca="false">IF($A158="","",IF(AND($J158="",$L158=""),"-",IF(OR(AND($J158&lt;&gt;"",$J158&lt;=0),AND($L158&lt;&gt;"",$L158&lt;0)),"교체",IF(OR(AND($J158&lt;&gt;"",$J158&lt;=사용안내!$C$16),AND($L158&lt;&gt;"",$L158&lt;=사용안내!$C$17)),"임박","정상"))))</f>
        <v/>
      </c>
    </row>
    <row r="159" customFormat="false" ht="15" hidden="false" customHeight="true" outlineLevel="0" collapsed="false">
      <c r="A159" s="23" t="str">
        <f aca="false">IF(OR(차량목록!$A15="",정비항목!$A12="",차량목록!$G15="매각"),"",차량목록!$A15)</f>
        <v/>
      </c>
      <c r="B159" s="23" t="str">
        <f aca="false">IF($A159="","",차량목록!$B15)</f>
        <v/>
      </c>
      <c r="C159" s="23" t="str">
        <f aca="false">IF($A159="","",정비항목!$B12)</f>
        <v/>
      </c>
      <c r="D159" s="24" t="str">
        <f aca="false">IF($A159="","",IF(정비항목!$C12="",0,정비항목!$C12))</f>
        <v/>
      </c>
      <c r="E159" s="28" t="str">
        <f aca="false">IF($A159="","",IF(정비항목!$D12="",0,정비항목!$D12))</f>
        <v/>
      </c>
      <c r="F159" s="26" t="str">
        <f aca="false">IF($A159="","",IF(COUNTIFS(정비이력!$B$3:$B$1002,$A159,정비이력!$D$3:$D$1002,정비항목!$A12)=0,"",SUMPRODUCT(MAX((정비이력!$B$3:$B$1002=$A159)*(정비이력!$D$3:$D$1002=정비항목!$A12)*정비이력!$A$3:$A$1002))))</f>
        <v/>
      </c>
      <c r="G159" s="27" t="str">
        <f aca="false">IF($A159="","",IF($F159="","",SUMPRODUCT(MAX((정비이력!$B$3:$B$1002=$A159)*(정비이력!$D$3:$D$1002=정비항목!$A12)*정비이력!$F$3:$F$1002))))</f>
        <v/>
      </c>
      <c r="H159" s="27" t="str">
        <f aca="false">IF($A159="","",IF(차량목록!$E15="",0,차량목록!$E15))</f>
        <v/>
      </c>
      <c r="I159" s="27" t="str">
        <f aca="false">IF(OR($A159="",$D159=0),"",IF($G159="",$H159+$D159,$G159+$D159))</f>
        <v/>
      </c>
      <c r="J159" s="24" t="str">
        <f aca="false">IF($I159="","",$I159-$H159)</f>
        <v/>
      </c>
      <c r="K159" s="26" t="str">
        <f aca="true">IF(OR($A159="",$E159=0),"",IF($F159="",EDATE(TODAY(),$E159),EDATE($F159,$E159)))</f>
        <v/>
      </c>
      <c r="L159" s="28" t="str">
        <f aca="true">IF($K159="","",$K159-TODAY())</f>
        <v/>
      </c>
      <c r="M159" s="28" t="str">
        <f aca="false">IF($A159="","",IF(AND($J159="",$L159=""),"-",IF(OR(AND($J159&lt;&gt;"",$J159&lt;=0),AND($L159&lt;&gt;"",$L159&lt;0)),"교체",IF(OR(AND($J159&lt;&gt;"",$J159&lt;=사용안내!$C$16),AND($L159&lt;&gt;"",$L159&lt;=사용안내!$C$17)),"임박","정상"))))</f>
        <v/>
      </c>
    </row>
    <row r="160" customFormat="false" ht="15" hidden="false" customHeight="true" outlineLevel="0" collapsed="false">
      <c r="A160" s="23" t="str">
        <f aca="false">IF(OR(차량목록!$A15="",정비항목!$A13="",차량목록!$G15="매각"),"",차량목록!$A15)</f>
        <v/>
      </c>
      <c r="B160" s="23" t="str">
        <f aca="false">IF($A160="","",차량목록!$B15)</f>
        <v/>
      </c>
      <c r="C160" s="23" t="str">
        <f aca="false">IF($A160="","",정비항목!$B13)</f>
        <v/>
      </c>
      <c r="D160" s="24" t="str">
        <f aca="false">IF($A160="","",IF(정비항목!$C13="",0,정비항목!$C13))</f>
        <v/>
      </c>
      <c r="E160" s="28" t="str">
        <f aca="false">IF($A160="","",IF(정비항목!$D13="",0,정비항목!$D13))</f>
        <v/>
      </c>
      <c r="F160" s="26" t="str">
        <f aca="false">IF($A160="","",IF(COUNTIFS(정비이력!$B$3:$B$1002,$A160,정비이력!$D$3:$D$1002,정비항목!$A13)=0,"",SUMPRODUCT(MAX((정비이력!$B$3:$B$1002=$A160)*(정비이력!$D$3:$D$1002=정비항목!$A13)*정비이력!$A$3:$A$1002))))</f>
        <v/>
      </c>
      <c r="G160" s="27" t="str">
        <f aca="false">IF($A160="","",IF($F160="","",SUMPRODUCT(MAX((정비이력!$B$3:$B$1002=$A160)*(정비이력!$D$3:$D$1002=정비항목!$A13)*정비이력!$F$3:$F$1002))))</f>
        <v/>
      </c>
      <c r="H160" s="27" t="str">
        <f aca="false">IF($A160="","",IF(차량목록!$E15="",0,차량목록!$E15))</f>
        <v/>
      </c>
      <c r="I160" s="27" t="str">
        <f aca="false">IF(OR($A160="",$D160=0),"",IF($G160="",$H160+$D160,$G160+$D160))</f>
        <v/>
      </c>
      <c r="J160" s="24" t="str">
        <f aca="false">IF($I160="","",$I160-$H160)</f>
        <v/>
      </c>
      <c r="K160" s="26" t="str">
        <f aca="true">IF(OR($A160="",$E160=0),"",IF($F160="",EDATE(TODAY(),$E160),EDATE($F160,$E160)))</f>
        <v/>
      </c>
      <c r="L160" s="28" t="str">
        <f aca="true">IF($K160="","",$K160-TODAY())</f>
        <v/>
      </c>
      <c r="M160" s="28" t="str">
        <f aca="false">IF($A160="","",IF(AND($J160="",$L160=""),"-",IF(OR(AND($J160&lt;&gt;"",$J160&lt;=0),AND($L160&lt;&gt;"",$L160&lt;0)),"교체",IF(OR(AND($J160&lt;&gt;"",$J160&lt;=사용안내!$C$16),AND($L160&lt;&gt;"",$L160&lt;=사용안내!$C$17)),"임박","정상"))))</f>
        <v/>
      </c>
    </row>
    <row r="161" customFormat="false" ht="15" hidden="false" customHeight="true" outlineLevel="0" collapsed="false">
      <c r="A161" s="23" t="str">
        <f aca="false">IF(OR(차량목록!$A15="",정비항목!$A14="",차량목록!$G15="매각"),"",차량목록!$A15)</f>
        <v/>
      </c>
      <c r="B161" s="23" t="str">
        <f aca="false">IF($A161="","",차량목록!$B15)</f>
        <v/>
      </c>
      <c r="C161" s="23" t="str">
        <f aca="false">IF($A161="","",정비항목!$B14)</f>
        <v/>
      </c>
      <c r="D161" s="24" t="str">
        <f aca="false">IF($A161="","",IF(정비항목!$C14="",0,정비항목!$C14))</f>
        <v/>
      </c>
      <c r="E161" s="28" t="str">
        <f aca="false">IF($A161="","",IF(정비항목!$D14="",0,정비항목!$D14))</f>
        <v/>
      </c>
      <c r="F161" s="26" t="str">
        <f aca="false">IF($A161="","",IF(COUNTIFS(정비이력!$B$3:$B$1002,$A161,정비이력!$D$3:$D$1002,정비항목!$A14)=0,"",SUMPRODUCT(MAX((정비이력!$B$3:$B$1002=$A161)*(정비이력!$D$3:$D$1002=정비항목!$A14)*정비이력!$A$3:$A$1002))))</f>
        <v/>
      </c>
      <c r="G161" s="27" t="str">
        <f aca="false">IF($A161="","",IF($F161="","",SUMPRODUCT(MAX((정비이력!$B$3:$B$1002=$A161)*(정비이력!$D$3:$D$1002=정비항목!$A14)*정비이력!$F$3:$F$1002))))</f>
        <v/>
      </c>
      <c r="H161" s="27" t="str">
        <f aca="false">IF($A161="","",IF(차량목록!$E15="",0,차량목록!$E15))</f>
        <v/>
      </c>
      <c r="I161" s="27" t="str">
        <f aca="false">IF(OR($A161="",$D161=0),"",IF($G161="",$H161+$D161,$G161+$D161))</f>
        <v/>
      </c>
      <c r="J161" s="24" t="str">
        <f aca="false">IF($I161="","",$I161-$H161)</f>
        <v/>
      </c>
      <c r="K161" s="26" t="str">
        <f aca="true">IF(OR($A161="",$E161=0),"",IF($F161="",EDATE(TODAY(),$E161),EDATE($F161,$E161)))</f>
        <v/>
      </c>
      <c r="L161" s="28" t="str">
        <f aca="true">IF($K161="","",$K161-TODAY())</f>
        <v/>
      </c>
      <c r="M161" s="28" t="str">
        <f aca="false">IF($A161="","",IF(AND($J161="",$L161=""),"-",IF(OR(AND($J161&lt;&gt;"",$J161&lt;=0),AND($L161&lt;&gt;"",$L161&lt;0)),"교체",IF(OR(AND($J161&lt;&gt;"",$J161&lt;=사용안내!$C$16),AND($L161&lt;&gt;"",$L161&lt;=사용안내!$C$17)),"임박","정상"))))</f>
        <v/>
      </c>
    </row>
    <row r="162" customFormat="false" ht="15" hidden="false" customHeight="true" outlineLevel="0" collapsed="false">
      <c r="A162" s="23" t="str">
        <f aca="false">IF(OR(차량목록!$A16="",정비항목!$A3="",차량목록!$G16="매각"),"",차량목록!$A16)</f>
        <v/>
      </c>
      <c r="B162" s="23" t="str">
        <f aca="false">IF($A162="","",차량목록!$B16)</f>
        <v/>
      </c>
      <c r="C162" s="23" t="str">
        <f aca="false">IF($A162="","",정비항목!$B3)</f>
        <v/>
      </c>
      <c r="D162" s="24" t="str">
        <f aca="false">IF($A162="","",IF(정비항목!$C3="",0,정비항목!$C3))</f>
        <v/>
      </c>
      <c r="E162" s="28" t="str">
        <f aca="false">IF($A162="","",IF(정비항목!$D3="",0,정비항목!$D3))</f>
        <v/>
      </c>
      <c r="F162" s="26" t="str">
        <f aca="false">IF($A162="","",IF(COUNTIFS(정비이력!$B$3:$B$1002,$A162,정비이력!$D$3:$D$1002,정비항목!$A3)=0,"",SUMPRODUCT(MAX((정비이력!$B$3:$B$1002=$A162)*(정비이력!$D$3:$D$1002=정비항목!$A3)*정비이력!$A$3:$A$1002))))</f>
        <v/>
      </c>
      <c r="G162" s="27" t="str">
        <f aca="false">IF($A162="","",IF($F162="","",SUMPRODUCT(MAX((정비이력!$B$3:$B$1002=$A162)*(정비이력!$D$3:$D$1002=정비항목!$A3)*정비이력!$F$3:$F$1002))))</f>
        <v/>
      </c>
      <c r="H162" s="27" t="str">
        <f aca="false">IF($A162="","",IF(차량목록!$E16="",0,차량목록!$E16))</f>
        <v/>
      </c>
      <c r="I162" s="27" t="str">
        <f aca="false">IF(OR($A162="",$D162=0),"",IF($G162="",$H162+$D162,$G162+$D162))</f>
        <v/>
      </c>
      <c r="J162" s="24" t="str">
        <f aca="false">IF($I162="","",$I162-$H162)</f>
        <v/>
      </c>
      <c r="K162" s="26" t="str">
        <f aca="true">IF(OR($A162="",$E162=0),"",IF($F162="",EDATE(TODAY(),$E162),EDATE($F162,$E162)))</f>
        <v/>
      </c>
      <c r="L162" s="28" t="str">
        <f aca="true">IF($K162="","",$K162-TODAY())</f>
        <v/>
      </c>
      <c r="M162" s="28" t="str">
        <f aca="false">IF($A162="","",IF(AND($J162="",$L162=""),"-",IF(OR(AND($J162&lt;&gt;"",$J162&lt;=0),AND($L162&lt;&gt;"",$L162&lt;0)),"교체",IF(OR(AND($J162&lt;&gt;"",$J162&lt;=사용안내!$C$16),AND($L162&lt;&gt;"",$L162&lt;=사용안내!$C$17)),"임박","정상"))))</f>
        <v/>
      </c>
    </row>
    <row r="163" customFormat="false" ht="15" hidden="false" customHeight="true" outlineLevel="0" collapsed="false">
      <c r="A163" s="23" t="str">
        <f aca="false">IF(OR(차량목록!$A16="",정비항목!$A4="",차량목록!$G16="매각"),"",차량목록!$A16)</f>
        <v/>
      </c>
      <c r="B163" s="23" t="str">
        <f aca="false">IF($A163="","",차량목록!$B16)</f>
        <v/>
      </c>
      <c r="C163" s="23" t="str">
        <f aca="false">IF($A163="","",정비항목!$B4)</f>
        <v/>
      </c>
      <c r="D163" s="24" t="str">
        <f aca="false">IF($A163="","",IF(정비항목!$C4="",0,정비항목!$C4))</f>
        <v/>
      </c>
      <c r="E163" s="28" t="str">
        <f aca="false">IF($A163="","",IF(정비항목!$D4="",0,정비항목!$D4))</f>
        <v/>
      </c>
      <c r="F163" s="26" t="str">
        <f aca="false">IF($A163="","",IF(COUNTIFS(정비이력!$B$3:$B$1002,$A163,정비이력!$D$3:$D$1002,정비항목!$A4)=0,"",SUMPRODUCT(MAX((정비이력!$B$3:$B$1002=$A163)*(정비이력!$D$3:$D$1002=정비항목!$A4)*정비이력!$A$3:$A$1002))))</f>
        <v/>
      </c>
      <c r="G163" s="27" t="str">
        <f aca="false">IF($A163="","",IF($F163="","",SUMPRODUCT(MAX((정비이력!$B$3:$B$1002=$A163)*(정비이력!$D$3:$D$1002=정비항목!$A4)*정비이력!$F$3:$F$1002))))</f>
        <v/>
      </c>
      <c r="H163" s="27" t="str">
        <f aca="false">IF($A163="","",IF(차량목록!$E16="",0,차량목록!$E16))</f>
        <v/>
      </c>
      <c r="I163" s="27" t="str">
        <f aca="false">IF(OR($A163="",$D163=0),"",IF($G163="",$H163+$D163,$G163+$D163))</f>
        <v/>
      </c>
      <c r="J163" s="24" t="str">
        <f aca="false">IF($I163="","",$I163-$H163)</f>
        <v/>
      </c>
      <c r="K163" s="26" t="str">
        <f aca="true">IF(OR($A163="",$E163=0),"",IF($F163="",EDATE(TODAY(),$E163),EDATE($F163,$E163)))</f>
        <v/>
      </c>
      <c r="L163" s="28" t="str">
        <f aca="true">IF($K163="","",$K163-TODAY())</f>
        <v/>
      </c>
      <c r="M163" s="28" t="str">
        <f aca="false">IF($A163="","",IF(AND($J163="",$L163=""),"-",IF(OR(AND($J163&lt;&gt;"",$J163&lt;=0),AND($L163&lt;&gt;"",$L163&lt;0)),"교체",IF(OR(AND($J163&lt;&gt;"",$J163&lt;=사용안내!$C$16),AND($L163&lt;&gt;"",$L163&lt;=사용안내!$C$17)),"임박","정상"))))</f>
        <v/>
      </c>
    </row>
    <row r="164" customFormat="false" ht="15" hidden="false" customHeight="true" outlineLevel="0" collapsed="false">
      <c r="A164" s="23" t="str">
        <f aca="false">IF(OR(차량목록!$A16="",정비항목!$A5="",차량목록!$G16="매각"),"",차량목록!$A16)</f>
        <v/>
      </c>
      <c r="B164" s="23" t="str">
        <f aca="false">IF($A164="","",차량목록!$B16)</f>
        <v/>
      </c>
      <c r="C164" s="23" t="str">
        <f aca="false">IF($A164="","",정비항목!$B5)</f>
        <v/>
      </c>
      <c r="D164" s="24" t="str">
        <f aca="false">IF($A164="","",IF(정비항목!$C5="",0,정비항목!$C5))</f>
        <v/>
      </c>
      <c r="E164" s="28" t="str">
        <f aca="false">IF($A164="","",IF(정비항목!$D5="",0,정비항목!$D5))</f>
        <v/>
      </c>
      <c r="F164" s="26" t="str">
        <f aca="false">IF($A164="","",IF(COUNTIFS(정비이력!$B$3:$B$1002,$A164,정비이력!$D$3:$D$1002,정비항목!$A5)=0,"",SUMPRODUCT(MAX((정비이력!$B$3:$B$1002=$A164)*(정비이력!$D$3:$D$1002=정비항목!$A5)*정비이력!$A$3:$A$1002))))</f>
        <v/>
      </c>
      <c r="G164" s="27" t="str">
        <f aca="false">IF($A164="","",IF($F164="","",SUMPRODUCT(MAX((정비이력!$B$3:$B$1002=$A164)*(정비이력!$D$3:$D$1002=정비항목!$A5)*정비이력!$F$3:$F$1002))))</f>
        <v/>
      </c>
      <c r="H164" s="27" t="str">
        <f aca="false">IF($A164="","",IF(차량목록!$E16="",0,차량목록!$E16))</f>
        <v/>
      </c>
      <c r="I164" s="27" t="str">
        <f aca="false">IF(OR($A164="",$D164=0),"",IF($G164="",$H164+$D164,$G164+$D164))</f>
        <v/>
      </c>
      <c r="J164" s="24" t="str">
        <f aca="false">IF($I164="","",$I164-$H164)</f>
        <v/>
      </c>
      <c r="K164" s="26" t="str">
        <f aca="true">IF(OR($A164="",$E164=0),"",IF($F164="",EDATE(TODAY(),$E164),EDATE($F164,$E164)))</f>
        <v/>
      </c>
      <c r="L164" s="28" t="str">
        <f aca="true">IF($K164="","",$K164-TODAY())</f>
        <v/>
      </c>
      <c r="M164" s="28" t="str">
        <f aca="false">IF($A164="","",IF(AND($J164="",$L164=""),"-",IF(OR(AND($J164&lt;&gt;"",$J164&lt;=0),AND($L164&lt;&gt;"",$L164&lt;0)),"교체",IF(OR(AND($J164&lt;&gt;"",$J164&lt;=사용안내!$C$16),AND($L164&lt;&gt;"",$L164&lt;=사용안내!$C$17)),"임박","정상"))))</f>
        <v/>
      </c>
    </row>
    <row r="165" customFormat="false" ht="15" hidden="false" customHeight="true" outlineLevel="0" collapsed="false">
      <c r="A165" s="23" t="str">
        <f aca="false">IF(OR(차량목록!$A16="",정비항목!$A6="",차량목록!$G16="매각"),"",차량목록!$A16)</f>
        <v/>
      </c>
      <c r="B165" s="23" t="str">
        <f aca="false">IF($A165="","",차량목록!$B16)</f>
        <v/>
      </c>
      <c r="C165" s="23" t="str">
        <f aca="false">IF($A165="","",정비항목!$B6)</f>
        <v/>
      </c>
      <c r="D165" s="24" t="str">
        <f aca="false">IF($A165="","",IF(정비항목!$C6="",0,정비항목!$C6))</f>
        <v/>
      </c>
      <c r="E165" s="28" t="str">
        <f aca="false">IF($A165="","",IF(정비항목!$D6="",0,정비항목!$D6))</f>
        <v/>
      </c>
      <c r="F165" s="26" t="str">
        <f aca="false">IF($A165="","",IF(COUNTIFS(정비이력!$B$3:$B$1002,$A165,정비이력!$D$3:$D$1002,정비항목!$A6)=0,"",SUMPRODUCT(MAX((정비이력!$B$3:$B$1002=$A165)*(정비이력!$D$3:$D$1002=정비항목!$A6)*정비이력!$A$3:$A$1002))))</f>
        <v/>
      </c>
      <c r="G165" s="27" t="str">
        <f aca="false">IF($A165="","",IF($F165="","",SUMPRODUCT(MAX((정비이력!$B$3:$B$1002=$A165)*(정비이력!$D$3:$D$1002=정비항목!$A6)*정비이력!$F$3:$F$1002))))</f>
        <v/>
      </c>
      <c r="H165" s="27" t="str">
        <f aca="false">IF($A165="","",IF(차량목록!$E16="",0,차량목록!$E16))</f>
        <v/>
      </c>
      <c r="I165" s="27" t="str">
        <f aca="false">IF(OR($A165="",$D165=0),"",IF($G165="",$H165+$D165,$G165+$D165))</f>
        <v/>
      </c>
      <c r="J165" s="24" t="str">
        <f aca="false">IF($I165="","",$I165-$H165)</f>
        <v/>
      </c>
      <c r="K165" s="26" t="str">
        <f aca="true">IF(OR($A165="",$E165=0),"",IF($F165="",EDATE(TODAY(),$E165),EDATE($F165,$E165)))</f>
        <v/>
      </c>
      <c r="L165" s="28" t="str">
        <f aca="true">IF($K165="","",$K165-TODAY())</f>
        <v/>
      </c>
      <c r="M165" s="28" t="str">
        <f aca="false">IF($A165="","",IF(AND($J165="",$L165=""),"-",IF(OR(AND($J165&lt;&gt;"",$J165&lt;=0),AND($L165&lt;&gt;"",$L165&lt;0)),"교체",IF(OR(AND($J165&lt;&gt;"",$J165&lt;=사용안내!$C$16),AND($L165&lt;&gt;"",$L165&lt;=사용안내!$C$17)),"임박","정상"))))</f>
        <v/>
      </c>
    </row>
    <row r="166" customFormat="false" ht="15" hidden="false" customHeight="true" outlineLevel="0" collapsed="false">
      <c r="A166" s="23" t="str">
        <f aca="false">IF(OR(차량목록!$A16="",정비항목!$A7="",차량목록!$G16="매각"),"",차량목록!$A16)</f>
        <v/>
      </c>
      <c r="B166" s="23" t="str">
        <f aca="false">IF($A166="","",차량목록!$B16)</f>
        <v/>
      </c>
      <c r="C166" s="23" t="str">
        <f aca="false">IF($A166="","",정비항목!$B7)</f>
        <v/>
      </c>
      <c r="D166" s="24" t="str">
        <f aca="false">IF($A166="","",IF(정비항목!$C7="",0,정비항목!$C7))</f>
        <v/>
      </c>
      <c r="E166" s="28" t="str">
        <f aca="false">IF($A166="","",IF(정비항목!$D7="",0,정비항목!$D7))</f>
        <v/>
      </c>
      <c r="F166" s="26" t="str">
        <f aca="false">IF($A166="","",IF(COUNTIFS(정비이력!$B$3:$B$1002,$A166,정비이력!$D$3:$D$1002,정비항목!$A7)=0,"",SUMPRODUCT(MAX((정비이력!$B$3:$B$1002=$A166)*(정비이력!$D$3:$D$1002=정비항목!$A7)*정비이력!$A$3:$A$1002))))</f>
        <v/>
      </c>
      <c r="G166" s="27" t="str">
        <f aca="false">IF($A166="","",IF($F166="","",SUMPRODUCT(MAX((정비이력!$B$3:$B$1002=$A166)*(정비이력!$D$3:$D$1002=정비항목!$A7)*정비이력!$F$3:$F$1002))))</f>
        <v/>
      </c>
      <c r="H166" s="27" t="str">
        <f aca="false">IF($A166="","",IF(차량목록!$E16="",0,차량목록!$E16))</f>
        <v/>
      </c>
      <c r="I166" s="27" t="str">
        <f aca="false">IF(OR($A166="",$D166=0),"",IF($G166="",$H166+$D166,$G166+$D166))</f>
        <v/>
      </c>
      <c r="J166" s="24" t="str">
        <f aca="false">IF($I166="","",$I166-$H166)</f>
        <v/>
      </c>
      <c r="K166" s="26" t="str">
        <f aca="true">IF(OR($A166="",$E166=0),"",IF($F166="",EDATE(TODAY(),$E166),EDATE($F166,$E166)))</f>
        <v/>
      </c>
      <c r="L166" s="28" t="str">
        <f aca="true">IF($K166="","",$K166-TODAY())</f>
        <v/>
      </c>
      <c r="M166" s="28" t="str">
        <f aca="false">IF($A166="","",IF(AND($J166="",$L166=""),"-",IF(OR(AND($J166&lt;&gt;"",$J166&lt;=0),AND($L166&lt;&gt;"",$L166&lt;0)),"교체",IF(OR(AND($J166&lt;&gt;"",$J166&lt;=사용안내!$C$16),AND($L166&lt;&gt;"",$L166&lt;=사용안내!$C$17)),"임박","정상"))))</f>
        <v/>
      </c>
    </row>
    <row r="167" customFormat="false" ht="15" hidden="false" customHeight="true" outlineLevel="0" collapsed="false">
      <c r="A167" s="23" t="str">
        <f aca="false">IF(OR(차량목록!$A16="",정비항목!$A8="",차량목록!$G16="매각"),"",차량목록!$A16)</f>
        <v/>
      </c>
      <c r="B167" s="23" t="str">
        <f aca="false">IF($A167="","",차량목록!$B16)</f>
        <v/>
      </c>
      <c r="C167" s="23" t="str">
        <f aca="false">IF($A167="","",정비항목!$B8)</f>
        <v/>
      </c>
      <c r="D167" s="24" t="str">
        <f aca="false">IF($A167="","",IF(정비항목!$C8="",0,정비항목!$C8))</f>
        <v/>
      </c>
      <c r="E167" s="28" t="str">
        <f aca="false">IF($A167="","",IF(정비항목!$D8="",0,정비항목!$D8))</f>
        <v/>
      </c>
      <c r="F167" s="26" t="str">
        <f aca="false">IF($A167="","",IF(COUNTIFS(정비이력!$B$3:$B$1002,$A167,정비이력!$D$3:$D$1002,정비항목!$A8)=0,"",SUMPRODUCT(MAX((정비이력!$B$3:$B$1002=$A167)*(정비이력!$D$3:$D$1002=정비항목!$A8)*정비이력!$A$3:$A$1002))))</f>
        <v/>
      </c>
      <c r="G167" s="27" t="str">
        <f aca="false">IF($A167="","",IF($F167="","",SUMPRODUCT(MAX((정비이력!$B$3:$B$1002=$A167)*(정비이력!$D$3:$D$1002=정비항목!$A8)*정비이력!$F$3:$F$1002))))</f>
        <v/>
      </c>
      <c r="H167" s="27" t="str">
        <f aca="false">IF($A167="","",IF(차량목록!$E16="",0,차량목록!$E16))</f>
        <v/>
      </c>
      <c r="I167" s="27" t="str">
        <f aca="false">IF(OR($A167="",$D167=0),"",IF($G167="",$H167+$D167,$G167+$D167))</f>
        <v/>
      </c>
      <c r="J167" s="24" t="str">
        <f aca="false">IF($I167="","",$I167-$H167)</f>
        <v/>
      </c>
      <c r="K167" s="26" t="str">
        <f aca="true">IF(OR($A167="",$E167=0),"",IF($F167="",EDATE(TODAY(),$E167),EDATE($F167,$E167)))</f>
        <v/>
      </c>
      <c r="L167" s="28" t="str">
        <f aca="true">IF($K167="","",$K167-TODAY())</f>
        <v/>
      </c>
      <c r="M167" s="28" t="str">
        <f aca="false">IF($A167="","",IF(AND($J167="",$L167=""),"-",IF(OR(AND($J167&lt;&gt;"",$J167&lt;=0),AND($L167&lt;&gt;"",$L167&lt;0)),"교체",IF(OR(AND($J167&lt;&gt;"",$J167&lt;=사용안내!$C$16),AND($L167&lt;&gt;"",$L167&lt;=사용안내!$C$17)),"임박","정상"))))</f>
        <v/>
      </c>
    </row>
    <row r="168" customFormat="false" ht="15" hidden="false" customHeight="true" outlineLevel="0" collapsed="false">
      <c r="A168" s="23" t="str">
        <f aca="false">IF(OR(차량목록!$A16="",정비항목!$A9="",차량목록!$G16="매각"),"",차량목록!$A16)</f>
        <v/>
      </c>
      <c r="B168" s="23" t="str">
        <f aca="false">IF($A168="","",차량목록!$B16)</f>
        <v/>
      </c>
      <c r="C168" s="23" t="str">
        <f aca="false">IF($A168="","",정비항목!$B9)</f>
        <v/>
      </c>
      <c r="D168" s="24" t="str">
        <f aca="false">IF($A168="","",IF(정비항목!$C9="",0,정비항목!$C9))</f>
        <v/>
      </c>
      <c r="E168" s="28" t="str">
        <f aca="false">IF($A168="","",IF(정비항목!$D9="",0,정비항목!$D9))</f>
        <v/>
      </c>
      <c r="F168" s="26" t="str">
        <f aca="false">IF($A168="","",IF(COUNTIFS(정비이력!$B$3:$B$1002,$A168,정비이력!$D$3:$D$1002,정비항목!$A9)=0,"",SUMPRODUCT(MAX((정비이력!$B$3:$B$1002=$A168)*(정비이력!$D$3:$D$1002=정비항목!$A9)*정비이력!$A$3:$A$1002))))</f>
        <v/>
      </c>
      <c r="G168" s="27" t="str">
        <f aca="false">IF($A168="","",IF($F168="","",SUMPRODUCT(MAX((정비이력!$B$3:$B$1002=$A168)*(정비이력!$D$3:$D$1002=정비항목!$A9)*정비이력!$F$3:$F$1002))))</f>
        <v/>
      </c>
      <c r="H168" s="27" t="str">
        <f aca="false">IF($A168="","",IF(차량목록!$E16="",0,차량목록!$E16))</f>
        <v/>
      </c>
      <c r="I168" s="27" t="str">
        <f aca="false">IF(OR($A168="",$D168=0),"",IF($G168="",$H168+$D168,$G168+$D168))</f>
        <v/>
      </c>
      <c r="J168" s="24" t="str">
        <f aca="false">IF($I168="","",$I168-$H168)</f>
        <v/>
      </c>
      <c r="K168" s="26" t="str">
        <f aca="true">IF(OR($A168="",$E168=0),"",IF($F168="",EDATE(TODAY(),$E168),EDATE($F168,$E168)))</f>
        <v/>
      </c>
      <c r="L168" s="28" t="str">
        <f aca="true">IF($K168="","",$K168-TODAY())</f>
        <v/>
      </c>
      <c r="M168" s="28" t="str">
        <f aca="false">IF($A168="","",IF(AND($J168="",$L168=""),"-",IF(OR(AND($J168&lt;&gt;"",$J168&lt;=0),AND($L168&lt;&gt;"",$L168&lt;0)),"교체",IF(OR(AND($J168&lt;&gt;"",$J168&lt;=사용안내!$C$16),AND($L168&lt;&gt;"",$L168&lt;=사용안내!$C$17)),"임박","정상"))))</f>
        <v/>
      </c>
    </row>
    <row r="169" customFormat="false" ht="15" hidden="false" customHeight="true" outlineLevel="0" collapsed="false">
      <c r="A169" s="23" t="str">
        <f aca="false">IF(OR(차량목록!$A16="",정비항목!$A10="",차량목록!$G16="매각"),"",차량목록!$A16)</f>
        <v/>
      </c>
      <c r="B169" s="23" t="str">
        <f aca="false">IF($A169="","",차량목록!$B16)</f>
        <v/>
      </c>
      <c r="C169" s="23" t="str">
        <f aca="false">IF($A169="","",정비항목!$B10)</f>
        <v/>
      </c>
      <c r="D169" s="24" t="str">
        <f aca="false">IF($A169="","",IF(정비항목!$C10="",0,정비항목!$C10))</f>
        <v/>
      </c>
      <c r="E169" s="28" t="str">
        <f aca="false">IF($A169="","",IF(정비항목!$D10="",0,정비항목!$D10))</f>
        <v/>
      </c>
      <c r="F169" s="26" t="str">
        <f aca="false">IF($A169="","",IF(COUNTIFS(정비이력!$B$3:$B$1002,$A169,정비이력!$D$3:$D$1002,정비항목!$A10)=0,"",SUMPRODUCT(MAX((정비이력!$B$3:$B$1002=$A169)*(정비이력!$D$3:$D$1002=정비항목!$A10)*정비이력!$A$3:$A$1002))))</f>
        <v/>
      </c>
      <c r="G169" s="27" t="str">
        <f aca="false">IF($A169="","",IF($F169="","",SUMPRODUCT(MAX((정비이력!$B$3:$B$1002=$A169)*(정비이력!$D$3:$D$1002=정비항목!$A10)*정비이력!$F$3:$F$1002))))</f>
        <v/>
      </c>
      <c r="H169" s="27" t="str">
        <f aca="false">IF($A169="","",IF(차량목록!$E16="",0,차량목록!$E16))</f>
        <v/>
      </c>
      <c r="I169" s="27" t="str">
        <f aca="false">IF(OR($A169="",$D169=0),"",IF($G169="",$H169+$D169,$G169+$D169))</f>
        <v/>
      </c>
      <c r="J169" s="24" t="str">
        <f aca="false">IF($I169="","",$I169-$H169)</f>
        <v/>
      </c>
      <c r="K169" s="26" t="str">
        <f aca="true">IF(OR($A169="",$E169=0),"",IF($F169="",EDATE(TODAY(),$E169),EDATE($F169,$E169)))</f>
        <v/>
      </c>
      <c r="L169" s="28" t="str">
        <f aca="true">IF($K169="","",$K169-TODAY())</f>
        <v/>
      </c>
      <c r="M169" s="28" t="str">
        <f aca="false">IF($A169="","",IF(AND($J169="",$L169=""),"-",IF(OR(AND($J169&lt;&gt;"",$J169&lt;=0),AND($L169&lt;&gt;"",$L169&lt;0)),"교체",IF(OR(AND($J169&lt;&gt;"",$J169&lt;=사용안내!$C$16),AND($L169&lt;&gt;"",$L169&lt;=사용안내!$C$17)),"임박","정상"))))</f>
        <v/>
      </c>
    </row>
    <row r="170" customFormat="false" ht="15" hidden="false" customHeight="true" outlineLevel="0" collapsed="false">
      <c r="A170" s="23" t="str">
        <f aca="false">IF(OR(차량목록!$A16="",정비항목!$A11="",차량목록!$G16="매각"),"",차량목록!$A16)</f>
        <v/>
      </c>
      <c r="B170" s="23" t="str">
        <f aca="false">IF($A170="","",차량목록!$B16)</f>
        <v/>
      </c>
      <c r="C170" s="23" t="str">
        <f aca="false">IF($A170="","",정비항목!$B11)</f>
        <v/>
      </c>
      <c r="D170" s="24" t="str">
        <f aca="false">IF($A170="","",IF(정비항목!$C11="",0,정비항목!$C11))</f>
        <v/>
      </c>
      <c r="E170" s="28" t="str">
        <f aca="false">IF($A170="","",IF(정비항목!$D11="",0,정비항목!$D11))</f>
        <v/>
      </c>
      <c r="F170" s="26" t="str">
        <f aca="false">IF($A170="","",IF(COUNTIFS(정비이력!$B$3:$B$1002,$A170,정비이력!$D$3:$D$1002,정비항목!$A11)=0,"",SUMPRODUCT(MAX((정비이력!$B$3:$B$1002=$A170)*(정비이력!$D$3:$D$1002=정비항목!$A11)*정비이력!$A$3:$A$1002))))</f>
        <v/>
      </c>
      <c r="G170" s="27" t="str">
        <f aca="false">IF($A170="","",IF($F170="","",SUMPRODUCT(MAX((정비이력!$B$3:$B$1002=$A170)*(정비이력!$D$3:$D$1002=정비항목!$A11)*정비이력!$F$3:$F$1002))))</f>
        <v/>
      </c>
      <c r="H170" s="27" t="str">
        <f aca="false">IF($A170="","",IF(차량목록!$E16="",0,차량목록!$E16))</f>
        <v/>
      </c>
      <c r="I170" s="27" t="str">
        <f aca="false">IF(OR($A170="",$D170=0),"",IF($G170="",$H170+$D170,$G170+$D170))</f>
        <v/>
      </c>
      <c r="J170" s="24" t="str">
        <f aca="false">IF($I170="","",$I170-$H170)</f>
        <v/>
      </c>
      <c r="K170" s="26" t="str">
        <f aca="true">IF(OR($A170="",$E170=0),"",IF($F170="",EDATE(TODAY(),$E170),EDATE($F170,$E170)))</f>
        <v/>
      </c>
      <c r="L170" s="28" t="str">
        <f aca="true">IF($K170="","",$K170-TODAY())</f>
        <v/>
      </c>
      <c r="M170" s="28" t="str">
        <f aca="false">IF($A170="","",IF(AND($J170="",$L170=""),"-",IF(OR(AND($J170&lt;&gt;"",$J170&lt;=0),AND($L170&lt;&gt;"",$L170&lt;0)),"교체",IF(OR(AND($J170&lt;&gt;"",$J170&lt;=사용안내!$C$16),AND($L170&lt;&gt;"",$L170&lt;=사용안내!$C$17)),"임박","정상"))))</f>
        <v/>
      </c>
    </row>
    <row r="171" customFormat="false" ht="15" hidden="false" customHeight="true" outlineLevel="0" collapsed="false">
      <c r="A171" s="23" t="str">
        <f aca="false">IF(OR(차량목록!$A16="",정비항목!$A12="",차량목록!$G16="매각"),"",차량목록!$A16)</f>
        <v/>
      </c>
      <c r="B171" s="23" t="str">
        <f aca="false">IF($A171="","",차량목록!$B16)</f>
        <v/>
      </c>
      <c r="C171" s="23" t="str">
        <f aca="false">IF($A171="","",정비항목!$B12)</f>
        <v/>
      </c>
      <c r="D171" s="24" t="str">
        <f aca="false">IF($A171="","",IF(정비항목!$C12="",0,정비항목!$C12))</f>
        <v/>
      </c>
      <c r="E171" s="28" t="str">
        <f aca="false">IF($A171="","",IF(정비항목!$D12="",0,정비항목!$D12))</f>
        <v/>
      </c>
      <c r="F171" s="26" t="str">
        <f aca="false">IF($A171="","",IF(COUNTIFS(정비이력!$B$3:$B$1002,$A171,정비이력!$D$3:$D$1002,정비항목!$A12)=0,"",SUMPRODUCT(MAX((정비이력!$B$3:$B$1002=$A171)*(정비이력!$D$3:$D$1002=정비항목!$A12)*정비이력!$A$3:$A$1002))))</f>
        <v/>
      </c>
      <c r="G171" s="27" t="str">
        <f aca="false">IF($A171="","",IF($F171="","",SUMPRODUCT(MAX((정비이력!$B$3:$B$1002=$A171)*(정비이력!$D$3:$D$1002=정비항목!$A12)*정비이력!$F$3:$F$1002))))</f>
        <v/>
      </c>
      <c r="H171" s="27" t="str">
        <f aca="false">IF($A171="","",IF(차량목록!$E16="",0,차량목록!$E16))</f>
        <v/>
      </c>
      <c r="I171" s="27" t="str">
        <f aca="false">IF(OR($A171="",$D171=0),"",IF($G171="",$H171+$D171,$G171+$D171))</f>
        <v/>
      </c>
      <c r="J171" s="24" t="str">
        <f aca="false">IF($I171="","",$I171-$H171)</f>
        <v/>
      </c>
      <c r="K171" s="26" t="str">
        <f aca="true">IF(OR($A171="",$E171=0),"",IF($F171="",EDATE(TODAY(),$E171),EDATE($F171,$E171)))</f>
        <v/>
      </c>
      <c r="L171" s="28" t="str">
        <f aca="true">IF($K171="","",$K171-TODAY())</f>
        <v/>
      </c>
      <c r="M171" s="28" t="str">
        <f aca="false">IF($A171="","",IF(AND($J171="",$L171=""),"-",IF(OR(AND($J171&lt;&gt;"",$J171&lt;=0),AND($L171&lt;&gt;"",$L171&lt;0)),"교체",IF(OR(AND($J171&lt;&gt;"",$J171&lt;=사용안내!$C$16),AND($L171&lt;&gt;"",$L171&lt;=사용안내!$C$17)),"임박","정상"))))</f>
        <v/>
      </c>
    </row>
    <row r="172" customFormat="false" ht="15" hidden="false" customHeight="true" outlineLevel="0" collapsed="false">
      <c r="A172" s="23" t="str">
        <f aca="false">IF(OR(차량목록!$A16="",정비항목!$A13="",차량목록!$G16="매각"),"",차량목록!$A16)</f>
        <v/>
      </c>
      <c r="B172" s="23" t="str">
        <f aca="false">IF($A172="","",차량목록!$B16)</f>
        <v/>
      </c>
      <c r="C172" s="23" t="str">
        <f aca="false">IF($A172="","",정비항목!$B13)</f>
        <v/>
      </c>
      <c r="D172" s="24" t="str">
        <f aca="false">IF($A172="","",IF(정비항목!$C13="",0,정비항목!$C13))</f>
        <v/>
      </c>
      <c r="E172" s="28" t="str">
        <f aca="false">IF($A172="","",IF(정비항목!$D13="",0,정비항목!$D13))</f>
        <v/>
      </c>
      <c r="F172" s="26" t="str">
        <f aca="false">IF($A172="","",IF(COUNTIFS(정비이력!$B$3:$B$1002,$A172,정비이력!$D$3:$D$1002,정비항목!$A13)=0,"",SUMPRODUCT(MAX((정비이력!$B$3:$B$1002=$A172)*(정비이력!$D$3:$D$1002=정비항목!$A13)*정비이력!$A$3:$A$1002))))</f>
        <v/>
      </c>
      <c r="G172" s="27" t="str">
        <f aca="false">IF($A172="","",IF($F172="","",SUMPRODUCT(MAX((정비이력!$B$3:$B$1002=$A172)*(정비이력!$D$3:$D$1002=정비항목!$A13)*정비이력!$F$3:$F$1002))))</f>
        <v/>
      </c>
      <c r="H172" s="27" t="str">
        <f aca="false">IF($A172="","",IF(차량목록!$E16="",0,차량목록!$E16))</f>
        <v/>
      </c>
      <c r="I172" s="27" t="str">
        <f aca="false">IF(OR($A172="",$D172=0),"",IF($G172="",$H172+$D172,$G172+$D172))</f>
        <v/>
      </c>
      <c r="J172" s="24" t="str">
        <f aca="false">IF($I172="","",$I172-$H172)</f>
        <v/>
      </c>
      <c r="K172" s="26" t="str">
        <f aca="true">IF(OR($A172="",$E172=0),"",IF($F172="",EDATE(TODAY(),$E172),EDATE($F172,$E172)))</f>
        <v/>
      </c>
      <c r="L172" s="28" t="str">
        <f aca="true">IF($K172="","",$K172-TODAY())</f>
        <v/>
      </c>
      <c r="M172" s="28" t="str">
        <f aca="false">IF($A172="","",IF(AND($J172="",$L172=""),"-",IF(OR(AND($J172&lt;&gt;"",$J172&lt;=0),AND($L172&lt;&gt;"",$L172&lt;0)),"교체",IF(OR(AND($J172&lt;&gt;"",$J172&lt;=사용안내!$C$16),AND($L172&lt;&gt;"",$L172&lt;=사용안내!$C$17)),"임박","정상"))))</f>
        <v/>
      </c>
    </row>
    <row r="173" customFormat="false" ht="15" hidden="false" customHeight="true" outlineLevel="0" collapsed="false">
      <c r="A173" s="23" t="str">
        <f aca="false">IF(OR(차량목록!$A16="",정비항목!$A14="",차량목록!$G16="매각"),"",차량목록!$A16)</f>
        <v/>
      </c>
      <c r="B173" s="23" t="str">
        <f aca="false">IF($A173="","",차량목록!$B16)</f>
        <v/>
      </c>
      <c r="C173" s="23" t="str">
        <f aca="false">IF($A173="","",정비항목!$B14)</f>
        <v/>
      </c>
      <c r="D173" s="24" t="str">
        <f aca="false">IF($A173="","",IF(정비항목!$C14="",0,정비항목!$C14))</f>
        <v/>
      </c>
      <c r="E173" s="28" t="str">
        <f aca="false">IF($A173="","",IF(정비항목!$D14="",0,정비항목!$D14))</f>
        <v/>
      </c>
      <c r="F173" s="26" t="str">
        <f aca="false">IF($A173="","",IF(COUNTIFS(정비이력!$B$3:$B$1002,$A173,정비이력!$D$3:$D$1002,정비항목!$A14)=0,"",SUMPRODUCT(MAX((정비이력!$B$3:$B$1002=$A173)*(정비이력!$D$3:$D$1002=정비항목!$A14)*정비이력!$A$3:$A$1002))))</f>
        <v/>
      </c>
      <c r="G173" s="27" t="str">
        <f aca="false">IF($A173="","",IF($F173="","",SUMPRODUCT(MAX((정비이력!$B$3:$B$1002=$A173)*(정비이력!$D$3:$D$1002=정비항목!$A14)*정비이력!$F$3:$F$1002))))</f>
        <v/>
      </c>
      <c r="H173" s="27" t="str">
        <f aca="false">IF($A173="","",IF(차량목록!$E16="",0,차량목록!$E16))</f>
        <v/>
      </c>
      <c r="I173" s="27" t="str">
        <f aca="false">IF(OR($A173="",$D173=0),"",IF($G173="",$H173+$D173,$G173+$D173))</f>
        <v/>
      </c>
      <c r="J173" s="24" t="str">
        <f aca="false">IF($I173="","",$I173-$H173)</f>
        <v/>
      </c>
      <c r="K173" s="26" t="str">
        <f aca="true">IF(OR($A173="",$E173=0),"",IF($F173="",EDATE(TODAY(),$E173),EDATE($F173,$E173)))</f>
        <v/>
      </c>
      <c r="L173" s="28" t="str">
        <f aca="true">IF($K173="","",$K173-TODAY())</f>
        <v/>
      </c>
      <c r="M173" s="28" t="str">
        <f aca="false">IF($A173="","",IF(AND($J173="",$L173=""),"-",IF(OR(AND($J173&lt;&gt;"",$J173&lt;=0),AND($L173&lt;&gt;"",$L173&lt;0)),"교체",IF(OR(AND($J173&lt;&gt;"",$J173&lt;=사용안내!$C$16),AND($L173&lt;&gt;"",$L173&lt;=사용안내!$C$17)),"임박","정상"))))</f>
        <v/>
      </c>
    </row>
    <row r="174" customFormat="false" ht="15" hidden="false" customHeight="true" outlineLevel="0" collapsed="false">
      <c r="A174" s="23" t="str">
        <f aca="false">IF(OR(차량목록!$A17="",정비항목!$A3="",차량목록!$G17="매각"),"",차량목록!$A17)</f>
        <v/>
      </c>
      <c r="B174" s="23" t="str">
        <f aca="false">IF($A174="","",차량목록!$B17)</f>
        <v/>
      </c>
      <c r="C174" s="23" t="str">
        <f aca="false">IF($A174="","",정비항목!$B3)</f>
        <v/>
      </c>
      <c r="D174" s="24" t="str">
        <f aca="false">IF($A174="","",IF(정비항목!$C3="",0,정비항목!$C3))</f>
        <v/>
      </c>
      <c r="E174" s="28" t="str">
        <f aca="false">IF($A174="","",IF(정비항목!$D3="",0,정비항목!$D3))</f>
        <v/>
      </c>
      <c r="F174" s="26" t="str">
        <f aca="false">IF($A174="","",IF(COUNTIFS(정비이력!$B$3:$B$1002,$A174,정비이력!$D$3:$D$1002,정비항목!$A3)=0,"",SUMPRODUCT(MAX((정비이력!$B$3:$B$1002=$A174)*(정비이력!$D$3:$D$1002=정비항목!$A3)*정비이력!$A$3:$A$1002))))</f>
        <v/>
      </c>
      <c r="G174" s="27" t="str">
        <f aca="false">IF($A174="","",IF($F174="","",SUMPRODUCT(MAX((정비이력!$B$3:$B$1002=$A174)*(정비이력!$D$3:$D$1002=정비항목!$A3)*정비이력!$F$3:$F$1002))))</f>
        <v/>
      </c>
      <c r="H174" s="27" t="str">
        <f aca="false">IF($A174="","",IF(차량목록!$E17="",0,차량목록!$E17))</f>
        <v/>
      </c>
      <c r="I174" s="27" t="str">
        <f aca="false">IF(OR($A174="",$D174=0),"",IF($G174="",$H174+$D174,$G174+$D174))</f>
        <v/>
      </c>
      <c r="J174" s="24" t="str">
        <f aca="false">IF($I174="","",$I174-$H174)</f>
        <v/>
      </c>
      <c r="K174" s="26" t="str">
        <f aca="true">IF(OR($A174="",$E174=0),"",IF($F174="",EDATE(TODAY(),$E174),EDATE($F174,$E174)))</f>
        <v/>
      </c>
      <c r="L174" s="28" t="str">
        <f aca="true">IF($K174="","",$K174-TODAY())</f>
        <v/>
      </c>
      <c r="M174" s="28" t="str">
        <f aca="false">IF($A174="","",IF(AND($J174="",$L174=""),"-",IF(OR(AND($J174&lt;&gt;"",$J174&lt;=0),AND($L174&lt;&gt;"",$L174&lt;0)),"교체",IF(OR(AND($J174&lt;&gt;"",$J174&lt;=사용안내!$C$16),AND($L174&lt;&gt;"",$L174&lt;=사용안내!$C$17)),"임박","정상"))))</f>
        <v/>
      </c>
    </row>
    <row r="175" customFormat="false" ht="15" hidden="false" customHeight="true" outlineLevel="0" collapsed="false">
      <c r="A175" s="23" t="str">
        <f aca="false">IF(OR(차량목록!$A17="",정비항목!$A4="",차량목록!$G17="매각"),"",차량목록!$A17)</f>
        <v/>
      </c>
      <c r="B175" s="23" t="str">
        <f aca="false">IF($A175="","",차량목록!$B17)</f>
        <v/>
      </c>
      <c r="C175" s="23" t="str">
        <f aca="false">IF($A175="","",정비항목!$B4)</f>
        <v/>
      </c>
      <c r="D175" s="24" t="str">
        <f aca="false">IF($A175="","",IF(정비항목!$C4="",0,정비항목!$C4))</f>
        <v/>
      </c>
      <c r="E175" s="28" t="str">
        <f aca="false">IF($A175="","",IF(정비항목!$D4="",0,정비항목!$D4))</f>
        <v/>
      </c>
      <c r="F175" s="26" t="str">
        <f aca="false">IF($A175="","",IF(COUNTIFS(정비이력!$B$3:$B$1002,$A175,정비이력!$D$3:$D$1002,정비항목!$A4)=0,"",SUMPRODUCT(MAX((정비이력!$B$3:$B$1002=$A175)*(정비이력!$D$3:$D$1002=정비항목!$A4)*정비이력!$A$3:$A$1002))))</f>
        <v/>
      </c>
      <c r="G175" s="27" t="str">
        <f aca="false">IF($A175="","",IF($F175="","",SUMPRODUCT(MAX((정비이력!$B$3:$B$1002=$A175)*(정비이력!$D$3:$D$1002=정비항목!$A4)*정비이력!$F$3:$F$1002))))</f>
        <v/>
      </c>
      <c r="H175" s="27" t="str">
        <f aca="false">IF($A175="","",IF(차량목록!$E17="",0,차량목록!$E17))</f>
        <v/>
      </c>
      <c r="I175" s="27" t="str">
        <f aca="false">IF(OR($A175="",$D175=0),"",IF($G175="",$H175+$D175,$G175+$D175))</f>
        <v/>
      </c>
      <c r="J175" s="24" t="str">
        <f aca="false">IF($I175="","",$I175-$H175)</f>
        <v/>
      </c>
      <c r="K175" s="26" t="str">
        <f aca="true">IF(OR($A175="",$E175=0),"",IF($F175="",EDATE(TODAY(),$E175),EDATE($F175,$E175)))</f>
        <v/>
      </c>
      <c r="L175" s="28" t="str">
        <f aca="true">IF($K175="","",$K175-TODAY())</f>
        <v/>
      </c>
      <c r="M175" s="28" t="str">
        <f aca="false">IF($A175="","",IF(AND($J175="",$L175=""),"-",IF(OR(AND($J175&lt;&gt;"",$J175&lt;=0),AND($L175&lt;&gt;"",$L175&lt;0)),"교체",IF(OR(AND($J175&lt;&gt;"",$J175&lt;=사용안내!$C$16),AND($L175&lt;&gt;"",$L175&lt;=사용안내!$C$17)),"임박","정상"))))</f>
        <v/>
      </c>
    </row>
    <row r="176" customFormat="false" ht="15" hidden="false" customHeight="true" outlineLevel="0" collapsed="false">
      <c r="A176" s="23" t="str">
        <f aca="false">IF(OR(차량목록!$A17="",정비항목!$A5="",차량목록!$G17="매각"),"",차량목록!$A17)</f>
        <v/>
      </c>
      <c r="B176" s="23" t="str">
        <f aca="false">IF($A176="","",차량목록!$B17)</f>
        <v/>
      </c>
      <c r="C176" s="23" t="str">
        <f aca="false">IF($A176="","",정비항목!$B5)</f>
        <v/>
      </c>
      <c r="D176" s="24" t="str">
        <f aca="false">IF($A176="","",IF(정비항목!$C5="",0,정비항목!$C5))</f>
        <v/>
      </c>
      <c r="E176" s="28" t="str">
        <f aca="false">IF($A176="","",IF(정비항목!$D5="",0,정비항목!$D5))</f>
        <v/>
      </c>
      <c r="F176" s="26" t="str">
        <f aca="false">IF($A176="","",IF(COUNTIFS(정비이력!$B$3:$B$1002,$A176,정비이력!$D$3:$D$1002,정비항목!$A5)=0,"",SUMPRODUCT(MAX((정비이력!$B$3:$B$1002=$A176)*(정비이력!$D$3:$D$1002=정비항목!$A5)*정비이력!$A$3:$A$1002))))</f>
        <v/>
      </c>
      <c r="G176" s="27" t="str">
        <f aca="false">IF($A176="","",IF($F176="","",SUMPRODUCT(MAX((정비이력!$B$3:$B$1002=$A176)*(정비이력!$D$3:$D$1002=정비항목!$A5)*정비이력!$F$3:$F$1002))))</f>
        <v/>
      </c>
      <c r="H176" s="27" t="str">
        <f aca="false">IF($A176="","",IF(차량목록!$E17="",0,차량목록!$E17))</f>
        <v/>
      </c>
      <c r="I176" s="27" t="str">
        <f aca="false">IF(OR($A176="",$D176=0),"",IF($G176="",$H176+$D176,$G176+$D176))</f>
        <v/>
      </c>
      <c r="J176" s="24" t="str">
        <f aca="false">IF($I176="","",$I176-$H176)</f>
        <v/>
      </c>
      <c r="K176" s="26" t="str">
        <f aca="true">IF(OR($A176="",$E176=0),"",IF($F176="",EDATE(TODAY(),$E176),EDATE($F176,$E176)))</f>
        <v/>
      </c>
      <c r="L176" s="28" t="str">
        <f aca="true">IF($K176="","",$K176-TODAY())</f>
        <v/>
      </c>
      <c r="M176" s="28" t="str">
        <f aca="false">IF($A176="","",IF(AND($J176="",$L176=""),"-",IF(OR(AND($J176&lt;&gt;"",$J176&lt;=0),AND($L176&lt;&gt;"",$L176&lt;0)),"교체",IF(OR(AND($J176&lt;&gt;"",$J176&lt;=사용안내!$C$16),AND($L176&lt;&gt;"",$L176&lt;=사용안내!$C$17)),"임박","정상"))))</f>
        <v/>
      </c>
    </row>
    <row r="177" customFormat="false" ht="15" hidden="false" customHeight="true" outlineLevel="0" collapsed="false">
      <c r="A177" s="23" t="str">
        <f aca="false">IF(OR(차량목록!$A17="",정비항목!$A6="",차량목록!$G17="매각"),"",차량목록!$A17)</f>
        <v/>
      </c>
      <c r="B177" s="23" t="str">
        <f aca="false">IF($A177="","",차량목록!$B17)</f>
        <v/>
      </c>
      <c r="C177" s="23" t="str">
        <f aca="false">IF($A177="","",정비항목!$B6)</f>
        <v/>
      </c>
      <c r="D177" s="24" t="str">
        <f aca="false">IF($A177="","",IF(정비항목!$C6="",0,정비항목!$C6))</f>
        <v/>
      </c>
      <c r="E177" s="28" t="str">
        <f aca="false">IF($A177="","",IF(정비항목!$D6="",0,정비항목!$D6))</f>
        <v/>
      </c>
      <c r="F177" s="26" t="str">
        <f aca="false">IF($A177="","",IF(COUNTIFS(정비이력!$B$3:$B$1002,$A177,정비이력!$D$3:$D$1002,정비항목!$A6)=0,"",SUMPRODUCT(MAX((정비이력!$B$3:$B$1002=$A177)*(정비이력!$D$3:$D$1002=정비항목!$A6)*정비이력!$A$3:$A$1002))))</f>
        <v/>
      </c>
      <c r="G177" s="27" t="str">
        <f aca="false">IF($A177="","",IF($F177="","",SUMPRODUCT(MAX((정비이력!$B$3:$B$1002=$A177)*(정비이력!$D$3:$D$1002=정비항목!$A6)*정비이력!$F$3:$F$1002))))</f>
        <v/>
      </c>
      <c r="H177" s="27" t="str">
        <f aca="false">IF($A177="","",IF(차량목록!$E17="",0,차량목록!$E17))</f>
        <v/>
      </c>
      <c r="I177" s="27" t="str">
        <f aca="false">IF(OR($A177="",$D177=0),"",IF($G177="",$H177+$D177,$G177+$D177))</f>
        <v/>
      </c>
      <c r="J177" s="24" t="str">
        <f aca="false">IF($I177="","",$I177-$H177)</f>
        <v/>
      </c>
      <c r="K177" s="26" t="str">
        <f aca="true">IF(OR($A177="",$E177=0),"",IF($F177="",EDATE(TODAY(),$E177),EDATE($F177,$E177)))</f>
        <v/>
      </c>
      <c r="L177" s="28" t="str">
        <f aca="true">IF($K177="","",$K177-TODAY())</f>
        <v/>
      </c>
      <c r="M177" s="28" t="str">
        <f aca="false">IF($A177="","",IF(AND($J177="",$L177=""),"-",IF(OR(AND($J177&lt;&gt;"",$J177&lt;=0),AND($L177&lt;&gt;"",$L177&lt;0)),"교체",IF(OR(AND($J177&lt;&gt;"",$J177&lt;=사용안내!$C$16),AND($L177&lt;&gt;"",$L177&lt;=사용안내!$C$17)),"임박","정상"))))</f>
        <v/>
      </c>
    </row>
    <row r="178" customFormat="false" ht="15" hidden="false" customHeight="true" outlineLevel="0" collapsed="false">
      <c r="A178" s="23" t="str">
        <f aca="false">IF(OR(차량목록!$A17="",정비항목!$A7="",차량목록!$G17="매각"),"",차량목록!$A17)</f>
        <v/>
      </c>
      <c r="B178" s="23" t="str">
        <f aca="false">IF($A178="","",차량목록!$B17)</f>
        <v/>
      </c>
      <c r="C178" s="23" t="str">
        <f aca="false">IF($A178="","",정비항목!$B7)</f>
        <v/>
      </c>
      <c r="D178" s="24" t="str">
        <f aca="false">IF($A178="","",IF(정비항목!$C7="",0,정비항목!$C7))</f>
        <v/>
      </c>
      <c r="E178" s="28" t="str">
        <f aca="false">IF($A178="","",IF(정비항목!$D7="",0,정비항목!$D7))</f>
        <v/>
      </c>
      <c r="F178" s="26" t="str">
        <f aca="false">IF($A178="","",IF(COUNTIFS(정비이력!$B$3:$B$1002,$A178,정비이력!$D$3:$D$1002,정비항목!$A7)=0,"",SUMPRODUCT(MAX((정비이력!$B$3:$B$1002=$A178)*(정비이력!$D$3:$D$1002=정비항목!$A7)*정비이력!$A$3:$A$1002))))</f>
        <v/>
      </c>
      <c r="G178" s="27" t="str">
        <f aca="false">IF($A178="","",IF($F178="","",SUMPRODUCT(MAX((정비이력!$B$3:$B$1002=$A178)*(정비이력!$D$3:$D$1002=정비항목!$A7)*정비이력!$F$3:$F$1002))))</f>
        <v/>
      </c>
      <c r="H178" s="27" t="str">
        <f aca="false">IF($A178="","",IF(차량목록!$E17="",0,차량목록!$E17))</f>
        <v/>
      </c>
      <c r="I178" s="27" t="str">
        <f aca="false">IF(OR($A178="",$D178=0),"",IF($G178="",$H178+$D178,$G178+$D178))</f>
        <v/>
      </c>
      <c r="J178" s="24" t="str">
        <f aca="false">IF($I178="","",$I178-$H178)</f>
        <v/>
      </c>
      <c r="K178" s="26" t="str">
        <f aca="true">IF(OR($A178="",$E178=0),"",IF($F178="",EDATE(TODAY(),$E178),EDATE($F178,$E178)))</f>
        <v/>
      </c>
      <c r="L178" s="28" t="str">
        <f aca="true">IF($K178="","",$K178-TODAY())</f>
        <v/>
      </c>
      <c r="M178" s="28" t="str">
        <f aca="false">IF($A178="","",IF(AND($J178="",$L178=""),"-",IF(OR(AND($J178&lt;&gt;"",$J178&lt;=0),AND($L178&lt;&gt;"",$L178&lt;0)),"교체",IF(OR(AND($J178&lt;&gt;"",$J178&lt;=사용안내!$C$16),AND($L178&lt;&gt;"",$L178&lt;=사용안내!$C$17)),"임박","정상"))))</f>
        <v/>
      </c>
    </row>
    <row r="179" customFormat="false" ht="15" hidden="false" customHeight="true" outlineLevel="0" collapsed="false">
      <c r="A179" s="23" t="str">
        <f aca="false">IF(OR(차량목록!$A17="",정비항목!$A8="",차량목록!$G17="매각"),"",차량목록!$A17)</f>
        <v/>
      </c>
      <c r="B179" s="23" t="str">
        <f aca="false">IF($A179="","",차량목록!$B17)</f>
        <v/>
      </c>
      <c r="C179" s="23" t="str">
        <f aca="false">IF($A179="","",정비항목!$B8)</f>
        <v/>
      </c>
      <c r="D179" s="24" t="str">
        <f aca="false">IF($A179="","",IF(정비항목!$C8="",0,정비항목!$C8))</f>
        <v/>
      </c>
      <c r="E179" s="28" t="str">
        <f aca="false">IF($A179="","",IF(정비항목!$D8="",0,정비항목!$D8))</f>
        <v/>
      </c>
      <c r="F179" s="26" t="str">
        <f aca="false">IF($A179="","",IF(COUNTIFS(정비이력!$B$3:$B$1002,$A179,정비이력!$D$3:$D$1002,정비항목!$A8)=0,"",SUMPRODUCT(MAX((정비이력!$B$3:$B$1002=$A179)*(정비이력!$D$3:$D$1002=정비항목!$A8)*정비이력!$A$3:$A$1002))))</f>
        <v/>
      </c>
      <c r="G179" s="27" t="str">
        <f aca="false">IF($A179="","",IF($F179="","",SUMPRODUCT(MAX((정비이력!$B$3:$B$1002=$A179)*(정비이력!$D$3:$D$1002=정비항목!$A8)*정비이력!$F$3:$F$1002))))</f>
        <v/>
      </c>
      <c r="H179" s="27" t="str">
        <f aca="false">IF($A179="","",IF(차량목록!$E17="",0,차량목록!$E17))</f>
        <v/>
      </c>
      <c r="I179" s="27" t="str">
        <f aca="false">IF(OR($A179="",$D179=0),"",IF($G179="",$H179+$D179,$G179+$D179))</f>
        <v/>
      </c>
      <c r="J179" s="24" t="str">
        <f aca="false">IF($I179="","",$I179-$H179)</f>
        <v/>
      </c>
      <c r="K179" s="26" t="str">
        <f aca="true">IF(OR($A179="",$E179=0),"",IF($F179="",EDATE(TODAY(),$E179),EDATE($F179,$E179)))</f>
        <v/>
      </c>
      <c r="L179" s="28" t="str">
        <f aca="true">IF($K179="","",$K179-TODAY())</f>
        <v/>
      </c>
      <c r="M179" s="28" t="str">
        <f aca="false">IF($A179="","",IF(AND($J179="",$L179=""),"-",IF(OR(AND($J179&lt;&gt;"",$J179&lt;=0),AND($L179&lt;&gt;"",$L179&lt;0)),"교체",IF(OR(AND($J179&lt;&gt;"",$J179&lt;=사용안내!$C$16),AND($L179&lt;&gt;"",$L179&lt;=사용안내!$C$17)),"임박","정상"))))</f>
        <v/>
      </c>
    </row>
    <row r="180" customFormat="false" ht="15" hidden="false" customHeight="true" outlineLevel="0" collapsed="false">
      <c r="A180" s="23" t="str">
        <f aca="false">IF(OR(차량목록!$A17="",정비항목!$A9="",차량목록!$G17="매각"),"",차량목록!$A17)</f>
        <v/>
      </c>
      <c r="B180" s="23" t="str">
        <f aca="false">IF($A180="","",차량목록!$B17)</f>
        <v/>
      </c>
      <c r="C180" s="23" t="str">
        <f aca="false">IF($A180="","",정비항목!$B9)</f>
        <v/>
      </c>
      <c r="D180" s="24" t="str">
        <f aca="false">IF($A180="","",IF(정비항목!$C9="",0,정비항목!$C9))</f>
        <v/>
      </c>
      <c r="E180" s="28" t="str">
        <f aca="false">IF($A180="","",IF(정비항목!$D9="",0,정비항목!$D9))</f>
        <v/>
      </c>
      <c r="F180" s="26" t="str">
        <f aca="false">IF($A180="","",IF(COUNTIFS(정비이력!$B$3:$B$1002,$A180,정비이력!$D$3:$D$1002,정비항목!$A9)=0,"",SUMPRODUCT(MAX((정비이력!$B$3:$B$1002=$A180)*(정비이력!$D$3:$D$1002=정비항목!$A9)*정비이력!$A$3:$A$1002))))</f>
        <v/>
      </c>
      <c r="G180" s="27" t="str">
        <f aca="false">IF($A180="","",IF($F180="","",SUMPRODUCT(MAX((정비이력!$B$3:$B$1002=$A180)*(정비이력!$D$3:$D$1002=정비항목!$A9)*정비이력!$F$3:$F$1002))))</f>
        <v/>
      </c>
      <c r="H180" s="27" t="str">
        <f aca="false">IF($A180="","",IF(차량목록!$E17="",0,차량목록!$E17))</f>
        <v/>
      </c>
      <c r="I180" s="27" t="str">
        <f aca="false">IF(OR($A180="",$D180=0),"",IF($G180="",$H180+$D180,$G180+$D180))</f>
        <v/>
      </c>
      <c r="J180" s="24" t="str">
        <f aca="false">IF($I180="","",$I180-$H180)</f>
        <v/>
      </c>
      <c r="K180" s="26" t="str">
        <f aca="true">IF(OR($A180="",$E180=0),"",IF($F180="",EDATE(TODAY(),$E180),EDATE($F180,$E180)))</f>
        <v/>
      </c>
      <c r="L180" s="28" t="str">
        <f aca="true">IF($K180="","",$K180-TODAY())</f>
        <v/>
      </c>
      <c r="M180" s="28" t="str">
        <f aca="false">IF($A180="","",IF(AND($J180="",$L180=""),"-",IF(OR(AND($J180&lt;&gt;"",$J180&lt;=0),AND($L180&lt;&gt;"",$L180&lt;0)),"교체",IF(OR(AND($J180&lt;&gt;"",$J180&lt;=사용안내!$C$16),AND($L180&lt;&gt;"",$L180&lt;=사용안내!$C$17)),"임박","정상"))))</f>
        <v/>
      </c>
    </row>
    <row r="181" customFormat="false" ht="15" hidden="false" customHeight="true" outlineLevel="0" collapsed="false">
      <c r="A181" s="23" t="str">
        <f aca="false">IF(OR(차량목록!$A17="",정비항목!$A10="",차량목록!$G17="매각"),"",차량목록!$A17)</f>
        <v/>
      </c>
      <c r="B181" s="23" t="str">
        <f aca="false">IF($A181="","",차량목록!$B17)</f>
        <v/>
      </c>
      <c r="C181" s="23" t="str">
        <f aca="false">IF($A181="","",정비항목!$B10)</f>
        <v/>
      </c>
      <c r="D181" s="24" t="str">
        <f aca="false">IF($A181="","",IF(정비항목!$C10="",0,정비항목!$C10))</f>
        <v/>
      </c>
      <c r="E181" s="28" t="str">
        <f aca="false">IF($A181="","",IF(정비항목!$D10="",0,정비항목!$D10))</f>
        <v/>
      </c>
      <c r="F181" s="26" t="str">
        <f aca="false">IF($A181="","",IF(COUNTIFS(정비이력!$B$3:$B$1002,$A181,정비이력!$D$3:$D$1002,정비항목!$A10)=0,"",SUMPRODUCT(MAX((정비이력!$B$3:$B$1002=$A181)*(정비이력!$D$3:$D$1002=정비항목!$A10)*정비이력!$A$3:$A$1002))))</f>
        <v/>
      </c>
      <c r="G181" s="27" t="str">
        <f aca="false">IF($A181="","",IF($F181="","",SUMPRODUCT(MAX((정비이력!$B$3:$B$1002=$A181)*(정비이력!$D$3:$D$1002=정비항목!$A10)*정비이력!$F$3:$F$1002))))</f>
        <v/>
      </c>
      <c r="H181" s="27" t="str">
        <f aca="false">IF($A181="","",IF(차량목록!$E17="",0,차량목록!$E17))</f>
        <v/>
      </c>
      <c r="I181" s="27" t="str">
        <f aca="false">IF(OR($A181="",$D181=0),"",IF($G181="",$H181+$D181,$G181+$D181))</f>
        <v/>
      </c>
      <c r="J181" s="24" t="str">
        <f aca="false">IF($I181="","",$I181-$H181)</f>
        <v/>
      </c>
      <c r="K181" s="26" t="str">
        <f aca="true">IF(OR($A181="",$E181=0),"",IF($F181="",EDATE(TODAY(),$E181),EDATE($F181,$E181)))</f>
        <v/>
      </c>
      <c r="L181" s="28" t="str">
        <f aca="true">IF($K181="","",$K181-TODAY())</f>
        <v/>
      </c>
      <c r="M181" s="28" t="str">
        <f aca="false">IF($A181="","",IF(AND($J181="",$L181=""),"-",IF(OR(AND($J181&lt;&gt;"",$J181&lt;=0),AND($L181&lt;&gt;"",$L181&lt;0)),"교체",IF(OR(AND($J181&lt;&gt;"",$J181&lt;=사용안내!$C$16),AND($L181&lt;&gt;"",$L181&lt;=사용안내!$C$17)),"임박","정상"))))</f>
        <v/>
      </c>
    </row>
    <row r="182" customFormat="false" ht="15" hidden="false" customHeight="true" outlineLevel="0" collapsed="false">
      <c r="A182" s="23" t="str">
        <f aca="false">IF(OR(차량목록!$A17="",정비항목!$A11="",차량목록!$G17="매각"),"",차량목록!$A17)</f>
        <v/>
      </c>
      <c r="B182" s="23" t="str">
        <f aca="false">IF($A182="","",차량목록!$B17)</f>
        <v/>
      </c>
      <c r="C182" s="23" t="str">
        <f aca="false">IF($A182="","",정비항목!$B11)</f>
        <v/>
      </c>
      <c r="D182" s="24" t="str">
        <f aca="false">IF($A182="","",IF(정비항목!$C11="",0,정비항목!$C11))</f>
        <v/>
      </c>
      <c r="E182" s="28" t="str">
        <f aca="false">IF($A182="","",IF(정비항목!$D11="",0,정비항목!$D11))</f>
        <v/>
      </c>
      <c r="F182" s="26" t="str">
        <f aca="false">IF($A182="","",IF(COUNTIFS(정비이력!$B$3:$B$1002,$A182,정비이력!$D$3:$D$1002,정비항목!$A11)=0,"",SUMPRODUCT(MAX((정비이력!$B$3:$B$1002=$A182)*(정비이력!$D$3:$D$1002=정비항목!$A11)*정비이력!$A$3:$A$1002))))</f>
        <v/>
      </c>
      <c r="G182" s="27" t="str">
        <f aca="false">IF($A182="","",IF($F182="","",SUMPRODUCT(MAX((정비이력!$B$3:$B$1002=$A182)*(정비이력!$D$3:$D$1002=정비항목!$A11)*정비이력!$F$3:$F$1002))))</f>
        <v/>
      </c>
      <c r="H182" s="27" t="str">
        <f aca="false">IF($A182="","",IF(차량목록!$E17="",0,차량목록!$E17))</f>
        <v/>
      </c>
      <c r="I182" s="27" t="str">
        <f aca="false">IF(OR($A182="",$D182=0),"",IF($G182="",$H182+$D182,$G182+$D182))</f>
        <v/>
      </c>
      <c r="J182" s="24" t="str">
        <f aca="false">IF($I182="","",$I182-$H182)</f>
        <v/>
      </c>
      <c r="K182" s="26" t="str">
        <f aca="true">IF(OR($A182="",$E182=0),"",IF($F182="",EDATE(TODAY(),$E182),EDATE($F182,$E182)))</f>
        <v/>
      </c>
      <c r="L182" s="28" t="str">
        <f aca="true">IF($K182="","",$K182-TODAY())</f>
        <v/>
      </c>
      <c r="M182" s="28" t="str">
        <f aca="false">IF($A182="","",IF(AND($J182="",$L182=""),"-",IF(OR(AND($J182&lt;&gt;"",$J182&lt;=0),AND($L182&lt;&gt;"",$L182&lt;0)),"교체",IF(OR(AND($J182&lt;&gt;"",$J182&lt;=사용안내!$C$16),AND($L182&lt;&gt;"",$L182&lt;=사용안내!$C$17)),"임박","정상"))))</f>
        <v/>
      </c>
    </row>
    <row r="183" customFormat="false" ht="15" hidden="false" customHeight="true" outlineLevel="0" collapsed="false">
      <c r="A183" s="23" t="str">
        <f aca="false">IF(OR(차량목록!$A17="",정비항목!$A12="",차량목록!$G17="매각"),"",차량목록!$A17)</f>
        <v/>
      </c>
      <c r="B183" s="23" t="str">
        <f aca="false">IF($A183="","",차량목록!$B17)</f>
        <v/>
      </c>
      <c r="C183" s="23" t="str">
        <f aca="false">IF($A183="","",정비항목!$B12)</f>
        <v/>
      </c>
      <c r="D183" s="24" t="str">
        <f aca="false">IF($A183="","",IF(정비항목!$C12="",0,정비항목!$C12))</f>
        <v/>
      </c>
      <c r="E183" s="28" t="str">
        <f aca="false">IF($A183="","",IF(정비항목!$D12="",0,정비항목!$D12))</f>
        <v/>
      </c>
      <c r="F183" s="26" t="str">
        <f aca="false">IF($A183="","",IF(COUNTIFS(정비이력!$B$3:$B$1002,$A183,정비이력!$D$3:$D$1002,정비항목!$A12)=0,"",SUMPRODUCT(MAX((정비이력!$B$3:$B$1002=$A183)*(정비이력!$D$3:$D$1002=정비항목!$A12)*정비이력!$A$3:$A$1002))))</f>
        <v/>
      </c>
      <c r="G183" s="27" t="str">
        <f aca="false">IF($A183="","",IF($F183="","",SUMPRODUCT(MAX((정비이력!$B$3:$B$1002=$A183)*(정비이력!$D$3:$D$1002=정비항목!$A12)*정비이력!$F$3:$F$1002))))</f>
        <v/>
      </c>
      <c r="H183" s="27" t="str">
        <f aca="false">IF($A183="","",IF(차량목록!$E17="",0,차량목록!$E17))</f>
        <v/>
      </c>
      <c r="I183" s="27" t="str">
        <f aca="false">IF(OR($A183="",$D183=0),"",IF($G183="",$H183+$D183,$G183+$D183))</f>
        <v/>
      </c>
      <c r="J183" s="24" t="str">
        <f aca="false">IF($I183="","",$I183-$H183)</f>
        <v/>
      </c>
      <c r="K183" s="26" t="str">
        <f aca="true">IF(OR($A183="",$E183=0),"",IF($F183="",EDATE(TODAY(),$E183),EDATE($F183,$E183)))</f>
        <v/>
      </c>
      <c r="L183" s="28" t="str">
        <f aca="true">IF($K183="","",$K183-TODAY())</f>
        <v/>
      </c>
      <c r="M183" s="28" t="str">
        <f aca="false">IF($A183="","",IF(AND($J183="",$L183=""),"-",IF(OR(AND($J183&lt;&gt;"",$J183&lt;=0),AND($L183&lt;&gt;"",$L183&lt;0)),"교체",IF(OR(AND($J183&lt;&gt;"",$J183&lt;=사용안내!$C$16),AND($L183&lt;&gt;"",$L183&lt;=사용안내!$C$17)),"임박","정상"))))</f>
        <v/>
      </c>
    </row>
    <row r="184" customFormat="false" ht="15" hidden="false" customHeight="true" outlineLevel="0" collapsed="false">
      <c r="A184" s="23" t="str">
        <f aca="false">IF(OR(차량목록!$A17="",정비항목!$A13="",차량목록!$G17="매각"),"",차량목록!$A17)</f>
        <v/>
      </c>
      <c r="B184" s="23" t="str">
        <f aca="false">IF($A184="","",차량목록!$B17)</f>
        <v/>
      </c>
      <c r="C184" s="23" t="str">
        <f aca="false">IF($A184="","",정비항목!$B13)</f>
        <v/>
      </c>
      <c r="D184" s="24" t="str">
        <f aca="false">IF($A184="","",IF(정비항목!$C13="",0,정비항목!$C13))</f>
        <v/>
      </c>
      <c r="E184" s="28" t="str">
        <f aca="false">IF($A184="","",IF(정비항목!$D13="",0,정비항목!$D13))</f>
        <v/>
      </c>
      <c r="F184" s="26" t="str">
        <f aca="false">IF($A184="","",IF(COUNTIFS(정비이력!$B$3:$B$1002,$A184,정비이력!$D$3:$D$1002,정비항목!$A13)=0,"",SUMPRODUCT(MAX((정비이력!$B$3:$B$1002=$A184)*(정비이력!$D$3:$D$1002=정비항목!$A13)*정비이력!$A$3:$A$1002))))</f>
        <v/>
      </c>
      <c r="G184" s="27" t="str">
        <f aca="false">IF($A184="","",IF($F184="","",SUMPRODUCT(MAX((정비이력!$B$3:$B$1002=$A184)*(정비이력!$D$3:$D$1002=정비항목!$A13)*정비이력!$F$3:$F$1002))))</f>
        <v/>
      </c>
      <c r="H184" s="27" t="str">
        <f aca="false">IF($A184="","",IF(차량목록!$E17="",0,차량목록!$E17))</f>
        <v/>
      </c>
      <c r="I184" s="27" t="str">
        <f aca="false">IF(OR($A184="",$D184=0),"",IF($G184="",$H184+$D184,$G184+$D184))</f>
        <v/>
      </c>
      <c r="J184" s="24" t="str">
        <f aca="false">IF($I184="","",$I184-$H184)</f>
        <v/>
      </c>
      <c r="K184" s="26" t="str">
        <f aca="true">IF(OR($A184="",$E184=0),"",IF($F184="",EDATE(TODAY(),$E184),EDATE($F184,$E184)))</f>
        <v/>
      </c>
      <c r="L184" s="28" t="str">
        <f aca="true">IF($K184="","",$K184-TODAY())</f>
        <v/>
      </c>
      <c r="M184" s="28" t="str">
        <f aca="false">IF($A184="","",IF(AND($J184="",$L184=""),"-",IF(OR(AND($J184&lt;&gt;"",$J184&lt;=0),AND($L184&lt;&gt;"",$L184&lt;0)),"교체",IF(OR(AND($J184&lt;&gt;"",$J184&lt;=사용안내!$C$16),AND($L184&lt;&gt;"",$L184&lt;=사용안내!$C$17)),"임박","정상"))))</f>
        <v/>
      </c>
    </row>
    <row r="185" customFormat="false" ht="15" hidden="false" customHeight="true" outlineLevel="0" collapsed="false">
      <c r="A185" s="23" t="str">
        <f aca="false">IF(OR(차량목록!$A17="",정비항목!$A14="",차량목록!$G17="매각"),"",차량목록!$A17)</f>
        <v/>
      </c>
      <c r="B185" s="23" t="str">
        <f aca="false">IF($A185="","",차량목록!$B17)</f>
        <v/>
      </c>
      <c r="C185" s="23" t="str">
        <f aca="false">IF($A185="","",정비항목!$B14)</f>
        <v/>
      </c>
      <c r="D185" s="24" t="str">
        <f aca="false">IF($A185="","",IF(정비항목!$C14="",0,정비항목!$C14))</f>
        <v/>
      </c>
      <c r="E185" s="28" t="str">
        <f aca="false">IF($A185="","",IF(정비항목!$D14="",0,정비항목!$D14))</f>
        <v/>
      </c>
      <c r="F185" s="26" t="str">
        <f aca="false">IF($A185="","",IF(COUNTIFS(정비이력!$B$3:$B$1002,$A185,정비이력!$D$3:$D$1002,정비항목!$A14)=0,"",SUMPRODUCT(MAX((정비이력!$B$3:$B$1002=$A185)*(정비이력!$D$3:$D$1002=정비항목!$A14)*정비이력!$A$3:$A$1002))))</f>
        <v/>
      </c>
      <c r="G185" s="27" t="str">
        <f aca="false">IF($A185="","",IF($F185="","",SUMPRODUCT(MAX((정비이력!$B$3:$B$1002=$A185)*(정비이력!$D$3:$D$1002=정비항목!$A14)*정비이력!$F$3:$F$1002))))</f>
        <v/>
      </c>
      <c r="H185" s="27" t="str">
        <f aca="false">IF($A185="","",IF(차량목록!$E17="",0,차량목록!$E17))</f>
        <v/>
      </c>
      <c r="I185" s="27" t="str">
        <f aca="false">IF(OR($A185="",$D185=0),"",IF($G185="",$H185+$D185,$G185+$D185))</f>
        <v/>
      </c>
      <c r="J185" s="24" t="str">
        <f aca="false">IF($I185="","",$I185-$H185)</f>
        <v/>
      </c>
      <c r="K185" s="26" t="str">
        <f aca="true">IF(OR($A185="",$E185=0),"",IF($F185="",EDATE(TODAY(),$E185),EDATE($F185,$E185)))</f>
        <v/>
      </c>
      <c r="L185" s="28" t="str">
        <f aca="true">IF($K185="","",$K185-TODAY())</f>
        <v/>
      </c>
      <c r="M185" s="28" t="str">
        <f aca="false">IF($A185="","",IF(AND($J185="",$L185=""),"-",IF(OR(AND($J185&lt;&gt;"",$J185&lt;=0),AND($L185&lt;&gt;"",$L185&lt;0)),"교체",IF(OR(AND($J185&lt;&gt;"",$J185&lt;=사용안내!$C$16),AND($L185&lt;&gt;"",$L185&lt;=사용안내!$C$17)),"임박","정상"))))</f>
        <v/>
      </c>
    </row>
    <row r="186" customFormat="false" ht="15" hidden="false" customHeight="true" outlineLevel="0" collapsed="false">
      <c r="A186" s="23" t="str">
        <f aca="false">IF(OR(차량목록!$A18="",정비항목!$A3="",차량목록!$G18="매각"),"",차량목록!$A18)</f>
        <v/>
      </c>
      <c r="B186" s="23" t="str">
        <f aca="false">IF($A186="","",차량목록!$B18)</f>
        <v/>
      </c>
      <c r="C186" s="23" t="str">
        <f aca="false">IF($A186="","",정비항목!$B3)</f>
        <v/>
      </c>
      <c r="D186" s="24" t="str">
        <f aca="false">IF($A186="","",IF(정비항목!$C3="",0,정비항목!$C3))</f>
        <v/>
      </c>
      <c r="E186" s="28" t="str">
        <f aca="false">IF($A186="","",IF(정비항목!$D3="",0,정비항목!$D3))</f>
        <v/>
      </c>
      <c r="F186" s="26" t="str">
        <f aca="false">IF($A186="","",IF(COUNTIFS(정비이력!$B$3:$B$1002,$A186,정비이력!$D$3:$D$1002,정비항목!$A3)=0,"",SUMPRODUCT(MAX((정비이력!$B$3:$B$1002=$A186)*(정비이력!$D$3:$D$1002=정비항목!$A3)*정비이력!$A$3:$A$1002))))</f>
        <v/>
      </c>
      <c r="G186" s="27" t="str">
        <f aca="false">IF($A186="","",IF($F186="","",SUMPRODUCT(MAX((정비이력!$B$3:$B$1002=$A186)*(정비이력!$D$3:$D$1002=정비항목!$A3)*정비이력!$F$3:$F$1002))))</f>
        <v/>
      </c>
      <c r="H186" s="27" t="str">
        <f aca="false">IF($A186="","",IF(차량목록!$E18="",0,차량목록!$E18))</f>
        <v/>
      </c>
      <c r="I186" s="27" t="str">
        <f aca="false">IF(OR($A186="",$D186=0),"",IF($G186="",$H186+$D186,$G186+$D186))</f>
        <v/>
      </c>
      <c r="J186" s="24" t="str">
        <f aca="false">IF($I186="","",$I186-$H186)</f>
        <v/>
      </c>
      <c r="K186" s="26" t="str">
        <f aca="true">IF(OR($A186="",$E186=0),"",IF($F186="",EDATE(TODAY(),$E186),EDATE($F186,$E186)))</f>
        <v/>
      </c>
      <c r="L186" s="28" t="str">
        <f aca="true">IF($K186="","",$K186-TODAY())</f>
        <v/>
      </c>
      <c r="M186" s="28" t="str">
        <f aca="false">IF($A186="","",IF(AND($J186="",$L186=""),"-",IF(OR(AND($J186&lt;&gt;"",$J186&lt;=0),AND($L186&lt;&gt;"",$L186&lt;0)),"교체",IF(OR(AND($J186&lt;&gt;"",$J186&lt;=사용안내!$C$16),AND($L186&lt;&gt;"",$L186&lt;=사용안내!$C$17)),"임박","정상"))))</f>
        <v/>
      </c>
    </row>
    <row r="187" customFormat="false" ht="15" hidden="false" customHeight="true" outlineLevel="0" collapsed="false">
      <c r="A187" s="23" t="str">
        <f aca="false">IF(OR(차량목록!$A18="",정비항목!$A4="",차량목록!$G18="매각"),"",차량목록!$A18)</f>
        <v/>
      </c>
      <c r="B187" s="23" t="str">
        <f aca="false">IF($A187="","",차량목록!$B18)</f>
        <v/>
      </c>
      <c r="C187" s="23" t="str">
        <f aca="false">IF($A187="","",정비항목!$B4)</f>
        <v/>
      </c>
      <c r="D187" s="24" t="str">
        <f aca="false">IF($A187="","",IF(정비항목!$C4="",0,정비항목!$C4))</f>
        <v/>
      </c>
      <c r="E187" s="28" t="str">
        <f aca="false">IF($A187="","",IF(정비항목!$D4="",0,정비항목!$D4))</f>
        <v/>
      </c>
      <c r="F187" s="26" t="str">
        <f aca="false">IF($A187="","",IF(COUNTIFS(정비이력!$B$3:$B$1002,$A187,정비이력!$D$3:$D$1002,정비항목!$A4)=0,"",SUMPRODUCT(MAX((정비이력!$B$3:$B$1002=$A187)*(정비이력!$D$3:$D$1002=정비항목!$A4)*정비이력!$A$3:$A$1002))))</f>
        <v/>
      </c>
      <c r="G187" s="27" t="str">
        <f aca="false">IF($A187="","",IF($F187="","",SUMPRODUCT(MAX((정비이력!$B$3:$B$1002=$A187)*(정비이력!$D$3:$D$1002=정비항목!$A4)*정비이력!$F$3:$F$1002))))</f>
        <v/>
      </c>
      <c r="H187" s="27" t="str">
        <f aca="false">IF($A187="","",IF(차량목록!$E18="",0,차량목록!$E18))</f>
        <v/>
      </c>
      <c r="I187" s="27" t="str">
        <f aca="false">IF(OR($A187="",$D187=0),"",IF($G187="",$H187+$D187,$G187+$D187))</f>
        <v/>
      </c>
      <c r="J187" s="24" t="str">
        <f aca="false">IF($I187="","",$I187-$H187)</f>
        <v/>
      </c>
      <c r="K187" s="26" t="str">
        <f aca="true">IF(OR($A187="",$E187=0),"",IF($F187="",EDATE(TODAY(),$E187),EDATE($F187,$E187)))</f>
        <v/>
      </c>
      <c r="L187" s="28" t="str">
        <f aca="true">IF($K187="","",$K187-TODAY())</f>
        <v/>
      </c>
      <c r="M187" s="28" t="str">
        <f aca="false">IF($A187="","",IF(AND($J187="",$L187=""),"-",IF(OR(AND($J187&lt;&gt;"",$J187&lt;=0),AND($L187&lt;&gt;"",$L187&lt;0)),"교체",IF(OR(AND($J187&lt;&gt;"",$J187&lt;=사용안내!$C$16),AND($L187&lt;&gt;"",$L187&lt;=사용안내!$C$17)),"임박","정상"))))</f>
        <v/>
      </c>
    </row>
    <row r="188" customFormat="false" ht="15" hidden="false" customHeight="true" outlineLevel="0" collapsed="false">
      <c r="A188" s="23" t="str">
        <f aca="false">IF(OR(차량목록!$A18="",정비항목!$A5="",차량목록!$G18="매각"),"",차량목록!$A18)</f>
        <v/>
      </c>
      <c r="B188" s="23" t="str">
        <f aca="false">IF($A188="","",차량목록!$B18)</f>
        <v/>
      </c>
      <c r="C188" s="23" t="str">
        <f aca="false">IF($A188="","",정비항목!$B5)</f>
        <v/>
      </c>
      <c r="D188" s="24" t="str">
        <f aca="false">IF($A188="","",IF(정비항목!$C5="",0,정비항목!$C5))</f>
        <v/>
      </c>
      <c r="E188" s="28" t="str">
        <f aca="false">IF($A188="","",IF(정비항목!$D5="",0,정비항목!$D5))</f>
        <v/>
      </c>
      <c r="F188" s="26" t="str">
        <f aca="false">IF($A188="","",IF(COUNTIFS(정비이력!$B$3:$B$1002,$A188,정비이력!$D$3:$D$1002,정비항목!$A5)=0,"",SUMPRODUCT(MAX((정비이력!$B$3:$B$1002=$A188)*(정비이력!$D$3:$D$1002=정비항목!$A5)*정비이력!$A$3:$A$1002))))</f>
        <v/>
      </c>
      <c r="G188" s="27" t="str">
        <f aca="false">IF($A188="","",IF($F188="","",SUMPRODUCT(MAX((정비이력!$B$3:$B$1002=$A188)*(정비이력!$D$3:$D$1002=정비항목!$A5)*정비이력!$F$3:$F$1002))))</f>
        <v/>
      </c>
      <c r="H188" s="27" t="str">
        <f aca="false">IF($A188="","",IF(차량목록!$E18="",0,차량목록!$E18))</f>
        <v/>
      </c>
      <c r="I188" s="27" t="str">
        <f aca="false">IF(OR($A188="",$D188=0),"",IF($G188="",$H188+$D188,$G188+$D188))</f>
        <v/>
      </c>
      <c r="J188" s="24" t="str">
        <f aca="false">IF($I188="","",$I188-$H188)</f>
        <v/>
      </c>
      <c r="K188" s="26" t="str">
        <f aca="true">IF(OR($A188="",$E188=0),"",IF($F188="",EDATE(TODAY(),$E188),EDATE($F188,$E188)))</f>
        <v/>
      </c>
      <c r="L188" s="28" t="str">
        <f aca="true">IF($K188="","",$K188-TODAY())</f>
        <v/>
      </c>
      <c r="M188" s="28" t="str">
        <f aca="false">IF($A188="","",IF(AND($J188="",$L188=""),"-",IF(OR(AND($J188&lt;&gt;"",$J188&lt;=0),AND($L188&lt;&gt;"",$L188&lt;0)),"교체",IF(OR(AND($J188&lt;&gt;"",$J188&lt;=사용안내!$C$16),AND($L188&lt;&gt;"",$L188&lt;=사용안내!$C$17)),"임박","정상"))))</f>
        <v/>
      </c>
    </row>
    <row r="189" customFormat="false" ht="15" hidden="false" customHeight="true" outlineLevel="0" collapsed="false">
      <c r="A189" s="23" t="str">
        <f aca="false">IF(OR(차량목록!$A18="",정비항목!$A6="",차량목록!$G18="매각"),"",차량목록!$A18)</f>
        <v/>
      </c>
      <c r="B189" s="23" t="str">
        <f aca="false">IF($A189="","",차량목록!$B18)</f>
        <v/>
      </c>
      <c r="C189" s="23" t="str">
        <f aca="false">IF($A189="","",정비항목!$B6)</f>
        <v/>
      </c>
      <c r="D189" s="24" t="str">
        <f aca="false">IF($A189="","",IF(정비항목!$C6="",0,정비항목!$C6))</f>
        <v/>
      </c>
      <c r="E189" s="28" t="str">
        <f aca="false">IF($A189="","",IF(정비항목!$D6="",0,정비항목!$D6))</f>
        <v/>
      </c>
      <c r="F189" s="26" t="str">
        <f aca="false">IF($A189="","",IF(COUNTIFS(정비이력!$B$3:$B$1002,$A189,정비이력!$D$3:$D$1002,정비항목!$A6)=0,"",SUMPRODUCT(MAX((정비이력!$B$3:$B$1002=$A189)*(정비이력!$D$3:$D$1002=정비항목!$A6)*정비이력!$A$3:$A$1002))))</f>
        <v/>
      </c>
      <c r="G189" s="27" t="str">
        <f aca="false">IF($A189="","",IF($F189="","",SUMPRODUCT(MAX((정비이력!$B$3:$B$1002=$A189)*(정비이력!$D$3:$D$1002=정비항목!$A6)*정비이력!$F$3:$F$1002))))</f>
        <v/>
      </c>
      <c r="H189" s="27" t="str">
        <f aca="false">IF($A189="","",IF(차량목록!$E18="",0,차량목록!$E18))</f>
        <v/>
      </c>
      <c r="I189" s="27" t="str">
        <f aca="false">IF(OR($A189="",$D189=0),"",IF($G189="",$H189+$D189,$G189+$D189))</f>
        <v/>
      </c>
      <c r="J189" s="24" t="str">
        <f aca="false">IF($I189="","",$I189-$H189)</f>
        <v/>
      </c>
      <c r="K189" s="26" t="str">
        <f aca="true">IF(OR($A189="",$E189=0),"",IF($F189="",EDATE(TODAY(),$E189),EDATE($F189,$E189)))</f>
        <v/>
      </c>
      <c r="L189" s="28" t="str">
        <f aca="true">IF($K189="","",$K189-TODAY())</f>
        <v/>
      </c>
      <c r="M189" s="28" t="str">
        <f aca="false">IF($A189="","",IF(AND($J189="",$L189=""),"-",IF(OR(AND($J189&lt;&gt;"",$J189&lt;=0),AND($L189&lt;&gt;"",$L189&lt;0)),"교체",IF(OR(AND($J189&lt;&gt;"",$J189&lt;=사용안내!$C$16),AND($L189&lt;&gt;"",$L189&lt;=사용안내!$C$17)),"임박","정상"))))</f>
        <v/>
      </c>
    </row>
    <row r="190" customFormat="false" ht="15" hidden="false" customHeight="true" outlineLevel="0" collapsed="false">
      <c r="A190" s="23" t="str">
        <f aca="false">IF(OR(차량목록!$A18="",정비항목!$A7="",차량목록!$G18="매각"),"",차량목록!$A18)</f>
        <v/>
      </c>
      <c r="B190" s="23" t="str">
        <f aca="false">IF($A190="","",차량목록!$B18)</f>
        <v/>
      </c>
      <c r="C190" s="23" t="str">
        <f aca="false">IF($A190="","",정비항목!$B7)</f>
        <v/>
      </c>
      <c r="D190" s="24" t="str">
        <f aca="false">IF($A190="","",IF(정비항목!$C7="",0,정비항목!$C7))</f>
        <v/>
      </c>
      <c r="E190" s="28" t="str">
        <f aca="false">IF($A190="","",IF(정비항목!$D7="",0,정비항목!$D7))</f>
        <v/>
      </c>
      <c r="F190" s="26" t="str">
        <f aca="false">IF($A190="","",IF(COUNTIFS(정비이력!$B$3:$B$1002,$A190,정비이력!$D$3:$D$1002,정비항목!$A7)=0,"",SUMPRODUCT(MAX((정비이력!$B$3:$B$1002=$A190)*(정비이력!$D$3:$D$1002=정비항목!$A7)*정비이력!$A$3:$A$1002))))</f>
        <v/>
      </c>
      <c r="G190" s="27" t="str">
        <f aca="false">IF($A190="","",IF($F190="","",SUMPRODUCT(MAX((정비이력!$B$3:$B$1002=$A190)*(정비이력!$D$3:$D$1002=정비항목!$A7)*정비이력!$F$3:$F$1002))))</f>
        <v/>
      </c>
      <c r="H190" s="27" t="str">
        <f aca="false">IF($A190="","",IF(차량목록!$E18="",0,차량목록!$E18))</f>
        <v/>
      </c>
      <c r="I190" s="27" t="str">
        <f aca="false">IF(OR($A190="",$D190=0),"",IF($G190="",$H190+$D190,$G190+$D190))</f>
        <v/>
      </c>
      <c r="J190" s="24" t="str">
        <f aca="false">IF($I190="","",$I190-$H190)</f>
        <v/>
      </c>
      <c r="K190" s="26" t="str">
        <f aca="true">IF(OR($A190="",$E190=0),"",IF($F190="",EDATE(TODAY(),$E190),EDATE($F190,$E190)))</f>
        <v/>
      </c>
      <c r="L190" s="28" t="str">
        <f aca="true">IF($K190="","",$K190-TODAY())</f>
        <v/>
      </c>
      <c r="M190" s="28" t="str">
        <f aca="false">IF($A190="","",IF(AND($J190="",$L190=""),"-",IF(OR(AND($J190&lt;&gt;"",$J190&lt;=0),AND($L190&lt;&gt;"",$L190&lt;0)),"교체",IF(OR(AND($J190&lt;&gt;"",$J190&lt;=사용안내!$C$16),AND($L190&lt;&gt;"",$L190&lt;=사용안내!$C$17)),"임박","정상"))))</f>
        <v/>
      </c>
    </row>
    <row r="191" customFormat="false" ht="15" hidden="false" customHeight="true" outlineLevel="0" collapsed="false">
      <c r="A191" s="23" t="str">
        <f aca="false">IF(OR(차량목록!$A18="",정비항목!$A8="",차량목록!$G18="매각"),"",차량목록!$A18)</f>
        <v/>
      </c>
      <c r="B191" s="23" t="str">
        <f aca="false">IF($A191="","",차량목록!$B18)</f>
        <v/>
      </c>
      <c r="C191" s="23" t="str">
        <f aca="false">IF($A191="","",정비항목!$B8)</f>
        <v/>
      </c>
      <c r="D191" s="24" t="str">
        <f aca="false">IF($A191="","",IF(정비항목!$C8="",0,정비항목!$C8))</f>
        <v/>
      </c>
      <c r="E191" s="28" t="str">
        <f aca="false">IF($A191="","",IF(정비항목!$D8="",0,정비항목!$D8))</f>
        <v/>
      </c>
      <c r="F191" s="26" t="str">
        <f aca="false">IF($A191="","",IF(COUNTIFS(정비이력!$B$3:$B$1002,$A191,정비이력!$D$3:$D$1002,정비항목!$A8)=0,"",SUMPRODUCT(MAX((정비이력!$B$3:$B$1002=$A191)*(정비이력!$D$3:$D$1002=정비항목!$A8)*정비이력!$A$3:$A$1002))))</f>
        <v/>
      </c>
      <c r="G191" s="27" t="str">
        <f aca="false">IF($A191="","",IF($F191="","",SUMPRODUCT(MAX((정비이력!$B$3:$B$1002=$A191)*(정비이력!$D$3:$D$1002=정비항목!$A8)*정비이력!$F$3:$F$1002))))</f>
        <v/>
      </c>
      <c r="H191" s="27" t="str">
        <f aca="false">IF($A191="","",IF(차량목록!$E18="",0,차량목록!$E18))</f>
        <v/>
      </c>
      <c r="I191" s="27" t="str">
        <f aca="false">IF(OR($A191="",$D191=0),"",IF($G191="",$H191+$D191,$G191+$D191))</f>
        <v/>
      </c>
      <c r="J191" s="24" t="str">
        <f aca="false">IF($I191="","",$I191-$H191)</f>
        <v/>
      </c>
      <c r="K191" s="26" t="str">
        <f aca="true">IF(OR($A191="",$E191=0),"",IF($F191="",EDATE(TODAY(),$E191),EDATE($F191,$E191)))</f>
        <v/>
      </c>
      <c r="L191" s="28" t="str">
        <f aca="true">IF($K191="","",$K191-TODAY())</f>
        <v/>
      </c>
      <c r="M191" s="28" t="str">
        <f aca="false">IF($A191="","",IF(AND($J191="",$L191=""),"-",IF(OR(AND($J191&lt;&gt;"",$J191&lt;=0),AND($L191&lt;&gt;"",$L191&lt;0)),"교체",IF(OR(AND($J191&lt;&gt;"",$J191&lt;=사용안내!$C$16),AND($L191&lt;&gt;"",$L191&lt;=사용안내!$C$17)),"임박","정상"))))</f>
        <v/>
      </c>
    </row>
    <row r="192" customFormat="false" ht="15" hidden="false" customHeight="true" outlineLevel="0" collapsed="false">
      <c r="A192" s="23" t="str">
        <f aca="false">IF(OR(차량목록!$A18="",정비항목!$A9="",차량목록!$G18="매각"),"",차량목록!$A18)</f>
        <v/>
      </c>
      <c r="B192" s="23" t="str">
        <f aca="false">IF($A192="","",차량목록!$B18)</f>
        <v/>
      </c>
      <c r="C192" s="23" t="str">
        <f aca="false">IF($A192="","",정비항목!$B9)</f>
        <v/>
      </c>
      <c r="D192" s="24" t="str">
        <f aca="false">IF($A192="","",IF(정비항목!$C9="",0,정비항목!$C9))</f>
        <v/>
      </c>
      <c r="E192" s="28" t="str">
        <f aca="false">IF($A192="","",IF(정비항목!$D9="",0,정비항목!$D9))</f>
        <v/>
      </c>
      <c r="F192" s="26" t="str">
        <f aca="false">IF($A192="","",IF(COUNTIFS(정비이력!$B$3:$B$1002,$A192,정비이력!$D$3:$D$1002,정비항목!$A9)=0,"",SUMPRODUCT(MAX((정비이력!$B$3:$B$1002=$A192)*(정비이력!$D$3:$D$1002=정비항목!$A9)*정비이력!$A$3:$A$1002))))</f>
        <v/>
      </c>
      <c r="G192" s="27" t="str">
        <f aca="false">IF($A192="","",IF($F192="","",SUMPRODUCT(MAX((정비이력!$B$3:$B$1002=$A192)*(정비이력!$D$3:$D$1002=정비항목!$A9)*정비이력!$F$3:$F$1002))))</f>
        <v/>
      </c>
      <c r="H192" s="27" t="str">
        <f aca="false">IF($A192="","",IF(차량목록!$E18="",0,차량목록!$E18))</f>
        <v/>
      </c>
      <c r="I192" s="27" t="str">
        <f aca="false">IF(OR($A192="",$D192=0),"",IF($G192="",$H192+$D192,$G192+$D192))</f>
        <v/>
      </c>
      <c r="J192" s="24" t="str">
        <f aca="false">IF($I192="","",$I192-$H192)</f>
        <v/>
      </c>
      <c r="K192" s="26" t="str">
        <f aca="true">IF(OR($A192="",$E192=0),"",IF($F192="",EDATE(TODAY(),$E192),EDATE($F192,$E192)))</f>
        <v/>
      </c>
      <c r="L192" s="28" t="str">
        <f aca="true">IF($K192="","",$K192-TODAY())</f>
        <v/>
      </c>
      <c r="M192" s="28" t="str">
        <f aca="false">IF($A192="","",IF(AND($J192="",$L192=""),"-",IF(OR(AND($J192&lt;&gt;"",$J192&lt;=0),AND($L192&lt;&gt;"",$L192&lt;0)),"교체",IF(OR(AND($J192&lt;&gt;"",$J192&lt;=사용안내!$C$16),AND($L192&lt;&gt;"",$L192&lt;=사용안내!$C$17)),"임박","정상"))))</f>
        <v/>
      </c>
    </row>
    <row r="193" customFormat="false" ht="15" hidden="false" customHeight="true" outlineLevel="0" collapsed="false">
      <c r="A193" s="23" t="str">
        <f aca="false">IF(OR(차량목록!$A18="",정비항목!$A10="",차량목록!$G18="매각"),"",차량목록!$A18)</f>
        <v/>
      </c>
      <c r="B193" s="23" t="str">
        <f aca="false">IF($A193="","",차량목록!$B18)</f>
        <v/>
      </c>
      <c r="C193" s="23" t="str">
        <f aca="false">IF($A193="","",정비항목!$B10)</f>
        <v/>
      </c>
      <c r="D193" s="24" t="str">
        <f aca="false">IF($A193="","",IF(정비항목!$C10="",0,정비항목!$C10))</f>
        <v/>
      </c>
      <c r="E193" s="28" t="str">
        <f aca="false">IF($A193="","",IF(정비항목!$D10="",0,정비항목!$D10))</f>
        <v/>
      </c>
      <c r="F193" s="26" t="str">
        <f aca="false">IF($A193="","",IF(COUNTIFS(정비이력!$B$3:$B$1002,$A193,정비이력!$D$3:$D$1002,정비항목!$A10)=0,"",SUMPRODUCT(MAX((정비이력!$B$3:$B$1002=$A193)*(정비이력!$D$3:$D$1002=정비항목!$A10)*정비이력!$A$3:$A$1002))))</f>
        <v/>
      </c>
      <c r="G193" s="27" t="str">
        <f aca="false">IF($A193="","",IF($F193="","",SUMPRODUCT(MAX((정비이력!$B$3:$B$1002=$A193)*(정비이력!$D$3:$D$1002=정비항목!$A10)*정비이력!$F$3:$F$1002))))</f>
        <v/>
      </c>
      <c r="H193" s="27" t="str">
        <f aca="false">IF($A193="","",IF(차량목록!$E18="",0,차량목록!$E18))</f>
        <v/>
      </c>
      <c r="I193" s="27" t="str">
        <f aca="false">IF(OR($A193="",$D193=0),"",IF($G193="",$H193+$D193,$G193+$D193))</f>
        <v/>
      </c>
      <c r="J193" s="24" t="str">
        <f aca="false">IF($I193="","",$I193-$H193)</f>
        <v/>
      </c>
      <c r="K193" s="26" t="str">
        <f aca="true">IF(OR($A193="",$E193=0),"",IF($F193="",EDATE(TODAY(),$E193),EDATE($F193,$E193)))</f>
        <v/>
      </c>
      <c r="L193" s="28" t="str">
        <f aca="true">IF($K193="","",$K193-TODAY())</f>
        <v/>
      </c>
      <c r="M193" s="28" t="str">
        <f aca="false">IF($A193="","",IF(AND($J193="",$L193=""),"-",IF(OR(AND($J193&lt;&gt;"",$J193&lt;=0),AND($L193&lt;&gt;"",$L193&lt;0)),"교체",IF(OR(AND($J193&lt;&gt;"",$J193&lt;=사용안내!$C$16),AND($L193&lt;&gt;"",$L193&lt;=사용안내!$C$17)),"임박","정상"))))</f>
        <v/>
      </c>
    </row>
    <row r="194" customFormat="false" ht="15" hidden="false" customHeight="true" outlineLevel="0" collapsed="false">
      <c r="A194" s="23" t="str">
        <f aca="false">IF(OR(차량목록!$A18="",정비항목!$A11="",차량목록!$G18="매각"),"",차량목록!$A18)</f>
        <v/>
      </c>
      <c r="B194" s="23" t="str">
        <f aca="false">IF($A194="","",차량목록!$B18)</f>
        <v/>
      </c>
      <c r="C194" s="23" t="str">
        <f aca="false">IF($A194="","",정비항목!$B11)</f>
        <v/>
      </c>
      <c r="D194" s="24" t="str">
        <f aca="false">IF($A194="","",IF(정비항목!$C11="",0,정비항목!$C11))</f>
        <v/>
      </c>
      <c r="E194" s="28" t="str">
        <f aca="false">IF($A194="","",IF(정비항목!$D11="",0,정비항목!$D11))</f>
        <v/>
      </c>
      <c r="F194" s="26" t="str">
        <f aca="false">IF($A194="","",IF(COUNTIFS(정비이력!$B$3:$B$1002,$A194,정비이력!$D$3:$D$1002,정비항목!$A11)=0,"",SUMPRODUCT(MAX((정비이력!$B$3:$B$1002=$A194)*(정비이력!$D$3:$D$1002=정비항목!$A11)*정비이력!$A$3:$A$1002))))</f>
        <v/>
      </c>
      <c r="G194" s="27" t="str">
        <f aca="false">IF($A194="","",IF($F194="","",SUMPRODUCT(MAX((정비이력!$B$3:$B$1002=$A194)*(정비이력!$D$3:$D$1002=정비항목!$A11)*정비이력!$F$3:$F$1002))))</f>
        <v/>
      </c>
      <c r="H194" s="27" t="str">
        <f aca="false">IF($A194="","",IF(차량목록!$E18="",0,차량목록!$E18))</f>
        <v/>
      </c>
      <c r="I194" s="27" t="str">
        <f aca="false">IF(OR($A194="",$D194=0),"",IF($G194="",$H194+$D194,$G194+$D194))</f>
        <v/>
      </c>
      <c r="J194" s="24" t="str">
        <f aca="false">IF($I194="","",$I194-$H194)</f>
        <v/>
      </c>
      <c r="K194" s="26" t="str">
        <f aca="true">IF(OR($A194="",$E194=0),"",IF($F194="",EDATE(TODAY(),$E194),EDATE($F194,$E194)))</f>
        <v/>
      </c>
      <c r="L194" s="28" t="str">
        <f aca="true">IF($K194="","",$K194-TODAY())</f>
        <v/>
      </c>
      <c r="M194" s="28" t="str">
        <f aca="false">IF($A194="","",IF(AND($J194="",$L194=""),"-",IF(OR(AND($J194&lt;&gt;"",$J194&lt;=0),AND($L194&lt;&gt;"",$L194&lt;0)),"교체",IF(OR(AND($J194&lt;&gt;"",$J194&lt;=사용안내!$C$16),AND($L194&lt;&gt;"",$L194&lt;=사용안내!$C$17)),"임박","정상"))))</f>
        <v/>
      </c>
    </row>
    <row r="195" customFormat="false" ht="15" hidden="false" customHeight="true" outlineLevel="0" collapsed="false">
      <c r="A195" s="23" t="str">
        <f aca="false">IF(OR(차량목록!$A18="",정비항목!$A12="",차량목록!$G18="매각"),"",차량목록!$A18)</f>
        <v/>
      </c>
      <c r="B195" s="23" t="str">
        <f aca="false">IF($A195="","",차량목록!$B18)</f>
        <v/>
      </c>
      <c r="C195" s="23" t="str">
        <f aca="false">IF($A195="","",정비항목!$B12)</f>
        <v/>
      </c>
      <c r="D195" s="24" t="str">
        <f aca="false">IF($A195="","",IF(정비항목!$C12="",0,정비항목!$C12))</f>
        <v/>
      </c>
      <c r="E195" s="28" t="str">
        <f aca="false">IF($A195="","",IF(정비항목!$D12="",0,정비항목!$D12))</f>
        <v/>
      </c>
      <c r="F195" s="26" t="str">
        <f aca="false">IF($A195="","",IF(COUNTIFS(정비이력!$B$3:$B$1002,$A195,정비이력!$D$3:$D$1002,정비항목!$A12)=0,"",SUMPRODUCT(MAX((정비이력!$B$3:$B$1002=$A195)*(정비이력!$D$3:$D$1002=정비항목!$A12)*정비이력!$A$3:$A$1002))))</f>
        <v/>
      </c>
      <c r="G195" s="27" t="str">
        <f aca="false">IF($A195="","",IF($F195="","",SUMPRODUCT(MAX((정비이력!$B$3:$B$1002=$A195)*(정비이력!$D$3:$D$1002=정비항목!$A12)*정비이력!$F$3:$F$1002))))</f>
        <v/>
      </c>
      <c r="H195" s="27" t="str">
        <f aca="false">IF($A195="","",IF(차량목록!$E18="",0,차량목록!$E18))</f>
        <v/>
      </c>
      <c r="I195" s="27" t="str">
        <f aca="false">IF(OR($A195="",$D195=0),"",IF($G195="",$H195+$D195,$G195+$D195))</f>
        <v/>
      </c>
      <c r="J195" s="24" t="str">
        <f aca="false">IF($I195="","",$I195-$H195)</f>
        <v/>
      </c>
      <c r="K195" s="26" t="str">
        <f aca="true">IF(OR($A195="",$E195=0),"",IF($F195="",EDATE(TODAY(),$E195),EDATE($F195,$E195)))</f>
        <v/>
      </c>
      <c r="L195" s="28" t="str">
        <f aca="true">IF($K195="","",$K195-TODAY())</f>
        <v/>
      </c>
      <c r="M195" s="28" t="str">
        <f aca="false">IF($A195="","",IF(AND($J195="",$L195=""),"-",IF(OR(AND($J195&lt;&gt;"",$J195&lt;=0),AND($L195&lt;&gt;"",$L195&lt;0)),"교체",IF(OR(AND($J195&lt;&gt;"",$J195&lt;=사용안내!$C$16),AND($L195&lt;&gt;"",$L195&lt;=사용안내!$C$17)),"임박","정상"))))</f>
        <v/>
      </c>
    </row>
    <row r="196" customFormat="false" ht="15" hidden="false" customHeight="true" outlineLevel="0" collapsed="false">
      <c r="A196" s="23" t="str">
        <f aca="false">IF(OR(차량목록!$A18="",정비항목!$A13="",차량목록!$G18="매각"),"",차량목록!$A18)</f>
        <v/>
      </c>
      <c r="B196" s="23" t="str">
        <f aca="false">IF($A196="","",차량목록!$B18)</f>
        <v/>
      </c>
      <c r="C196" s="23" t="str">
        <f aca="false">IF($A196="","",정비항목!$B13)</f>
        <v/>
      </c>
      <c r="D196" s="24" t="str">
        <f aca="false">IF($A196="","",IF(정비항목!$C13="",0,정비항목!$C13))</f>
        <v/>
      </c>
      <c r="E196" s="28" t="str">
        <f aca="false">IF($A196="","",IF(정비항목!$D13="",0,정비항목!$D13))</f>
        <v/>
      </c>
      <c r="F196" s="26" t="str">
        <f aca="false">IF($A196="","",IF(COUNTIFS(정비이력!$B$3:$B$1002,$A196,정비이력!$D$3:$D$1002,정비항목!$A13)=0,"",SUMPRODUCT(MAX((정비이력!$B$3:$B$1002=$A196)*(정비이력!$D$3:$D$1002=정비항목!$A13)*정비이력!$A$3:$A$1002))))</f>
        <v/>
      </c>
      <c r="G196" s="27" t="str">
        <f aca="false">IF($A196="","",IF($F196="","",SUMPRODUCT(MAX((정비이력!$B$3:$B$1002=$A196)*(정비이력!$D$3:$D$1002=정비항목!$A13)*정비이력!$F$3:$F$1002))))</f>
        <v/>
      </c>
      <c r="H196" s="27" t="str">
        <f aca="false">IF($A196="","",IF(차량목록!$E18="",0,차량목록!$E18))</f>
        <v/>
      </c>
      <c r="I196" s="27" t="str">
        <f aca="false">IF(OR($A196="",$D196=0),"",IF($G196="",$H196+$D196,$G196+$D196))</f>
        <v/>
      </c>
      <c r="J196" s="24" t="str">
        <f aca="false">IF($I196="","",$I196-$H196)</f>
        <v/>
      </c>
      <c r="K196" s="26" t="str">
        <f aca="true">IF(OR($A196="",$E196=0),"",IF($F196="",EDATE(TODAY(),$E196),EDATE($F196,$E196)))</f>
        <v/>
      </c>
      <c r="L196" s="28" t="str">
        <f aca="true">IF($K196="","",$K196-TODAY())</f>
        <v/>
      </c>
      <c r="M196" s="28" t="str">
        <f aca="false">IF($A196="","",IF(AND($J196="",$L196=""),"-",IF(OR(AND($J196&lt;&gt;"",$J196&lt;=0),AND($L196&lt;&gt;"",$L196&lt;0)),"교체",IF(OR(AND($J196&lt;&gt;"",$J196&lt;=사용안내!$C$16),AND($L196&lt;&gt;"",$L196&lt;=사용안내!$C$17)),"임박","정상"))))</f>
        <v/>
      </c>
    </row>
    <row r="197" customFormat="false" ht="15" hidden="false" customHeight="true" outlineLevel="0" collapsed="false">
      <c r="A197" s="23" t="str">
        <f aca="false">IF(OR(차량목록!$A18="",정비항목!$A14="",차량목록!$G18="매각"),"",차량목록!$A18)</f>
        <v/>
      </c>
      <c r="B197" s="23" t="str">
        <f aca="false">IF($A197="","",차량목록!$B18)</f>
        <v/>
      </c>
      <c r="C197" s="23" t="str">
        <f aca="false">IF($A197="","",정비항목!$B14)</f>
        <v/>
      </c>
      <c r="D197" s="24" t="str">
        <f aca="false">IF($A197="","",IF(정비항목!$C14="",0,정비항목!$C14))</f>
        <v/>
      </c>
      <c r="E197" s="28" t="str">
        <f aca="false">IF($A197="","",IF(정비항목!$D14="",0,정비항목!$D14))</f>
        <v/>
      </c>
      <c r="F197" s="26" t="str">
        <f aca="false">IF($A197="","",IF(COUNTIFS(정비이력!$B$3:$B$1002,$A197,정비이력!$D$3:$D$1002,정비항목!$A14)=0,"",SUMPRODUCT(MAX((정비이력!$B$3:$B$1002=$A197)*(정비이력!$D$3:$D$1002=정비항목!$A14)*정비이력!$A$3:$A$1002))))</f>
        <v/>
      </c>
      <c r="G197" s="27" t="str">
        <f aca="false">IF($A197="","",IF($F197="","",SUMPRODUCT(MAX((정비이력!$B$3:$B$1002=$A197)*(정비이력!$D$3:$D$1002=정비항목!$A14)*정비이력!$F$3:$F$1002))))</f>
        <v/>
      </c>
      <c r="H197" s="27" t="str">
        <f aca="false">IF($A197="","",IF(차량목록!$E18="",0,차량목록!$E18))</f>
        <v/>
      </c>
      <c r="I197" s="27" t="str">
        <f aca="false">IF(OR($A197="",$D197=0),"",IF($G197="",$H197+$D197,$G197+$D197))</f>
        <v/>
      </c>
      <c r="J197" s="24" t="str">
        <f aca="false">IF($I197="","",$I197-$H197)</f>
        <v/>
      </c>
      <c r="K197" s="26" t="str">
        <f aca="true">IF(OR($A197="",$E197=0),"",IF($F197="",EDATE(TODAY(),$E197),EDATE($F197,$E197)))</f>
        <v/>
      </c>
      <c r="L197" s="28" t="str">
        <f aca="true">IF($K197="","",$K197-TODAY())</f>
        <v/>
      </c>
      <c r="M197" s="28" t="str">
        <f aca="false">IF($A197="","",IF(AND($J197="",$L197=""),"-",IF(OR(AND($J197&lt;&gt;"",$J197&lt;=0),AND($L197&lt;&gt;"",$L197&lt;0)),"교체",IF(OR(AND($J197&lt;&gt;"",$J197&lt;=사용안내!$C$16),AND($L197&lt;&gt;"",$L197&lt;=사용안내!$C$17)),"임박","정상"))))</f>
        <v/>
      </c>
    </row>
    <row r="198" customFormat="false" ht="15" hidden="false" customHeight="true" outlineLevel="0" collapsed="false">
      <c r="A198" s="23" t="str">
        <f aca="false">IF(OR(차량목록!$A19="",정비항목!$A3="",차량목록!$G19="매각"),"",차량목록!$A19)</f>
        <v/>
      </c>
      <c r="B198" s="23" t="str">
        <f aca="false">IF($A198="","",차량목록!$B19)</f>
        <v/>
      </c>
      <c r="C198" s="23" t="str">
        <f aca="false">IF($A198="","",정비항목!$B3)</f>
        <v/>
      </c>
      <c r="D198" s="24" t="str">
        <f aca="false">IF($A198="","",IF(정비항목!$C3="",0,정비항목!$C3))</f>
        <v/>
      </c>
      <c r="E198" s="28" t="str">
        <f aca="false">IF($A198="","",IF(정비항목!$D3="",0,정비항목!$D3))</f>
        <v/>
      </c>
      <c r="F198" s="26" t="str">
        <f aca="false">IF($A198="","",IF(COUNTIFS(정비이력!$B$3:$B$1002,$A198,정비이력!$D$3:$D$1002,정비항목!$A3)=0,"",SUMPRODUCT(MAX((정비이력!$B$3:$B$1002=$A198)*(정비이력!$D$3:$D$1002=정비항목!$A3)*정비이력!$A$3:$A$1002))))</f>
        <v/>
      </c>
      <c r="G198" s="27" t="str">
        <f aca="false">IF($A198="","",IF($F198="","",SUMPRODUCT(MAX((정비이력!$B$3:$B$1002=$A198)*(정비이력!$D$3:$D$1002=정비항목!$A3)*정비이력!$F$3:$F$1002))))</f>
        <v/>
      </c>
      <c r="H198" s="27" t="str">
        <f aca="false">IF($A198="","",IF(차량목록!$E19="",0,차량목록!$E19))</f>
        <v/>
      </c>
      <c r="I198" s="27" t="str">
        <f aca="false">IF(OR($A198="",$D198=0),"",IF($G198="",$H198+$D198,$G198+$D198))</f>
        <v/>
      </c>
      <c r="J198" s="24" t="str">
        <f aca="false">IF($I198="","",$I198-$H198)</f>
        <v/>
      </c>
      <c r="K198" s="26" t="str">
        <f aca="true">IF(OR($A198="",$E198=0),"",IF($F198="",EDATE(TODAY(),$E198),EDATE($F198,$E198)))</f>
        <v/>
      </c>
      <c r="L198" s="28" t="str">
        <f aca="true">IF($K198="","",$K198-TODAY())</f>
        <v/>
      </c>
      <c r="M198" s="28" t="str">
        <f aca="false">IF($A198="","",IF(AND($J198="",$L198=""),"-",IF(OR(AND($J198&lt;&gt;"",$J198&lt;=0),AND($L198&lt;&gt;"",$L198&lt;0)),"교체",IF(OR(AND($J198&lt;&gt;"",$J198&lt;=사용안내!$C$16),AND($L198&lt;&gt;"",$L198&lt;=사용안내!$C$17)),"임박","정상"))))</f>
        <v/>
      </c>
    </row>
    <row r="199" customFormat="false" ht="15" hidden="false" customHeight="true" outlineLevel="0" collapsed="false">
      <c r="A199" s="23" t="str">
        <f aca="false">IF(OR(차량목록!$A19="",정비항목!$A4="",차량목록!$G19="매각"),"",차량목록!$A19)</f>
        <v/>
      </c>
      <c r="B199" s="23" t="str">
        <f aca="false">IF($A199="","",차량목록!$B19)</f>
        <v/>
      </c>
      <c r="C199" s="23" t="str">
        <f aca="false">IF($A199="","",정비항목!$B4)</f>
        <v/>
      </c>
      <c r="D199" s="24" t="str">
        <f aca="false">IF($A199="","",IF(정비항목!$C4="",0,정비항목!$C4))</f>
        <v/>
      </c>
      <c r="E199" s="28" t="str">
        <f aca="false">IF($A199="","",IF(정비항목!$D4="",0,정비항목!$D4))</f>
        <v/>
      </c>
      <c r="F199" s="26" t="str">
        <f aca="false">IF($A199="","",IF(COUNTIFS(정비이력!$B$3:$B$1002,$A199,정비이력!$D$3:$D$1002,정비항목!$A4)=0,"",SUMPRODUCT(MAX((정비이력!$B$3:$B$1002=$A199)*(정비이력!$D$3:$D$1002=정비항목!$A4)*정비이력!$A$3:$A$1002))))</f>
        <v/>
      </c>
      <c r="G199" s="27" t="str">
        <f aca="false">IF($A199="","",IF($F199="","",SUMPRODUCT(MAX((정비이력!$B$3:$B$1002=$A199)*(정비이력!$D$3:$D$1002=정비항목!$A4)*정비이력!$F$3:$F$1002))))</f>
        <v/>
      </c>
      <c r="H199" s="27" t="str">
        <f aca="false">IF($A199="","",IF(차량목록!$E19="",0,차량목록!$E19))</f>
        <v/>
      </c>
      <c r="I199" s="27" t="str">
        <f aca="false">IF(OR($A199="",$D199=0),"",IF($G199="",$H199+$D199,$G199+$D199))</f>
        <v/>
      </c>
      <c r="J199" s="24" t="str">
        <f aca="false">IF($I199="","",$I199-$H199)</f>
        <v/>
      </c>
      <c r="K199" s="26" t="str">
        <f aca="true">IF(OR($A199="",$E199=0),"",IF($F199="",EDATE(TODAY(),$E199),EDATE($F199,$E199)))</f>
        <v/>
      </c>
      <c r="L199" s="28" t="str">
        <f aca="true">IF($K199="","",$K199-TODAY())</f>
        <v/>
      </c>
      <c r="M199" s="28" t="str">
        <f aca="false">IF($A199="","",IF(AND($J199="",$L199=""),"-",IF(OR(AND($J199&lt;&gt;"",$J199&lt;=0),AND($L199&lt;&gt;"",$L199&lt;0)),"교체",IF(OR(AND($J199&lt;&gt;"",$J199&lt;=사용안내!$C$16),AND($L199&lt;&gt;"",$L199&lt;=사용안내!$C$17)),"임박","정상"))))</f>
        <v/>
      </c>
    </row>
    <row r="200" customFormat="false" ht="15" hidden="false" customHeight="true" outlineLevel="0" collapsed="false">
      <c r="A200" s="23" t="str">
        <f aca="false">IF(OR(차량목록!$A19="",정비항목!$A5="",차량목록!$G19="매각"),"",차량목록!$A19)</f>
        <v/>
      </c>
      <c r="B200" s="23" t="str">
        <f aca="false">IF($A200="","",차량목록!$B19)</f>
        <v/>
      </c>
      <c r="C200" s="23" t="str">
        <f aca="false">IF($A200="","",정비항목!$B5)</f>
        <v/>
      </c>
      <c r="D200" s="24" t="str">
        <f aca="false">IF($A200="","",IF(정비항목!$C5="",0,정비항목!$C5))</f>
        <v/>
      </c>
      <c r="E200" s="28" t="str">
        <f aca="false">IF($A200="","",IF(정비항목!$D5="",0,정비항목!$D5))</f>
        <v/>
      </c>
      <c r="F200" s="26" t="str">
        <f aca="false">IF($A200="","",IF(COUNTIFS(정비이력!$B$3:$B$1002,$A200,정비이력!$D$3:$D$1002,정비항목!$A5)=0,"",SUMPRODUCT(MAX((정비이력!$B$3:$B$1002=$A200)*(정비이력!$D$3:$D$1002=정비항목!$A5)*정비이력!$A$3:$A$1002))))</f>
        <v/>
      </c>
      <c r="G200" s="27" t="str">
        <f aca="false">IF($A200="","",IF($F200="","",SUMPRODUCT(MAX((정비이력!$B$3:$B$1002=$A200)*(정비이력!$D$3:$D$1002=정비항목!$A5)*정비이력!$F$3:$F$1002))))</f>
        <v/>
      </c>
      <c r="H200" s="27" t="str">
        <f aca="false">IF($A200="","",IF(차량목록!$E19="",0,차량목록!$E19))</f>
        <v/>
      </c>
      <c r="I200" s="27" t="str">
        <f aca="false">IF(OR($A200="",$D200=0),"",IF($G200="",$H200+$D200,$G200+$D200))</f>
        <v/>
      </c>
      <c r="J200" s="24" t="str">
        <f aca="false">IF($I200="","",$I200-$H200)</f>
        <v/>
      </c>
      <c r="K200" s="26" t="str">
        <f aca="true">IF(OR($A200="",$E200=0),"",IF($F200="",EDATE(TODAY(),$E200),EDATE($F200,$E200)))</f>
        <v/>
      </c>
      <c r="L200" s="28" t="str">
        <f aca="true">IF($K200="","",$K200-TODAY())</f>
        <v/>
      </c>
      <c r="M200" s="28" t="str">
        <f aca="false">IF($A200="","",IF(AND($J200="",$L200=""),"-",IF(OR(AND($J200&lt;&gt;"",$J200&lt;=0),AND($L200&lt;&gt;"",$L200&lt;0)),"교체",IF(OR(AND($J200&lt;&gt;"",$J200&lt;=사용안내!$C$16),AND($L200&lt;&gt;"",$L200&lt;=사용안내!$C$17)),"임박","정상"))))</f>
        <v/>
      </c>
    </row>
    <row r="201" customFormat="false" ht="15" hidden="false" customHeight="true" outlineLevel="0" collapsed="false">
      <c r="A201" s="23" t="str">
        <f aca="false">IF(OR(차량목록!$A19="",정비항목!$A6="",차량목록!$G19="매각"),"",차량목록!$A19)</f>
        <v/>
      </c>
      <c r="B201" s="23" t="str">
        <f aca="false">IF($A201="","",차량목록!$B19)</f>
        <v/>
      </c>
      <c r="C201" s="23" t="str">
        <f aca="false">IF($A201="","",정비항목!$B6)</f>
        <v/>
      </c>
      <c r="D201" s="24" t="str">
        <f aca="false">IF($A201="","",IF(정비항목!$C6="",0,정비항목!$C6))</f>
        <v/>
      </c>
      <c r="E201" s="28" t="str">
        <f aca="false">IF($A201="","",IF(정비항목!$D6="",0,정비항목!$D6))</f>
        <v/>
      </c>
      <c r="F201" s="26" t="str">
        <f aca="false">IF($A201="","",IF(COUNTIFS(정비이력!$B$3:$B$1002,$A201,정비이력!$D$3:$D$1002,정비항목!$A6)=0,"",SUMPRODUCT(MAX((정비이력!$B$3:$B$1002=$A201)*(정비이력!$D$3:$D$1002=정비항목!$A6)*정비이력!$A$3:$A$1002))))</f>
        <v/>
      </c>
      <c r="G201" s="27" t="str">
        <f aca="false">IF($A201="","",IF($F201="","",SUMPRODUCT(MAX((정비이력!$B$3:$B$1002=$A201)*(정비이력!$D$3:$D$1002=정비항목!$A6)*정비이력!$F$3:$F$1002))))</f>
        <v/>
      </c>
      <c r="H201" s="27" t="str">
        <f aca="false">IF($A201="","",IF(차량목록!$E19="",0,차량목록!$E19))</f>
        <v/>
      </c>
      <c r="I201" s="27" t="str">
        <f aca="false">IF(OR($A201="",$D201=0),"",IF($G201="",$H201+$D201,$G201+$D201))</f>
        <v/>
      </c>
      <c r="J201" s="24" t="str">
        <f aca="false">IF($I201="","",$I201-$H201)</f>
        <v/>
      </c>
      <c r="K201" s="26" t="str">
        <f aca="true">IF(OR($A201="",$E201=0),"",IF($F201="",EDATE(TODAY(),$E201),EDATE($F201,$E201)))</f>
        <v/>
      </c>
      <c r="L201" s="28" t="str">
        <f aca="true">IF($K201="","",$K201-TODAY())</f>
        <v/>
      </c>
      <c r="M201" s="28" t="str">
        <f aca="false">IF($A201="","",IF(AND($J201="",$L201=""),"-",IF(OR(AND($J201&lt;&gt;"",$J201&lt;=0),AND($L201&lt;&gt;"",$L201&lt;0)),"교체",IF(OR(AND($J201&lt;&gt;"",$J201&lt;=사용안내!$C$16),AND($L201&lt;&gt;"",$L201&lt;=사용안내!$C$17)),"임박","정상"))))</f>
        <v/>
      </c>
    </row>
    <row r="202" customFormat="false" ht="15" hidden="false" customHeight="true" outlineLevel="0" collapsed="false">
      <c r="A202" s="23" t="str">
        <f aca="false">IF(OR(차량목록!$A19="",정비항목!$A7="",차량목록!$G19="매각"),"",차량목록!$A19)</f>
        <v/>
      </c>
      <c r="B202" s="23" t="str">
        <f aca="false">IF($A202="","",차량목록!$B19)</f>
        <v/>
      </c>
      <c r="C202" s="23" t="str">
        <f aca="false">IF($A202="","",정비항목!$B7)</f>
        <v/>
      </c>
      <c r="D202" s="24" t="str">
        <f aca="false">IF($A202="","",IF(정비항목!$C7="",0,정비항목!$C7))</f>
        <v/>
      </c>
      <c r="E202" s="28" t="str">
        <f aca="false">IF($A202="","",IF(정비항목!$D7="",0,정비항목!$D7))</f>
        <v/>
      </c>
      <c r="F202" s="26" t="str">
        <f aca="false">IF($A202="","",IF(COUNTIFS(정비이력!$B$3:$B$1002,$A202,정비이력!$D$3:$D$1002,정비항목!$A7)=0,"",SUMPRODUCT(MAX((정비이력!$B$3:$B$1002=$A202)*(정비이력!$D$3:$D$1002=정비항목!$A7)*정비이력!$A$3:$A$1002))))</f>
        <v/>
      </c>
      <c r="G202" s="27" t="str">
        <f aca="false">IF($A202="","",IF($F202="","",SUMPRODUCT(MAX((정비이력!$B$3:$B$1002=$A202)*(정비이력!$D$3:$D$1002=정비항목!$A7)*정비이력!$F$3:$F$1002))))</f>
        <v/>
      </c>
      <c r="H202" s="27" t="str">
        <f aca="false">IF($A202="","",IF(차량목록!$E19="",0,차량목록!$E19))</f>
        <v/>
      </c>
      <c r="I202" s="27" t="str">
        <f aca="false">IF(OR($A202="",$D202=0),"",IF($G202="",$H202+$D202,$G202+$D202))</f>
        <v/>
      </c>
      <c r="J202" s="24" t="str">
        <f aca="false">IF($I202="","",$I202-$H202)</f>
        <v/>
      </c>
      <c r="K202" s="26" t="str">
        <f aca="true">IF(OR($A202="",$E202=0),"",IF($F202="",EDATE(TODAY(),$E202),EDATE($F202,$E202)))</f>
        <v/>
      </c>
      <c r="L202" s="28" t="str">
        <f aca="true">IF($K202="","",$K202-TODAY())</f>
        <v/>
      </c>
      <c r="M202" s="28" t="str">
        <f aca="false">IF($A202="","",IF(AND($J202="",$L202=""),"-",IF(OR(AND($J202&lt;&gt;"",$J202&lt;=0),AND($L202&lt;&gt;"",$L202&lt;0)),"교체",IF(OR(AND($J202&lt;&gt;"",$J202&lt;=사용안내!$C$16),AND($L202&lt;&gt;"",$L202&lt;=사용안내!$C$17)),"임박","정상"))))</f>
        <v/>
      </c>
    </row>
    <row r="203" customFormat="false" ht="15" hidden="false" customHeight="true" outlineLevel="0" collapsed="false">
      <c r="A203" s="23" t="str">
        <f aca="false">IF(OR(차량목록!$A19="",정비항목!$A8="",차량목록!$G19="매각"),"",차량목록!$A19)</f>
        <v/>
      </c>
      <c r="B203" s="23" t="str">
        <f aca="false">IF($A203="","",차량목록!$B19)</f>
        <v/>
      </c>
      <c r="C203" s="23" t="str">
        <f aca="false">IF($A203="","",정비항목!$B8)</f>
        <v/>
      </c>
      <c r="D203" s="24" t="str">
        <f aca="false">IF($A203="","",IF(정비항목!$C8="",0,정비항목!$C8))</f>
        <v/>
      </c>
      <c r="E203" s="28" t="str">
        <f aca="false">IF($A203="","",IF(정비항목!$D8="",0,정비항목!$D8))</f>
        <v/>
      </c>
      <c r="F203" s="26" t="str">
        <f aca="false">IF($A203="","",IF(COUNTIFS(정비이력!$B$3:$B$1002,$A203,정비이력!$D$3:$D$1002,정비항목!$A8)=0,"",SUMPRODUCT(MAX((정비이력!$B$3:$B$1002=$A203)*(정비이력!$D$3:$D$1002=정비항목!$A8)*정비이력!$A$3:$A$1002))))</f>
        <v/>
      </c>
      <c r="G203" s="27" t="str">
        <f aca="false">IF($A203="","",IF($F203="","",SUMPRODUCT(MAX((정비이력!$B$3:$B$1002=$A203)*(정비이력!$D$3:$D$1002=정비항목!$A8)*정비이력!$F$3:$F$1002))))</f>
        <v/>
      </c>
      <c r="H203" s="27" t="str">
        <f aca="false">IF($A203="","",IF(차량목록!$E19="",0,차량목록!$E19))</f>
        <v/>
      </c>
      <c r="I203" s="27" t="str">
        <f aca="false">IF(OR($A203="",$D203=0),"",IF($G203="",$H203+$D203,$G203+$D203))</f>
        <v/>
      </c>
      <c r="J203" s="24" t="str">
        <f aca="false">IF($I203="","",$I203-$H203)</f>
        <v/>
      </c>
      <c r="K203" s="26" t="str">
        <f aca="true">IF(OR($A203="",$E203=0),"",IF($F203="",EDATE(TODAY(),$E203),EDATE($F203,$E203)))</f>
        <v/>
      </c>
      <c r="L203" s="28" t="str">
        <f aca="true">IF($K203="","",$K203-TODAY())</f>
        <v/>
      </c>
      <c r="M203" s="28" t="str">
        <f aca="false">IF($A203="","",IF(AND($J203="",$L203=""),"-",IF(OR(AND($J203&lt;&gt;"",$J203&lt;=0),AND($L203&lt;&gt;"",$L203&lt;0)),"교체",IF(OR(AND($J203&lt;&gt;"",$J203&lt;=사용안내!$C$16),AND($L203&lt;&gt;"",$L203&lt;=사용안내!$C$17)),"임박","정상"))))</f>
        <v/>
      </c>
    </row>
    <row r="204" customFormat="false" ht="15" hidden="false" customHeight="true" outlineLevel="0" collapsed="false">
      <c r="A204" s="23" t="str">
        <f aca="false">IF(OR(차량목록!$A19="",정비항목!$A9="",차량목록!$G19="매각"),"",차량목록!$A19)</f>
        <v/>
      </c>
      <c r="B204" s="23" t="str">
        <f aca="false">IF($A204="","",차량목록!$B19)</f>
        <v/>
      </c>
      <c r="C204" s="23" t="str">
        <f aca="false">IF($A204="","",정비항목!$B9)</f>
        <v/>
      </c>
      <c r="D204" s="24" t="str">
        <f aca="false">IF($A204="","",IF(정비항목!$C9="",0,정비항목!$C9))</f>
        <v/>
      </c>
      <c r="E204" s="28" t="str">
        <f aca="false">IF($A204="","",IF(정비항목!$D9="",0,정비항목!$D9))</f>
        <v/>
      </c>
      <c r="F204" s="26" t="str">
        <f aca="false">IF($A204="","",IF(COUNTIFS(정비이력!$B$3:$B$1002,$A204,정비이력!$D$3:$D$1002,정비항목!$A9)=0,"",SUMPRODUCT(MAX((정비이력!$B$3:$B$1002=$A204)*(정비이력!$D$3:$D$1002=정비항목!$A9)*정비이력!$A$3:$A$1002))))</f>
        <v/>
      </c>
      <c r="G204" s="27" t="str">
        <f aca="false">IF($A204="","",IF($F204="","",SUMPRODUCT(MAX((정비이력!$B$3:$B$1002=$A204)*(정비이력!$D$3:$D$1002=정비항목!$A9)*정비이력!$F$3:$F$1002))))</f>
        <v/>
      </c>
      <c r="H204" s="27" t="str">
        <f aca="false">IF($A204="","",IF(차량목록!$E19="",0,차량목록!$E19))</f>
        <v/>
      </c>
      <c r="I204" s="27" t="str">
        <f aca="false">IF(OR($A204="",$D204=0),"",IF($G204="",$H204+$D204,$G204+$D204))</f>
        <v/>
      </c>
      <c r="J204" s="24" t="str">
        <f aca="false">IF($I204="","",$I204-$H204)</f>
        <v/>
      </c>
      <c r="K204" s="26" t="str">
        <f aca="true">IF(OR($A204="",$E204=0),"",IF($F204="",EDATE(TODAY(),$E204),EDATE($F204,$E204)))</f>
        <v/>
      </c>
      <c r="L204" s="28" t="str">
        <f aca="true">IF($K204="","",$K204-TODAY())</f>
        <v/>
      </c>
      <c r="M204" s="28" t="str">
        <f aca="false">IF($A204="","",IF(AND($J204="",$L204=""),"-",IF(OR(AND($J204&lt;&gt;"",$J204&lt;=0),AND($L204&lt;&gt;"",$L204&lt;0)),"교체",IF(OR(AND($J204&lt;&gt;"",$J204&lt;=사용안내!$C$16),AND($L204&lt;&gt;"",$L204&lt;=사용안내!$C$17)),"임박","정상"))))</f>
        <v/>
      </c>
    </row>
    <row r="205" customFormat="false" ht="15" hidden="false" customHeight="true" outlineLevel="0" collapsed="false">
      <c r="A205" s="23" t="str">
        <f aca="false">IF(OR(차량목록!$A19="",정비항목!$A10="",차량목록!$G19="매각"),"",차량목록!$A19)</f>
        <v/>
      </c>
      <c r="B205" s="23" t="str">
        <f aca="false">IF($A205="","",차량목록!$B19)</f>
        <v/>
      </c>
      <c r="C205" s="23" t="str">
        <f aca="false">IF($A205="","",정비항목!$B10)</f>
        <v/>
      </c>
      <c r="D205" s="24" t="str">
        <f aca="false">IF($A205="","",IF(정비항목!$C10="",0,정비항목!$C10))</f>
        <v/>
      </c>
      <c r="E205" s="28" t="str">
        <f aca="false">IF($A205="","",IF(정비항목!$D10="",0,정비항목!$D10))</f>
        <v/>
      </c>
      <c r="F205" s="26" t="str">
        <f aca="false">IF($A205="","",IF(COUNTIFS(정비이력!$B$3:$B$1002,$A205,정비이력!$D$3:$D$1002,정비항목!$A10)=0,"",SUMPRODUCT(MAX((정비이력!$B$3:$B$1002=$A205)*(정비이력!$D$3:$D$1002=정비항목!$A10)*정비이력!$A$3:$A$1002))))</f>
        <v/>
      </c>
      <c r="G205" s="27" t="str">
        <f aca="false">IF($A205="","",IF($F205="","",SUMPRODUCT(MAX((정비이력!$B$3:$B$1002=$A205)*(정비이력!$D$3:$D$1002=정비항목!$A10)*정비이력!$F$3:$F$1002))))</f>
        <v/>
      </c>
      <c r="H205" s="27" t="str">
        <f aca="false">IF($A205="","",IF(차량목록!$E19="",0,차량목록!$E19))</f>
        <v/>
      </c>
      <c r="I205" s="27" t="str">
        <f aca="false">IF(OR($A205="",$D205=0),"",IF($G205="",$H205+$D205,$G205+$D205))</f>
        <v/>
      </c>
      <c r="J205" s="24" t="str">
        <f aca="false">IF($I205="","",$I205-$H205)</f>
        <v/>
      </c>
      <c r="K205" s="26" t="str">
        <f aca="true">IF(OR($A205="",$E205=0),"",IF($F205="",EDATE(TODAY(),$E205),EDATE($F205,$E205)))</f>
        <v/>
      </c>
      <c r="L205" s="28" t="str">
        <f aca="true">IF($K205="","",$K205-TODAY())</f>
        <v/>
      </c>
      <c r="M205" s="28" t="str">
        <f aca="false">IF($A205="","",IF(AND($J205="",$L205=""),"-",IF(OR(AND($J205&lt;&gt;"",$J205&lt;=0),AND($L205&lt;&gt;"",$L205&lt;0)),"교체",IF(OR(AND($J205&lt;&gt;"",$J205&lt;=사용안내!$C$16),AND($L205&lt;&gt;"",$L205&lt;=사용안내!$C$17)),"임박","정상"))))</f>
        <v/>
      </c>
    </row>
    <row r="206" customFormat="false" ht="15" hidden="false" customHeight="true" outlineLevel="0" collapsed="false">
      <c r="A206" s="23" t="str">
        <f aca="false">IF(OR(차량목록!$A19="",정비항목!$A11="",차량목록!$G19="매각"),"",차량목록!$A19)</f>
        <v/>
      </c>
      <c r="B206" s="23" t="str">
        <f aca="false">IF($A206="","",차량목록!$B19)</f>
        <v/>
      </c>
      <c r="C206" s="23" t="str">
        <f aca="false">IF($A206="","",정비항목!$B11)</f>
        <v/>
      </c>
      <c r="D206" s="24" t="str">
        <f aca="false">IF($A206="","",IF(정비항목!$C11="",0,정비항목!$C11))</f>
        <v/>
      </c>
      <c r="E206" s="28" t="str">
        <f aca="false">IF($A206="","",IF(정비항목!$D11="",0,정비항목!$D11))</f>
        <v/>
      </c>
      <c r="F206" s="26" t="str">
        <f aca="false">IF($A206="","",IF(COUNTIFS(정비이력!$B$3:$B$1002,$A206,정비이력!$D$3:$D$1002,정비항목!$A11)=0,"",SUMPRODUCT(MAX((정비이력!$B$3:$B$1002=$A206)*(정비이력!$D$3:$D$1002=정비항목!$A11)*정비이력!$A$3:$A$1002))))</f>
        <v/>
      </c>
      <c r="G206" s="27" t="str">
        <f aca="false">IF($A206="","",IF($F206="","",SUMPRODUCT(MAX((정비이력!$B$3:$B$1002=$A206)*(정비이력!$D$3:$D$1002=정비항목!$A11)*정비이력!$F$3:$F$1002))))</f>
        <v/>
      </c>
      <c r="H206" s="27" t="str">
        <f aca="false">IF($A206="","",IF(차량목록!$E19="",0,차량목록!$E19))</f>
        <v/>
      </c>
      <c r="I206" s="27" t="str">
        <f aca="false">IF(OR($A206="",$D206=0),"",IF($G206="",$H206+$D206,$G206+$D206))</f>
        <v/>
      </c>
      <c r="J206" s="24" t="str">
        <f aca="false">IF($I206="","",$I206-$H206)</f>
        <v/>
      </c>
      <c r="K206" s="26" t="str">
        <f aca="true">IF(OR($A206="",$E206=0),"",IF($F206="",EDATE(TODAY(),$E206),EDATE($F206,$E206)))</f>
        <v/>
      </c>
      <c r="L206" s="28" t="str">
        <f aca="true">IF($K206="","",$K206-TODAY())</f>
        <v/>
      </c>
      <c r="M206" s="28" t="str">
        <f aca="false">IF($A206="","",IF(AND($J206="",$L206=""),"-",IF(OR(AND($J206&lt;&gt;"",$J206&lt;=0),AND($L206&lt;&gt;"",$L206&lt;0)),"교체",IF(OR(AND($J206&lt;&gt;"",$J206&lt;=사용안내!$C$16),AND($L206&lt;&gt;"",$L206&lt;=사용안내!$C$17)),"임박","정상"))))</f>
        <v/>
      </c>
    </row>
    <row r="207" customFormat="false" ht="15" hidden="false" customHeight="true" outlineLevel="0" collapsed="false">
      <c r="A207" s="23" t="str">
        <f aca="false">IF(OR(차량목록!$A19="",정비항목!$A12="",차량목록!$G19="매각"),"",차량목록!$A19)</f>
        <v/>
      </c>
      <c r="B207" s="23" t="str">
        <f aca="false">IF($A207="","",차량목록!$B19)</f>
        <v/>
      </c>
      <c r="C207" s="23" t="str">
        <f aca="false">IF($A207="","",정비항목!$B12)</f>
        <v/>
      </c>
      <c r="D207" s="24" t="str">
        <f aca="false">IF($A207="","",IF(정비항목!$C12="",0,정비항목!$C12))</f>
        <v/>
      </c>
      <c r="E207" s="28" t="str">
        <f aca="false">IF($A207="","",IF(정비항목!$D12="",0,정비항목!$D12))</f>
        <v/>
      </c>
      <c r="F207" s="26" t="str">
        <f aca="false">IF($A207="","",IF(COUNTIFS(정비이력!$B$3:$B$1002,$A207,정비이력!$D$3:$D$1002,정비항목!$A12)=0,"",SUMPRODUCT(MAX((정비이력!$B$3:$B$1002=$A207)*(정비이력!$D$3:$D$1002=정비항목!$A12)*정비이력!$A$3:$A$1002))))</f>
        <v/>
      </c>
      <c r="G207" s="27" t="str">
        <f aca="false">IF($A207="","",IF($F207="","",SUMPRODUCT(MAX((정비이력!$B$3:$B$1002=$A207)*(정비이력!$D$3:$D$1002=정비항목!$A12)*정비이력!$F$3:$F$1002))))</f>
        <v/>
      </c>
      <c r="H207" s="27" t="str">
        <f aca="false">IF($A207="","",IF(차량목록!$E19="",0,차량목록!$E19))</f>
        <v/>
      </c>
      <c r="I207" s="27" t="str">
        <f aca="false">IF(OR($A207="",$D207=0),"",IF($G207="",$H207+$D207,$G207+$D207))</f>
        <v/>
      </c>
      <c r="J207" s="24" t="str">
        <f aca="false">IF($I207="","",$I207-$H207)</f>
        <v/>
      </c>
      <c r="K207" s="26" t="str">
        <f aca="true">IF(OR($A207="",$E207=0),"",IF($F207="",EDATE(TODAY(),$E207),EDATE($F207,$E207)))</f>
        <v/>
      </c>
      <c r="L207" s="28" t="str">
        <f aca="true">IF($K207="","",$K207-TODAY())</f>
        <v/>
      </c>
      <c r="M207" s="28" t="str">
        <f aca="false">IF($A207="","",IF(AND($J207="",$L207=""),"-",IF(OR(AND($J207&lt;&gt;"",$J207&lt;=0),AND($L207&lt;&gt;"",$L207&lt;0)),"교체",IF(OR(AND($J207&lt;&gt;"",$J207&lt;=사용안내!$C$16),AND($L207&lt;&gt;"",$L207&lt;=사용안내!$C$17)),"임박","정상"))))</f>
        <v/>
      </c>
    </row>
    <row r="208" customFormat="false" ht="15" hidden="false" customHeight="true" outlineLevel="0" collapsed="false">
      <c r="A208" s="23" t="str">
        <f aca="false">IF(OR(차량목록!$A19="",정비항목!$A13="",차량목록!$G19="매각"),"",차량목록!$A19)</f>
        <v/>
      </c>
      <c r="B208" s="23" t="str">
        <f aca="false">IF($A208="","",차량목록!$B19)</f>
        <v/>
      </c>
      <c r="C208" s="23" t="str">
        <f aca="false">IF($A208="","",정비항목!$B13)</f>
        <v/>
      </c>
      <c r="D208" s="24" t="str">
        <f aca="false">IF($A208="","",IF(정비항목!$C13="",0,정비항목!$C13))</f>
        <v/>
      </c>
      <c r="E208" s="28" t="str">
        <f aca="false">IF($A208="","",IF(정비항목!$D13="",0,정비항목!$D13))</f>
        <v/>
      </c>
      <c r="F208" s="26" t="str">
        <f aca="false">IF($A208="","",IF(COUNTIFS(정비이력!$B$3:$B$1002,$A208,정비이력!$D$3:$D$1002,정비항목!$A13)=0,"",SUMPRODUCT(MAX((정비이력!$B$3:$B$1002=$A208)*(정비이력!$D$3:$D$1002=정비항목!$A13)*정비이력!$A$3:$A$1002))))</f>
        <v/>
      </c>
      <c r="G208" s="27" t="str">
        <f aca="false">IF($A208="","",IF($F208="","",SUMPRODUCT(MAX((정비이력!$B$3:$B$1002=$A208)*(정비이력!$D$3:$D$1002=정비항목!$A13)*정비이력!$F$3:$F$1002))))</f>
        <v/>
      </c>
      <c r="H208" s="27" t="str">
        <f aca="false">IF($A208="","",IF(차량목록!$E19="",0,차량목록!$E19))</f>
        <v/>
      </c>
      <c r="I208" s="27" t="str">
        <f aca="false">IF(OR($A208="",$D208=0),"",IF($G208="",$H208+$D208,$G208+$D208))</f>
        <v/>
      </c>
      <c r="J208" s="24" t="str">
        <f aca="false">IF($I208="","",$I208-$H208)</f>
        <v/>
      </c>
      <c r="K208" s="26" t="str">
        <f aca="true">IF(OR($A208="",$E208=0),"",IF($F208="",EDATE(TODAY(),$E208),EDATE($F208,$E208)))</f>
        <v/>
      </c>
      <c r="L208" s="28" t="str">
        <f aca="true">IF($K208="","",$K208-TODAY())</f>
        <v/>
      </c>
      <c r="M208" s="28" t="str">
        <f aca="false">IF($A208="","",IF(AND($J208="",$L208=""),"-",IF(OR(AND($J208&lt;&gt;"",$J208&lt;=0),AND($L208&lt;&gt;"",$L208&lt;0)),"교체",IF(OR(AND($J208&lt;&gt;"",$J208&lt;=사용안내!$C$16),AND($L208&lt;&gt;"",$L208&lt;=사용안내!$C$17)),"임박","정상"))))</f>
        <v/>
      </c>
    </row>
    <row r="209" customFormat="false" ht="15" hidden="false" customHeight="true" outlineLevel="0" collapsed="false">
      <c r="A209" s="23" t="str">
        <f aca="false">IF(OR(차량목록!$A19="",정비항목!$A14="",차량목록!$G19="매각"),"",차량목록!$A19)</f>
        <v/>
      </c>
      <c r="B209" s="23" t="str">
        <f aca="false">IF($A209="","",차량목록!$B19)</f>
        <v/>
      </c>
      <c r="C209" s="23" t="str">
        <f aca="false">IF($A209="","",정비항목!$B14)</f>
        <v/>
      </c>
      <c r="D209" s="24" t="str">
        <f aca="false">IF($A209="","",IF(정비항목!$C14="",0,정비항목!$C14))</f>
        <v/>
      </c>
      <c r="E209" s="28" t="str">
        <f aca="false">IF($A209="","",IF(정비항목!$D14="",0,정비항목!$D14))</f>
        <v/>
      </c>
      <c r="F209" s="26" t="str">
        <f aca="false">IF($A209="","",IF(COUNTIFS(정비이력!$B$3:$B$1002,$A209,정비이력!$D$3:$D$1002,정비항목!$A14)=0,"",SUMPRODUCT(MAX((정비이력!$B$3:$B$1002=$A209)*(정비이력!$D$3:$D$1002=정비항목!$A14)*정비이력!$A$3:$A$1002))))</f>
        <v/>
      </c>
      <c r="G209" s="27" t="str">
        <f aca="false">IF($A209="","",IF($F209="","",SUMPRODUCT(MAX((정비이력!$B$3:$B$1002=$A209)*(정비이력!$D$3:$D$1002=정비항목!$A14)*정비이력!$F$3:$F$1002))))</f>
        <v/>
      </c>
      <c r="H209" s="27" t="str">
        <f aca="false">IF($A209="","",IF(차량목록!$E19="",0,차량목록!$E19))</f>
        <v/>
      </c>
      <c r="I209" s="27" t="str">
        <f aca="false">IF(OR($A209="",$D209=0),"",IF($G209="",$H209+$D209,$G209+$D209))</f>
        <v/>
      </c>
      <c r="J209" s="24" t="str">
        <f aca="false">IF($I209="","",$I209-$H209)</f>
        <v/>
      </c>
      <c r="K209" s="26" t="str">
        <f aca="true">IF(OR($A209="",$E209=0),"",IF($F209="",EDATE(TODAY(),$E209),EDATE($F209,$E209)))</f>
        <v/>
      </c>
      <c r="L209" s="28" t="str">
        <f aca="true">IF($K209="","",$K209-TODAY())</f>
        <v/>
      </c>
      <c r="M209" s="28" t="str">
        <f aca="false">IF($A209="","",IF(AND($J209="",$L209=""),"-",IF(OR(AND($J209&lt;&gt;"",$J209&lt;=0),AND($L209&lt;&gt;"",$L209&lt;0)),"교체",IF(OR(AND($J209&lt;&gt;"",$J209&lt;=사용안내!$C$16),AND($L209&lt;&gt;"",$L209&lt;=사용안내!$C$17)),"임박","정상"))))</f>
        <v/>
      </c>
    </row>
    <row r="210" customFormat="false" ht="15" hidden="false" customHeight="true" outlineLevel="0" collapsed="false">
      <c r="A210" s="23" t="str">
        <f aca="false">IF(OR(차량목록!$A20="",정비항목!$A3="",차량목록!$G20="매각"),"",차량목록!$A20)</f>
        <v/>
      </c>
      <c r="B210" s="23" t="str">
        <f aca="false">IF($A210="","",차량목록!$B20)</f>
        <v/>
      </c>
      <c r="C210" s="23" t="str">
        <f aca="false">IF($A210="","",정비항목!$B3)</f>
        <v/>
      </c>
      <c r="D210" s="24" t="str">
        <f aca="false">IF($A210="","",IF(정비항목!$C3="",0,정비항목!$C3))</f>
        <v/>
      </c>
      <c r="E210" s="28" t="str">
        <f aca="false">IF($A210="","",IF(정비항목!$D3="",0,정비항목!$D3))</f>
        <v/>
      </c>
      <c r="F210" s="26" t="str">
        <f aca="false">IF($A210="","",IF(COUNTIFS(정비이력!$B$3:$B$1002,$A210,정비이력!$D$3:$D$1002,정비항목!$A3)=0,"",SUMPRODUCT(MAX((정비이력!$B$3:$B$1002=$A210)*(정비이력!$D$3:$D$1002=정비항목!$A3)*정비이력!$A$3:$A$1002))))</f>
        <v/>
      </c>
      <c r="G210" s="27" t="str">
        <f aca="false">IF($A210="","",IF($F210="","",SUMPRODUCT(MAX((정비이력!$B$3:$B$1002=$A210)*(정비이력!$D$3:$D$1002=정비항목!$A3)*정비이력!$F$3:$F$1002))))</f>
        <v/>
      </c>
      <c r="H210" s="27" t="str">
        <f aca="false">IF($A210="","",IF(차량목록!$E20="",0,차량목록!$E20))</f>
        <v/>
      </c>
      <c r="I210" s="27" t="str">
        <f aca="false">IF(OR($A210="",$D210=0),"",IF($G210="",$H210+$D210,$G210+$D210))</f>
        <v/>
      </c>
      <c r="J210" s="24" t="str">
        <f aca="false">IF($I210="","",$I210-$H210)</f>
        <v/>
      </c>
      <c r="K210" s="26" t="str">
        <f aca="true">IF(OR($A210="",$E210=0),"",IF($F210="",EDATE(TODAY(),$E210),EDATE($F210,$E210)))</f>
        <v/>
      </c>
      <c r="L210" s="28" t="str">
        <f aca="true">IF($K210="","",$K210-TODAY())</f>
        <v/>
      </c>
      <c r="M210" s="28" t="str">
        <f aca="false">IF($A210="","",IF(AND($J210="",$L210=""),"-",IF(OR(AND($J210&lt;&gt;"",$J210&lt;=0),AND($L210&lt;&gt;"",$L210&lt;0)),"교체",IF(OR(AND($J210&lt;&gt;"",$J210&lt;=사용안내!$C$16),AND($L210&lt;&gt;"",$L210&lt;=사용안내!$C$17)),"임박","정상"))))</f>
        <v/>
      </c>
    </row>
    <row r="211" customFormat="false" ht="15" hidden="false" customHeight="true" outlineLevel="0" collapsed="false">
      <c r="A211" s="23" t="str">
        <f aca="false">IF(OR(차량목록!$A20="",정비항목!$A4="",차량목록!$G20="매각"),"",차량목록!$A20)</f>
        <v/>
      </c>
      <c r="B211" s="23" t="str">
        <f aca="false">IF($A211="","",차량목록!$B20)</f>
        <v/>
      </c>
      <c r="C211" s="23" t="str">
        <f aca="false">IF($A211="","",정비항목!$B4)</f>
        <v/>
      </c>
      <c r="D211" s="24" t="str">
        <f aca="false">IF($A211="","",IF(정비항목!$C4="",0,정비항목!$C4))</f>
        <v/>
      </c>
      <c r="E211" s="28" t="str">
        <f aca="false">IF($A211="","",IF(정비항목!$D4="",0,정비항목!$D4))</f>
        <v/>
      </c>
      <c r="F211" s="26" t="str">
        <f aca="false">IF($A211="","",IF(COUNTIFS(정비이력!$B$3:$B$1002,$A211,정비이력!$D$3:$D$1002,정비항목!$A4)=0,"",SUMPRODUCT(MAX((정비이력!$B$3:$B$1002=$A211)*(정비이력!$D$3:$D$1002=정비항목!$A4)*정비이력!$A$3:$A$1002))))</f>
        <v/>
      </c>
      <c r="G211" s="27" t="str">
        <f aca="false">IF($A211="","",IF($F211="","",SUMPRODUCT(MAX((정비이력!$B$3:$B$1002=$A211)*(정비이력!$D$3:$D$1002=정비항목!$A4)*정비이력!$F$3:$F$1002))))</f>
        <v/>
      </c>
      <c r="H211" s="27" t="str">
        <f aca="false">IF($A211="","",IF(차량목록!$E20="",0,차량목록!$E20))</f>
        <v/>
      </c>
      <c r="I211" s="27" t="str">
        <f aca="false">IF(OR($A211="",$D211=0),"",IF($G211="",$H211+$D211,$G211+$D211))</f>
        <v/>
      </c>
      <c r="J211" s="24" t="str">
        <f aca="false">IF($I211="","",$I211-$H211)</f>
        <v/>
      </c>
      <c r="K211" s="26" t="str">
        <f aca="true">IF(OR($A211="",$E211=0),"",IF($F211="",EDATE(TODAY(),$E211),EDATE($F211,$E211)))</f>
        <v/>
      </c>
      <c r="L211" s="28" t="str">
        <f aca="true">IF($K211="","",$K211-TODAY())</f>
        <v/>
      </c>
      <c r="M211" s="28" t="str">
        <f aca="false">IF($A211="","",IF(AND($J211="",$L211=""),"-",IF(OR(AND($J211&lt;&gt;"",$J211&lt;=0),AND($L211&lt;&gt;"",$L211&lt;0)),"교체",IF(OR(AND($J211&lt;&gt;"",$J211&lt;=사용안내!$C$16),AND($L211&lt;&gt;"",$L211&lt;=사용안내!$C$17)),"임박","정상"))))</f>
        <v/>
      </c>
    </row>
    <row r="212" customFormat="false" ht="15" hidden="false" customHeight="true" outlineLevel="0" collapsed="false">
      <c r="A212" s="23" t="str">
        <f aca="false">IF(OR(차량목록!$A20="",정비항목!$A5="",차량목록!$G20="매각"),"",차량목록!$A20)</f>
        <v/>
      </c>
      <c r="B212" s="23" t="str">
        <f aca="false">IF($A212="","",차량목록!$B20)</f>
        <v/>
      </c>
      <c r="C212" s="23" t="str">
        <f aca="false">IF($A212="","",정비항목!$B5)</f>
        <v/>
      </c>
      <c r="D212" s="24" t="str">
        <f aca="false">IF($A212="","",IF(정비항목!$C5="",0,정비항목!$C5))</f>
        <v/>
      </c>
      <c r="E212" s="28" t="str">
        <f aca="false">IF($A212="","",IF(정비항목!$D5="",0,정비항목!$D5))</f>
        <v/>
      </c>
      <c r="F212" s="26" t="str">
        <f aca="false">IF($A212="","",IF(COUNTIFS(정비이력!$B$3:$B$1002,$A212,정비이력!$D$3:$D$1002,정비항목!$A5)=0,"",SUMPRODUCT(MAX((정비이력!$B$3:$B$1002=$A212)*(정비이력!$D$3:$D$1002=정비항목!$A5)*정비이력!$A$3:$A$1002))))</f>
        <v/>
      </c>
      <c r="G212" s="27" t="str">
        <f aca="false">IF($A212="","",IF($F212="","",SUMPRODUCT(MAX((정비이력!$B$3:$B$1002=$A212)*(정비이력!$D$3:$D$1002=정비항목!$A5)*정비이력!$F$3:$F$1002))))</f>
        <v/>
      </c>
      <c r="H212" s="27" t="str">
        <f aca="false">IF($A212="","",IF(차량목록!$E20="",0,차량목록!$E20))</f>
        <v/>
      </c>
      <c r="I212" s="27" t="str">
        <f aca="false">IF(OR($A212="",$D212=0),"",IF($G212="",$H212+$D212,$G212+$D212))</f>
        <v/>
      </c>
      <c r="J212" s="24" t="str">
        <f aca="false">IF($I212="","",$I212-$H212)</f>
        <v/>
      </c>
      <c r="K212" s="26" t="str">
        <f aca="true">IF(OR($A212="",$E212=0),"",IF($F212="",EDATE(TODAY(),$E212),EDATE($F212,$E212)))</f>
        <v/>
      </c>
      <c r="L212" s="28" t="str">
        <f aca="true">IF($K212="","",$K212-TODAY())</f>
        <v/>
      </c>
      <c r="M212" s="28" t="str">
        <f aca="false">IF($A212="","",IF(AND($J212="",$L212=""),"-",IF(OR(AND($J212&lt;&gt;"",$J212&lt;=0),AND($L212&lt;&gt;"",$L212&lt;0)),"교체",IF(OR(AND($J212&lt;&gt;"",$J212&lt;=사용안내!$C$16),AND($L212&lt;&gt;"",$L212&lt;=사용안내!$C$17)),"임박","정상"))))</f>
        <v/>
      </c>
    </row>
    <row r="213" customFormat="false" ht="15" hidden="false" customHeight="true" outlineLevel="0" collapsed="false">
      <c r="A213" s="23" t="str">
        <f aca="false">IF(OR(차량목록!$A20="",정비항목!$A6="",차량목록!$G20="매각"),"",차량목록!$A20)</f>
        <v/>
      </c>
      <c r="B213" s="23" t="str">
        <f aca="false">IF($A213="","",차량목록!$B20)</f>
        <v/>
      </c>
      <c r="C213" s="23" t="str">
        <f aca="false">IF($A213="","",정비항목!$B6)</f>
        <v/>
      </c>
      <c r="D213" s="24" t="str">
        <f aca="false">IF($A213="","",IF(정비항목!$C6="",0,정비항목!$C6))</f>
        <v/>
      </c>
      <c r="E213" s="28" t="str">
        <f aca="false">IF($A213="","",IF(정비항목!$D6="",0,정비항목!$D6))</f>
        <v/>
      </c>
      <c r="F213" s="26" t="str">
        <f aca="false">IF($A213="","",IF(COUNTIFS(정비이력!$B$3:$B$1002,$A213,정비이력!$D$3:$D$1002,정비항목!$A6)=0,"",SUMPRODUCT(MAX((정비이력!$B$3:$B$1002=$A213)*(정비이력!$D$3:$D$1002=정비항목!$A6)*정비이력!$A$3:$A$1002))))</f>
        <v/>
      </c>
      <c r="G213" s="27" t="str">
        <f aca="false">IF($A213="","",IF($F213="","",SUMPRODUCT(MAX((정비이력!$B$3:$B$1002=$A213)*(정비이력!$D$3:$D$1002=정비항목!$A6)*정비이력!$F$3:$F$1002))))</f>
        <v/>
      </c>
      <c r="H213" s="27" t="str">
        <f aca="false">IF($A213="","",IF(차량목록!$E20="",0,차량목록!$E20))</f>
        <v/>
      </c>
      <c r="I213" s="27" t="str">
        <f aca="false">IF(OR($A213="",$D213=0),"",IF($G213="",$H213+$D213,$G213+$D213))</f>
        <v/>
      </c>
      <c r="J213" s="24" t="str">
        <f aca="false">IF($I213="","",$I213-$H213)</f>
        <v/>
      </c>
      <c r="K213" s="26" t="str">
        <f aca="true">IF(OR($A213="",$E213=0),"",IF($F213="",EDATE(TODAY(),$E213),EDATE($F213,$E213)))</f>
        <v/>
      </c>
      <c r="L213" s="28" t="str">
        <f aca="true">IF($K213="","",$K213-TODAY())</f>
        <v/>
      </c>
      <c r="M213" s="28" t="str">
        <f aca="false">IF($A213="","",IF(AND($J213="",$L213=""),"-",IF(OR(AND($J213&lt;&gt;"",$J213&lt;=0),AND($L213&lt;&gt;"",$L213&lt;0)),"교체",IF(OR(AND($J213&lt;&gt;"",$J213&lt;=사용안내!$C$16),AND($L213&lt;&gt;"",$L213&lt;=사용안내!$C$17)),"임박","정상"))))</f>
        <v/>
      </c>
    </row>
    <row r="214" customFormat="false" ht="15" hidden="false" customHeight="true" outlineLevel="0" collapsed="false">
      <c r="A214" s="23" t="str">
        <f aca="false">IF(OR(차량목록!$A20="",정비항목!$A7="",차량목록!$G20="매각"),"",차량목록!$A20)</f>
        <v/>
      </c>
      <c r="B214" s="23" t="str">
        <f aca="false">IF($A214="","",차량목록!$B20)</f>
        <v/>
      </c>
      <c r="C214" s="23" t="str">
        <f aca="false">IF($A214="","",정비항목!$B7)</f>
        <v/>
      </c>
      <c r="D214" s="24" t="str">
        <f aca="false">IF($A214="","",IF(정비항목!$C7="",0,정비항목!$C7))</f>
        <v/>
      </c>
      <c r="E214" s="28" t="str">
        <f aca="false">IF($A214="","",IF(정비항목!$D7="",0,정비항목!$D7))</f>
        <v/>
      </c>
      <c r="F214" s="26" t="str">
        <f aca="false">IF($A214="","",IF(COUNTIFS(정비이력!$B$3:$B$1002,$A214,정비이력!$D$3:$D$1002,정비항목!$A7)=0,"",SUMPRODUCT(MAX((정비이력!$B$3:$B$1002=$A214)*(정비이력!$D$3:$D$1002=정비항목!$A7)*정비이력!$A$3:$A$1002))))</f>
        <v/>
      </c>
      <c r="G214" s="27" t="str">
        <f aca="false">IF($A214="","",IF($F214="","",SUMPRODUCT(MAX((정비이력!$B$3:$B$1002=$A214)*(정비이력!$D$3:$D$1002=정비항목!$A7)*정비이력!$F$3:$F$1002))))</f>
        <v/>
      </c>
      <c r="H214" s="27" t="str">
        <f aca="false">IF($A214="","",IF(차량목록!$E20="",0,차량목록!$E20))</f>
        <v/>
      </c>
      <c r="I214" s="27" t="str">
        <f aca="false">IF(OR($A214="",$D214=0),"",IF($G214="",$H214+$D214,$G214+$D214))</f>
        <v/>
      </c>
      <c r="J214" s="24" t="str">
        <f aca="false">IF($I214="","",$I214-$H214)</f>
        <v/>
      </c>
      <c r="K214" s="26" t="str">
        <f aca="true">IF(OR($A214="",$E214=0),"",IF($F214="",EDATE(TODAY(),$E214),EDATE($F214,$E214)))</f>
        <v/>
      </c>
      <c r="L214" s="28" t="str">
        <f aca="true">IF($K214="","",$K214-TODAY())</f>
        <v/>
      </c>
      <c r="M214" s="28" t="str">
        <f aca="false">IF($A214="","",IF(AND($J214="",$L214=""),"-",IF(OR(AND($J214&lt;&gt;"",$J214&lt;=0),AND($L214&lt;&gt;"",$L214&lt;0)),"교체",IF(OR(AND($J214&lt;&gt;"",$J214&lt;=사용안내!$C$16),AND($L214&lt;&gt;"",$L214&lt;=사용안내!$C$17)),"임박","정상"))))</f>
        <v/>
      </c>
    </row>
    <row r="215" customFormat="false" ht="15" hidden="false" customHeight="true" outlineLevel="0" collapsed="false">
      <c r="A215" s="23" t="str">
        <f aca="false">IF(OR(차량목록!$A20="",정비항목!$A8="",차량목록!$G20="매각"),"",차량목록!$A20)</f>
        <v/>
      </c>
      <c r="B215" s="23" t="str">
        <f aca="false">IF($A215="","",차량목록!$B20)</f>
        <v/>
      </c>
      <c r="C215" s="23" t="str">
        <f aca="false">IF($A215="","",정비항목!$B8)</f>
        <v/>
      </c>
      <c r="D215" s="24" t="str">
        <f aca="false">IF($A215="","",IF(정비항목!$C8="",0,정비항목!$C8))</f>
        <v/>
      </c>
      <c r="E215" s="28" t="str">
        <f aca="false">IF($A215="","",IF(정비항목!$D8="",0,정비항목!$D8))</f>
        <v/>
      </c>
      <c r="F215" s="26" t="str">
        <f aca="false">IF($A215="","",IF(COUNTIFS(정비이력!$B$3:$B$1002,$A215,정비이력!$D$3:$D$1002,정비항목!$A8)=0,"",SUMPRODUCT(MAX((정비이력!$B$3:$B$1002=$A215)*(정비이력!$D$3:$D$1002=정비항목!$A8)*정비이력!$A$3:$A$1002))))</f>
        <v/>
      </c>
      <c r="G215" s="27" t="str">
        <f aca="false">IF($A215="","",IF($F215="","",SUMPRODUCT(MAX((정비이력!$B$3:$B$1002=$A215)*(정비이력!$D$3:$D$1002=정비항목!$A8)*정비이력!$F$3:$F$1002))))</f>
        <v/>
      </c>
      <c r="H215" s="27" t="str">
        <f aca="false">IF($A215="","",IF(차량목록!$E20="",0,차량목록!$E20))</f>
        <v/>
      </c>
      <c r="I215" s="27" t="str">
        <f aca="false">IF(OR($A215="",$D215=0),"",IF($G215="",$H215+$D215,$G215+$D215))</f>
        <v/>
      </c>
      <c r="J215" s="24" t="str">
        <f aca="false">IF($I215="","",$I215-$H215)</f>
        <v/>
      </c>
      <c r="K215" s="26" t="str">
        <f aca="true">IF(OR($A215="",$E215=0),"",IF($F215="",EDATE(TODAY(),$E215),EDATE($F215,$E215)))</f>
        <v/>
      </c>
      <c r="L215" s="28" t="str">
        <f aca="true">IF($K215="","",$K215-TODAY())</f>
        <v/>
      </c>
      <c r="M215" s="28" t="str">
        <f aca="false">IF($A215="","",IF(AND($J215="",$L215=""),"-",IF(OR(AND($J215&lt;&gt;"",$J215&lt;=0),AND($L215&lt;&gt;"",$L215&lt;0)),"교체",IF(OR(AND($J215&lt;&gt;"",$J215&lt;=사용안내!$C$16),AND($L215&lt;&gt;"",$L215&lt;=사용안내!$C$17)),"임박","정상"))))</f>
        <v/>
      </c>
    </row>
    <row r="216" customFormat="false" ht="15" hidden="false" customHeight="true" outlineLevel="0" collapsed="false">
      <c r="A216" s="23" t="str">
        <f aca="false">IF(OR(차량목록!$A20="",정비항목!$A9="",차량목록!$G20="매각"),"",차량목록!$A20)</f>
        <v/>
      </c>
      <c r="B216" s="23" t="str">
        <f aca="false">IF($A216="","",차량목록!$B20)</f>
        <v/>
      </c>
      <c r="C216" s="23" t="str">
        <f aca="false">IF($A216="","",정비항목!$B9)</f>
        <v/>
      </c>
      <c r="D216" s="24" t="str">
        <f aca="false">IF($A216="","",IF(정비항목!$C9="",0,정비항목!$C9))</f>
        <v/>
      </c>
      <c r="E216" s="28" t="str">
        <f aca="false">IF($A216="","",IF(정비항목!$D9="",0,정비항목!$D9))</f>
        <v/>
      </c>
      <c r="F216" s="26" t="str">
        <f aca="false">IF($A216="","",IF(COUNTIFS(정비이력!$B$3:$B$1002,$A216,정비이력!$D$3:$D$1002,정비항목!$A9)=0,"",SUMPRODUCT(MAX((정비이력!$B$3:$B$1002=$A216)*(정비이력!$D$3:$D$1002=정비항목!$A9)*정비이력!$A$3:$A$1002))))</f>
        <v/>
      </c>
      <c r="G216" s="27" t="str">
        <f aca="false">IF($A216="","",IF($F216="","",SUMPRODUCT(MAX((정비이력!$B$3:$B$1002=$A216)*(정비이력!$D$3:$D$1002=정비항목!$A9)*정비이력!$F$3:$F$1002))))</f>
        <v/>
      </c>
      <c r="H216" s="27" t="str">
        <f aca="false">IF($A216="","",IF(차량목록!$E20="",0,차량목록!$E20))</f>
        <v/>
      </c>
      <c r="I216" s="27" t="str">
        <f aca="false">IF(OR($A216="",$D216=0),"",IF($G216="",$H216+$D216,$G216+$D216))</f>
        <v/>
      </c>
      <c r="J216" s="24" t="str">
        <f aca="false">IF($I216="","",$I216-$H216)</f>
        <v/>
      </c>
      <c r="K216" s="26" t="str">
        <f aca="true">IF(OR($A216="",$E216=0),"",IF($F216="",EDATE(TODAY(),$E216),EDATE($F216,$E216)))</f>
        <v/>
      </c>
      <c r="L216" s="28" t="str">
        <f aca="true">IF($K216="","",$K216-TODAY())</f>
        <v/>
      </c>
      <c r="M216" s="28" t="str">
        <f aca="false">IF($A216="","",IF(AND($J216="",$L216=""),"-",IF(OR(AND($J216&lt;&gt;"",$J216&lt;=0),AND($L216&lt;&gt;"",$L216&lt;0)),"교체",IF(OR(AND($J216&lt;&gt;"",$J216&lt;=사용안내!$C$16),AND($L216&lt;&gt;"",$L216&lt;=사용안내!$C$17)),"임박","정상"))))</f>
        <v/>
      </c>
    </row>
    <row r="217" customFormat="false" ht="15" hidden="false" customHeight="true" outlineLevel="0" collapsed="false">
      <c r="A217" s="23" t="str">
        <f aca="false">IF(OR(차량목록!$A20="",정비항목!$A10="",차량목록!$G20="매각"),"",차량목록!$A20)</f>
        <v/>
      </c>
      <c r="B217" s="23" t="str">
        <f aca="false">IF($A217="","",차량목록!$B20)</f>
        <v/>
      </c>
      <c r="C217" s="23" t="str">
        <f aca="false">IF($A217="","",정비항목!$B10)</f>
        <v/>
      </c>
      <c r="D217" s="24" t="str">
        <f aca="false">IF($A217="","",IF(정비항목!$C10="",0,정비항목!$C10))</f>
        <v/>
      </c>
      <c r="E217" s="28" t="str">
        <f aca="false">IF($A217="","",IF(정비항목!$D10="",0,정비항목!$D10))</f>
        <v/>
      </c>
      <c r="F217" s="26" t="str">
        <f aca="false">IF($A217="","",IF(COUNTIFS(정비이력!$B$3:$B$1002,$A217,정비이력!$D$3:$D$1002,정비항목!$A10)=0,"",SUMPRODUCT(MAX((정비이력!$B$3:$B$1002=$A217)*(정비이력!$D$3:$D$1002=정비항목!$A10)*정비이력!$A$3:$A$1002))))</f>
        <v/>
      </c>
      <c r="G217" s="27" t="str">
        <f aca="false">IF($A217="","",IF($F217="","",SUMPRODUCT(MAX((정비이력!$B$3:$B$1002=$A217)*(정비이력!$D$3:$D$1002=정비항목!$A10)*정비이력!$F$3:$F$1002))))</f>
        <v/>
      </c>
      <c r="H217" s="27" t="str">
        <f aca="false">IF($A217="","",IF(차량목록!$E20="",0,차량목록!$E20))</f>
        <v/>
      </c>
      <c r="I217" s="27" t="str">
        <f aca="false">IF(OR($A217="",$D217=0),"",IF($G217="",$H217+$D217,$G217+$D217))</f>
        <v/>
      </c>
      <c r="J217" s="24" t="str">
        <f aca="false">IF($I217="","",$I217-$H217)</f>
        <v/>
      </c>
      <c r="K217" s="26" t="str">
        <f aca="true">IF(OR($A217="",$E217=0),"",IF($F217="",EDATE(TODAY(),$E217),EDATE($F217,$E217)))</f>
        <v/>
      </c>
      <c r="L217" s="28" t="str">
        <f aca="true">IF($K217="","",$K217-TODAY())</f>
        <v/>
      </c>
      <c r="M217" s="28" t="str">
        <f aca="false">IF($A217="","",IF(AND($J217="",$L217=""),"-",IF(OR(AND($J217&lt;&gt;"",$J217&lt;=0),AND($L217&lt;&gt;"",$L217&lt;0)),"교체",IF(OR(AND($J217&lt;&gt;"",$J217&lt;=사용안내!$C$16),AND($L217&lt;&gt;"",$L217&lt;=사용안내!$C$17)),"임박","정상"))))</f>
        <v/>
      </c>
    </row>
    <row r="218" customFormat="false" ht="15" hidden="false" customHeight="true" outlineLevel="0" collapsed="false">
      <c r="A218" s="23" t="str">
        <f aca="false">IF(OR(차량목록!$A20="",정비항목!$A11="",차량목록!$G20="매각"),"",차량목록!$A20)</f>
        <v/>
      </c>
      <c r="B218" s="23" t="str">
        <f aca="false">IF($A218="","",차량목록!$B20)</f>
        <v/>
      </c>
      <c r="C218" s="23" t="str">
        <f aca="false">IF($A218="","",정비항목!$B11)</f>
        <v/>
      </c>
      <c r="D218" s="24" t="str">
        <f aca="false">IF($A218="","",IF(정비항목!$C11="",0,정비항목!$C11))</f>
        <v/>
      </c>
      <c r="E218" s="28" t="str">
        <f aca="false">IF($A218="","",IF(정비항목!$D11="",0,정비항목!$D11))</f>
        <v/>
      </c>
      <c r="F218" s="26" t="str">
        <f aca="false">IF($A218="","",IF(COUNTIFS(정비이력!$B$3:$B$1002,$A218,정비이력!$D$3:$D$1002,정비항목!$A11)=0,"",SUMPRODUCT(MAX((정비이력!$B$3:$B$1002=$A218)*(정비이력!$D$3:$D$1002=정비항목!$A11)*정비이력!$A$3:$A$1002))))</f>
        <v/>
      </c>
      <c r="G218" s="27" t="str">
        <f aca="false">IF($A218="","",IF($F218="","",SUMPRODUCT(MAX((정비이력!$B$3:$B$1002=$A218)*(정비이력!$D$3:$D$1002=정비항목!$A11)*정비이력!$F$3:$F$1002))))</f>
        <v/>
      </c>
      <c r="H218" s="27" t="str">
        <f aca="false">IF($A218="","",IF(차량목록!$E20="",0,차량목록!$E20))</f>
        <v/>
      </c>
      <c r="I218" s="27" t="str">
        <f aca="false">IF(OR($A218="",$D218=0),"",IF($G218="",$H218+$D218,$G218+$D218))</f>
        <v/>
      </c>
      <c r="J218" s="24" t="str">
        <f aca="false">IF($I218="","",$I218-$H218)</f>
        <v/>
      </c>
      <c r="K218" s="26" t="str">
        <f aca="true">IF(OR($A218="",$E218=0),"",IF($F218="",EDATE(TODAY(),$E218),EDATE($F218,$E218)))</f>
        <v/>
      </c>
      <c r="L218" s="28" t="str">
        <f aca="true">IF($K218="","",$K218-TODAY())</f>
        <v/>
      </c>
      <c r="M218" s="28" t="str">
        <f aca="false">IF($A218="","",IF(AND($J218="",$L218=""),"-",IF(OR(AND($J218&lt;&gt;"",$J218&lt;=0),AND($L218&lt;&gt;"",$L218&lt;0)),"교체",IF(OR(AND($J218&lt;&gt;"",$J218&lt;=사용안내!$C$16),AND($L218&lt;&gt;"",$L218&lt;=사용안내!$C$17)),"임박","정상"))))</f>
        <v/>
      </c>
    </row>
    <row r="219" customFormat="false" ht="15" hidden="false" customHeight="true" outlineLevel="0" collapsed="false">
      <c r="A219" s="23" t="str">
        <f aca="false">IF(OR(차량목록!$A20="",정비항목!$A12="",차량목록!$G20="매각"),"",차량목록!$A20)</f>
        <v/>
      </c>
      <c r="B219" s="23" t="str">
        <f aca="false">IF($A219="","",차량목록!$B20)</f>
        <v/>
      </c>
      <c r="C219" s="23" t="str">
        <f aca="false">IF($A219="","",정비항목!$B12)</f>
        <v/>
      </c>
      <c r="D219" s="24" t="str">
        <f aca="false">IF($A219="","",IF(정비항목!$C12="",0,정비항목!$C12))</f>
        <v/>
      </c>
      <c r="E219" s="28" t="str">
        <f aca="false">IF($A219="","",IF(정비항목!$D12="",0,정비항목!$D12))</f>
        <v/>
      </c>
      <c r="F219" s="26" t="str">
        <f aca="false">IF($A219="","",IF(COUNTIFS(정비이력!$B$3:$B$1002,$A219,정비이력!$D$3:$D$1002,정비항목!$A12)=0,"",SUMPRODUCT(MAX((정비이력!$B$3:$B$1002=$A219)*(정비이력!$D$3:$D$1002=정비항목!$A12)*정비이력!$A$3:$A$1002))))</f>
        <v/>
      </c>
      <c r="G219" s="27" t="str">
        <f aca="false">IF($A219="","",IF($F219="","",SUMPRODUCT(MAX((정비이력!$B$3:$B$1002=$A219)*(정비이력!$D$3:$D$1002=정비항목!$A12)*정비이력!$F$3:$F$1002))))</f>
        <v/>
      </c>
      <c r="H219" s="27" t="str">
        <f aca="false">IF($A219="","",IF(차량목록!$E20="",0,차량목록!$E20))</f>
        <v/>
      </c>
      <c r="I219" s="27" t="str">
        <f aca="false">IF(OR($A219="",$D219=0),"",IF($G219="",$H219+$D219,$G219+$D219))</f>
        <v/>
      </c>
      <c r="J219" s="24" t="str">
        <f aca="false">IF($I219="","",$I219-$H219)</f>
        <v/>
      </c>
      <c r="K219" s="26" t="str">
        <f aca="true">IF(OR($A219="",$E219=0),"",IF($F219="",EDATE(TODAY(),$E219),EDATE($F219,$E219)))</f>
        <v/>
      </c>
      <c r="L219" s="28" t="str">
        <f aca="true">IF($K219="","",$K219-TODAY())</f>
        <v/>
      </c>
      <c r="M219" s="28" t="str">
        <f aca="false">IF($A219="","",IF(AND($J219="",$L219=""),"-",IF(OR(AND($J219&lt;&gt;"",$J219&lt;=0),AND($L219&lt;&gt;"",$L219&lt;0)),"교체",IF(OR(AND($J219&lt;&gt;"",$J219&lt;=사용안내!$C$16),AND($L219&lt;&gt;"",$L219&lt;=사용안내!$C$17)),"임박","정상"))))</f>
        <v/>
      </c>
    </row>
    <row r="220" customFormat="false" ht="15" hidden="false" customHeight="true" outlineLevel="0" collapsed="false">
      <c r="A220" s="23" t="str">
        <f aca="false">IF(OR(차량목록!$A20="",정비항목!$A13="",차량목록!$G20="매각"),"",차량목록!$A20)</f>
        <v/>
      </c>
      <c r="B220" s="23" t="str">
        <f aca="false">IF($A220="","",차량목록!$B20)</f>
        <v/>
      </c>
      <c r="C220" s="23" t="str">
        <f aca="false">IF($A220="","",정비항목!$B13)</f>
        <v/>
      </c>
      <c r="D220" s="24" t="str">
        <f aca="false">IF($A220="","",IF(정비항목!$C13="",0,정비항목!$C13))</f>
        <v/>
      </c>
      <c r="E220" s="28" t="str">
        <f aca="false">IF($A220="","",IF(정비항목!$D13="",0,정비항목!$D13))</f>
        <v/>
      </c>
      <c r="F220" s="26" t="str">
        <f aca="false">IF($A220="","",IF(COUNTIFS(정비이력!$B$3:$B$1002,$A220,정비이력!$D$3:$D$1002,정비항목!$A13)=0,"",SUMPRODUCT(MAX((정비이력!$B$3:$B$1002=$A220)*(정비이력!$D$3:$D$1002=정비항목!$A13)*정비이력!$A$3:$A$1002))))</f>
        <v/>
      </c>
      <c r="G220" s="27" t="str">
        <f aca="false">IF($A220="","",IF($F220="","",SUMPRODUCT(MAX((정비이력!$B$3:$B$1002=$A220)*(정비이력!$D$3:$D$1002=정비항목!$A13)*정비이력!$F$3:$F$1002))))</f>
        <v/>
      </c>
      <c r="H220" s="27" t="str">
        <f aca="false">IF($A220="","",IF(차량목록!$E20="",0,차량목록!$E20))</f>
        <v/>
      </c>
      <c r="I220" s="27" t="str">
        <f aca="false">IF(OR($A220="",$D220=0),"",IF($G220="",$H220+$D220,$G220+$D220))</f>
        <v/>
      </c>
      <c r="J220" s="24" t="str">
        <f aca="false">IF($I220="","",$I220-$H220)</f>
        <v/>
      </c>
      <c r="K220" s="26" t="str">
        <f aca="true">IF(OR($A220="",$E220=0),"",IF($F220="",EDATE(TODAY(),$E220),EDATE($F220,$E220)))</f>
        <v/>
      </c>
      <c r="L220" s="28" t="str">
        <f aca="true">IF($K220="","",$K220-TODAY())</f>
        <v/>
      </c>
      <c r="M220" s="28" t="str">
        <f aca="false">IF($A220="","",IF(AND($J220="",$L220=""),"-",IF(OR(AND($J220&lt;&gt;"",$J220&lt;=0),AND($L220&lt;&gt;"",$L220&lt;0)),"교체",IF(OR(AND($J220&lt;&gt;"",$J220&lt;=사용안내!$C$16),AND($L220&lt;&gt;"",$L220&lt;=사용안내!$C$17)),"임박","정상"))))</f>
        <v/>
      </c>
    </row>
    <row r="221" customFormat="false" ht="15" hidden="false" customHeight="true" outlineLevel="0" collapsed="false">
      <c r="A221" s="23" t="str">
        <f aca="false">IF(OR(차량목록!$A20="",정비항목!$A14="",차량목록!$G20="매각"),"",차량목록!$A20)</f>
        <v/>
      </c>
      <c r="B221" s="23" t="str">
        <f aca="false">IF($A221="","",차량목록!$B20)</f>
        <v/>
      </c>
      <c r="C221" s="23" t="str">
        <f aca="false">IF($A221="","",정비항목!$B14)</f>
        <v/>
      </c>
      <c r="D221" s="24" t="str">
        <f aca="false">IF($A221="","",IF(정비항목!$C14="",0,정비항목!$C14))</f>
        <v/>
      </c>
      <c r="E221" s="28" t="str">
        <f aca="false">IF($A221="","",IF(정비항목!$D14="",0,정비항목!$D14))</f>
        <v/>
      </c>
      <c r="F221" s="26" t="str">
        <f aca="false">IF($A221="","",IF(COUNTIFS(정비이력!$B$3:$B$1002,$A221,정비이력!$D$3:$D$1002,정비항목!$A14)=0,"",SUMPRODUCT(MAX((정비이력!$B$3:$B$1002=$A221)*(정비이력!$D$3:$D$1002=정비항목!$A14)*정비이력!$A$3:$A$1002))))</f>
        <v/>
      </c>
      <c r="G221" s="27" t="str">
        <f aca="false">IF($A221="","",IF($F221="","",SUMPRODUCT(MAX((정비이력!$B$3:$B$1002=$A221)*(정비이력!$D$3:$D$1002=정비항목!$A14)*정비이력!$F$3:$F$1002))))</f>
        <v/>
      </c>
      <c r="H221" s="27" t="str">
        <f aca="false">IF($A221="","",IF(차량목록!$E20="",0,차량목록!$E20))</f>
        <v/>
      </c>
      <c r="I221" s="27" t="str">
        <f aca="false">IF(OR($A221="",$D221=0),"",IF($G221="",$H221+$D221,$G221+$D221))</f>
        <v/>
      </c>
      <c r="J221" s="24" t="str">
        <f aca="false">IF($I221="","",$I221-$H221)</f>
        <v/>
      </c>
      <c r="K221" s="26" t="str">
        <f aca="true">IF(OR($A221="",$E221=0),"",IF($F221="",EDATE(TODAY(),$E221),EDATE($F221,$E221)))</f>
        <v/>
      </c>
      <c r="L221" s="28" t="str">
        <f aca="true">IF($K221="","",$K221-TODAY())</f>
        <v/>
      </c>
      <c r="M221" s="28" t="str">
        <f aca="false">IF($A221="","",IF(AND($J221="",$L221=""),"-",IF(OR(AND($J221&lt;&gt;"",$J221&lt;=0),AND($L221&lt;&gt;"",$L221&lt;0)),"교체",IF(OR(AND($J221&lt;&gt;"",$J221&lt;=사용안내!$C$16),AND($L221&lt;&gt;"",$L221&lt;=사용안내!$C$17)),"임박","정상"))))</f>
        <v/>
      </c>
    </row>
    <row r="222" customFormat="false" ht="15" hidden="false" customHeight="true" outlineLevel="0" collapsed="false">
      <c r="A222" s="23" t="str">
        <f aca="false">IF(OR(차량목록!$A21="",정비항목!$A3="",차량목록!$G21="매각"),"",차량목록!$A21)</f>
        <v/>
      </c>
      <c r="B222" s="23" t="str">
        <f aca="false">IF($A222="","",차량목록!$B21)</f>
        <v/>
      </c>
      <c r="C222" s="23" t="str">
        <f aca="false">IF($A222="","",정비항목!$B3)</f>
        <v/>
      </c>
      <c r="D222" s="24" t="str">
        <f aca="false">IF($A222="","",IF(정비항목!$C3="",0,정비항목!$C3))</f>
        <v/>
      </c>
      <c r="E222" s="28" t="str">
        <f aca="false">IF($A222="","",IF(정비항목!$D3="",0,정비항목!$D3))</f>
        <v/>
      </c>
      <c r="F222" s="26" t="str">
        <f aca="false">IF($A222="","",IF(COUNTIFS(정비이력!$B$3:$B$1002,$A222,정비이력!$D$3:$D$1002,정비항목!$A3)=0,"",SUMPRODUCT(MAX((정비이력!$B$3:$B$1002=$A222)*(정비이력!$D$3:$D$1002=정비항목!$A3)*정비이력!$A$3:$A$1002))))</f>
        <v/>
      </c>
      <c r="G222" s="27" t="str">
        <f aca="false">IF($A222="","",IF($F222="","",SUMPRODUCT(MAX((정비이력!$B$3:$B$1002=$A222)*(정비이력!$D$3:$D$1002=정비항목!$A3)*정비이력!$F$3:$F$1002))))</f>
        <v/>
      </c>
      <c r="H222" s="27" t="str">
        <f aca="false">IF($A222="","",IF(차량목록!$E21="",0,차량목록!$E21))</f>
        <v/>
      </c>
      <c r="I222" s="27" t="str">
        <f aca="false">IF(OR($A222="",$D222=0),"",IF($G222="",$H222+$D222,$G222+$D222))</f>
        <v/>
      </c>
      <c r="J222" s="24" t="str">
        <f aca="false">IF($I222="","",$I222-$H222)</f>
        <v/>
      </c>
      <c r="K222" s="26" t="str">
        <f aca="true">IF(OR($A222="",$E222=0),"",IF($F222="",EDATE(TODAY(),$E222),EDATE($F222,$E222)))</f>
        <v/>
      </c>
      <c r="L222" s="28" t="str">
        <f aca="true">IF($K222="","",$K222-TODAY())</f>
        <v/>
      </c>
      <c r="M222" s="28" t="str">
        <f aca="false">IF($A222="","",IF(AND($J222="",$L222=""),"-",IF(OR(AND($J222&lt;&gt;"",$J222&lt;=0),AND($L222&lt;&gt;"",$L222&lt;0)),"교체",IF(OR(AND($J222&lt;&gt;"",$J222&lt;=사용안내!$C$16),AND($L222&lt;&gt;"",$L222&lt;=사용안내!$C$17)),"임박","정상"))))</f>
        <v/>
      </c>
    </row>
    <row r="223" customFormat="false" ht="15" hidden="false" customHeight="true" outlineLevel="0" collapsed="false">
      <c r="A223" s="23" t="str">
        <f aca="false">IF(OR(차량목록!$A21="",정비항목!$A4="",차량목록!$G21="매각"),"",차량목록!$A21)</f>
        <v/>
      </c>
      <c r="B223" s="23" t="str">
        <f aca="false">IF($A223="","",차량목록!$B21)</f>
        <v/>
      </c>
      <c r="C223" s="23" t="str">
        <f aca="false">IF($A223="","",정비항목!$B4)</f>
        <v/>
      </c>
      <c r="D223" s="24" t="str">
        <f aca="false">IF($A223="","",IF(정비항목!$C4="",0,정비항목!$C4))</f>
        <v/>
      </c>
      <c r="E223" s="28" t="str">
        <f aca="false">IF($A223="","",IF(정비항목!$D4="",0,정비항목!$D4))</f>
        <v/>
      </c>
      <c r="F223" s="26" t="str">
        <f aca="false">IF($A223="","",IF(COUNTIFS(정비이력!$B$3:$B$1002,$A223,정비이력!$D$3:$D$1002,정비항목!$A4)=0,"",SUMPRODUCT(MAX((정비이력!$B$3:$B$1002=$A223)*(정비이력!$D$3:$D$1002=정비항목!$A4)*정비이력!$A$3:$A$1002))))</f>
        <v/>
      </c>
      <c r="G223" s="27" t="str">
        <f aca="false">IF($A223="","",IF($F223="","",SUMPRODUCT(MAX((정비이력!$B$3:$B$1002=$A223)*(정비이력!$D$3:$D$1002=정비항목!$A4)*정비이력!$F$3:$F$1002))))</f>
        <v/>
      </c>
      <c r="H223" s="27" t="str">
        <f aca="false">IF($A223="","",IF(차량목록!$E21="",0,차량목록!$E21))</f>
        <v/>
      </c>
      <c r="I223" s="27" t="str">
        <f aca="false">IF(OR($A223="",$D223=0),"",IF($G223="",$H223+$D223,$G223+$D223))</f>
        <v/>
      </c>
      <c r="J223" s="24" t="str">
        <f aca="false">IF($I223="","",$I223-$H223)</f>
        <v/>
      </c>
      <c r="K223" s="26" t="str">
        <f aca="true">IF(OR($A223="",$E223=0),"",IF($F223="",EDATE(TODAY(),$E223),EDATE($F223,$E223)))</f>
        <v/>
      </c>
      <c r="L223" s="28" t="str">
        <f aca="true">IF($K223="","",$K223-TODAY())</f>
        <v/>
      </c>
      <c r="M223" s="28" t="str">
        <f aca="false">IF($A223="","",IF(AND($J223="",$L223=""),"-",IF(OR(AND($J223&lt;&gt;"",$J223&lt;=0),AND($L223&lt;&gt;"",$L223&lt;0)),"교체",IF(OR(AND($J223&lt;&gt;"",$J223&lt;=사용안내!$C$16),AND($L223&lt;&gt;"",$L223&lt;=사용안내!$C$17)),"임박","정상"))))</f>
        <v/>
      </c>
    </row>
    <row r="224" customFormat="false" ht="15" hidden="false" customHeight="true" outlineLevel="0" collapsed="false">
      <c r="A224" s="23" t="str">
        <f aca="false">IF(OR(차량목록!$A21="",정비항목!$A5="",차량목록!$G21="매각"),"",차량목록!$A21)</f>
        <v/>
      </c>
      <c r="B224" s="23" t="str">
        <f aca="false">IF($A224="","",차량목록!$B21)</f>
        <v/>
      </c>
      <c r="C224" s="23" t="str">
        <f aca="false">IF($A224="","",정비항목!$B5)</f>
        <v/>
      </c>
      <c r="D224" s="24" t="str">
        <f aca="false">IF($A224="","",IF(정비항목!$C5="",0,정비항목!$C5))</f>
        <v/>
      </c>
      <c r="E224" s="28" t="str">
        <f aca="false">IF($A224="","",IF(정비항목!$D5="",0,정비항목!$D5))</f>
        <v/>
      </c>
      <c r="F224" s="26" t="str">
        <f aca="false">IF($A224="","",IF(COUNTIFS(정비이력!$B$3:$B$1002,$A224,정비이력!$D$3:$D$1002,정비항목!$A5)=0,"",SUMPRODUCT(MAX((정비이력!$B$3:$B$1002=$A224)*(정비이력!$D$3:$D$1002=정비항목!$A5)*정비이력!$A$3:$A$1002))))</f>
        <v/>
      </c>
      <c r="G224" s="27" t="str">
        <f aca="false">IF($A224="","",IF($F224="","",SUMPRODUCT(MAX((정비이력!$B$3:$B$1002=$A224)*(정비이력!$D$3:$D$1002=정비항목!$A5)*정비이력!$F$3:$F$1002))))</f>
        <v/>
      </c>
      <c r="H224" s="27" t="str">
        <f aca="false">IF($A224="","",IF(차량목록!$E21="",0,차량목록!$E21))</f>
        <v/>
      </c>
      <c r="I224" s="27" t="str">
        <f aca="false">IF(OR($A224="",$D224=0),"",IF($G224="",$H224+$D224,$G224+$D224))</f>
        <v/>
      </c>
      <c r="J224" s="24" t="str">
        <f aca="false">IF($I224="","",$I224-$H224)</f>
        <v/>
      </c>
      <c r="K224" s="26" t="str">
        <f aca="true">IF(OR($A224="",$E224=0),"",IF($F224="",EDATE(TODAY(),$E224),EDATE($F224,$E224)))</f>
        <v/>
      </c>
      <c r="L224" s="28" t="str">
        <f aca="true">IF($K224="","",$K224-TODAY())</f>
        <v/>
      </c>
      <c r="M224" s="28" t="str">
        <f aca="false">IF($A224="","",IF(AND($J224="",$L224=""),"-",IF(OR(AND($J224&lt;&gt;"",$J224&lt;=0),AND($L224&lt;&gt;"",$L224&lt;0)),"교체",IF(OR(AND($J224&lt;&gt;"",$J224&lt;=사용안내!$C$16),AND($L224&lt;&gt;"",$L224&lt;=사용안내!$C$17)),"임박","정상"))))</f>
        <v/>
      </c>
    </row>
    <row r="225" customFormat="false" ht="15" hidden="false" customHeight="true" outlineLevel="0" collapsed="false">
      <c r="A225" s="23" t="str">
        <f aca="false">IF(OR(차량목록!$A21="",정비항목!$A6="",차량목록!$G21="매각"),"",차량목록!$A21)</f>
        <v/>
      </c>
      <c r="B225" s="23" t="str">
        <f aca="false">IF($A225="","",차량목록!$B21)</f>
        <v/>
      </c>
      <c r="C225" s="23" t="str">
        <f aca="false">IF($A225="","",정비항목!$B6)</f>
        <v/>
      </c>
      <c r="D225" s="24" t="str">
        <f aca="false">IF($A225="","",IF(정비항목!$C6="",0,정비항목!$C6))</f>
        <v/>
      </c>
      <c r="E225" s="28" t="str">
        <f aca="false">IF($A225="","",IF(정비항목!$D6="",0,정비항목!$D6))</f>
        <v/>
      </c>
      <c r="F225" s="26" t="str">
        <f aca="false">IF($A225="","",IF(COUNTIFS(정비이력!$B$3:$B$1002,$A225,정비이력!$D$3:$D$1002,정비항목!$A6)=0,"",SUMPRODUCT(MAX((정비이력!$B$3:$B$1002=$A225)*(정비이력!$D$3:$D$1002=정비항목!$A6)*정비이력!$A$3:$A$1002))))</f>
        <v/>
      </c>
      <c r="G225" s="27" t="str">
        <f aca="false">IF($A225="","",IF($F225="","",SUMPRODUCT(MAX((정비이력!$B$3:$B$1002=$A225)*(정비이력!$D$3:$D$1002=정비항목!$A6)*정비이력!$F$3:$F$1002))))</f>
        <v/>
      </c>
      <c r="H225" s="27" t="str">
        <f aca="false">IF($A225="","",IF(차량목록!$E21="",0,차량목록!$E21))</f>
        <v/>
      </c>
      <c r="I225" s="27" t="str">
        <f aca="false">IF(OR($A225="",$D225=0),"",IF($G225="",$H225+$D225,$G225+$D225))</f>
        <v/>
      </c>
      <c r="J225" s="24" t="str">
        <f aca="false">IF($I225="","",$I225-$H225)</f>
        <v/>
      </c>
      <c r="K225" s="26" t="str">
        <f aca="true">IF(OR($A225="",$E225=0),"",IF($F225="",EDATE(TODAY(),$E225),EDATE($F225,$E225)))</f>
        <v/>
      </c>
      <c r="L225" s="28" t="str">
        <f aca="true">IF($K225="","",$K225-TODAY())</f>
        <v/>
      </c>
      <c r="M225" s="28" t="str">
        <f aca="false">IF($A225="","",IF(AND($J225="",$L225=""),"-",IF(OR(AND($J225&lt;&gt;"",$J225&lt;=0),AND($L225&lt;&gt;"",$L225&lt;0)),"교체",IF(OR(AND($J225&lt;&gt;"",$J225&lt;=사용안내!$C$16),AND($L225&lt;&gt;"",$L225&lt;=사용안내!$C$17)),"임박","정상"))))</f>
        <v/>
      </c>
    </row>
    <row r="226" customFormat="false" ht="15" hidden="false" customHeight="true" outlineLevel="0" collapsed="false">
      <c r="A226" s="23" t="str">
        <f aca="false">IF(OR(차량목록!$A21="",정비항목!$A7="",차량목록!$G21="매각"),"",차량목록!$A21)</f>
        <v/>
      </c>
      <c r="B226" s="23" t="str">
        <f aca="false">IF($A226="","",차량목록!$B21)</f>
        <v/>
      </c>
      <c r="C226" s="23" t="str">
        <f aca="false">IF($A226="","",정비항목!$B7)</f>
        <v/>
      </c>
      <c r="D226" s="24" t="str">
        <f aca="false">IF($A226="","",IF(정비항목!$C7="",0,정비항목!$C7))</f>
        <v/>
      </c>
      <c r="E226" s="28" t="str">
        <f aca="false">IF($A226="","",IF(정비항목!$D7="",0,정비항목!$D7))</f>
        <v/>
      </c>
      <c r="F226" s="26" t="str">
        <f aca="false">IF($A226="","",IF(COUNTIFS(정비이력!$B$3:$B$1002,$A226,정비이력!$D$3:$D$1002,정비항목!$A7)=0,"",SUMPRODUCT(MAX((정비이력!$B$3:$B$1002=$A226)*(정비이력!$D$3:$D$1002=정비항목!$A7)*정비이력!$A$3:$A$1002))))</f>
        <v/>
      </c>
      <c r="G226" s="27" t="str">
        <f aca="false">IF($A226="","",IF($F226="","",SUMPRODUCT(MAX((정비이력!$B$3:$B$1002=$A226)*(정비이력!$D$3:$D$1002=정비항목!$A7)*정비이력!$F$3:$F$1002))))</f>
        <v/>
      </c>
      <c r="H226" s="27" t="str">
        <f aca="false">IF($A226="","",IF(차량목록!$E21="",0,차량목록!$E21))</f>
        <v/>
      </c>
      <c r="I226" s="27" t="str">
        <f aca="false">IF(OR($A226="",$D226=0),"",IF($G226="",$H226+$D226,$G226+$D226))</f>
        <v/>
      </c>
      <c r="J226" s="24" t="str">
        <f aca="false">IF($I226="","",$I226-$H226)</f>
        <v/>
      </c>
      <c r="K226" s="26" t="str">
        <f aca="true">IF(OR($A226="",$E226=0),"",IF($F226="",EDATE(TODAY(),$E226),EDATE($F226,$E226)))</f>
        <v/>
      </c>
      <c r="L226" s="28" t="str">
        <f aca="true">IF($K226="","",$K226-TODAY())</f>
        <v/>
      </c>
      <c r="M226" s="28" t="str">
        <f aca="false">IF($A226="","",IF(AND($J226="",$L226=""),"-",IF(OR(AND($J226&lt;&gt;"",$J226&lt;=0),AND($L226&lt;&gt;"",$L226&lt;0)),"교체",IF(OR(AND($J226&lt;&gt;"",$J226&lt;=사용안내!$C$16),AND($L226&lt;&gt;"",$L226&lt;=사용안내!$C$17)),"임박","정상"))))</f>
        <v/>
      </c>
    </row>
    <row r="227" customFormat="false" ht="15" hidden="false" customHeight="true" outlineLevel="0" collapsed="false">
      <c r="A227" s="23" t="str">
        <f aca="false">IF(OR(차량목록!$A21="",정비항목!$A8="",차량목록!$G21="매각"),"",차량목록!$A21)</f>
        <v/>
      </c>
      <c r="B227" s="23" t="str">
        <f aca="false">IF($A227="","",차량목록!$B21)</f>
        <v/>
      </c>
      <c r="C227" s="23" t="str">
        <f aca="false">IF($A227="","",정비항목!$B8)</f>
        <v/>
      </c>
      <c r="D227" s="24" t="str">
        <f aca="false">IF($A227="","",IF(정비항목!$C8="",0,정비항목!$C8))</f>
        <v/>
      </c>
      <c r="E227" s="28" t="str">
        <f aca="false">IF($A227="","",IF(정비항목!$D8="",0,정비항목!$D8))</f>
        <v/>
      </c>
      <c r="F227" s="26" t="str">
        <f aca="false">IF($A227="","",IF(COUNTIFS(정비이력!$B$3:$B$1002,$A227,정비이력!$D$3:$D$1002,정비항목!$A8)=0,"",SUMPRODUCT(MAX((정비이력!$B$3:$B$1002=$A227)*(정비이력!$D$3:$D$1002=정비항목!$A8)*정비이력!$A$3:$A$1002))))</f>
        <v/>
      </c>
      <c r="G227" s="27" t="str">
        <f aca="false">IF($A227="","",IF($F227="","",SUMPRODUCT(MAX((정비이력!$B$3:$B$1002=$A227)*(정비이력!$D$3:$D$1002=정비항목!$A8)*정비이력!$F$3:$F$1002))))</f>
        <v/>
      </c>
      <c r="H227" s="27" t="str">
        <f aca="false">IF($A227="","",IF(차량목록!$E21="",0,차량목록!$E21))</f>
        <v/>
      </c>
      <c r="I227" s="27" t="str">
        <f aca="false">IF(OR($A227="",$D227=0),"",IF($G227="",$H227+$D227,$G227+$D227))</f>
        <v/>
      </c>
      <c r="J227" s="24" t="str">
        <f aca="false">IF($I227="","",$I227-$H227)</f>
        <v/>
      </c>
      <c r="K227" s="26" t="str">
        <f aca="true">IF(OR($A227="",$E227=0),"",IF($F227="",EDATE(TODAY(),$E227),EDATE($F227,$E227)))</f>
        <v/>
      </c>
      <c r="L227" s="28" t="str">
        <f aca="true">IF($K227="","",$K227-TODAY())</f>
        <v/>
      </c>
      <c r="M227" s="28" t="str">
        <f aca="false">IF($A227="","",IF(AND($J227="",$L227=""),"-",IF(OR(AND($J227&lt;&gt;"",$J227&lt;=0),AND($L227&lt;&gt;"",$L227&lt;0)),"교체",IF(OR(AND($J227&lt;&gt;"",$J227&lt;=사용안내!$C$16),AND($L227&lt;&gt;"",$L227&lt;=사용안내!$C$17)),"임박","정상"))))</f>
        <v/>
      </c>
    </row>
    <row r="228" customFormat="false" ht="15" hidden="false" customHeight="true" outlineLevel="0" collapsed="false">
      <c r="A228" s="23" t="str">
        <f aca="false">IF(OR(차량목록!$A21="",정비항목!$A9="",차량목록!$G21="매각"),"",차량목록!$A21)</f>
        <v/>
      </c>
      <c r="B228" s="23" t="str">
        <f aca="false">IF($A228="","",차량목록!$B21)</f>
        <v/>
      </c>
      <c r="C228" s="23" t="str">
        <f aca="false">IF($A228="","",정비항목!$B9)</f>
        <v/>
      </c>
      <c r="D228" s="24" t="str">
        <f aca="false">IF($A228="","",IF(정비항목!$C9="",0,정비항목!$C9))</f>
        <v/>
      </c>
      <c r="E228" s="28" t="str">
        <f aca="false">IF($A228="","",IF(정비항목!$D9="",0,정비항목!$D9))</f>
        <v/>
      </c>
      <c r="F228" s="26" t="str">
        <f aca="false">IF($A228="","",IF(COUNTIFS(정비이력!$B$3:$B$1002,$A228,정비이력!$D$3:$D$1002,정비항목!$A9)=0,"",SUMPRODUCT(MAX((정비이력!$B$3:$B$1002=$A228)*(정비이력!$D$3:$D$1002=정비항목!$A9)*정비이력!$A$3:$A$1002))))</f>
        <v/>
      </c>
      <c r="G228" s="27" t="str">
        <f aca="false">IF($A228="","",IF($F228="","",SUMPRODUCT(MAX((정비이력!$B$3:$B$1002=$A228)*(정비이력!$D$3:$D$1002=정비항목!$A9)*정비이력!$F$3:$F$1002))))</f>
        <v/>
      </c>
      <c r="H228" s="27" t="str">
        <f aca="false">IF($A228="","",IF(차량목록!$E21="",0,차량목록!$E21))</f>
        <v/>
      </c>
      <c r="I228" s="27" t="str">
        <f aca="false">IF(OR($A228="",$D228=0),"",IF($G228="",$H228+$D228,$G228+$D228))</f>
        <v/>
      </c>
      <c r="J228" s="24" t="str">
        <f aca="false">IF($I228="","",$I228-$H228)</f>
        <v/>
      </c>
      <c r="K228" s="26" t="str">
        <f aca="true">IF(OR($A228="",$E228=0),"",IF($F228="",EDATE(TODAY(),$E228),EDATE($F228,$E228)))</f>
        <v/>
      </c>
      <c r="L228" s="28" t="str">
        <f aca="true">IF($K228="","",$K228-TODAY())</f>
        <v/>
      </c>
      <c r="M228" s="28" t="str">
        <f aca="false">IF($A228="","",IF(AND($J228="",$L228=""),"-",IF(OR(AND($J228&lt;&gt;"",$J228&lt;=0),AND($L228&lt;&gt;"",$L228&lt;0)),"교체",IF(OR(AND($J228&lt;&gt;"",$J228&lt;=사용안내!$C$16),AND($L228&lt;&gt;"",$L228&lt;=사용안내!$C$17)),"임박","정상"))))</f>
        <v/>
      </c>
    </row>
    <row r="229" customFormat="false" ht="15" hidden="false" customHeight="true" outlineLevel="0" collapsed="false">
      <c r="A229" s="23" t="str">
        <f aca="false">IF(OR(차량목록!$A21="",정비항목!$A10="",차량목록!$G21="매각"),"",차량목록!$A21)</f>
        <v/>
      </c>
      <c r="B229" s="23" t="str">
        <f aca="false">IF($A229="","",차량목록!$B21)</f>
        <v/>
      </c>
      <c r="C229" s="23" t="str">
        <f aca="false">IF($A229="","",정비항목!$B10)</f>
        <v/>
      </c>
      <c r="D229" s="24" t="str">
        <f aca="false">IF($A229="","",IF(정비항목!$C10="",0,정비항목!$C10))</f>
        <v/>
      </c>
      <c r="E229" s="28" t="str">
        <f aca="false">IF($A229="","",IF(정비항목!$D10="",0,정비항목!$D10))</f>
        <v/>
      </c>
      <c r="F229" s="26" t="str">
        <f aca="false">IF($A229="","",IF(COUNTIFS(정비이력!$B$3:$B$1002,$A229,정비이력!$D$3:$D$1002,정비항목!$A10)=0,"",SUMPRODUCT(MAX((정비이력!$B$3:$B$1002=$A229)*(정비이력!$D$3:$D$1002=정비항목!$A10)*정비이력!$A$3:$A$1002))))</f>
        <v/>
      </c>
      <c r="G229" s="27" t="str">
        <f aca="false">IF($A229="","",IF($F229="","",SUMPRODUCT(MAX((정비이력!$B$3:$B$1002=$A229)*(정비이력!$D$3:$D$1002=정비항목!$A10)*정비이력!$F$3:$F$1002))))</f>
        <v/>
      </c>
      <c r="H229" s="27" t="str">
        <f aca="false">IF($A229="","",IF(차량목록!$E21="",0,차량목록!$E21))</f>
        <v/>
      </c>
      <c r="I229" s="27" t="str">
        <f aca="false">IF(OR($A229="",$D229=0),"",IF($G229="",$H229+$D229,$G229+$D229))</f>
        <v/>
      </c>
      <c r="J229" s="24" t="str">
        <f aca="false">IF($I229="","",$I229-$H229)</f>
        <v/>
      </c>
      <c r="K229" s="26" t="str">
        <f aca="true">IF(OR($A229="",$E229=0),"",IF($F229="",EDATE(TODAY(),$E229),EDATE($F229,$E229)))</f>
        <v/>
      </c>
      <c r="L229" s="28" t="str">
        <f aca="true">IF($K229="","",$K229-TODAY())</f>
        <v/>
      </c>
      <c r="M229" s="28" t="str">
        <f aca="false">IF($A229="","",IF(AND($J229="",$L229=""),"-",IF(OR(AND($J229&lt;&gt;"",$J229&lt;=0),AND($L229&lt;&gt;"",$L229&lt;0)),"교체",IF(OR(AND($J229&lt;&gt;"",$J229&lt;=사용안내!$C$16),AND($L229&lt;&gt;"",$L229&lt;=사용안내!$C$17)),"임박","정상"))))</f>
        <v/>
      </c>
    </row>
    <row r="230" customFormat="false" ht="15" hidden="false" customHeight="true" outlineLevel="0" collapsed="false">
      <c r="A230" s="23" t="str">
        <f aca="false">IF(OR(차량목록!$A21="",정비항목!$A11="",차량목록!$G21="매각"),"",차량목록!$A21)</f>
        <v/>
      </c>
      <c r="B230" s="23" t="str">
        <f aca="false">IF($A230="","",차량목록!$B21)</f>
        <v/>
      </c>
      <c r="C230" s="23" t="str">
        <f aca="false">IF($A230="","",정비항목!$B11)</f>
        <v/>
      </c>
      <c r="D230" s="24" t="str">
        <f aca="false">IF($A230="","",IF(정비항목!$C11="",0,정비항목!$C11))</f>
        <v/>
      </c>
      <c r="E230" s="28" t="str">
        <f aca="false">IF($A230="","",IF(정비항목!$D11="",0,정비항목!$D11))</f>
        <v/>
      </c>
      <c r="F230" s="26" t="str">
        <f aca="false">IF($A230="","",IF(COUNTIFS(정비이력!$B$3:$B$1002,$A230,정비이력!$D$3:$D$1002,정비항목!$A11)=0,"",SUMPRODUCT(MAX((정비이력!$B$3:$B$1002=$A230)*(정비이력!$D$3:$D$1002=정비항목!$A11)*정비이력!$A$3:$A$1002))))</f>
        <v/>
      </c>
      <c r="G230" s="27" t="str">
        <f aca="false">IF($A230="","",IF($F230="","",SUMPRODUCT(MAX((정비이력!$B$3:$B$1002=$A230)*(정비이력!$D$3:$D$1002=정비항목!$A11)*정비이력!$F$3:$F$1002))))</f>
        <v/>
      </c>
      <c r="H230" s="27" t="str">
        <f aca="false">IF($A230="","",IF(차량목록!$E21="",0,차량목록!$E21))</f>
        <v/>
      </c>
      <c r="I230" s="27" t="str">
        <f aca="false">IF(OR($A230="",$D230=0),"",IF($G230="",$H230+$D230,$G230+$D230))</f>
        <v/>
      </c>
      <c r="J230" s="24" t="str">
        <f aca="false">IF($I230="","",$I230-$H230)</f>
        <v/>
      </c>
      <c r="K230" s="26" t="str">
        <f aca="true">IF(OR($A230="",$E230=0),"",IF($F230="",EDATE(TODAY(),$E230),EDATE($F230,$E230)))</f>
        <v/>
      </c>
      <c r="L230" s="28" t="str">
        <f aca="true">IF($K230="","",$K230-TODAY())</f>
        <v/>
      </c>
      <c r="M230" s="28" t="str">
        <f aca="false">IF($A230="","",IF(AND($J230="",$L230=""),"-",IF(OR(AND($J230&lt;&gt;"",$J230&lt;=0),AND($L230&lt;&gt;"",$L230&lt;0)),"교체",IF(OR(AND($J230&lt;&gt;"",$J230&lt;=사용안내!$C$16),AND($L230&lt;&gt;"",$L230&lt;=사용안내!$C$17)),"임박","정상"))))</f>
        <v/>
      </c>
    </row>
    <row r="231" customFormat="false" ht="15" hidden="false" customHeight="true" outlineLevel="0" collapsed="false">
      <c r="A231" s="23" t="str">
        <f aca="false">IF(OR(차량목록!$A21="",정비항목!$A12="",차량목록!$G21="매각"),"",차량목록!$A21)</f>
        <v/>
      </c>
      <c r="B231" s="23" t="str">
        <f aca="false">IF($A231="","",차량목록!$B21)</f>
        <v/>
      </c>
      <c r="C231" s="23" t="str">
        <f aca="false">IF($A231="","",정비항목!$B12)</f>
        <v/>
      </c>
      <c r="D231" s="24" t="str">
        <f aca="false">IF($A231="","",IF(정비항목!$C12="",0,정비항목!$C12))</f>
        <v/>
      </c>
      <c r="E231" s="28" t="str">
        <f aca="false">IF($A231="","",IF(정비항목!$D12="",0,정비항목!$D12))</f>
        <v/>
      </c>
      <c r="F231" s="26" t="str">
        <f aca="false">IF($A231="","",IF(COUNTIFS(정비이력!$B$3:$B$1002,$A231,정비이력!$D$3:$D$1002,정비항목!$A12)=0,"",SUMPRODUCT(MAX((정비이력!$B$3:$B$1002=$A231)*(정비이력!$D$3:$D$1002=정비항목!$A12)*정비이력!$A$3:$A$1002))))</f>
        <v/>
      </c>
      <c r="G231" s="27" t="str">
        <f aca="false">IF($A231="","",IF($F231="","",SUMPRODUCT(MAX((정비이력!$B$3:$B$1002=$A231)*(정비이력!$D$3:$D$1002=정비항목!$A12)*정비이력!$F$3:$F$1002))))</f>
        <v/>
      </c>
      <c r="H231" s="27" t="str">
        <f aca="false">IF($A231="","",IF(차량목록!$E21="",0,차량목록!$E21))</f>
        <v/>
      </c>
      <c r="I231" s="27" t="str">
        <f aca="false">IF(OR($A231="",$D231=0),"",IF($G231="",$H231+$D231,$G231+$D231))</f>
        <v/>
      </c>
      <c r="J231" s="24" t="str">
        <f aca="false">IF($I231="","",$I231-$H231)</f>
        <v/>
      </c>
      <c r="K231" s="26" t="str">
        <f aca="true">IF(OR($A231="",$E231=0),"",IF($F231="",EDATE(TODAY(),$E231),EDATE($F231,$E231)))</f>
        <v/>
      </c>
      <c r="L231" s="28" t="str">
        <f aca="true">IF($K231="","",$K231-TODAY())</f>
        <v/>
      </c>
      <c r="M231" s="28" t="str">
        <f aca="false">IF($A231="","",IF(AND($J231="",$L231=""),"-",IF(OR(AND($J231&lt;&gt;"",$J231&lt;=0),AND($L231&lt;&gt;"",$L231&lt;0)),"교체",IF(OR(AND($J231&lt;&gt;"",$J231&lt;=사용안내!$C$16),AND($L231&lt;&gt;"",$L231&lt;=사용안내!$C$17)),"임박","정상"))))</f>
        <v/>
      </c>
    </row>
    <row r="232" customFormat="false" ht="15" hidden="false" customHeight="true" outlineLevel="0" collapsed="false">
      <c r="A232" s="23" t="str">
        <f aca="false">IF(OR(차량목록!$A21="",정비항목!$A13="",차량목록!$G21="매각"),"",차량목록!$A21)</f>
        <v/>
      </c>
      <c r="B232" s="23" t="str">
        <f aca="false">IF($A232="","",차량목록!$B21)</f>
        <v/>
      </c>
      <c r="C232" s="23" t="str">
        <f aca="false">IF($A232="","",정비항목!$B13)</f>
        <v/>
      </c>
      <c r="D232" s="24" t="str">
        <f aca="false">IF($A232="","",IF(정비항목!$C13="",0,정비항목!$C13))</f>
        <v/>
      </c>
      <c r="E232" s="28" t="str">
        <f aca="false">IF($A232="","",IF(정비항목!$D13="",0,정비항목!$D13))</f>
        <v/>
      </c>
      <c r="F232" s="26" t="str">
        <f aca="false">IF($A232="","",IF(COUNTIFS(정비이력!$B$3:$B$1002,$A232,정비이력!$D$3:$D$1002,정비항목!$A13)=0,"",SUMPRODUCT(MAX((정비이력!$B$3:$B$1002=$A232)*(정비이력!$D$3:$D$1002=정비항목!$A13)*정비이력!$A$3:$A$1002))))</f>
        <v/>
      </c>
      <c r="G232" s="27" t="str">
        <f aca="false">IF($A232="","",IF($F232="","",SUMPRODUCT(MAX((정비이력!$B$3:$B$1002=$A232)*(정비이력!$D$3:$D$1002=정비항목!$A13)*정비이력!$F$3:$F$1002))))</f>
        <v/>
      </c>
      <c r="H232" s="27" t="str">
        <f aca="false">IF($A232="","",IF(차량목록!$E21="",0,차량목록!$E21))</f>
        <v/>
      </c>
      <c r="I232" s="27" t="str">
        <f aca="false">IF(OR($A232="",$D232=0),"",IF($G232="",$H232+$D232,$G232+$D232))</f>
        <v/>
      </c>
      <c r="J232" s="24" t="str">
        <f aca="false">IF($I232="","",$I232-$H232)</f>
        <v/>
      </c>
      <c r="K232" s="26" t="str">
        <f aca="true">IF(OR($A232="",$E232=0),"",IF($F232="",EDATE(TODAY(),$E232),EDATE($F232,$E232)))</f>
        <v/>
      </c>
      <c r="L232" s="28" t="str">
        <f aca="true">IF($K232="","",$K232-TODAY())</f>
        <v/>
      </c>
      <c r="M232" s="28" t="str">
        <f aca="false">IF($A232="","",IF(AND($J232="",$L232=""),"-",IF(OR(AND($J232&lt;&gt;"",$J232&lt;=0),AND($L232&lt;&gt;"",$L232&lt;0)),"교체",IF(OR(AND($J232&lt;&gt;"",$J232&lt;=사용안내!$C$16),AND($L232&lt;&gt;"",$L232&lt;=사용안내!$C$17)),"임박","정상"))))</f>
        <v/>
      </c>
    </row>
    <row r="233" customFormat="false" ht="15" hidden="false" customHeight="true" outlineLevel="0" collapsed="false">
      <c r="A233" s="23" t="str">
        <f aca="false">IF(OR(차량목록!$A21="",정비항목!$A14="",차량목록!$G21="매각"),"",차량목록!$A21)</f>
        <v/>
      </c>
      <c r="B233" s="23" t="str">
        <f aca="false">IF($A233="","",차량목록!$B21)</f>
        <v/>
      </c>
      <c r="C233" s="23" t="str">
        <f aca="false">IF($A233="","",정비항목!$B14)</f>
        <v/>
      </c>
      <c r="D233" s="24" t="str">
        <f aca="false">IF($A233="","",IF(정비항목!$C14="",0,정비항목!$C14))</f>
        <v/>
      </c>
      <c r="E233" s="28" t="str">
        <f aca="false">IF($A233="","",IF(정비항목!$D14="",0,정비항목!$D14))</f>
        <v/>
      </c>
      <c r="F233" s="26" t="str">
        <f aca="false">IF($A233="","",IF(COUNTIFS(정비이력!$B$3:$B$1002,$A233,정비이력!$D$3:$D$1002,정비항목!$A14)=0,"",SUMPRODUCT(MAX((정비이력!$B$3:$B$1002=$A233)*(정비이력!$D$3:$D$1002=정비항목!$A14)*정비이력!$A$3:$A$1002))))</f>
        <v/>
      </c>
      <c r="G233" s="27" t="str">
        <f aca="false">IF($A233="","",IF($F233="","",SUMPRODUCT(MAX((정비이력!$B$3:$B$1002=$A233)*(정비이력!$D$3:$D$1002=정비항목!$A14)*정비이력!$F$3:$F$1002))))</f>
        <v/>
      </c>
      <c r="H233" s="27" t="str">
        <f aca="false">IF($A233="","",IF(차량목록!$E21="",0,차량목록!$E21))</f>
        <v/>
      </c>
      <c r="I233" s="27" t="str">
        <f aca="false">IF(OR($A233="",$D233=0),"",IF($G233="",$H233+$D233,$G233+$D233))</f>
        <v/>
      </c>
      <c r="J233" s="24" t="str">
        <f aca="false">IF($I233="","",$I233-$H233)</f>
        <v/>
      </c>
      <c r="K233" s="26" t="str">
        <f aca="true">IF(OR($A233="",$E233=0),"",IF($F233="",EDATE(TODAY(),$E233),EDATE($F233,$E233)))</f>
        <v/>
      </c>
      <c r="L233" s="28" t="str">
        <f aca="true">IF($K233="","",$K233-TODAY())</f>
        <v/>
      </c>
      <c r="M233" s="28" t="str">
        <f aca="false">IF($A233="","",IF(AND($J233="",$L233=""),"-",IF(OR(AND($J233&lt;&gt;"",$J233&lt;=0),AND($L233&lt;&gt;"",$L233&lt;0)),"교체",IF(OR(AND($J233&lt;&gt;"",$J233&lt;=사용안내!$C$16),AND($L233&lt;&gt;"",$L233&lt;=사용안내!$C$17)),"임박","정상"))))</f>
        <v/>
      </c>
    </row>
    <row r="234" customFormat="false" ht="15" hidden="false" customHeight="true" outlineLevel="0" collapsed="false">
      <c r="A234" s="23" t="str">
        <f aca="false">IF(OR(차량목록!$A22="",정비항목!$A3="",차량목록!$G22="매각"),"",차량목록!$A22)</f>
        <v/>
      </c>
      <c r="B234" s="23" t="str">
        <f aca="false">IF($A234="","",차량목록!$B22)</f>
        <v/>
      </c>
      <c r="C234" s="23" t="str">
        <f aca="false">IF($A234="","",정비항목!$B3)</f>
        <v/>
      </c>
      <c r="D234" s="24" t="str">
        <f aca="false">IF($A234="","",IF(정비항목!$C3="",0,정비항목!$C3))</f>
        <v/>
      </c>
      <c r="E234" s="28" t="str">
        <f aca="false">IF($A234="","",IF(정비항목!$D3="",0,정비항목!$D3))</f>
        <v/>
      </c>
      <c r="F234" s="26" t="str">
        <f aca="false">IF($A234="","",IF(COUNTIFS(정비이력!$B$3:$B$1002,$A234,정비이력!$D$3:$D$1002,정비항목!$A3)=0,"",SUMPRODUCT(MAX((정비이력!$B$3:$B$1002=$A234)*(정비이력!$D$3:$D$1002=정비항목!$A3)*정비이력!$A$3:$A$1002))))</f>
        <v/>
      </c>
      <c r="G234" s="27" t="str">
        <f aca="false">IF($A234="","",IF($F234="","",SUMPRODUCT(MAX((정비이력!$B$3:$B$1002=$A234)*(정비이력!$D$3:$D$1002=정비항목!$A3)*정비이력!$F$3:$F$1002))))</f>
        <v/>
      </c>
      <c r="H234" s="27" t="str">
        <f aca="false">IF($A234="","",IF(차량목록!$E22="",0,차량목록!$E22))</f>
        <v/>
      </c>
      <c r="I234" s="27" t="str">
        <f aca="false">IF(OR($A234="",$D234=0),"",IF($G234="",$H234+$D234,$G234+$D234))</f>
        <v/>
      </c>
      <c r="J234" s="24" t="str">
        <f aca="false">IF($I234="","",$I234-$H234)</f>
        <v/>
      </c>
      <c r="K234" s="26" t="str">
        <f aca="true">IF(OR($A234="",$E234=0),"",IF($F234="",EDATE(TODAY(),$E234),EDATE($F234,$E234)))</f>
        <v/>
      </c>
      <c r="L234" s="28" t="str">
        <f aca="true">IF($K234="","",$K234-TODAY())</f>
        <v/>
      </c>
      <c r="M234" s="28" t="str">
        <f aca="false">IF($A234="","",IF(AND($J234="",$L234=""),"-",IF(OR(AND($J234&lt;&gt;"",$J234&lt;=0),AND($L234&lt;&gt;"",$L234&lt;0)),"교체",IF(OR(AND($J234&lt;&gt;"",$J234&lt;=사용안내!$C$16),AND($L234&lt;&gt;"",$L234&lt;=사용안내!$C$17)),"임박","정상"))))</f>
        <v/>
      </c>
    </row>
    <row r="235" customFormat="false" ht="15" hidden="false" customHeight="true" outlineLevel="0" collapsed="false">
      <c r="A235" s="23" t="str">
        <f aca="false">IF(OR(차량목록!$A22="",정비항목!$A4="",차량목록!$G22="매각"),"",차량목록!$A22)</f>
        <v/>
      </c>
      <c r="B235" s="23" t="str">
        <f aca="false">IF($A235="","",차량목록!$B22)</f>
        <v/>
      </c>
      <c r="C235" s="23" t="str">
        <f aca="false">IF($A235="","",정비항목!$B4)</f>
        <v/>
      </c>
      <c r="D235" s="24" t="str">
        <f aca="false">IF($A235="","",IF(정비항목!$C4="",0,정비항목!$C4))</f>
        <v/>
      </c>
      <c r="E235" s="28" t="str">
        <f aca="false">IF($A235="","",IF(정비항목!$D4="",0,정비항목!$D4))</f>
        <v/>
      </c>
      <c r="F235" s="26" t="str">
        <f aca="false">IF($A235="","",IF(COUNTIFS(정비이력!$B$3:$B$1002,$A235,정비이력!$D$3:$D$1002,정비항목!$A4)=0,"",SUMPRODUCT(MAX((정비이력!$B$3:$B$1002=$A235)*(정비이력!$D$3:$D$1002=정비항목!$A4)*정비이력!$A$3:$A$1002))))</f>
        <v/>
      </c>
      <c r="G235" s="27" t="str">
        <f aca="false">IF($A235="","",IF($F235="","",SUMPRODUCT(MAX((정비이력!$B$3:$B$1002=$A235)*(정비이력!$D$3:$D$1002=정비항목!$A4)*정비이력!$F$3:$F$1002))))</f>
        <v/>
      </c>
      <c r="H235" s="27" t="str">
        <f aca="false">IF($A235="","",IF(차량목록!$E22="",0,차량목록!$E22))</f>
        <v/>
      </c>
      <c r="I235" s="27" t="str">
        <f aca="false">IF(OR($A235="",$D235=0),"",IF($G235="",$H235+$D235,$G235+$D235))</f>
        <v/>
      </c>
      <c r="J235" s="24" t="str">
        <f aca="false">IF($I235="","",$I235-$H235)</f>
        <v/>
      </c>
      <c r="K235" s="26" t="str">
        <f aca="true">IF(OR($A235="",$E235=0),"",IF($F235="",EDATE(TODAY(),$E235),EDATE($F235,$E235)))</f>
        <v/>
      </c>
      <c r="L235" s="28" t="str">
        <f aca="true">IF($K235="","",$K235-TODAY())</f>
        <v/>
      </c>
      <c r="M235" s="28" t="str">
        <f aca="false">IF($A235="","",IF(AND($J235="",$L235=""),"-",IF(OR(AND($J235&lt;&gt;"",$J235&lt;=0),AND($L235&lt;&gt;"",$L235&lt;0)),"교체",IF(OR(AND($J235&lt;&gt;"",$J235&lt;=사용안내!$C$16),AND($L235&lt;&gt;"",$L235&lt;=사용안내!$C$17)),"임박","정상"))))</f>
        <v/>
      </c>
    </row>
    <row r="236" customFormat="false" ht="15" hidden="false" customHeight="true" outlineLevel="0" collapsed="false">
      <c r="A236" s="23" t="str">
        <f aca="false">IF(OR(차량목록!$A22="",정비항목!$A5="",차량목록!$G22="매각"),"",차량목록!$A22)</f>
        <v/>
      </c>
      <c r="B236" s="23" t="str">
        <f aca="false">IF($A236="","",차량목록!$B22)</f>
        <v/>
      </c>
      <c r="C236" s="23" t="str">
        <f aca="false">IF($A236="","",정비항목!$B5)</f>
        <v/>
      </c>
      <c r="D236" s="24" t="str">
        <f aca="false">IF($A236="","",IF(정비항목!$C5="",0,정비항목!$C5))</f>
        <v/>
      </c>
      <c r="E236" s="28" t="str">
        <f aca="false">IF($A236="","",IF(정비항목!$D5="",0,정비항목!$D5))</f>
        <v/>
      </c>
      <c r="F236" s="26" t="str">
        <f aca="false">IF($A236="","",IF(COUNTIFS(정비이력!$B$3:$B$1002,$A236,정비이력!$D$3:$D$1002,정비항목!$A5)=0,"",SUMPRODUCT(MAX((정비이력!$B$3:$B$1002=$A236)*(정비이력!$D$3:$D$1002=정비항목!$A5)*정비이력!$A$3:$A$1002))))</f>
        <v/>
      </c>
      <c r="G236" s="27" t="str">
        <f aca="false">IF($A236="","",IF($F236="","",SUMPRODUCT(MAX((정비이력!$B$3:$B$1002=$A236)*(정비이력!$D$3:$D$1002=정비항목!$A5)*정비이력!$F$3:$F$1002))))</f>
        <v/>
      </c>
      <c r="H236" s="27" t="str">
        <f aca="false">IF($A236="","",IF(차량목록!$E22="",0,차량목록!$E22))</f>
        <v/>
      </c>
      <c r="I236" s="27" t="str">
        <f aca="false">IF(OR($A236="",$D236=0),"",IF($G236="",$H236+$D236,$G236+$D236))</f>
        <v/>
      </c>
      <c r="J236" s="24" t="str">
        <f aca="false">IF($I236="","",$I236-$H236)</f>
        <v/>
      </c>
      <c r="K236" s="26" t="str">
        <f aca="true">IF(OR($A236="",$E236=0),"",IF($F236="",EDATE(TODAY(),$E236),EDATE($F236,$E236)))</f>
        <v/>
      </c>
      <c r="L236" s="28" t="str">
        <f aca="true">IF($K236="","",$K236-TODAY())</f>
        <v/>
      </c>
      <c r="M236" s="28" t="str">
        <f aca="false">IF($A236="","",IF(AND($J236="",$L236=""),"-",IF(OR(AND($J236&lt;&gt;"",$J236&lt;=0),AND($L236&lt;&gt;"",$L236&lt;0)),"교체",IF(OR(AND($J236&lt;&gt;"",$J236&lt;=사용안내!$C$16),AND($L236&lt;&gt;"",$L236&lt;=사용안내!$C$17)),"임박","정상"))))</f>
        <v/>
      </c>
    </row>
    <row r="237" customFormat="false" ht="15" hidden="false" customHeight="true" outlineLevel="0" collapsed="false">
      <c r="A237" s="23" t="str">
        <f aca="false">IF(OR(차량목록!$A22="",정비항목!$A6="",차량목록!$G22="매각"),"",차량목록!$A22)</f>
        <v/>
      </c>
      <c r="B237" s="23" t="str">
        <f aca="false">IF($A237="","",차량목록!$B22)</f>
        <v/>
      </c>
      <c r="C237" s="23" t="str">
        <f aca="false">IF($A237="","",정비항목!$B6)</f>
        <v/>
      </c>
      <c r="D237" s="24" t="str">
        <f aca="false">IF($A237="","",IF(정비항목!$C6="",0,정비항목!$C6))</f>
        <v/>
      </c>
      <c r="E237" s="28" t="str">
        <f aca="false">IF($A237="","",IF(정비항목!$D6="",0,정비항목!$D6))</f>
        <v/>
      </c>
      <c r="F237" s="26" t="str">
        <f aca="false">IF($A237="","",IF(COUNTIFS(정비이력!$B$3:$B$1002,$A237,정비이력!$D$3:$D$1002,정비항목!$A6)=0,"",SUMPRODUCT(MAX((정비이력!$B$3:$B$1002=$A237)*(정비이력!$D$3:$D$1002=정비항목!$A6)*정비이력!$A$3:$A$1002))))</f>
        <v/>
      </c>
      <c r="G237" s="27" t="str">
        <f aca="false">IF($A237="","",IF($F237="","",SUMPRODUCT(MAX((정비이력!$B$3:$B$1002=$A237)*(정비이력!$D$3:$D$1002=정비항목!$A6)*정비이력!$F$3:$F$1002))))</f>
        <v/>
      </c>
      <c r="H237" s="27" t="str">
        <f aca="false">IF($A237="","",IF(차량목록!$E22="",0,차량목록!$E22))</f>
        <v/>
      </c>
      <c r="I237" s="27" t="str">
        <f aca="false">IF(OR($A237="",$D237=0),"",IF($G237="",$H237+$D237,$G237+$D237))</f>
        <v/>
      </c>
      <c r="J237" s="24" t="str">
        <f aca="false">IF($I237="","",$I237-$H237)</f>
        <v/>
      </c>
      <c r="K237" s="26" t="str">
        <f aca="true">IF(OR($A237="",$E237=0),"",IF($F237="",EDATE(TODAY(),$E237),EDATE($F237,$E237)))</f>
        <v/>
      </c>
      <c r="L237" s="28" t="str">
        <f aca="true">IF($K237="","",$K237-TODAY())</f>
        <v/>
      </c>
      <c r="M237" s="28" t="str">
        <f aca="false">IF($A237="","",IF(AND($J237="",$L237=""),"-",IF(OR(AND($J237&lt;&gt;"",$J237&lt;=0),AND($L237&lt;&gt;"",$L237&lt;0)),"교체",IF(OR(AND($J237&lt;&gt;"",$J237&lt;=사용안내!$C$16),AND($L237&lt;&gt;"",$L237&lt;=사용안내!$C$17)),"임박","정상"))))</f>
        <v/>
      </c>
    </row>
    <row r="238" customFormat="false" ht="15" hidden="false" customHeight="true" outlineLevel="0" collapsed="false">
      <c r="A238" s="23" t="str">
        <f aca="false">IF(OR(차량목록!$A22="",정비항목!$A7="",차량목록!$G22="매각"),"",차량목록!$A22)</f>
        <v/>
      </c>
      <c r="B238" s="23" t="str">
        <f aca="false">IF($A238="","",차량목록!$B22)</f>
        <v/>
      </c>
      <c r="C238" s="23" t="str">
        <f aca="false">IF($A238="","",정비항목!$B7)</f>
        <v/>
      </c>
      <c r="D238" s="24" t="str">
        <f aca="false">IF($A238="","",IF(정비항목!$C7="",0,정비항목!$C7))</f>
        <v/>
      </c>
      <c r="E238" s="28" t="str">
        <f aca="false">IF($A238="","",IF(정비항목!$D7="",0,정비항목!$D7))</f>
        <v/>
      </c>
      <c r="F238" s="26" t="str">
        <f aca="false">IF($A238="","",IF(COUNTIFS(정비이력!$B$3:$B$1002,$A238,정비이력!$D$3:$D$1002,정비항목!$A7)=0,"",SUMPRODUCT(MAX((정비이력!$B$3:$B$1002=$A238)*(정비이력!$D$3:$D$1002=정비항목!$A7)*정비이력!$A$3:$A$1002))))</f>
        <v/>
      </c>
      <c r="G238" s="27" t="str">
        <f aca="false">IF($A238="","",IF($F238="","",SUMPRODUCT(MAX((정비이력!$B$3:$B$1002=$A238)*(정비이력!$D$3:$D$1002=정비항목!$A7)*정비이력!$F$3:$F$1002))))</f>
        <v/>
      </c>
      <c r="H238" s="27" t="str">
        <f aca="false">IF($A238="","",IF(차량목록!$E22="",0,차량목록!$E22))</f>
        <v/>
      </c>
      <c r="I238" s="27" t="str">
        <f aca="false">IF(OR($A238="",$D238=0),"",IF($G238="",$H238+$D238,$G238+$D238))</f>
        <v/>
      </c>
      <c r="J238" s="24" t="str">
        <f aca="false">IF($I238="","",$I238-$H238)</f>
        <v/>
      </c>
      <c r="K238" s="26" t="str">
        <f aca="true">IF(OR($A238="",$E238=0),"",IF($F238="",EDATE(TODAY(),$E238),EDATE($F238,$E238)))</f>
        <v/>
      </c>
      <c r="L238" s="28" t="str">
        <f aca="true">IF($K238="","",$K238-TODAY())</f>
        <v/>
      </c>
      <c r="M238" s="28" t="str">
        <f aca="false">IF($A238="","",IF(AND($J238="",$L238=""),"-",IF(OR(AND($J238&lt;&gt;"",$J238&lt;=0),AND($L238&lt;&gt;"",$L238&lt;0)),"교체",IF(OR(AND($J238&lt;&gt;"",$J238&lt;=사용안내!$C$16),AND($L238&lt;&gt;"",$L238&lt;=사용안내!$C$17)),"임박","정상"))))</f>
        <v/>
      </c>
    </row>
    <row r="239" customFormat="false" ht="15" hidden="false" customHeight="true" outlineLevel="0" collapsed="false">
      <c r="A239" s="23" t="str">
        <f aca="false">IF(OR(차량목록!$A22="",정비항목!$A8="",차량목록!$G22="매각"),"",차량목록!$A22)</f>
        <v/>
      </c>
      <c r="B239" s="23" t="str">
        <f aca="false">IF($A239="","",차량목록!$B22)</f>
        <v/>
      </c>
      <c r="C239" s="23" t="str">
        <f aca="false">IF($A239="","",정비항목!$B8)</f>
        <v/>
      </c>
      <c r="D239" s="24" t="str">
        <f aca="false">IF($A239="","",IF(정비항목!$C8="",0,정비항목!$C8))</f>
        <v/>
      </c>
      <c r="E239" s="28" t="str">
        <f aca="false">IF($A239="","",IF(정비항목!$D8="",0,정비항목!$D8))</f>
        <v/>
      </c>
      <c r="F239" s="26" t="str">
        <f aca="false">IF($A239="","",IF(COUNTIFS(정비이력!$B$3:$B$1002,$A239,정비이력!$D$3:$D$1002,정비항목!$A8)=0,"",SUMPRODUCT(MAX((정비이력!$B$3:$B$1002=$A239)*(정비이력!$D$3:$D$1002=정비항목!$A8)*정비이력!$A$3:$A$1002))))</f>
        <v/>
      </c>
      <c r="G239" s="27" t="str">
        <f aca="false">IF($A239="","",IF($F239="","",SUMPRODUCT(MAX((정비이력!$B$3:$B$1002=$A239)*(정비이력!$D$3:$D$1002=정비항목!$A8)*정비이력!$F$3:$F$1002))))</f>
        <v/>
      </c>
      <c r="H239" s="27" t="str">
        <f aca="false">IF($A239="","",IF(차량목록!$E22="",0,차량목록!$E22))</f>
        <v/>
      </c>
      <c r="I239" s="27" t="str">
        <f aca="false">IF(OR($A239="",$D239=0),"",IF($G239="",$H239+$D239,$G239+$D239))</f>
        <v/>
      </c>
      <c r="J239" s="24" t="str">
        <f aca="false">IF($I239="","",$I239-$H239)</f>
        <v/>
      </c>
      <c r="K239" s="26" t="str">
        <f aca="true">IF(OR($A239="",$E239=0),"",IF($F239="",EDATE(TODAY(),$E239),EDATE($F239,$E239)))</f>
        <v/>
      </c>
      <c r="L239" s="28" t="str">
        <f aca="true">IF($K239="","",$K239-TODAY())</f>
        <v/>
      </c>
      <c r="M239" s="28" t="str">
        <f aca="false">IF($A239="","",IF(AND($J239="",$L239=""),"-",IF(OR(AND($J239&lt;&gt;"",$J239&lt;=0),AND($L239&lt;&gt;"",$L239&lt;0)),"교체",IF(OR(AND($J239&lt;&gt;"",$J239&lt;=사용안내!$C$16),AND($L239&lt;&gt;"",$L239&lt;=사용안내!$C$17)),"임박","정상"))))</f>
        <v/>
      </c>
    </row>
    <row r="240" customFormat="false" ht="15" hidden="false" customHeight="true" outlineLevel="0" collapsed="false">
      <c r="A240" s="23" t="str">
        <f aca="false">IF(OR(차량목록!$A22="",정비항목!$A9="",차량목록!$G22="매각"),"",차량목록!$A22)</f>
        <v/>
      </c>
      <c r="B240" s="23" t="str">
        <f aca="false">IF($A240="","",차량목록!$B22)</f>
        <v/>
      </c>
      <c r="C240" s="23" t="str">
        <f aca="false">IF($A240="","",정비항목!$B9)</f>
        <v/>
      </c>
      <c r="D240" s="24" t="str">
        <f aca="false">IF($A240="","",IF(정비항목!$C9="",0,정비항목!$C9))</f>
        <v/>
      </c>
      <c r="E240" s="28" t="str">
        <f aca="false">IF($A240="","",IF(정비항목!$D9="",0,정비항목!$D9))</f>
        <v/>
      </c>
      <c r="F240" s="26" t="str">
        <f aca="false">IF($A240="","",IF(COUNTIFS(정비이력!$B$3:$B$1002,$A240,정비이력!$D$3:$D$1002,정비항목!$A9)=0,"",SUMPRODUCT(MAX((정비이력!$B$3:$B$1002=$A240)*(정비이력!$D$3:$D$1002=정비항목!$A9)*정비이력!$A$3:$A$1002))))</f>
        <v/>
      </c>
      <c r="G240" s="27" t="str">
        <f aca="false">IF($A240="","",IF($F240="","",SUMPRODUCT(MAX((정비이력!$B$3:$B$1002=$A240)*(정비이력!$D$3:$D$1002=정비항목!$A9)*정비이력!$F$3:$F$1002))))</f>
        <v/>
      </c>
      <c r="H240" s="27" t="str">
        <f aca="false">IF($A240="","",IF(차량목록!$E22="",0,차량목록!$E22))</f>
        <v/>
      </c>
      <c r="I240" s="27" t="str">
        <f aca="false">IF(OR($A240="",$D240=0),"",IF($G240="",$H240+$D240,$G240+$D240))</f>
        <v/>
      </c>
      <c r="J240" s="24" t="str">
        <f aca="false">IF($I240="","",$I240-$H240)</f>
        <v/>
      </c>
      <c r="K240" s="26" t="str">
        <f aca="true">IF(OR($A240="",$E240=0),"",IF($F240="",EDATE(TODAY(),$E240),EDATE($F240,$E240)))</f>
        <v/>
      </c>
      <c r="L240" s="28" t="str">
        <f aca="true">IF($K240="","",$K240-TODAY())</f>
        <v/>
      </c>
      <c r="M240" s="28" t="str">
        <f aca="false">IF($A240="","",IF(AND($J240="",$L240=""),"-",IF(OR(AND($J240&lt;&gt;"",$J240&lt;=0),AND($L240&lt;&gt;"",$L240&lt;0)),"교체",IF(OR(AND($J240&lt;&gt;"",$J240&lt;=사용안내!$C$16),AND($L240&lt;&gt;"",$L240&lt;=사용안내!$C$17)),"임박","정상"))))</f>
        <v/>
      </c>
    </row>
    <row r="241" customFormat="false" ht="15" hidden="false" customHeight="true" outlineLevel="0" collapsed="false">
      <c r="A241" s="23" t="str">
        <f aca="false">IF(OR(차량목록!$A22="",정비항목!$A10="",차량목록!$G22="매각"),"",차량목록!$A22)</f>
        <v/>
      </c>
      <c r="B241" s="23" t="str">
        <f aca="false">IF($A241="","",차량목록!$B22)</f>
        <v/>
      </c>
      <c r="C241" s="23" t="str">
        <f aca="false">IF($A241="","",정비항목!$B10)</f>
        <v/>
      </c>
      <c r="D241" s="24" t="str">
        <f aca="false">IF($A241="","",IF(정비항목!$C10="",0,정비항목!$C10))</f>
        <v/>
      </c>
      <c r="E241" s="28" t="str">
        <f aca="false">IF($A241="","",IF(정비항목!$D10="",0,정비항목!$D10))</f>
        <v/>
      </c>
      <c r="F241" s="26" t="str">
        <f aca="false">IF($A241="","",IF(COUNTIFS(정비이력!$B$3:$B$1002,$A241,정비이력!$D$3:$D$1002,정비항목!$A10)=0,"",SUMPRODUCT(MAX((정비이력!$B$3:$B$1002=$A241)*(정비이력!$D$3:$D$1002=정비항목!$A10)*정비이력!$A$3:$A$1002))))</f>
        <v/>
      </c>
      <c r="G241" s="27" t="str">
        <f aca="false">IF($A241="","",IF($F241="","",SUMPRODUCT(MAX((정비이력!$B$3:$B$1002=$A241)*(정비이력!$D$3:$D$1002=정비항목!$A10)*정비이력!$F$3:$F$1002))))</f>
        <v/>
      </c>
      <c r="H241" s="27" t="str">
        <f aca="false">IF($A241="","",IF(차량목록!$E22="",0,차량목록!$E22))</f>
        <v/>
      </c>
      <c r="I241" s="27" t="str">
        <f aca="false">IF(OR($A241="",$D241=0),"",IF($G241="",$H241+$D241,$G241+$D241))</f>
        <v/>
      </c>
      <c r="J241" s="24" t="str">
        <f aca="false">IF($I241="","",$I241-$H241)</f>
        <v/>
      </c>
      <c r="K241" s="26" t="str">
        <f aca="true">IF(OR($A241="",$E241=0),"",IF($F241="",EDATE(TODAY(),$E241),EDATE($F241,$E241)))</f>
        <v/>
      </c>
      <c r="L241" s="28" t="str">
        <f aca="true">IF($K241="","",$K241-TODAY())</f>
        <v/>
      </c>
      <c r="M241" s="28" t="str">
        <f aca="false">IF($A241="","",IF(AND($J241="",$L241=""),"-",IF(OR(AND($J241&lt;&gt;"",$J241&lt;=0),AND($L241&lt;&gt;"",$L241&lt;0)),"교체",IF(OR(AND($J241&lt;&gt;"",$J241&lt;=사용안내!$C$16),AND($L241&lt;&gt;"",$L241&lt;=사용안내!$C$17)),"임박","정상"))))</f>
        <v/>
      </c>
    </row>
    <row r="242" customFormat="false" ht="15" hidden="false" customHeight="true" outlineLevel="0" collapsed="false">
      <c r="A242" s="23" t="str">
        <f aca="false">IF(OR(차량목록!$A22="",정비항목!$A11="",차량목록!$G22="매각"),"",차량목록!$A22)</f>
        <v/>
      </c>
      <c r="B242" s="23" t="str">
        <f aca="false">IF($A242="","",차량목록!$B22)</f>
        <v/>
      </c>
      <c r="C242" s="23" t="str">
        <f aca="false">IF($A242="","",정비항목!$B11)</f>
        <v/>
      </c>
      <c r="D242" s="24" t="str">
        <f aca="false">IF($A242="","",IF(정비항목!$C11="",0,정비항목!$C11))</f>
        <v/>
      </c>
      <c r="E242" s="28" t="str">
        <f aca="false">IF($A242="","",IF(정비항목!$D11="",0,정비항목!$D11))</f>
        <v/>
      </c>
      <c r="F242" s="26" t="str">
        <f aca="false">IF($A242="","",IF(COUNTIFS(정비이력!$B$3:$B$1002,$A242,정비이력!$D$3:$D$1002,정비항목!$A11)=0,"",SUMPRODUCT(MAX((정비이력!$B$3:$B$1002=$A242)*(정비이력!$D$3:$D$1002=정비항목!$A11)*정비이력!$A$3:$A$1002))))</f>
        <v/>
      </c>
      <c r="G242" s="27" t="str">
        <f aca="false">IF($A242="","",IF($F242="","",SUMPRODUCT(MAX((정비이력!$B$3:$B$1002=$A242)*(정비이력!$D$3:$D$1002=정비항목!$A11)*정비이력!$F$3:$F$1002))))</f>
        <v/>
      </c>
      <c r="H242" s="27" t="str">
        <f aca="false">IF($A242="","",IF(차량목록!$E22="",0,차량목록!$E22))</f>
        <v/>
      </c>
      <c r="I242" s="27" t="str">
        <f aca="false">IF(OR($A242="",$D242=0),"",IF($G242="",$H242+$D242,$G242+$D242))</f>
        <v/>
      </c>
      <c r="J242" s="24" t="str">
        <f aca="false">IF($I242="","",$I242-$H242)</f>
        <v/>
      </c>
      <c r="K242" s="26" t="str">
        <f aca="true">IF(OR($A242="",$E242=0),"",IF($F242="",EDATE(TODAY(),$E242),EDATE($F242,$E242)))</f>
        <v/>
      </c>
      <c r="L242" s="28" t="str">
        <f aca="true">IF($K242="","",$K242-TODAY())</f>
        <v/>
      </c>
      <c r="M242" s="28" t="str">
        <f aca="false">IF($A242="","",IF(AND($J242="",$L242=""),"-",IF(OR(AND($J242&lt;&gt;"",$J242&lt;=0),AND($L242&lt;&gt;"",$L242&lt;0)),"교체",IF(OR(AND($J242&lt;&gt;"",$J242&lt;=사용안내!$C$16),AND($L242&lt;&gt;"",$L242&lt;=사용안내!$C$17)),"임박","정상"))))</f>
        <v/>
      </c>
    </row>
    <row r="243" customFormat="false" ht="15" hidden="false" customHeight="true" outlineLevel="0" collapsed="false">
      <c r="A243" s="23" t="str">
        <f aca="false">IF(OR(차량목록!$A22="",정비항목!$A12="",차량목록!$G22="매각"),"",차량목록!$A22)</f>
        <v/>
      </c>
      <c r="B243" s="23" t="str">
        <f aca="false">IF($A243="","",차량목록!$B22)</f>
        <v/>
      </c>
      <c r="C243" s="23" t="str">
        <f aca="false">IF($A243="","",정비항목!$B12)</f>
        <v/>
      </c>
      <c r="D243" s="24" t="str">
        <f aca="false">IF($A243="","",IF(정비항목!$C12="",0,정비항목!$C12))</f>
        <v/>
      </c>
      <c r="E243" s="28" t="str">
        <f aca="false">IF($A243="","",IF(정비항목!$D12="",0,정비항목!$D12))</f>
        <v/>
      </c>
      <c r="F243" s="26" t="str">
        <f aca="false">IF($A243="","",IF(COUNTIFS(정비이력!$B$3:$B$1002,$A243,정비이력!$D$3:$D$1002,정비항목!$A12)=0,"",SUMPRODUCT(MAX((정비이력!$B$3:$B$1002=$A243)*(정비이력!$D$3:$D$1002=정비항목!$A12)*정비이력!$A$3:$A$1002))))</f>
        <v/>
      </c>
      <c r="G243" s="27" t="str">
        <f aca="false">IF($A243="","",IF($F243="","",SUMPRODUCT(MAX((정비이력!$B$3:$B$1002=$A243)*(정비이력!$D$3:$D$1002=정비항목!$A12)*정비이력!$F$3:$F$1002))))</f>
        <v/>
      </c>
      <c r="H243" s="27" t="str">
        <f aca="false">IF($A243="","",IF(차량목록!$E22="",0,차량목록!$E22))</f>
        <v/>
      </c>
      <c r="I243" s="27" t="str">
        <f aca="false">IF(OR($A243="",$D243=0),"",IF($G243="",$H243+$D243,$G243+$D243))</f>
        <v/>
      </c>
      <c r="J243" s="24" t="str">
        <f aca="false">IF($I243="","",$I243-$H243)</f>
        <v/>
      </c>
      <c r="K243" s="26" t="str">
        <f aca="true">IF(OR($A243="",$E243=0),"",IF($F243="",EDATE(TODAY(),$E243),EDATE($F243,$E243)))</f>
        <v/>
      </c>
      <c r="L243" s="28" t="str">
        <f aca="true">IF($K243="","",$K243-TODAY())</f>
        <v/>
      </c>
      <c r="M243" s="28" t="str">
        <f aca="false">IF($A243="","",IF(AND($J243="",$L243=""),"-",IF(OR(AND($J243&lt;&gt;"",$J243&lt;=0),AND($L243&lt;&gt;"",$L243&lt;0)),"교체",IF(OR(AND($J243&lt;&gt;"",$J243&lt;=사용안내!$C$16),AND($L243&lt;&gt;"",$L243&lt;=사용안내!$C$17)),"임박","정상"))))</f>
        <v/>
      </c>
    </row>
    <row r="244" customFormat="false" ht="15" hidden="false" customHeight="true" outlineLevel="0" collapsed="false">
      <c r="A244" s="23" t="str">
        <f aca="false">IF(OR(차량목록!$A22="",정비항목!$A13="",차량목록!$G22="매각"),"",차량목록!$A22)</f>
        <v/>
      </c>
      <c r="B244" s="23" t="str">
        <f aca="false">IF($A244="","",차량목록!$B22)</f>
        <v/>
      </c>
      <c r="C244" s="23" t="str">
        <f aca="false">IF($A244="","",정비항목!$B13)</f>
        <v/>
      </c>
      <c r="D244" s="24" t="str">
        <f aca="false">IF($A244="","",IF(정비항목!$C13="",0,정비항목!$C13))</f>
        <v/>
      </c>
      <c r="E244" s="28" t="str">
        <f aca="false">IF($A244="","",IF(정비항목!$D13="",0,정비항목!$D13))</f>
        <v/>
      </c>
      <c r="F244" s="26" t="str">
        <f aca="false">IF($A244="","",IF(COUNTIFS(정비이력!$B$3:$B$1002,$A244,정비이력!$D$3:$D$1002,정비항목!$A13)=0,"",SUMPRODUCT(MAX((정비이력!$B$3:$B$1002=$A244)*(정비이력!$D$3:$D$1002=정비항목!$A13)*정비이력!$A$3:$A$1002))))</f>
        <v/>
      </c>
      <c r="G244" s="27" t="str">
        <f aca="false">IF($A244="","",IF($F244="","",SUMPRODUCT(MAX((정비이력!$B$3:$B$1002=$A244)*(정비이력!$D$3:$D$1002=정비항목!$A13)*정비이력!$F$3:$F$1002))))</f>
        <v/>
      </c>
      <c r="H244" s="27" t="str">
        <f aca="false">IF($A244="","",IF(차량목록!$E22="",0,차량목록!$E22))</f>
        <v/>
      </c>
      <c r="I244" s="27" t="str">
        <f aca="false">IF(OR($A244="",$D244=0),"",IF($G244="",$H244+$D244,$G244+$D244))</f>
        <v/>
      </c>
      <c r="J244" s="24" t="str">
        <f aca="false">IF($I244="","",$I244-$H244)</f>
        <v/>
      </c>
      <c r="K244" s="26" t="str">
        <f aca="true">IF(OR($A244="",$E244=0),"",IF($F244="",EDATE(TODAY(),$E244),EDATE($F244,$E244)))</f>
        <v/>
      </c>
      <c r="L244" s="28" t="str">
        <f aca="true">IF($K244="","",$K244-TODAY())</f>
        <v/>
      </c>
      <c r="M244" s="28" t="str">
        <f aca="false">IF($A244="","",IF(AND($J244="",$L244=""),"-",IF(OR(AND($J244&lt;&gt;"",$J244&lt;=0),AND($L244&lt;&gt;"",$L244&lt;0)),"교체",IF(OR(AND($J244&lt;&gt;"",$J244&lt;=사용안내!$C$16),AND($L244&lt;&gt;"",$L244&lt;=사용안내!$C$17)),"임박","정상"))))</f>
        <v/>
      </c>
    </row>
    <row r="245" customFormat="false" ht="15" hidden="false" customHeight="true" outlineLevel="0" collapsed="false">
      <c r="A245" s="23" t="str">
        <f aca="false">IF(OR(차량목록!$A22="",정비항목!$A14="",차량목록!$G22="매각"),"",차량목록!$A22)</f>
        <v/>
      </c>
      <c r="B245" s="23" t="str">
        <f aca="false">IF($A245="","",차량목록!$B22)</f>
        <v/>
      </c>
      <c r="C245" s="23" t="str">
        <f aca="false">IF($A245="","",정비항목!$B14)</f>
        <v/>
      </c>
      <c r="D245" s="24" t="str">
        <f aca="false">IF($A245="","",IF(정비항목!$C14="",0,정비항목!$C14))</f>
        <v/>
      </c>
      <c r="E245" s="28" t="str">
        <f aca="false">IF($A245="","",IF(정비항목!$D14="",0,정비항목!$D14))</f>
        <v/>
      </c>
      <c r="F245" s="26" t="str">
        <f aca="false">IF($A245="","",IF(COUNTIFS(정비이력!$B$3:$B$1002,$A245,정비이력!$D$3:$D$1002,정비항목!$A14)=0,"",SUMPRODUCT(MAX((정비이력!$B$3:$B$1002=$A245)*(정비이력!$D$3:$D$1002=정비항목!$A14)*정비이력!$A$3:$A$1002))))</f>
        <v/>
      </c>
      <c r="G245" s="27" t="str">
        <f aca="false">IF($A245="","",IF($F245="","",SUMPRODUCT(MAX((정비이력!$B$3:$B$1002=$A245)*(정비이력!$D$3:$D$1002=정비항목!$A14)*정비이력!$F$3:$F$1002))))</f>
        <v/>
      </c>
      <c r="H245" s="27" t="str">
        <f aca="false">IF($A245="","",IF(차량목록!$E22="",0,차량목록!$E22))</f>
        <v/>
      </c>
      <c r="I245" s="27" t="str">
        <f aca="false">IF(OR($A245="",$D245=0),"",IF($G245="",$H245+$D245,$G245+$D245))</f>
        <v/>
      </c>
      <c r="J245" s="24" t="str">
        <f aca="false">IF($I245="","",$I245-$H245)</f>
        <v/>
      </c>
      <c r="K245" s="26" t="str">
        <f aca="true">IF(OR($A245="",$E245=0),"",IF($F245="",EDATE(TODAY(),$E245),EDATE($F245,$E245)))</f>
        <v/>
      </c>
      <c r="L245" s="28" t="str">
        <f aca="true">IF($K245="","",$K245-TODAY())</f>
        <v/>
      </c>
      <c r="M245" s="28" t="str">
        <f aca="false">IF($A245="","",IF(AND($J245="",$L245=""),"-",IF(OR(AND($J245&lt;&gt;"",$J245&lt;=0),AND($L245&lt;&gt;"",$L245&lt;0)),"교체",IF(OR(AND($J245&lt;&gt;"",$J245&lt;=사용안내!$C$16),AND($L245&lt;&gt;"",$L245&lt;=사용안내!$C$17)),"임박","정상"))))</f>
        <v/>
      </c>
    </row>
    <row r="246" customFormat="false" ht="15" hidden="false" customHeight="true" outlineLevel="0" collapsed="false">
      <c r="A246" s="23" t="str">
        <f aca="false">IF(OR(차량목록!$A23="",정비항목!$A3="",차량목록!$G23="매각"),"",차량목록!$A23)</f>
        <v/>
      </c>
      <c r="B246" s="23" t="str">
        <f aca="false">IF($A246="","",차량목록!$B23)</f>
        <v/>
      </c>
      <c r="C246" s="23" t="str">
        <f aca="false">IF($A246="","",정비항목!$B3)</f>
        <v/>
      </c>
      <c r="D246" s="24" t="str">
        <f aca="false">IF($A246="","",IF(정비항목!$C3="",0,정비항목!$C3))</f>
        <v/>
      </c>
      <c r="E246" s="28" t="str">
        <f aca="false">IF($A246="","",IF(정비항목!$D3="",0,정비항목!$D3))</f>
        <v/>
      </c>
      <c r="F246" s="26" t="str">
        <f aca="false">IF($A246="","",IF(COUNTIFS(정비이력!$B$3:$B$1002,$A246,정비이력!$D$3:$D$1002,정비항목!$A3)=0,"",SUMPRODUCT(MAX((정비이력!$B$3:$B$1002=$A246)*(정비이력!$D$3:$D$1002=정비항목!$A3)*정비이력!$A$3:$A$1002))))</f>
        <v/>
      </c>
      <c r="G246" s="27" t="str">
        <f aca="false">IF($A246="","",IF($F246="","",SUMPRODUCT(MAX((정비이력!$B$3:$B$1002=$A246)*(정비이력!$D$3:$D$1002=정비항목!$A3)*정비이력!$F$3:$F$1002))))</f>
        <v/>
      </c>
      <c r="H246" s="27" t="str">
        <f aca="false">IF($A246="","",IF(차량목록!$E23="",0,차량목록!$E23))</f>
        <v/>
      </c>
      <c r="I246" s="27" t="str">
        <f aca="false">IF(OR($A246="",$D246=0),"",IF($G246="",$H246+$D246,$G246+$D246))</f>
        <v/>
      </c>
      <c r="J246" s="24" t="str">
        <f aca="false">IF($I246="","",$I246-$H246)</f>
        <v/>
      </c>
      <c r="K246" s="26" t="str">
        <f aca="true">IF(OR($A246="",$E246=0),"",IF($F246="",EDATE(TODAY(),$E246),EDATE($F246,$E246)))</f>
        <v/>
      </c>
      <c r="L246" s="28" t="str">
        <f aca="true">IF($K246="","",$K246-TODAY())</f>
        <v/>
      </c>
      <c r="M246" s="28" t="str">
        <f aca="false">IF($A246="","",IF(AND($J246="",$L246=""),"-",IF(OR(AND($J246&lt;&gt;"",$J246&lt;=0),AND($L246&lt;&gt;"",$L246&lt;0)),"교체",IF(OR(AND($J246&lt;&gt;"",$J246&lt;=사용안내!$C$16),AND($L246&lt;&gt;"",$L246&lt;=사용안내!$C$17)),"임박","정상"))))</f>
        <v/>
      </c>
    </row>
    <row r="247" customFormat="false" ht="15" hidden="false" customHeight="true" outlineLevel="0" collapsed="false">
      <c r="A247" s="23" t="str">
        <f aca="false">IF(OR(차량목록!$A23="",정비항목!$A4="",차량목록!$G23="매각"),"",차량목록!$A23)</f>
        <v/>
      </c>
      <c r="B247" s="23" t="str">
        <f aca="false">IF($A247="","",차량목록!$B23)</f>
        <v/>
      </c>
      <c r="C247" s="23" t="str">
        <f aca="false">IF($A247="","",정비항목!$B4)</f>
        <v/>
      </c>
      <c r="D247" s="24" t="str">
        <f aca="false">IF($A247="","",IF(정비항목!$C4="",0,정비항목!$C4))</f>
        <v/>
      </c>
      <c r="E247" s="28" t="str">
        <f aca="false">IF($A247="","",IF(정비항목!$D4="",0,정비항목!$D4))</f>
        <v/>
      </c>
      <c r="F247" s="26" t="str">
        <f aca="false">IF($A247="","",IF(COUNTIFS(정비이력!$B$3:$B$1002,$A247,정비이력!$D$3:$D$1002,정비항목!$A4)=0,"",SUMPRODUCT(MAX((정비이력!$B$3:$B$1002=$A247)*(정비이력!$D$3:$D$1002=정비항목!$A4)*정비이력!$A$3:$A$1002))))</f>
        <v/>
      </c>
      <c r="G247" s="27" t="str">
        <f aca="false">IF($A247="","",IF($F247="","",SUMPRODUCT(MAX((정비이력!$B$3:$B$1002=$A247)*(정비이력!$D$3:$D$1002=정비항목!$A4)*정비이력!$F$3:$F$1002))))</f>
        <v/>
      </c>
      <c r="H247" s="27" t="str">
        <f aca="false">IF($A247="","",IF(차량목록!$E23="",0,차량목록!$E23))</f>
        <v/>
      </c>
      <c r="I247" s="27" t="str">
        <f aca="false">IF(OR($A247="",$D247=0),"",IF($G247="",$H247+$D247,$G247+$D247))</f>
        <v/>
      </c>
      <c r="J247" s="24" t="str">
        <f aca="false">IF($I247="","",$I247-$H247)</f>
        <v/>
      </c>
      <c r="K247" s="26" t="str">
        <f aca="true">IF(OR($A247="",$E247=0),"",IF($F247="",EDATE(TODAY(),$E247),EDATE($F247,$E247)))</f>
        <v/>
      </c>
      <c r="L247" s="28" t="str">
        <f aca="true">IF($K247="","",$K247-TODAY())</f>
        <v/>
      </c>
      <c r="M247" s="28" t="str">
        <f aca="false">IF($A247="","",IF(AND($J247="",$L247=""),"-",IF(OR(AND($J247&lt;&gt;"",$J247&lt;=0),AND($L247&lt;&gt;"",$L247&lt;0)),"교체",IF(OR(AND($J247&lt;&gt;"",$J247&lt;=사용안내!$C$16),AND($L247&lt;&gt;"",$L247&lt;=사용안내!$C$17)),"임박","정상"))))</f>
        <v/>
      </c>
    </row>
    <row r="248" customFormat="false" ht="15" hidden="false" customHeight="true" outlineLevel="0" collapsed="false">
      <c r="A248" s="23" t="str">
        <f aca="false">IF(OR(차량목록!$A23="",정비항목!$A5="",차량목록!$G23="매각"),"",차량목록!$A23)</f>
        <v/>
      </c>
      <c r="B248" s="23" t="str">
        <f aca="false">IF($A248="","",차량목록!$B23)</f>
        <v/>
      </c>
      <c r="C248" s="23" t="str">
        <f aca="false">IF($A248="","",정비항목!$B5)</f>
        <v/>
      </c>
      <c r="D248" s="24" t="str">
        <f aca="false">IF($A248="","",IF(정비항목!$C5="",0,정비항목!$C5))</f>
        <v/>
      </c>
      <c r="E248" s="28" t="str">
        <f aca="false">IF($A248="","",IF(정비항목!$D5="",0,정비항목!$D5))</f>
        <v/>
      </c>
      <c r="F248" s="26" t="str">
        <f aca="false">IF($A248="","",IF(COUNTIFS(정비이력!$B$3:$B$1002,$A248,정비이력!$D$3:$D$1002,정비항목!$A5)=0,"",SUMPRODUCT(MAX((정비이력!$B$3:$B$1002=$A248)*(정비이력!$D$3:$D$1002=정비항목!$A5)*정비이력!$A$3:$A$1002))))</f>
        <v/>
      </c>
      <c r="G248" s="27" t="str">
        <f aca="false">IF($A248="","",IF($F248="","",SUMPRODUCT(MAX((정비이력!$B$3:$B$1002=$A248)*(정비이력!$D$3:$D$1002=정비항목!$A5)*정비이력!$F$3:$F$1002))))</f>
        <v/>
      </c>
      <c r="H248" s="27" t="str">
        <f aca="false">IF($A248="","",IF(차량목록!$E23="",0,차량목록!$E23))</f>
        <v/>
      </c>
      <c r="I248" s="27" t="str">
        <f aca="false">IF(OR($A248="",$D248=0),"",IF($G248="",$H248+$D248,$G248+$D248))</f>
        <v/>
      </c>
      <c r="J248" s="24" t="str">
        <f aca="false">IF($I248="","",$I248-$H248)</f>
        <v/>
      </c>
      <c r="K248" s="26" t="str">
        <f aca="true">IF(OR($A248="",$E248=0),"",IF($F248="",EDATE(TODAY(),$E248),EDATE($F248,$E248)))</f>
        <v/>
      </c>
      <c r="L248" s="28" t="str">
        <f aca="true">IF($K248="","",$K248-TODAY())</f>
        <v/>
      </c>
      <c r="M248" s="28" t="str">
        <f aca="false">IF($A248="","",IF(AND($J248="",$L248=""),"-",IF(OR(AND($J248&lt;&gt;"",$J248&lt;=0),AND($L248&lt;&gt;"",$L248&lt;0)),"교체",IF(OR(AND($J248&lt;&gt;"",$J248&lt;=사용안내!$C$16),AND($L248&lt;&gt;"",$L248&lt;=사용안내!$C$17)),"임박","정상"))))</f>
        <v/>
      </c>
    </row>
    <row r="249" customFormat="false" ht="15" hidden="false" customHeight="true" outlineLevel="0" collapsed="false">
      <c r="A249" s="23" t="str">
        <f aca="false">IF(OR(차량목록!$A23="",정비항목!$A6="",차량목록!$G23="매각"),"",차량목록!$A23)</f>
        <v/>
      </c>
      <c r="B249" s="23" t="str">
        <f aca="false">IF($A249="","",차량목록!$B23)</f>
        <v/>
      </c>
      <c r="C249" s="23" t="str">
        <f aca="false">IF($A249="","",정비항목!$B6)</f>
        <v/>
      </c>
      <c r="D249" s="24" t="str">
        <f aca="false">IF($A249="","",IF(정비항목!$C6="",0,정비항목!$C6))</f>
        <v/>
      </c>
      <c r="E249" s="28" t="str">
        <f aca="false">IF($A249="","",IF(정비항목!$D6="",0,정비항목!$D6))</f>
        <v/>
      </c>
      <c r="F249" s="26" t="str">
        <f aca="false">IF($A249="","",IF(COUNTIFS(정비이력!$B$3:$B$1002,$A249,정비이력!$D$3:$D$1002,정비항목!$A6)=0,"",SUMPRODUCT(MAX((정비이력!$B$3:$B$1002=$A249)*(정비이력!$D$3:$D$1002=정비항목!$A6)*정비이력!$A$3:$A$1002))))</f>
        <v/>
      </c>
      <c r="G249" s="27" t="str">
        <f aca="false">IF($A249="","",IF($F249="","",SUMPRODUCT(MAX((정비이력!$B$3:$B$1002=$A249)*(정비이력!$D$3:$D$1002=정비항목!$A6)*정비이력!$F$3:$F$1002))))</f>
        <v/>
      </c>
      <c r="H249" s="27" t="str">
        <f aca="false">IF($A249="","",IF(차량목록!$E23="",0,차량목록!$E23))</f>
        <v/>
      </c>
      <c r="I249" s="27" t="str">
        <f aca="false">IF(OR($A249="",$D249=0),"",IF($G249="",$H249+$D249,$G249+$D249))</f>
        <v/>
      </c>
      <c r="J249" s="24" t="str">
        <f aca="false">IF($I249="","",$I249-$H249)</f>
        <v/>
      </c>
      <c r="K249" s="26" t="str">
        <f aca="true">IF(OR($A249="",$E249=0),"",IF($F249="",EDATE(TODAY(),$E249),EDATE($F249,$E249)))</f>
        <v/>
      </c>
      <c r="L249" s="28" t="str">
        <f aca="true">IF($K249="","",$K249-TODAY())</f>
        <v/>
      </c>
      <c r="M249" s="28" t="str">
        <f aca="false">IF($A249="","",IF(AND($J249="",$L249=""),"-",IF(OR(AND($J249&lt;&gt;"",$J249&lt;=0),AND($L249&lt;&gt;"",$L249&lt;0)),"교체",IF(OR(AND($J249&lt;&gt;"",$J249&lt;=사용안내!$C$16),AND($L249&lt;&gt;"",$L249&lt;=사용안내!$C$17)),"임박","정상"))))</f>
        <v/>
      </c>
    </row>
    <row r="250" customFormat="false" ht="15" hidden="false" customHeight="true" outlineLevel="0" collapsed="false">
      <c r="A250" s="23" t="str">
        <f aca="false">IF(OR(차량목록!$A23="",정비항목!$A7="",차량목록!$G23="매각"),"",차량목록!$A23)</f>
        <v/>
      </c>
      <c r="B250" s="23" t="str">
        <f aca="false">IF($A250="","",차량목록!$B23)</f>
        <v/>
      </c>
      <c r="C250" s="23" t="str">
        <f aca="false">IF($A250="","",정비항목!$B7)</f>
        <v/>
      </c>
      <c r="D250" s="24" t="str">
        <f aca="false">IF($A250="","",IF(정비항목!$C7="",0,정비항목!$C7))</f>
        <v/>
      </c>
      <c r="E250" s="28" t="str">
        <f aca="false">IF($A250="","",IF(정비항목!$D7="",0,정비항목!$D7))</f>
        <v/>
      </c>
      <c r="F250" s="26" t="str">
        <f aca="false">IF($A250="","",IF(COUNTIFS(정비이력!$B$3:$B$1002,$A250,정비이력!$D$3:$D$1002,정비항목!$A7)=0,"",SUMPRODUCT(MAX((정비이력!$B$3:$B$1002=$A250)*(정비이력!$D$3:$D$1002=정비항목!$A7)*정비이력!$A$3:$A$1002))))</f>
        <v/>
      </c>
      <c r="G250" s="27" t="str">
        <f aca="false">IF($A250="","",IF($F250="","",SUMPRODUCT(MAX((정비이력!$B$3:$B$1002=$A250)*(정비이력!$D$3:$D$1002=정비항목!$A7)*정비이력!$F$3:$F$1002))))</f>
        <v/>
      </c>
      <c r="H250" s="27" t="str">
        <f aca="false">IF($A250="","",IF(차량목록!$E23="",0,차량목록!$E23))</f>
        <v/>
      </c>
      <c r="I250" s="27" t="str">
        <f aca="false">IF(OR($A250="",$D250=0),"",IF($G250="",$H250+$D250,$G250+$D250))</f>
        <v/>
      </c>
      <c r="J250" s="24" t="str">
        <f aca="false">IF($I250="","",$I250-$H250)</f>
        <v/>
      </c>
      <c r="K250" s="26" t="str">
        <f aca="true">IF(OR($A250="",$E250=0),"",IF($F250="",EDATE(TODAY(),$E250),EDATE($F250,$E250)))</f>
        <v/>
      </c>
      <c r="L250" s="28" t="str">
        <f aca="true">IF($K250="","",$K250-TODAY())</f>
        <v/>
      </c>
      <c r="M250" s="28" t="str">
        <f aca="false">IF($A250="","",IF(AND($J250="",$L250=""),"-",IF(OR(AND($J250&lt;&gt;"",$J250&lt;=0),AND($L250&lt;&gt;"",$L250&lt;0)),"교체",IF(OR(AND($J250&lt;&gt;"",$J250&lt;=사용안내!$C$16),AND($L250&lt;&gt;"",$L250&lt;=사용안내!$C$17)),"임박","정상"))))</f>
        <v/>
      </c>
    </row>
    <row r="251" customFormat="false" ht="15" hidden="false" customHeight="true" outlineLevel="0" collapsed="false">
      <c r="A251" s="23" t="str">
        <f aca="false">IF(OR(차량목록!$A23="",정비항목!$A8="",차량목록!$G23="매각"),"",차량목록!$A23)</f>
        <v/>
      </c>
      <c r="B251" s="23" t="str">
        <f aca="false">IF($A251="","",차량목록!$B23)</f>
        <v/>
      </c>
      <c r="C251" s="23" t="str">
        <f aca="false">IF($A251="","",정비항목!$B8)</f>
        <v/>
      </c>
      <c r="D251" s="24" t="str">
        <f aca="false">IF($A251="","",IF(정비항목!$C8="",0,정비항목!$C8))</f>
        <v/>
      </c>
      <c r="E251" s="28" t="str">
        <f aca="false">IF($A251="","",IF(정비항목!$D8="",0,정비항목!$D8))</f>
        <v/>
      </c>
      <c r="F251" s="26" t="str">
        <f aca="false">IF($A251="","",IF(COUNTIFS(정비이력!$B$3:$B$1002,$A251,정비이력!$D$3:$D$1002,정비항목!$A8)=0,"",SUMPRODUCT(MAX((정비이력!$B$3:$B$1002=$A251)*(정비이력!$D$3:$D$1002=정비항목!$A8)*정비이력!$A$3:$A$1002))))</f>
        <v/>
      </c>
      <c r="G251" s="27" t="str">
        <f aca="false">IF($A251="","",IF($F251="","",SUMPRODUCT(MAX((정비이력!$B$3:$B$1002=$A251)*(정비이력!$D$3:$D$1002=정비항목!$A8)*정비이력!$F$3:$F$1002))))</f>
        <v/>
      </c>
      <c r="H251" s="27" t="str">
        <f aca="false">IF($A251="","",IF(차량목록!$E23="",0,차량목록!$E23))</f>
        <v/>
      </c>
      <c r="I251" s="27" t="str">
        <f aca="false">IF(OR($A251="",$D251=0),"",IF($G251="",$H251+$D251,$G251+$D251))</f>
        <v/>
      </c>
      <c r="J251" s="24" t="str">
        <f aca="false">IF($I251="","",$I251-$H251)</f>
        <v/>
      </c>
      <c r="K251" s="26" t="str">
        <f aca="true">IF(OR($A251="",$E251=0),"",IF($F251="",EDATE(TODAY(),$E251),EDATE($F251,$E251)))</f>
        <v/>
      </c>
      <c r="L251" s="28" t="str">
        <f aca="true">IF($K251="","",$K251-TODAY())</f>
        <v/>
      </c>
      <c r="M251" s="28" t="str">
        <f aca="false">IF($A251="","",IF(AND($J251="",$L251=""),"-",IF(OR(AND($J251&lt;&gt;"",$J251&lt;=0),AND($L251&lt;&gt;"",$L251&lt;0)),"교체",IF(OR(AND($J251&lt;&gt;"",$J251&lt;=사용안내!$C$16),AND($L251&lt;&gt;"",$L251&lt;=사용안내!$C$17)),"임박","정상"))))</f>
        <v/>
      </c>
    </row>
    <row r="252" customFormat="false" ht="15" hidden="false" customHeight="true" outlineLevel="0" collapsed="false">
      <c r="A252" s="23" t="str">
        <f aca="false">IF(OR(차량목록!$A23="",정비항목!$A9="",차량목록!$G23="매각"),"",차량목록!$A23)</f>
        <v/>
      </c>
      <c r="B252" s="23" t="str">
        <f aca="false">IF($A252="","",차량목록!$B23)</f>
        <v/>
      </c>
      <c r="C252" s="23" t="str">
        <f aca="false">IF($A252="","",정비항목!$B9)</f>
        <v/>
      </c>
      <c r="D252" s="24" t="str">
        <f aca="false">IF($A252="","",IF(정비항목!$C9="",0,정비항목!$C9))</f>
        <v/>
      </c>
      <c r="E252" s="28" t="str">
        <f aca="false">IF($A252="","",IF(정비항목!$D9="",0,정비항목!$D9))</f>
        <v/>
      </c>
      <c r="F252" s="26" t="str">
        <f aca="false">IF($A252="","",IF(COUNTIFS(정비이력!$B$3:$B$1002,$A252,정비이력!$D$3:$D$1002,정비항목!$A9)=0,"",SUMPRODUCT(MAX((정비이력!$B$3:$B$1002=$A252)*(정비이력!$D$3:$D$1002=정비항목!$A9)*정비이력!$A$3:$A$1002))))</f>
        <v/>
      </c>
      <c r="G252" s="27" t="str">
        <f aca="false">IF($A252="","",IF($F252="","",SUMPRODUCT(MAX((정비이력!$B$3:$B$1002=$A252)*(정비이력!$D$3:$D$1002=정비항목!$A9)*정비이력!$F$3:$F$1002))))</f>
        <v/>
      </c>
      <c r="H252" s="27" t="str">
        <f aca="false">IF($A252="","",IF(차량목록!$E23="",0,차량목록!$E23))</f>
        <v/>
      </c>
      <c r="I252" s="27" t="str">
        <f aca="false">IF(OR($A252="",$D252=0),"",IF($G252="",$H252+$D252,$G252+$D252))</f>
        <v/>
      </c>
      <c r="J252" s="24" t="str">
        <f aca="false">IF($I252="","",$I252-$H252)</f>
        <v/>
      </c>
      <c r="K252" s="26" t="str">
        <f aca="true">IF(OR($A252="",$E252=0),"",IF($F252="",EDATE(TODAY(),$E252),EDATE($F252,$E252)))</f>
        <v/>
      </c>
      <c r="L252" s="28" t="str">
        <f aca="true">IF($K252="","",$K252-TODAY())</f>
        <v/>
      </c>
      <c r="M252" s="28" t="str">
        <f aca="false">IF($A252="","",IF(AND($J252="",$L252=""),"-",IF(OR(AND($J252&lt;&gt;"",$J252&lt;=0),AND($L252&lt;&gt;"",$L252&lt;0)),"교체",IF(OR(AND($J252&lt;&gt;"",$J252&lt;=사용안내!$C$16),AND($L252&lt;&gt;"",$L252&lt;=사용안내!$C$17)),"임박","정상"))))</f>
        <v/>
      </c>
    </row>
    <row r="253" customFormat="false" ht="15" hidden="false" customHeight="true" outlineLevel="0" collapsed="false">
      <c r="A253" s="23" t="str">
        <f aca="false">IF(OR(차량목록!$A23="",정비항목!$A10="",차량목록!$G23="매각"),"",차량목록!$A23)</f>
        <v/>
      </c>
      <c r="B253" s="23" t="str">
        <f aca="false">IF($A253="","",차량목록!$B23)</f>
        <v/>
      </c>
      <c r="C253" s="23" t="str">
        <f aca="false">IF($A253="","",정비항목!$B10)</f>
        <v/>
      </c>
      <c r="D253" s="24" t="str">
        <f aca="false">IF($A253="","",IF(정비항목!$C10="",0,정비항목!$C10))</f>
        <v/>
      </c>
      <c r="E253" s="28" t="str">
        <f aca="false">IF($A253="","",IF(정비항목!$D10="",0,정비항목!$D10))</f>
        <v/>
      </c>
      <c r="F253" s="26" t="str">
        <f aca="false">IF($A253="","",IF(COUNTIFS(정비이력!$B$3:$B$1002,$A253,정비이력!$D$3:$D$1002,정비항목!$A10)=0,"",SUMPRODUCT(MAX((정비이력!$B$3:$B$1002=$A253)*(정비이력!$D$3:$D$1002=정비항목!$A10)*정비이력!$A$3:$A$1002))))</f>
        <v/>
      </c>
      <c r="G253" s="27" t="str">
        <f aca="false">IF($A253="","",IF($F253="","",SUMPRODUCT(MAX((정비이력!$B$3:$B$1002=$A253)*(정비이력!$D$3:$D$1002=정비항목!$A10)*정비이력!$F$3:$F$1002))))</f>
        <v/>
      </c>
      <c r="H253" s="27" t="str">
        <f aca="false">IF($A253="","",IF(차량목록!$E23="",0,차량목록!$E23))</f>
        <v/>
      </c>
      <c r="I253" s="27" t="str">
        <f aca="false">IF(OR($A253="",$D253=0),"",IF($G253="",$H253+$D253,$G253+$D253))</f>
        <v/>
      </c>
      <c r="J253" s="24" t="str">
        <f aca="false">IF($I253="","",$I253-$H253)</f>
        <v/>
      </c>
      <c r="K253" s="26" t="str">
        <f aca="true">IF(OR($A253="",$E253=0),"",IF($F253="",EDATE(TODAY(),$E253),EDATE($F253,$E253)))</f>
        <v/>
      </c>
      <c r="L253" s="28" t="str">
        <f aca="true">IF($K253="","",$K253-TODAY())</f>
        <v/>
      </c>
      <c r="M253" s="28" t="str">
        <f aca="false">IF($A253="","",IF(AND($J253="",$L253=""),"-",IF(OR(AND($J253&lt;&gt;"",$J253&lt;=0),AND($L253&lt;&gt;"",$L253&lt;0)),"교체",IF(OR(AND($J253&lt;&gt;"",$J253&lt;=사용안내!$C$16),AND($L253&lt;&gt;"",$L253&lt;=사용안내!$C$17)),"임박","정상"))))</f>
        <v/>
      </c>
    </row>
    <row r="254" customFormat="false" ht="15" hidden="false" customHeight="true" outlineLevel="0" collapsed="false">
      <c r="A254" s="23" t="str">
        <f aca="false">IF(OR(차량목록!$A23="",정비항목!$A11="",차량목록!$G23="매각"),"",차량목록!$A23)</f>
        <v/>
      </c>
      <c r="B254" s="23" t="str">
        <f aca="false">IF($A254="","",차량목록!$B23)</f>
        <v/>
      </c>
      <c r="C254" s="23" t="str">
        <f aca="false">IF($A254="","",정비항목!$B11)</f>
        <v/>
      </c>
      <c r="D254" s="24" t="str">
        <f aca="false">IF($A254="","",IF(정비항목!$C11="",0,정비항목!$C11))</f>
        <v/>
      </c>
      <c r="E254" s="28" t="str">
        <f aca="false">IF($A254="","",IF(정비항목!$D11="",0,정비항목!$D11))</f>
        <v/>
      </c>
      <c r="F254" s="26" t="str">
        <f aca="false">IF($A254="","",IF(COUNTIFS(정비이력!$B$3:$B$1002,$A254,정비이력!$D$3:$D$1002,정비항목!$A11)=0,"",SUMPRODUCT(MAX((정비이력!$B$3:$B$1002=$A254)*(정비이력!$D$3:$D$1002=정비항목!$A11)*정비이력!$A$3:$A$1002))))</f>
        <v/>
      </c>
      <c r="G254" s="27" t="str">
        <f aca="false">IF($A254="","",IF($F254="","",SUMPRODUCT(MAX((정비이력!$B$3:$B$1002=$A254)*(정비이력!$D$3:$D$1002=정비항목!$A11)*정비이력!$F$3:$F$1002))))</f>
        <v/>
      </c>
      <c r="H254" s="27" t="str">
        <f aca="false">IF($A254="","",IF(차량목록!$E23="",0,차량목록!$E23))</f>
        <v/>
      </c>
      <c r="I254" s="27" t="str">
        <f aca="false">IF(OR($A254="",$D254=0),"",IF($G254="",$H254+$D254,$G254+$D254))</f>
        <v/>
      </c>
      <c r="J254" s="24" t="str">
        <f aca="false">IF($I254="","",$I254-$H254)</f>
        <v/>
      </c>
      <c r="K254" s="26" t="str">
        <f aca="true">IF(OR($A254="",$E254=0),"",IF($F254="",EDATE(TODAY(),$E254),EDATE($F254,$E254)))</f>
        <v/>
      </c>
      <c r="L254" s="28" t="str">
        <f aca="true">IF($K254="","",$K254-TODAY())</f>
        <v/>
      </c>
      <c r="M254" s="28" t="str">
        <f aca="false">IF($A254="","",IF(AND($J254="",$L254=""),"-",IF(OR(AND($J254&lt;&gt;"",$J254&lt;=0),AND($L254&lt;&gt;"",$L254&lt;0)),"교체",IF(OR(AND($J254&lt;&gt;"",$J254&lt;=사용안내!$C$16),AND($L254&lt;&gt;"",$L254&lt;=사용안내!$C$17)),"임박","정상"))))</f>
        <v/>
      </c>
    </row>
    <row r="255" customFormat="false" ht="15" hidden="false" customHeight="true" outlineLevel="0" collapsed="false">
      <c r="A255" s="23" t="str">
        <f aca="false">IF(OR(차량목록!$A23="",정비항목!$A12="",차량목록!$G23="매각"),"",차량목록!$A23)</f>
        <v/>
      </c>
      <c r="B255" s="23" t="str">
        <f aca="false">IF($A255="","",차량목록!$B23)</f>
        <v/>
      </c>
      <c r="C255" s="23" t="str">
        <f aca="false">IF($A255="","",정비항목!$B12)</f>
        <v/>
      </c>
      <c r="D255" s="24" t="str">
        <f aca="false">IF($A255="","",IF(정비항목!$C12="",0,정비항목!$C12))</f>
        <v/>
      </c>
      <c r="E255" s="28" t="str">
        <f aca="false">IF($A255="","",IF(정비항목!$D12="",0,정비항목!$D12))</f>
        <v/>
      </c>
      <c r="F255" s="26" t="str">
        <f aca="false">IF($A255="","",IF(COUNTIFS(정비이력!$B$3:$B$1002,$A255,정비이력!$D$3:$D$1002,정비항목!$A12)=0,"",SUMPRODUCT(MAX((정비이력!$B$3:$B$1002=$A255)*(정비이력!$D$3:$D$1002=정비항목!$A12)*정비이력!$A$3:$A$1002))))</f>
        <v/>
      </c>
      <c r="G255" s="27" t="str">
        <f aca="false">IF($A255="","",IF($F255="","",SUMPRODUCT(MAX((정비이력!$B$3:$B$1002=$A255)*(정비이력!$D$3:$D$1002=정비항목!$A12)*정비이력!$F$3:$F$1002))))</f>
        <v/>
      </c>
      <c r="H255" s="27" t="str">
        <f aca="false">IF($A255="","",IF(차량목록!$E23="",0,차량목록!$E23))</f>
        <v/>
      </c>
      <c r="I255" s="27" t="str">
        <f aca="false">IF(OR($A255="",$D255=0),"",IF($G255="",$H255+$D255,$G255+$D255))</f>
        <v/>
      </c>
      <c r="J255" s="24" t="str">
        <f aca="false">IF($I255="","",$I255-$H255)</f>
        <v/>
      </c>
      <c r="K255" s="26" t="str">
        <f aca="true">IF(OR($A255="",$E255=0),"",IF($F255="",EDATE(TODAY(),$E255),EDATE($F255,$E255)))</f>
        <v/>
      </c>
      <c r="L255" s="28" t="str">
        <f aca="true">IF($K255="","",$K255-TODAY())</f>
        <v/>
      </c>
      <c r="M255" s="28" t="str">
        <f aca="false">IF($A255="","",IF(AND($J255="",$L255=""),"-",IF(OR(AND($J255&lt;&gt;"",$J255&lt;=0),AND($L255&lt;&gt;"",$L255&lt;0)),"교체",IF(OR(AND($J255&lt;&gt;"",$J255&lt;=사용안내!$C$16),AND($L255&lt;&gt;"",$L255&lt;=사용안내!$C$17)),"임박","정상"))))</f>
        <v/>
      </c>
    </row>
    <row r="256" customFormat="false" ht="15" hidden="false" customHeight="true" outlineLevel="0" collapsed="false">
      <c r="A256" s="23" t="str">
        <f aca="false">IF(OR(차량목록!$A23="",정비항목!$A13="",차량목록!$G23="매각"),"",차량목록!$A23)</f>
        <v/>
      </c>
      <c r="B256" s="23" t="str">
        <f aca="false">IF($A256="","",차량목록!$B23)</f>
        <v/>
      </c>
      <c r="C256" s="23" t="str">
        <f aca="false">IF($A256="","",정비항목!$B13)</f>
        <v/>
      </c>
      <c r="D256" s="24" t="str">
        <f aca="false">IF($A256="","",IF(정비항목!$C13="",0,정비항목!$C13))</f>
        <v/>
      </c>
      <c r="E256" s="28" t="str">
        <f aca="false">IF($A256="","",IF(정비항목!$D13="",0,정비항목!$D13))</f>
        <v/>
      </c>
      <c r="F256" s="26" t="str">
        <f aca="false">IF($A256="","",IF(COUNTIFS(정비이력!$B$3:$B$1002,$A256,정비이력!$D$3:$D$1002,정비항목!$A13)=0,"",SUMPRODUCT(MAX((정비이력!$B$3:$B$1002=$A256)*(정비이력!$D$3:$D$1002=정비항목!$A13)*정비이력!$A$3:$A$1002))))</f>
        <v/>
      </c>
      <c r="G256" s="27" t="str">
        <f aca="false">IF($A256="","",IF($F256="","",SUMPRODUCT(MAX((정비이력!$B$3:$B$1002=$A256)*(정비이력!$D$3:$D$1002=정비항목!$A13)*정비이력!$F$3:$F$1002))))</f>
        <v/>
      </c>
      <c r="H256" s="27" t="str">
        <f aca="false">IF($A256="","",IF(차량목록!$E23="",0,차량목록!$E23))</f>
        <v/>
      </c>
      <c r="I256" s="27" t="str">
        <f aca="false">IF(OR($A256="",$D256=0),"",IF($G256="",$H256+$D256,$G256+$D256))</f>
        <v/>
      </c>
      <c r="J256" s="24" t="str">
        <f aca="false">IF($I256="","",$I256-$H256)</f>
        <v/>
      </c>
      <c r="K256" s="26" t="str">
        <f aca="true">IF(OR($A256="",$E256=0),"",IF($F256="",EDATE(TODAY(),$E256),EDATE($F256,$E256)))</f>
        <v/>
      </c>
      <c r="L256" s="28" t="str">
        <f aca="true">IF($K256="","",$K256-TODAY())</f>
        <v/>
      </c>
      <c r="M256" s="28" t="str">
        <f aca="false">IF($A256="","",IF(AND($J256="",$L256=""),"-",IF(OR(AND($J256&lt;&gt;"",$J256&lt;=0),AND($L256&lt;&gt;"",$L256&lt;0)),"교체",IF(OR(AND($J256&lt;&gt;"",$J256&lt;=사용안내!$C$16),AND($L256&lt;&gt;"",$L256&lt;=사용안내!$C$17)),"임박","정상"))))</f>
        <v/>
      </c>
    </row>
    <row r="257" customFormat="false" ht="15" hidden="false" customHeight="true" outlineLevel="0" collapsed="false">
      <c r="A257" s="23" t="str">
        <f aca="false">IF(OR(차량목록!$A23="",정비항목!$A14="",차량목록!$G23="매각"),"",차량목록!$A23)</f>
        <v/>
      </c>
      <c r="B257" s="23" t="str">
        <f aca="false">IF($A257="","",차량목록!$B23)</f>
        <v/>
      </c>
      <c r="C257" s="23" t="str">
        <f aca="false">IF($A257="","",정비항목!$B14)</f>
        <v/>
      </c>
      <c r="D257" s="24" t="str">
        <f aca="false">IF($A257="","",IF(정비항목!$C14="",0,정비항목!$C14))</f>
        <v/>
      </c>
      <c r="E257" s="28" t="str">
        <f aca="false">IF($A257="","",IF(정비항목!$D14="",0,정비항목!$D14))</f>
        <v/>
      </c>
      <c r="F257" s="26" t="str">
        <f aca="false">IF($A257="","",IF(COUNTIFS(정비이력!$B$3:$B$1002,$A257,정비이력!$D$3:$D$1002,정비항목!$A14)=0,"",SUMPRODUCT(MAX((정비이력!$B$3:$B$1002=$A257)*(정비이력!$D$3:$D$1002=정비항목!$A14)*정비이력!$A$3:$A$1002))))</f>
        <v/>
      </c>
      <c r="G257" s="27" t="str">
        <f aca="false">IF($A257="","",IF($F257="","",SUMPRODUCT(MAX((정비이력!$B$3:$B$1002=$A257)*(정비이력!$D$3:$D$1002=정비항목!$A14)*정비이력!$F$3:$F$1002))))</f>
        <v/>
      </c>
      <c r="H257" s="27" t="str">
        <f aca="false">IF($A257="","",IF(차량목록!$E23="",0,차량목록!$E23))</f>
        <v/>
      </c>
      <c r="I257" s="27" t="str">
        <f aca="false">IF(OR($A257="",$D257=0),"",IF($G257="",$H257+$D257,$G257+$D257))</f>
        <v/>
      </c>
      <c r="J257" s="24" t="str">
        <f aca="false">IF($I257="","",$I257-$H257)</f>
        <v/>
      </c>
      <c r="K257" s="26" t="str">
        <f aca="true">IF(OR($A257="",$E257=0),"",IF($F257="",EDATE(TODAY(),$E257),EDATE($F257,$E257)))</f>
        <v/>
      </c>
      <c r="L257" s="28" t="str">
        <f aca="true">IF($K257="","",$K257-TODAY())</f>
        <v/>
      </c>
      <c r="M257" s="28" t="str">
        <f aca="false">IF($A257="","",IF(AND($J257="",$L257=""),"-",IF(OR(AND($J257&lt;&gt;"",$J257&lt;=0),AND($L257&lt;&gt;"",$L257&lt;0)),"교체",IF(OR(AND($J257&lt;&gt;"",$J257&lt;=사용안내!$C$16),AND($L257&lt;&gt;"",$L257&lt;=사용안내!$C$17)),"임박","정상"))))</f>
        <v/>
      </c>
    </row>
    <row r="258" customFormat="false" ht="15" hidden="false" customHeight="true" outlineLevel="0" collapsed="false">
      <c r="A258" s="23" t="str">
        <f aca="false">IF(OR(차량목록!$A24="",정비항목!$A3="",차량목록!$G24="매각"),"",차량목록!$A24)</f>
        <v/>
      </c>
      <c r="B258" s="23" t="str">
        <f aca="false">IF($A258="","",차량목록!$B24)</f>
        <v/>
      </c>
      <c r="C258" s="23" t="str">
        <f aca="false">IF($A258="","",정비항목!$B3)</f>
        <v/>
      </c>
      <c r="D258" s="24" t="str">
        <f aca="false">IF($A258="","",IF(정비항목!$C3="",0,정비항목!$C3))</f>
        <v/>
      </c>
      <c r="E258" s="28" t="str">
        <f aca="false">IF($A258="","",IF(정비항목!$D3="",0,정비항목!$D3))</f>
        <v/>
      </c>
      <c r="F258" s="26" t="str">
        <f aca="false">IF($A258="","",IF(COUNTIFS(정비이력!$B$3:$B$1002,$A258,정비이력!$D$3:$D$1002,정비항목!$A3)=0,"",SUMPRODUCT(MAX((정비이력!$B$3:$B$1002=$A258)*(정비이력!$D$3:$D$1002=정비항목!$A3)*정비이력!$A$3:$A$1002))))</f>
        <v/>
      </c>
      <c r="G258" s="27" t="str">
        <f aca="false">IF($A258="","",IF($F258="","",SUMPRODUCT(MAX((정비이력!$B$3:$B$1002=$A258)*(정비이력!$D$3:$D$1002=정비항목!$A3)*정비이력!$F$3:$F$1002))))</f>
        <v/>
      </c>
      <c r="H258" s="27" t="str">
        <f aca="false">IF($A258="","",IF(차량목록!$E24="",0,차량목록!$E24))</f>
        <v/>
      </c>
      <c r="I258" s="27" t="str">
        <f aca="false">IF(OR($A258="",$D258=0),"",IF($G258="",$H258+$D258,$G258+$D258))</f>
        <v/>
      </c>
      <c r="J258" s="24" t="str">
        <f aca="false">IF($I258="","",$I258-$H258)</f>
        <v/>
      </c>
      <c r="K258" s="26" t="str">
        <f aca="true">IF(OR($A258="",$E258=0),"",IF($F258="",EDATE(TODAY(),$E258),EDATE($F258,$E258)))</f>
        <v/>
      </c>
      <c r="L258" s="28" t="str">
        <f aca="true">IF($K258="","",$K258-TODAY())</f>
        <v/>
      </c>
      <c r="M258" s="28" t="str">
        <f aca="false">IF($A258="","",IF(AND($J258="",$L258=""),"-",IF(OR(AND($J258&lt;&gt;"",$J258&lt;=0),AND($L258&lt;&gt;"",$L258&lt;0)),"교체",IF(OR(AND($J258&lt;&gt;"",$J258&lt;=사용안내!$C$16),AND($L258&lt;&gt;"",$L258&lt;=사용안내!$C$17)),"임박","정상"))))</f>
        <v/>
      </c>
    </row>
    <row r="259" customFormat="false" ht="15" hidden="false" customHeight="true" outlineLevel="0" collapsed="false">
      <c r="A259" s="23" t="str">
        <f aca="false">IF(OR(차량목록!$A24="",정비항목!$A4="",차량목록!$G24="매각"),"",차량목록!$A24)</f>
        <v/>
      </c>
      <c r="B259" s="23" t="str">
        <f aca="false">IF($A259="","",차량목록!$B24)</f>
        <v/>
      </c>
      <c r="C259" s="23" t="str">
        <f aca="false">IF($A259="","",정비항목!$B4)</f>
        <v/>
      </c>
      <c r="D259" s="24" t="str">
        <f aca="false">IF($A259="","",IF(정비항목!$C4="",0,정비항목!$C4))</f>
        <v/>
      </c>
      <c r="E259" s="28" t="str">
        <f aca="false">IF($A259="","",IF(정비항목!$D4="",0,정비항목!$D4))</f>
        <v/>
      </c>
      <c r="F259" s="26" t="str">
        <f aca="false">IF($A259="","",IF(COUNTIFS(정비이력!$B$3:$B$1002,$A259,정비이력!$D$3:$D$1002,정비항목!$A4)=0,"",SUMPRODUCT(MAX((정비이력!$B$3:$B$1002=$A259)*(정비이력!$D$3:$D$1002=정비항목!$A4)*정비이력!$A$3:$A$1002))))</f>
        <v/>
      </c>
      <c r="G259" s="27" t="str">
        <f aca="false">IF($A259="","",IF($F259="","",SUMPRODUCT(MAX((정비이력!$B$3:$B$1002=$A259)*(정비이력!$D$3:$D$1002=정비항목!$A4)*정비이력!$F$3:$F$1002))))</f>
        <v/>
      </c>
      <c r="H259" s="27" t="str">
        <f aca="false">IF($A259="","",IF(차량목록!$E24="",0,차량목록!$E24))</f>
        <v/>
      </c>
      <c r="I259" s="27" t="str">
        <f aca="false">IF(OR($A259="",$D259=0),"",IF($G259="",$H259+$D259,$G259+$D259))</f>
        <v/>
      </c>
      <c r="J259" s="24" t="str">
        <f aca="false">IF($I259="","",$I259-$H259)</f>
        <v/>
      </c>
      <c r="K259" s="26" t="str">
        <f aca="true">IF(OR($A259="",$E259=0),"",IF($F259="",EDATE(TODAY(),$E259),EDATE($F259,$E259)))</f>
        <v/>
      </c>
      <c r="L259" s="28" t="str">
        <f aca="true">IF($K259="","",$K259-TODAY())</f>
        <v/>
      </c>
      <c r="M259" s="28" t="str">
        <f aca="false">IF($A259="","",IF(AND($J259="",$L259=""),"-",IF(OR(AND($J259&lt;&gt;"",$J259&lt;=0),AND($L259&lt;&gt;"",$L259&lt;0)),"교체",IF(OR(AND($J259&lt;&gt;"",$J259&lt;=사용안내!$C$16),AND($L259&lt;&gt;"",$L259&lt;=사용안내!$C$17)),"임박","정상"))))</f>
        <v/>
      </c>
    </row>
    <row r="260" customFormat="false" ht="15" hidden="false" customHeight="true" outlineLevel="0" collapsed="false">
      <c r="A260" s="23" t="str">
        <f aca="false">IF(OR(차량목록!$A24="",정비항목!$A5="",차량목록!$G24="매각"),"",차량목록!$A24)</f>
        <v/>
      </c>
      <c r="B260" s="23" t="str">
        <f aca="false">IF($A260="","",차량목록!$B24)</f>
        <v/>
      </c>
      <c r="C260" s="23" t="str">
        <f aca="false">IF($A260="","",정비항목!$B5)</f>
        <v/>
      </c>
      <c r="D260" s="24" t="str">
        <f aca="false">IF($A260="","",IF(정비항목!$C5="",0,정비항목!$C5))</f>
        <v/>
      </c>
      <c r="E260" s="28" t="str">
        <f aca="false">IF($A260="","",IF(정비항목!$D5="",0,정비항목!$D5))</f>
        <v/>
      </c>
      <c r="F260" s="26" t="str">
        <f aca="false">IF($A260="","",IF(COUNTIFS(정비이력!$B$3:$B$1002,$A260,정비이력!$D$3:$D$1002,정비항목!$A5)=0,"",SUMPRODUCT(MAX((정비이력!$B$3:$B$1002=$A260)*(정비이력!$D$3:$D$1002=정비항목!$A5)*정비이력!$A$3:$A$1002))))</f>
        <v/>
      </c>
      <c r="G260" s="27" t="str">
        <f aca="false">IF($A260="","",IF($F260="","",SUMPRODUCT(MAX((정비이력!$B$3:$B$1002=$A260)*(정비이력!$D$3:$D$1002=정비항목!$A5)*정비이력!$F$3:$F$1002))))</f>
        <v/>
      </c>
      <c r="H260" s="27" t="str">
        <f aca="false">IF($A260="","",IF(차량목록!$E24="",0,차량목록!$E24))</f>
        <v/>
      </c>
      <c r="I260" s="27" t="str">
        <f aca="false">IF(OR($A260="",$D260=0),"",IF($G260="",$H260+$D260,$G260+$D260))</f>
        <v/>
      </c>
      <c r="J260" s="24" t="str">
        <f aca="false">IF($I260="","",$I260-$H260)</f>
        <v/>
      </c>
      <c r="K260" s="26" t="str">
        <f aca="true">IF(OR($A260="",$E260=0),"",IF($F260="",EDATE(TODAY(),$E260),EDATE($F260,$E260)))</f>
        <v/>
      </c>
      <c r="L260" s="28" t="str">
        <f aca="true">IF($K260="","",$K260-TODAY())</f>
        <v/>
      </c>
      <c r="M260" s="28" t="str">
        <f aca="false">IF($A260="","",IF(AND($J260="",$L260=""),"-",IF(OR(AND($J260&lt;&gt;"",$J260&lt;=0),AND($L260&lt;&gt;"",$L260&lt;0)),"교체",IF(OR(AND($J260&lt;&gt;"",$J260&lt;=사용안내!$C$16),AND($L260&lt;&gt;"",$L260&lt;=사용안내!$C$17)),"임박","정상"))))</f>
        <v/>
      </c>
    </row>
    <row r="261" customFormat="false" ht="15" hidden="false" customHeight="true" outlineLevel="0" collapsed="false">
      <c r="A261" s="23" t="str">
        <f aca="false">IF(OR(차량목록!$A24="",정비항목!$A6="",차량목록!$G24="매각"),"",차량목록!$A24)</f>
        <v/>
      </c>
      <c r="B261" s="23" t="str">
        <f aca="false">IF($A261="","",차량목록!$B24)</f>
        <v/>
      </c>
      <c r="C261" s="23" t="str">
        <f aca="false">IF($A261="","",정비항목!$B6)</f>
        <v/>
      </c>
      <c r="D261" s="24" t="str">
        <f aca="false">IF($A261="","",IF(정비항목!$C6="",0,정비항목!$C6))</f>
        <v/>
      </c>
      <c r="E261" s="28" t="str">
        <f aca="false">IF($A261="","",IF(정비항목!$D6="",0,정비항목!$D6))</f>
        <v/>
      </c>
      <c r="F261" s="26" t="str">
        <f aca="false">IF($A261="","",IF(COUNTIFS(정비이력!$B$3:$B$1002,$A261,정비이력!$D$3:$D$1002,정비항목!$A6)=0,"",SUMPRODUCT(MAX((정비이력!$B$3:$B$1002=$A261)*(정비이력!$D$3:$D$1002=정비항목!$A6)*정비이력!$A$3:$A$1002))))</f>
        <v/>
      </c>
      <c r="G261" s="27" t="str">
        <f aca="false">IF($A261="","",IF($F261="","",SUMPRODUCT(MAX((정비이력!$B$3:$B$1002=$A261)*(정비이력!$D$3:$D$1002=정비항목!$A6)*정비이력!$F$3:$F$1002))))</f>
        <v/>
      </c>
      <c r="H261" s="27" t="str">
        <f aca="false">IF($A261="","",IF(차량목록!$E24="",0,차량목록!$E24))</f>
        <v/>
      </c>
      <c r="I261" s="27" t="str">
        <f aca="false">IF(OR($A261="",$D261=0),"",IF($G261="",$H261+$D261,$G261+$D261))</f>
        <v/>
      </c>
      <c r="J261" s="24" t="str">
        <f aca="false">IF($I261="","",$I261-$H261)</f>
        <v/>
      </c>
      <c r="K261" s="26" t="str">
        <f aca="true">IF(OR($A261="",$E261=0),"",IF($F261="",EDATE(TODAY(),$E261),EDATE($F261,$E261)))</f>
        <v/>
      </c>
      <c r="L261" s="28" t="str">
        <f aca="true">IF($K261="","",$K261-TODAY())</f>
        <v/>
      </c>
      <c r="M261" s="28" t="str">
        <f aca="false">IF($A261="","",IF(AND($J261="",$L261=""),"-",IF(OR(AND($J261&lt;&gt;"",$J261&lt;=0),AND($L261&lt;&gt;"",$L261&lt;0)),"교체",IF(OR(AND($J261&lt;&gt;"",$J261&lt;=사용안내!$C$16),AND($L261&lt;&gt;"",$L261&lt;=사용안내!$C$17)),"임박","정상"))))</f>
        <v/>
      </c>
    </row>
    <row r="262" customFormat="false" ht="15" hidden="false" customHeight="true" outlineLevel="0" collapsed="false">
      <c r="A262" s="23" t="str">
        <f aca="false">IF(OR(차량목록!$A24="",정비항목!$A7="",차량목록!$G24="매각"),"",차량목록!$A24)</f>
        <v/>
      </c>
      <c r="B262" s="23" t="str">
        <f aca="false">IF($A262="","",차량목록!$B24)</f>
        <v/>
      </c>
      <c r="C262" s="23" t="str">
        <f aca="false">IF($A262="","",정비항목!$B7)</f>
        <v/>
      </c>
      <c r="D262" s="24" t="str">
        <f aca="false">IF($A262="","",IF(정비항목!$C7="",0,정비항목!$C7))</f>
        <v/>
      </c>
      <c r="E262" s="28" t="str">
        <f aca="false">IF($A262="","",IF(정비항목!$D7="",0,정비항목!$D7))</f>
        <v/>
      </c>
      <c r="F262" s="26" t="str">
        <f aca="false">IF($A262="","",IF(COUNTIFS(정비이력!$B$3:$B$1002,$A262,정비이력!$D$3:$D$1002,정비항목!$A7)=0,"",SUMPRODUCT(MAX((정비이력!$B$3:$B$1002=$A262)*(정비이력!$D$3:$D$1002=정비항목!$A7)*정비이력!$A$3:$A$1002))))</f>
        <v/>
      </c>
      <c r="G262" s="27" t="str">
        <f aca="false">IF($A262="","",IF($F262="","",SUMPRODUCT(MAX((정비이력!$B$3:$B$1002=$A262)*(정비이력!$D$3:$D$1002=정비항목!$A7)*정비이력!$F$3:$F$1002))))</f>
        <v/>
      </c>
      <c r="H262" s="27" t="str">
        <f aca="false">IF($A262="","",IF(차량목록!$E24="",0,차량목록!$E24))</f>
        <v/>
      </c>
      <c r="I262" s="27" t="str">
        <f aca="false">IF(OR($A262="",$D262=0),"",IF($G262="",$H262+$D262,$G262+$D262))</f>
        <v/>
      </c>
      <c r="J262" s="24" t="str">
        <f aca="false">IF($I262="","",$I262-$H262)</f>
        <v/>
      </c>
      <c r="K262" s="26" t="str">
        <f aca="true">IF(OR($A262="",$E262=0),"",IF($F262="",EDATE(TODAY(),$E262),EDATE($F262,$E262)))</f>
        <v/>
      </c>
      <c r="L262" s="28" t="str">
        <f aca="true">IF($K262="","",$K262-TODAY())</f>
        <v/>
      </c>
      <c r="M262" s="28" t="str">
        <f aca="false">IF($A262="","",IF(AND($J262="",$L262=""),"-",IF(OR(AND($J262&lt;&gt;"",$J262&lt;=0),AND($L262&lt;&gt;"",$L262&lt;0)),"교체",IF(OR(AND($J262&lt;&gt;"",$J262&lt;=사용안내!$C$16),AND($L262&lt;&gt;"",$L262&lt;=사용안내!$C$17)),"임박","정상"))))</f>
        <v/>
      </c>
    </row>
    <row r="263" customFormat="false" ht="15" hidden="false" customHeight="true" outlineLevel="0" collapsed="false">
      <c r="A263" s="23" t="str">
        <f aca="false">IF(OR(차량목록!$A24="",정비항목!$A8="",차량목록!$G24="매각"),"",차량목록!$A24)</f>
        <v/>
      </c>
      <c r="B263" s="23" t="str">
        <f aca="false">IF($A263="","",차량목록!$B24)</f>
        <v/>
      </c>
      <c r="C263" s="23" t="str">
        <f aca="false">IF($A263="","",정비항목!$B8)</f>
        <v/>
      </c>
      <c r="D263" s="24" t="str">
        <f aca="false">IF($A263="","",IF(정비항목!$C8="",0,정비항목!$C8))</f>
        <v/>
      </c>
      <c r="E263" s="28" t="str">
        <f aca="false">IF($A263="","",IF(정비항목!$D8="",0,정비항목!$D8))</f>
        <v/>
      </c>
      <c r="F263" s="26" t="str">
        <f aca="false">IF($A263="","",IF(COUNTIFS(정비이력!$B$3:$B$1002,$A263,정비이력!$D$3:$D$1002,정비항목!$A8)=0,"",SUMPRODUCT(MAX((정비이력!$B$3:$B$1002=$A263)*(정비이력!$D$3:$D$1002=정비항목!$A8)*정비이력!$A$3:$A$1002))))</f>
        <v/>
      </c>
      <c r="G263" s="27" t="str">
        <f aca="false">IF($A263="","",IF($F263="","",SUMPRODUCT(MAX((정비이력!$B$3:$B$1002=$A263)*(정비이력!$D$3:$D$1002=정비항목!$A8)*정비이력!$F$3:$F$1002))))</f>
        <v/>
      </c>
      <c r="H263" s="27" t="str">
        <f aca="false">IF($A263="","",IF(차량목록!$E24="",0,차량목록!$E24))</f>
        <v/>
      </c>
      <c r="I263" s="27" t="str">
        <f aca="false">IF(OR($A263="",$D263=0),"",IF($G263="",$H263+$D263,$G263+$D263))</f>
        <v/>
      </c>
      <c r="J263" s="24" t="str">
        <f aca="false">IF($I263="","",$I263-$H263)</f>
        <v/>
      </c>
      <c r="K263" s="26" t="str">
        <f aca="true">IF(OR($A263="",$E263=0),"",IF($F263="",EDATE(TODAY(),$E263),EDATE($F263,$E263)))</f>
        <v/>
      </c>
      <c r="L263" s="28" t="str">
        <f aca="true">IF($K263="","",$K263-TODAY())</f>
        <v/>
      </c>
      <c r="M263" s="28" t="str">
        <f aca="false">IF($A263="","",IF(AND($J263="",$L263=""),"-",IF(OR(AND($J263&lt;&gt;"",$J263&lt;=0),AND($L263&lt;&gt;"",$L263&lt;0)),"교체",IF(OR(AND($J263&lt;&gt;"",$J263&lt;=사용안내!$C$16),AND($L263&lt;&gt;"",$L263&lt;=사용안내!$C$17)),"임박","정상"))))</f>
        <v/>
      </c>
    </row>
    <row r="264" customFormat="false" ht="15" hidden="false" customHeight="true" outlineLevel="0" collapsed="false">
      <c r="A264" s="23" t="str">
        <f aca="false">IF(OR(차량목록!$A24="",정비항목!$A9="",차량목록!$G24="매각"),"",차량목록!$A24)</f>
        <v/>
      </c>
      <c r="B264" s="23" t="str">
        <f aca="false">IF($A264="","",차량목록!$B24)</f>
        <v/>
      </c>
      <c r="C264" s="23" t="str">
        <f aca="false">IF($A264="","",정비항목!$B9)</f>
        <v/>
      </c>
      <c r="D264" s="24" t="str">
        <f aca="false">IF($A264="","",IF(정비항목!$C9="",0,정비항목!$C9))</f>
        <v/>
      </c>
      <c r="E264" s="28" t="str">
        <f aca="false">IF($A264="","",IF(정비항목!$D9="",0,정비항목!$D9))</f>
        <v/>
      </c>
      <c r="F264" s="26" t="str">
        <f aca="false">IF($A264="","",IF(COUNTIFS(정비이력!$B$3:$B$1002,$A264,정비이력!$D$3:$D$1002,정비항목!$A9)=0,"",SUMPRODUCT(MAX((정비이력!$B$3:$B$1002=$A264)*(정비이력!$D$3:$D$1002=정비항목!$A9)*정비이력!$A$3:$A$1002))))</f>
        <v/>
      </c>
      <c r="G264" s="27" t="str">
        <f aca="false">IF($A264="","",IF($F264="","",SUMPRODUCT(MAX((정비이력!$B$3:$B$1002=$A264)*(정비이력!$D$3:$D$1002=정비항목!$A9)*정비이력!$F$3:$F$1002))))</f>
        <v/>
      </c>
      <c r="H264" s="27" t="str">
        <f aca="false">IF($A264="","",IF(차량목록!$E24="",0,차량목록!$E24))</f>
        <v/>
      </c>
      <c r="I264" s="27" t="str">
        <f aca="false">IF(OR($A264="",$D264=0),"",IF($G264="",$H264+$D264,$G264+$D264))</f>
        <v/>
      </c>
      <c r="J264" s="24" t="str">
        <f aca="false">IF($I264="","",$I264-$H264)</f>
        <v/>
      </c>
      <c r="K264" s="26" t="str">
        <f aca="true">IF(OR($A264="",$E264=0),"",IF($F264="",EDATE(TODAY(),$E264),EDATE($F264,$E264)))</f>
        <v/>
      </c>
      <c r="L264" s="28" t="str">
        <f aca="true">IF($K264="","",$K264-TODAY())</f>
        <v/>
      </c>
      <c r="M264" s="28" t="str">
        <f aca="false">IF($A264="","",IF(AND($J264="",$L264=""),"-",IF(OR(AND($J264&lt;&gt;"",$J264&lt;=0),AND($L264&lt;&gt;"",$L264&lt;0)),"교체",IF(OR(AND($J264&lt;&gt;"",$J264&lt;=사용안내!$C$16),AND($L264&lt;&gt;"",$L264&lt;=사용안내!$C$17)),"임박","정상"))))</f>
        <v/>
      </c>
    </row>
    <row r="265" customFormat="false" ht="15" hidden="false" customHeight="true" outlineLevel="0" collapsed="false">
      <c r="A265" s="23" t="str">
        <f aca="false">IF(OR(차량목록!$A24="",정비항목!$A10="",차량목록!$G24="매각"),"",차량목록!$A24)</f>
        <v/>
      </c>
      <c r="B265" s="23" t="str">
        <f aca="false">IF($A265="","",차량목록!$B24)</f>
        <v/>
      </c>
      <c r="C265" s="23" t="str">
        <f aca="false">IF($A265="","",정비항목!$B10)</f>
        <v/>
      </c>
      <c r="D265" s="24" t="str">
        <f aca="false">IF($A265="","",IF(정비항목!$C10="",0,정비항목!$C10))</f>
        <v/>
      </c>
      <c r="E265" s="28" t="str">
        <f aca="false">IF($A265="","",IF(정비항목!$D10="",0,정비항목!$D10))</f>
        <v/>
      </c>
      <c r="F265" s="26" t="str">
        <f aca="false">IF($A265="","",IF(COUNTIFS(정비이력!$B$3:$B$1002,$A265,정비이력!$D$3:$D$1002,정비항목!$A10)=0,"",SUMPRODUCT(MAX((정비이력!$B$3:$B$1002=$A265)*(정비이력!$D$3:$D$1002=정비항목!$A10)*정비이력!$A$3:$A$1002))))</f>
        <v/>
      </c>
      <c r="G265" s="27" t="str">
        <f aca="false">IF($A265="","",IF($F265="","",SUMPRODUCT(MAX((정비이력!$B$3:$B$1002=$A265)*(정비이력!$D$3:$D$1002=정비항목!$A10)*정비이력!$F$3:$F$1002))))</f>
        <v/>
      </c>
      <c r="H265" s="27" t="str">
        <f aca="false">IF($A265="","",IF(차량목록!$E24="",0,차량목록!$E24))</f>
        <v/>
      </c>
      <c r="I265" s="27" t="str">
        <f aca="false">IF(OR($A265="",$D265=0),"",IF($G265="",$H265+$D265,$G265+$D265))</f>
        <v/>
      </c>
      <c r="J265" s="24" t="str">
        <f aca="false">IF($I265="","",$I265-$H265)</f>
        <v/>
      </c>
      <c r="K265" s="26" t="str">
        <f aca="true">IF(OR($A265="",$E265=0),"",IF($F265="",EDATE(TODAY(),$E265),EDATE($F265,$E265)))</f>
        <v/>
      </c>
      <c r="L265" s="28" t="str">
        <f aca="true">IF($K265="","",$K265-TODAY())</f>
        <v/>
      </c>
      <c r="M265" s="28" t="str">
        <f aca="false">IF($A265="","",IF(AND($J265="",$L265=""),"-",IF(OR(AND($J265&lt;&gt;"",$J265&lt;=0),AND($L265&lt;&gt;"",$L265&lt;0)),"교체",IF(OR(AND($J265&lt;&gt;"",$J265&lt;=사용안내!$C$16),AND($L265&lt;&gt;"",$L265&lt;=사용안내!$C$17)),"임박","정상"))))</f>
        <v/>
      </c>
    </row>
    <row r="266" customFormat="false" ht="15" hidden="false" customHeight="true" outlineLevel="0" collapsed="false">
      <c r="A266" s="23" t="str">
        <f aca="false">IF(OR(차량목록!$A24="",정비항목!$A11="",차량목록!$G24="매각"),"",차량목록!$A24)</f>
        <v/>
      </c>
      <c r="B266" s="23" t="str">
        <f aca="false">IF($A266="","",차량목록!$B24)</f>
        <v/>
      </c>
      <c r="C266" s="23" t="str">
        <f aca="false">IF($A266="","",정비항목!$B11)</f>
        <v/>
      </c>
      <c r="D266" s="24" t="str">
        <f aca="false">IF($A266="","",IF(정비항목!$C11="",0,정비항목!$C11))</f>
        <v/>
      </c>
      <c r="E266" s="28" t="str">
        <f aca="false">IF($A266="","",IF(정비항목!$D11="",0,정비항목!$D11))</f>
        <v/>
      </c>
      <c r="F266" s="26" t="str">
        <f aca="false">IF($A266="","",IF(COUNTIFS(정비이력!$B$3:$B$1002,$A266,정비이력!$D$3:$D$1002,정비항목!$A11)=0,"",SUMPRODUCT(MAX((정비이력!$B$3:$B$1002=$A266)*(정비이력!$D$3:$D$1002=정비항목!$A11)*정비이력!$A$3:$A$1002))))</f>
        <v/>
      </c>
      <c r="G266" s="27" t="str">
        <f aca="false">IF($A266="","",IF($F266="","",SUMPRODUCT(MAX((정비이력!$B$3:$B$1002=$A266)*(정비이력!$D$3:$D$1002=정비항목!$A11)*정비이력!$F$3:$F$1002))))</f>
        <v/>
      </c>
      <c r="H266" s="27" t="str">
        <f aca="false">IF($A266="","",IF(차량목록!$E24="",0,차량목록!$E24))</f>
        <v/>
      </c>
      <c r="I266" s="27" t="str">
        <f aca="false">IF(OR($A266="",$D266=0),"",IF($G266="",$H266+$D266,$G266+$D266))</f>
        <v/>
      </c>
      <c r="J266" s="24" t="str">
        <f aca="false">IF($I266="","",$I266-$H266)</f>
        <v/>
      </c>
      <c r="K266" s="26" t="str">
        <f aca="true">IF(OR($A266="",$E266=0),"",IF($F266="",EDATE(TODAY(),$E266),EDATE($F266,$E266)))</f>
        <v/>
      </c>
      <c r="L266" s="28" t="str">
        <f aca="true">IF($K266="","",$K266-TODAY())</f>
        <v/>
      </c>
      <c r="M266" s="28" t="str">
        <f aca="false">IF($A266="","",IF(AND($J266="",$L266=""),"-",IF(OR(AND($J266&lt;&gt;"",$J266&lt;=0),AND($L266&lt;&gt;"",$L266&lt;0)),"교체",IF(OR(AND($J266&lt;&gt;"",$J266&lt;=사용안내!$C$16),AND($L266&lt;&gt;"",$L266&lt;=사용안내!$C$17)),"임박","정상"))))</f>
        <v/>
      </c>
    </row>
    <row r="267" customFormat="false" ht="15" hidden="false" customHeight="true" outlineLevel="0" collapsed="false">
      <c r="A267" s="23" t="str">
        <f aca="false">IF(OR(차량목록!$A24="",정비항목!$A12="",차량목록!$G24="매각"),"",차량목록!$A24)</f>
        <v/>
      </c>
      <c r="B267" s="23" t="str">
        <f aca="false">IF($A267="","",차량목록!$B24)</f>
        <v/>
      </c>
      <c r="C267" s="23" t="str">
        <f aca="false">IF($A267="","",정비항목!$B12)</f>
        <v/>
      </c>
      <c r="D267" s="24" t="str">
        <f aca="false">IF($A267="","",IF(정비항목!$C12="",0,정비항목!$C12))</f>
        <v/>
      </c>
      <c r="E267" s="28" t="str">
        <f aca="false">IF($A267="","",IF(정비항목!$D12="",0,정비항목!$D12))</f>
        <v/>
      </c>
      <c r="F267" s="26" t="str">
        <f aca="false">IF($A267="","",IF(COUNTIFS(정비이력!$B$3:$B$1002,$A267,정비이력!$D$3:$D$1002,정비항목!$A12)=0,"",SUMPRODUCT(MAX((정비이력!$B$3:$B$1002=$A267)*(정비이력!$D$3:$D$1002=정비항목!$A12)*정비이력!$A$3:$A$1002))))</f>
        <v/>
      </c>
      <c r="G267" s="27" t="str">
        <f aca="false">IF($A267="","",IF($F267="","",SUMPRODUCT(MAX((정비이력!$B$3:$B$1002=$A267)*(정비이력!$D$3:$D$1002=정비항목!$A12)*정비이력!$F$3:$F$1002))))</f>
        <v/>
      </c>
      <c r="H267" s="27" t="str">
        <f aca="false">IF($A267="","",IF(차량목록!$E24="",0,차량목록!$E24))</f>
        <v/>
      </c>
      <c r="I267" s="27" t="str">
        <f aca="false">IF(OR($A267="",$D267=0),"",IF($G267="",$H267+$D267,$G267+$D267))</f>
        <v/>
      </c>
      <c r="J267" s="24" t="str">
        <f aca="false">IF($I267="","",$I267-$H267)</f>
        <v/>
      </c>
      <c r="K267" s="26" t="str">
        <f aca="true">IF(OR($A267="",$E267=0),"",IF($F267="",EDATE(TODAY(),$E267),EDATE($F267,$E267)))</f>
        <v/>
      </c>
      <c r="L267" s="28" t="str">
        <f aca="true">IF($K267="","",$K267-TODAY())</f>
        <v/>
      </c>
      <c r="M267" s="28" t="str">
        <f aca="false">IF($A267="","",IF(AND($J267="",$L267=""),"-",IF(OR(AND($J267&lt;&gt;"",$J267&lt;=0),AND($L267&lt;&gt;"",$L267&lt;0)),"교체",IF(OR(AND($J267&lt;&gt;"",$J267&lt;=사용안내!$C$16),AND($L267&lt;&gt;"",$L267&lt;=사용안내!$C$17)),"임박","정상"))))</f>
        <v/>
      </c>
    </row>
    <row r="268" customFormat="false" ht="15" hidden="false" customHeight="true" outlineLevel="0" collapsed="false">
      <c r="A268" s="23" t="str">
        <f aca="false">IF(OR(차량목록!$A24="",정비항목!$A13="",차량목록!$G24="매각"),"",차량목록!$A24)</f>
        <v/>
      </c>
      <c r="B268" s="23" t="str">
        <f aca="false">IF($A268="","",차량목록!$B24)</f>
        <v/>
      </c>
      <c r="C268" s="23" t="str">
        <f aca="false">IF($A268="","",정비항목!$B13)</f>
        <v/>
      </c>
      <c r="D268" s="24" t="str">
        <f aca="false">IF($A268="","",IF(정비항목!$C13="",0,정비항목!$C13))</f>
        <v/>
      </c>
      <c r="E268" s="28" t="str">
        <f aca="false">IF($A268="","",IF(정비항목!$D13="",0,정비항목!$D13))</f>
        <v/>
      </c>
      <c r="F268" s="26" t="str">
        <f aca="false">IF($A268="","",IF(COUNTIFS(정비이력!$B$3:$B$1002,$A268,정비이력!$D$3:$D$1002,정비항목!$A13)=0,"",SUMPRODUCT(MAX((정비이력!$B$3:$B$1002=$A268)*(정비이력!$D$3:$D$1002=정비항목!$A13)*정비이력!$A$3:$A$1002))))</f>
        <v/>
      </c>
      <c r="G268" s="27" t="str">
        <f aca="false">IF($A268="","",IF($F268="","",SUMPRODUCT(MAX((정비이력!$B$3:$B$1002=$A268)*(정비이력!$D$3:$D$1002=정비항목!$A13)*정비이력!$F$3:$F$1002))))</f>
        <v/>
      </c>
      <c r="H268" s="27" t="str">
        <f aca="false">IF($A268="","",IF(차량목록!$E24="",0,차량목록!$E24))</f>
        <v/>
      </c>
      <c r="I268" s="27" t="str">
        <f aca="false">IF(OR($A268="",$D268=0),"",IF($G268="",$H268+$D268,$G268+$D268))</f>
        <v/>
      </c>
      <c r="J268" s="24" t="str">
        <f aca="false">IF($I268="","",$I268-$H268)</f>
        <v/>
      </c>
      <c r="K268" s="26" t="str">
        <f aca="true">IF(OR($A268="",$E268=0),"",IF($F268="",EDATE(TODAY(),$E268),EDATE($F268,$E268)))</f>
        <v/>
      </c>
      <c r="L268" s="28" t="str">
        <f aca="true">IF($K268="","",$K268-TODAY())</f>
        <v/>
      </c>
      <c r="M268" s="28" t="str">
        <f aca="false">IF($A268="","",IF(AND($J268="",$L268=""),"-",IF(OR(AND($J268&lt;&gt;"",$J268&lt;=0),AND($L268&lt;&gt;"",$L268&lt;0)),"교체",IF(OR(AND($J268&lt;&gt;"",$J268&lt;=사용안내!$C$16),AND($L268&lt;&gt;"",$L268&lt;=사용안내!$C$17)),"임박","정상"))))</f>
        <v/>
      </c>
    </row>
    <row r="269" customFormat="false" ht="15" hidden="false" customHeight="true" outlineLevel="0" collapsed="false">
      <c r="A269" s="23" t="str">
        <f aca="false">IF(OR(차량목록!$A24="",정비항목!$A14="",차량목록!$G24="매각"),"",차량목록!$A24)</f>
        <v/>
      </c>
      <c r="B269" s="23" t="str">
        <f aca="false">IF($A269="","",차량목록!$B24)</f>
        <v/>
      </c>
      <c r="C269" s="23" t="str">
        <f aca="false">IF($A269="","",정비항목!$B14)</f>
        <v/>
      </c>
      <c r="D269" s="24" t="str">
        <f aca="false">IF($A269="","",IF(정비항목!$C14="",0,정비항목!$C14))</f>
        <v/>
      </c>
      <c r="E269" s="28" t="str">
        <f aca="false">IF($A269="","",IF(정비항목!$D14="",0,정비항목!$D14))</f>
        <v/>
      </c>
      <c r="F269" s="26" t="str">
        <f aca="false">IF($A269="","",IF(COUNTIFS(정비이력!$B$3:$B$1002,$A269,정비이력!$D$3:$D$1002,정비항목!$A14)=0,"",SUMPRODUCT(MAX((정비이력!$B$3:$B$1002=$A269)*(정비이력!$D$3:$D$1002=정비항목!$A14)*정비이력!$A$3:$A$1002))))</f>
        <v/>
      </c>
      <c r="G269" s="27" t="str">
        <f aca="false">IF($A269="","",IF($F269="","",SUMPRODUCT(MAX((정비이력!$B$3:$B$1002=$A269)*(정비이력!$D$3:$D$1002=정비항목!$A14)*정비이력!$F$3:$F$1002))))</f>
        <v/>
      </c>
      <c r="H269" s="27" t="str">
        <f aca="false">IF($A269="","",IF(차량목록!$E24="",0,차량목록!$E24))</f>
        <v/>
      </c>
      <c r="I269" s="27" t="str">
        <f aca="false">IF(OR($A269="",$D269=0),"",IF($G269="",$H269+$D269,$G269+$D269))</f>
        <v/>
      </c>
      <c r="J269" s="24" t="str">
        <f aca="false">IF($I269="","",$I269-$H269)</f>
        <v/>
      </c>
      <c r="K269" s="26" t="str">
        <f aca="true">IF(OR($A269="",$E269=0),"",IF($F269="",EDATE(TODAY(),$E269),EDATE($F269,$E269)))</f>
        <v/>
      </c>
      <c r="L269" s="28" t="str">
        <f aca="true">IF($K269="","",$K269-TODAY())</f>
        <v/>
      </c>
      <c r="M269" s="28" t="str">
        <f aca="false">IF($A269="","",IF(AND($J269="",$L269=""),"-",IF(OR(AND($J269&lt;&gt;"",$J269&lt;=0),AND($L269&lt;&gt;"",$L269&lt;0)),"교체",IF(OR(AND($J269&lt;&gt;"",$J269&lt;=사용안내!$C$16),AND($L269&lt;&gt;"",$L269&lt;=사용안내!$C$17)),"임박","정상"))))</f>
        <v/>
      </c>
    </row>
    <row r="270" customFormat="false" ht="15" hidden="false" customHeight="true" outlineLevel="0" collapsed="false">
      <c r="A270" s="23" t="str">
        <f aca="false">IF(OR(차량목록!$A25="",정비항목!$A3="",차량목록!$G25="매각"),"",차량목록!$A25)</f>
        <v/>
      </c>
      <c r="B270" s="23" t="str">
        <f aca="false">IF($A270="","",차량목록!$B25)</f>
        <v/>
      </c>
      <c r="C270" s="23" t="str">
        <f aca="false">IF($A270="","",정비항목!$B3)</f>
        <v/>
      </c>
      <c r="D270" s="24" t="str">
        <f aca="false">IF($A270="","",IF(정비항목!$C3="",0,정비항목!$C3))</f>
        <v/>
      </c>
      <c r="E270" s="28" t="str">
        <f aca="false">IF($A270="","",IF(정비항목!$D3="",0,정비항목!$D3))</f>
        <v/>
      </c>
      <c r="F270" s="26" t="str">
        <f aca="false">IF($A270="","",IF(COUNTIFS(정비이력!$B$3:$B$1002,$A270,정비이력!$D$3:$D$1002,정비항목!$A3)=0,"",SUMPRODUCT(MAX((정비이력!$B$3:$B$1002=$A270)*(정비이력!$D$3:$D$1002=정비항목!$A3)*정비이력!$A$3:$A$1002))))</f>
        <v/>
      </c>
      <c r="G270" s="27" t="str">
        <f aca="false">IF($A270="","",IF($F270="","",SUMPRODUCT(MAX((정비이력!$B$3:$B$1002=$A270)*(정비이력!$D$3:$D$1002=정비항목!$A3)*정비이력!$F$3:$F$1002))))</f>
        <v/>
      </c>
      <c r="H270" s="27" t="str">
        <f aca="false">IF($A270="","",IF(차량목록!$E25="",0,차량목록!$E25))</f>
        <v/>
      </c>
      <c r="I270" s="27" t="str">
        <f aca="false">IF(OR($A270="",$D270=0),"",IF($G270="",$H270+$D270,$G270+$D270))</f>
        <v/>
      </c>
      <c r="J270" s="24" t="str">
        <f aca="false">IF($I270="","",$I270-$H270)</f>
        <v/>
      </c>
      <c r="K270" s="26" t="str">
        <f aca="true">IF(OR($A270="",$E270=0),"",IF($F270="",EDATE(TODAY(),$E270),EDATE($F270,$E270)))</f>
        <v/>
      </c>
      <c r="L270" s="28" t="str">
        <f aca="true">IF($K270="","",$K270-TODAY())</f>
        <v/>
      </c>
      <c r="M270" s="28" t="str">
        <f aca="false">IF($A270="","",IF(AND($J270="",$L270=""),"-",IF(OR(AND($J270&lt;&gt;"",$J270&lt;=0),AND($L270&lt;&gt;"",$L270&lt;0)),"교체",IF(OR(AND($J270&lt;&gt;"",$J270&lt;=사용안내!$C$16),AND($L270&lt;&gt;"",$L270&lt;=사용안내!$C$17)),"임박","정상"))))</f>
        <v/>
      </c>
    </row>
    <row r="271" customFormat="false" ht="15" hidden="false" customHeight="true" outlineLevel="0" collapsed="false">
      <c r="A271" s="23" t="str">
        <f aca="false">IF(OR(차량목록!$A25="",정비항목!$A4="",차량목록!$G25="매각"),"",차량목록!$A25)</f>
        <v/>
      </c>
      <c r="B271" s="23" t="str">
        <f aca="false">IF($A271="","",차량목록!$B25)</f>
        <v/>
      </c>
      <c r="C271" s="23" t="str">
        <f aca="false">IF($A271="","",정비항목!$B4)</f>
        <v/>
      </c>
      <c r="D271" s="24" t="str">
        <f aca="false">IF($A271="","",IF(정비항목!$C4="",0,정비항목!$C4))</f>
        <v/>
      </c>
      <c r="E271" s="28" t="str">
        <f aca="false">IF($A271="","",IF(정비항목!$D4="",0,정비항목!$D4))</f>
        <v/>
      </c>
      <c r="F271" s="26" t="str">
        <f aca="false">IF($A271="","",IF(COUNTIFS(정비이력!$B$3:$B$1002,$A271,정비이력!$D$3:$D$1002,정비항목!$A4)=0,"",SUMPRODUCT(MAX((정비이력!$B$3:$B$1002=$A271)*(정비이력!$D$3:$D$1002=정비항목!$A4)*정비이력!$A$3:$A$1002))))</f>
        <v/>
      </c>
      <c r="G271" s="27" t="str">
        <f aca="false">IF($A271="","",IF($F271="","",SUMPRODUCT(MAX((정비이력!$B$3:$B$1002=$A271)*(정비이력!$D$3:$D$1002=정비항목!$A4)*정비이력!$F$3:$F$1002))))</f>
        <v/>
      </c>
      <c r="H271" s="27" t="str">
        <f aca="false">IF($A271="","",IF(차량목록!$E25="",0,차량목록!$E25))</f>
        <v/>
      </c>
      <c r="I271" s="27" t="str">
        <f aca="false">IF(OR($A271="",$D271=0),"",IF($G271="",$H271+$D271,$G271+$D271))</f>
        <v/>
      </c>
      <c r="J271" s="24" t="str">
        <f aca="false">IF($I271="","",$I271-$H271)</f>
        <v/>
      </c>
      <c r="K271" s="26" t="str">
        <f aca="true">IF(OR($A271="",$E271=0),"",IF($F271="",EDATE(TODAY(),$E271),EDATE($F271,$E271)))</f>
        <v/>
      </c>
      <c r="L271" s="28" t="str">
        <f aca="true">IF($K271="","",$K271-TODAY())</f>
        <v/>
      </c>
      <c r="M271" s="28" t="str">
        <f aca="false">IF($A271="","",IF(AND($J271="",$L271=""),"-",IF(OR(AND($J271&lt;&gt;"",$J271&lt;=0),AND($L271&lt;&gt;"",$L271&lt;0)),"교체",IF(OR(AND($J271&lt;&gt;"",$J271&lt;=사용안내!$C$16),AND($L271&lt;&gt;"",$L271&lt;=사용안내!$C$17)),"임박","정상"))))</f>
        <v/>
      </c>
    </row>
    <row r="272" customFormat="false" ht="15" hidden="false" customHeight="true" outlineLevel="0" collapsed="false">
      <c r="A272" s="23" t="str">
        <f aca="false">IF(OR(차량목록!$A25="",정비항목!$A5="",차량목록!$G25="매각"),"",차량목록!$A25)</f>
        <v/>
      </c>
      <c r="B272" s="23" t="str">
        <f aca="false">IF($A272="","",차량목록!$B25)</f>
        <v/>
      </c>
      <c r="C272" s="23" t="str">
        <f aca="false">IF($A272="","",정비항목!$B5)</f>
        <v/>
      </c>
      <c r="D272" s="24" t="str">
        <f aca="false">IF($A272="","",IF(정비항목!$C5="",0,정비항목!$C5))</f>
        <v/>
      </c>
      <c r="E272" s="28" t="str">
        <f aca="false">IF($A272="","",IF(정비항목!$D5="",0,정비항목!$D5))</f>
        <v/>
      </c>
      <c r="F272" s="26" t="str">
        <f aca="false">IF($A272="","",IF(COUNTIFS(정비이력!$B$3:$B$1002,$A272,정비이력!$D$3:$D$1002,정비항목!$A5)=0,"",SUMPRODUCT(MAX((정비이력!$B$3:$B$1002=$A272)*(정비이력!$D$3:$D$1002=정비항목!$A5)*정비이력!$A$3:$A$1002))))</f>
        <v/>
      </c>
      <c r="G272" s="27" t="str">
        <f aca="false">IF($A272="","",IF($F272="","",SUMPRODUCT(MAX((정비이력!$B$3:$B$1002=$A272)*(정비이력!$D$3:$D$1002=정비항목!$A5)*정비이력!$F$3:$F$1002))))</f>
        <v/>
      </c>
      <c r="H272" s="27" t="str">
        <f aca="false">IF($A272="","",IF(차량목록!$E25="",0,차량목록!$E25))</f>
        <v/>
      </c>
      <c r="I272" s="27" t="str">
        <f aca="false">IF(OR($A272="",$D272=0),"",IF($G272="",$H272+$D272,$G272+$D272))</f>
        <v/>
      </c>
      <c r="J272" s="24" t="str">
        <f aca="false">IF($I272="","",$I272-$H272)</f>
        <v/>
      </c>
      <c r="K272" s="26" t="str">
        <f aca="true">IF(OR($A272="",$E272=0),"",IF($F272="",EDATE(TODAY(),$E272),EDATE($F272,$E272)))</f>
        <v/>
      </c>
      <c r="L272" s="28" t="str">
        <f aca="true">IF($K272="","",$K272-TODAY())</f>
        <v/>
      </c>
      <c r="M272" s="28" t="str">
        <f aca="false">IF($A272="","",IF(AND($J272="",$L272=""),"-",IF(OR(AND($J272&lt;&gt;"",$J272&lt;=0),AND($L272&lt;&gt;"",$L272&lt;0)),"교체",IF(OR(AND($J272&lt;&gt;"",$J272&lt;=사용안내!$C$16),AND($L272&lt;&gt;"",$L272&lt;=사용안내!$C$17)),"임박","정상"))))</f>
        <v/>
      </c>
    </row>
    <row r="273" customFormat="false" ht="15" hidden="false" customHeight="true" outlineLevel="0" collapsed="false">
      <c r="A273" s="23" t="str">
        <f aca="false">IF(OR(차량목록!$A25="",정비항목!$A6="",차량목록!$G25="매각"),"",차량목록!$A25)</f>
        <v/>
      </c>
      <c r="B273" s="23" t="str">
        <f aca="false">IF($A273="","",차량목록!$B25)</f>
        <v/>
      </c>
      <c r="C273" s="23" t="str">
        <f aca="false">IF($A273="","",정비항목!$B6)</f>
        <v/>
      </c>
      <c r="D273" s="24" t="str">
        <f aca="false">IF($A273="","",IF(정비항목!$C6="",0,정비항목!$C6))</f>
        <v/>
      </c>
      <c r="E273" s="28" t="str">
        <f aca="false">IF($A273="","",IF(정비항목!$D6="",0,정비항목!$D6))</f>
        <v/>
      </c>
      <c r="F273" s="26" t="str">
        <f aca="false">IF($A273="","",IF(COUNTIFS(정비이력!$B$3:$B$1002,$A273,정비이력!$D$3:$D$1002,정비항목!$A6)=0,"",SUMPRODUCT(MAX((정비이력!$B$3:$B$1002=$A273)*(정비이력!$D$3:$D$1002=정비항목!$A6)*정비이력!$A$3:$A$1002))))</f>
        <v/>
      </c>
      <c r="G273" s="27" t="str">
        <f aca="false">IF($A273="","",IF($F273="","",SUMPRODUCT(MAX((정비이력!$B$3:$B$1002=$A273)*(정비이력!$D$3:$D$1002=정비항목!$A6)*정비이력!$F$3:$F$1002))))</f>
        <v/>
      </c>
      <c r="H273" s="27" t="str">
        <f aca="false">IF($A273="","",IF(차량목록!$E25="",0,차량목록!$E25))</f>
        <v/>
      </c>
      <c r="I273" s="27" t="str">
        <f aca="false">IF(OR($A273="",$D273=0),"",IF($G273="",$H273+$D273,$G273+$D273))</f>
        <v/>
      </c>
      <c r="J273" s="24" t="str">
        <f aca="false">IF($I273="","",$I273-$H273)</f>
        <v/>
      </c>
      <c r="K273" s="26" t="str">
        <f aca="true">IF(OR($A273="",$E273=0),"",IF($F273="",EDATE(TODAY(),$E273),EDATE($F273,$E273)))</f>
        <v/>
      </c>
      <c r="L273" s="28" t="str">
        <f aca="true">IF($K273="","",$K273-TODAY())</f>
        <v/>
      </c>
      <c r="M273" s="28" t="str">
        <f aca="false">IF($A273="","",IF(AND($J273="",$L273=""),"-",IF(OR(AND($J273&lt;&gt;"",$J273&lt;=0),AND($L273&lt;&gt;"",$L273&lt;0)),"교체",IF(OR(AND($J273&lt;&gt;"",$J273&lt;=사용안내!$C$16),AND($L273&lt;&gt;"",$L273&lt;=사용안내!$C$17)),"임박","정상"))))</f>
        <v/>
      </c>
    </row>
    <row r="274" customFormat="false" ht="15" hidden="false" customHeight="true" outlineLevel="0" collapsed="false">
      <c r="A274" s="23" t="str">
        <f aca="false">IF(OR(차량목록!$A25="",정비항목!$A7="",차량목록!$G25="매각"),"",차량목록!$A25)</f>
        <v/>
      </c>
      <c r="B274" s="23" t="str">
        <f aca="false">IF($A274="","",차량목록!$B25)</f>
        <v/>
      </c>
      <c r="C274" s="23" t="str">
        <f aca="false">IF($A274="","",정비항목!$B7)</f>
        <v/>
      </c>
      <c r="D274" s="24" t="str">
        <f aca="false">IF($A274="","",IF(정비항목!$C7="",0,정비항목!$C7))</f>
        <v/>
      </c>
      <c r="E274" s="28" t="str">
        <f aca="false">IF($A274="","",IF(정비항목!$D7="",0,정비항목!$D7))</f>
        <v/>
      </c>
      <c r="F274" s="26" t="str">
        <f aca="false">IF($A274="","",IF(COUNTIFS(정비이력!$B$3:$B$1002,$A274,정비이력!$D$3:$D$1002,정비항목!$A7)=0,"",SUMPRODUCT(MAX((정비이력!$B$3:$B$1002=$A274)*(정비이력!$D$3:$D$1002=정비항목!$A7)*정비이력!$A$3:$A$1002))))</f>
        <v/>
      </c>
      <c r="G274" s="27" t="str">
        <f aca="false">IF($A274="","",IF($F274="","",SUMPRODUCT(MAX((정비이력!$B$3:$B$1002=$A274)*(정비이력!$D$3:$D$1002=정비항목!$A7)*정비이력!$F$3:$F$1002))))</f>
        <v/>
      </c>
      <c r="H274" s="27" t="str">
        <f aca="false">IF($A274="","",IF(차량목록!$E25="",0,차량목록!$E25))</f>
        <v/>
      </c>
      <c r="I274" s="27" t="str">
        <f aca="false">IF(OR($A274="",$D274=0),"",IF($G274="",$H274+$D274,$G274+$D274))</f>
        <v/>
      </c>
      <c r="J274" s="24" t="str">
        <f aca="false">IF($I274="","",$I274-$H274)</f>
        <v/>
      </c>
      <c r="K274" s="26" t="str">
        <f aca="true">IF(OR($A274="",$E274=0),"",IF($F274="",EDATE(TODAY(),$E274),EDATE($F274,$E274)))</f>
        <v/>
      </c>
      <c r="L274" s="28" t="str">
        <f aca="true">IF($K274="","",$K274-TODAY())</f>
        <v/>
      </c>
      <c r="M274" s="28" t="str">
        <f aca="false">IF($A274="","",IF(AND($J274="",$L274=""),"-",IF(OR(AND($J274&lt;&gt;"",$J274&lt;=0),AND($L274&lt;&gt;"",$L274&lt;0)),"교체",IF(OR(AND($J274&lt;&gt;"",$J274&lt;=사용안내!$C$16),AND($L274&lt;&gt;"",$L274&lt;=사용안내!$C$17)),"임박","정상"))))</f>
        <v/>
      </c>
    </row>
    <row r="275" customFormat="false" ht="15" hidden="false" customHeight="true" outlineLevel="0" collapsed="false">
      <c r="A275" s="23" t="str">
        <f aca="false">IF(OR(차량목록!$A25="",정비항목!$A8="",차량목록!$G25="매각"),"",차량목록!$A25)</f>
        <v/>
      </c>
      <c r="B275" s="23" t="str">
        <f aca="false">IF($A275="","",차량목록!$B25)</f>
        <v/>
      </c>
      <c r="C275" s="23" t="str">
        <f aca="false">IF($A275="","",정비항목!$B8)</f>
        <v/>
      </c>
      <c r="D275" s="24" t="str">
        <f aca="false">IF($A275="","",IF(정비항목!$C8="",0,정비항목!$C8))</f>
        <v/>
      </c>
      <c r="E275" s="28" t="str">
        <f aca="false">IF($A275="","",IF(정비항목!$D8="",0,정비항목!$D8))</f>
        <v/>
      </c>
      <c r="F275" s="26" t="str">
        <f aca="false">IF($A275="","",IF(COUNTIFS(정비이력!$B$3:$B$1002,$A275,정비이력!$D$3:$D$1002,정비항목!$A8)=0,"",SUMPRODUCT(MAX((정비이력!$B$3:$B$1002=$A275)*(정비이력!$D$3:$D$1002=정비항목!$A8)*정비이력!$A$3:$A$1002))))</f>
        <v/>
      </c>
      <c r="G275" s="27" t="str">
        <f aca="false">IF($A275="","",IF($F275="","",SUMPRODUCT(MAX((정비이력!$B$3:$B$1002=$A275)*(정비이력!$D$3:$D$1002=정비항목!$A8)*정비이력!$F$3:$F$1002))))</f>
        <v/>
      </c>
      <c r="H275" s="27" t="str">
        <f aca="false">IF($A275="","",IF(차량목록!$E25="",0,차량목록!$E25))</f>
        <v/>
      </c>
      <c r="I275" s="27" t="str">
        <f aca="false">IF(OR($A275="",$D275=0),"",IF($G275="",$H275+$D275,$G275+$D275))</f>
        <v/>
      </c>
      <c r="J275" s="24" t="str">
        <f aca="false">IF($I275="","",$I275-$H275)</f>
        <v/>
      </c>
      <c r="K275" s="26" t="str">
        <f aca="true">IF(OR($A275="",$E275=0),"",IF($F275="",EDATE(TODAY(),$E275),EDATE($F275,$E275)))</f>
        <v/>
      </c>
      <c r="L275" s="28" t="str">
        <f aca="true">IF($K275="","",$K275-TODAY())</f>
        <v/>
      </c>
      <c r="M275" s="28" t="str">
        <f aca="false">IF($A275="","",IF(AND($J275="",$L275=""),"-",IF(OR(AND($J275&lt;&gt;"",$J275&lt;=0),AND($L275&lt;&gt;"",$L275&lt;0)),"교체",IF(OR(AND($J275&lt;&gt;"",$J275&lt;=사용안내!$C$16),AND($L275&lt;&gt;"",$L275&lt;=사용안내!$C$17)),"임박","정상"))))</f>
        <v/>
      </c>
    </row>
    <row r="276" customFormat="false" ht="15" hidden="false" customHeight="true" outlineLevel="0" collapsed="false">
      <c r="A276" s="23" t="str">
        <f aca="false">IF(OR(차량목록!$A25="",정비항목!$A9="",차량목록!$G25="매각"),"",차량목록!$A25)</f>
        <v/>
      </c>
      <c r="B276" s="23" t="str">
        <f aca="false">IF($A276="","",차량목록!$B25)</f>
        <v/>
      </c>
      <c r="C276" s="23" t="str">
        <f aca="false">IF($A276="","",정비항목!$B9)</f>
        <v/>
      </c>
      <c r="D276" s="24" t="str">
        <f aca="false">IF($A276="","",IF(정비항목!$C9="",0,정비항목!$C9))</f>
        <v/>
      </c>
      <c r="E276" s="28" t="str">
        <f aca="false">IF($A276="","",IF(정비항목!$D9="",0,정비항목!$D9))</f>
        <v/>
      </c>
      <c r="F276" s="26" t="str">
        <f aca="false">IF($A276="","",IF(COUNTIFS(정비이력!$B$3:$B$1002,$A276,정비이력!$D$3:$D$1002,정비항목!$A9)=0,"",SUMPRODUCT(MAX((정비이력!$B$3:$B$1002=$A276)*(정비이력!$D$3:$D$1002=정비항목!$A9)*정비이력!$A$3:$A$1002))))</f>
        <v/>
      </c>
      <c r="G276" s="27" t="str">
        <f aca="false">IF($A276="","",IF($F276="","",SUMPRODUCT(MAX((정비이력!$B$3:$B$1002=$A276)*(정비이력!$D$3:$D$1002=정비항목!$A9)*정비이력!$F$3:$F$1002))))</f>
        <v/>
      </c>
      <c r="H276" s="27" t="str">
        <f aca="false">IF($A276="","",IF(차량목록!$E25="",0,차량목록!$E25))</f>
        <v/>
      </c>
      <c r="I276" s="27" t="str">
        <f aca="false">IF(OR($A276="",$D276=0),"",IF($G276="",$H276+$D276,$G276+$D276))</f>
        <v/>
      </c>
      <c r="J276" s="24" t="str">
        <f aca="false">IF($I276="","",$I276-$H276)</f>
        <v/>
      </c>
      <c r="K276" s="26" t="str">
        <f aca="true">IF(OR($A276="",$E276=0),"",IF($F276="",EDATE(TODAY(),$E276),EDATE($F276,$E276)))</f>
        <v/>
      </c>
      <c r="L276" s="28" t="str">
        <f aca="true">IF($K276="","",$K276-TODAY())</f>
        <v/>
      </c>
      <c r="M276" s="28" t="str">
        <f aca="false">IF($A276="","",IF(AND($J276="",$L276=""),"-",IF(OR(AND($J276&lt;&gt;"",$J276&lt;=0),AND($L276&lt;&gt;"",$L276&lt;0)),"교체",IF(OR(AND($J276&lt;&gt;"",$J276&lt;=사용안내!$C$16),AND($L276&lt;&gt;"",$L276&lt;=사용안내!$C$17)),"임박","정상"))))</f>
        <v/>
      </c>
    </row>
    <row r="277" customFormat="false" ht="15" hidden="false" customHeight="true" outlineLevel="0" collapsed="false">
      <c r="A277" s="23" t="str">
        <f aca="false">IF(OR(차량목록!$A25="",정비항목!$A10="",차량목록!$G25="매각"),"",차량목록!$A25)</f>
        <v/>
      </c>
      <c r="B277" s="23" t="str">
        <f aca="false">IF($A277="","",차량목록!$B25)</f>
        <v/>
      </c>
      <c r="C277" s="23" t="str">
        <f aca="false">IF($A277="","",정비항목!$B10)</f>
        <v/>
      </c>
      <c r="D277" s="24" t="str">
        <f aca="false">IF($A277="","",IF(정비항목!$C10="",0,정비항목!$C10))</f>
        <v/>
      </c>
      <c r="E277" s="28" t="str">
        <f aca="false">IF($A277="","",IF(정비항목!$D10="",0,정비항목!$D10))</f>
        <v/>
      </c>
      <c r="F277" s="26" t="str">
        <f aca="false">IF($A277="","",IF(COUNTIFS(정비이력!$B$3:$B$1002,$A277,정비이력!$D$3:$D$1002,정비항목!$A10)=0,"",SUMPRODUCT(MAX((정비이력!$B$3:$B$1002=$A277)*(정비이력!$D$3:$D$1002=정비항목!$A10)*정비이력!$A$3:$A$1002))))</f>
        <v/>
      </c>
      <c r="G277" s="27" t="str">
        <f aca="false">IF($A277="","",IF($F277="","",SUMPRODUCT(MAX((정비이력!$B$3:$B$1002=$A277)*(정비이력!$D$3:$D$1002=정비항목!$A10)*정비이력!$F$3:$F$1002))))</f>
        <v/>
      </c>
      <c r="H277" s="27" t="str">
        <f aca="false">IF($A277="","",IF(차량목록!$E25="",0,차량목록!$E25))</f>
        <v/>
      </c>
      <c r="I277" s="27" t="str">
        <f aca="false">IF(OR($A277="",$D277=0),"",IF($G277="",$H277+$D277,$G277+$D277))</f>
        <v/>
      </c>
      <c r="J277" s="24" t="str">
        <f aca="false">IF($I277="","",$I277-$H277)</f>
        <v/>
      </c>
      <c r="K277" s="26" t="str">
        <f aca="true">IF(OR($A277="",$E277=0),"",IF($F277="",EDATE(TODAY(),$E277),EDATE($F277,$E277)))</f>
        <v/>
      </c>
      <c r="L277" s="28" t="str">
        <f aca="true">IF($K277="","",$K277-TODAY())</f>
        <v/>
      </c>
      <c r="M277" s="28" t="str">
        <f aca="false">IF($A277="","",IF(AND($J277="",$L277=""),"-",IF(OR(AND($J277&lt;&gt;"",$J277&lt;=0),AND($L277&lt;&gt;"",$L277&lt;0)),"교체",IF(OR(AND($J277&lt;&gt;"",$J277&lt;=사용안내!$C$16),AND($L277&lt;&gt;"",$L277&lt;=사용안내!$C$17)),"임박","정상"))))</f>
        <v/>
      </c>
    </row>
    <row r="278" customFormat="false" ht="15" hidden="false" customHeight="true" outlineLevel="0" collapsed="false">
      <c r="A278" s="23" t="str">
        <f aca="false">IF(OR(차량목록!$A25="",정비항목!$A11="",차량목록!$G25="매각"),"",차량목록!$A25)</f>
        <v/>
      </c>
      <c r="B278" s="23" t="str">
        <f aca="false">IF($A278="","",차량목록!$B25)</f>
        <v/>
      </c>
      <c r="C278" s="23" t="str">
        <f aca="false">IF($A278="","",정비항목!$B11)</f>
        <v/>
      </c>
      <c r="D278" s="24" t="str">
        <f aca="false">IF($A278="","",IF(정비항목!$C11="",0,정비항목!$C11))</f>
        <v/>
      </c>
      <c r="E278" s="28" t="str">
        <f aca="false">IF($A278="","",IF(정비항목!$D11="",0,정비항목!$D11))</f>
        <v/>
      </c>
      <c r="F278" s="26" t="str">
        <f aca="false">IF($A278="","",IF(COUNTIFS(정비이력!$B$3:$B$1002,$A278,정비이력!$D$3:$D$1002,정비항목!$A11)=0,"",SUMPRODUCT(MAX((정비이력!$B$3:$B$1002=$A278)*(정비이력!$D$3:$D$1002=정비항목!$A11)*정비이력!$A$3:$A$1002))))</f>
        <v/>
      </c>
      <c r="G278" s="27" t="str">
        <f aca="false">IF($A278="","",IF($F278="","",SUMPRODUCT(MAX((정비이력!$B$3:$B$1002=$A278)*(정비이력!$D$3:$D$1002=정비항목!$A11)*정비이력!$F$3:$F$1002))))</f>
        <v/>
      </c>
      <c r="H278" s="27" t="str">
        <f aca="false">IF($A278="","",IF(차량목록!$E25="",0,차량목록!$E25))</f>
        <v/>
      </c>
      <c r="I278" s="27" t="str">
        <f aca="false">IF(OR($A278="",$D278=0),"",IF($G278="",$H278+$D278,$G278+$D278))</f>
        <v/>
      </c>
      <c r="J278" s="24" t="str">
        <f aca="false">IF($I278="","",$I278-$H278)</f>
        <v/>
      </c>
      <c r="K278" s="26" t="str">
        <f aca="true">IF(OR($A278="",$E278=0),"",IF($F278="",EDATE(TODAY(),$E278),EDATE($F278,$E278)))</f>
        <v/>
      </c>
      <c r="L278" s="28" t="str">
        <f aca="true">IF($K278="","",$K278-TODAY())</f>
        <v/>
      </c>
      <c r="M278" s="28" t="str">
        <f aca="false">IF($A278="","",IF(AND($J278="",$L278=""),"-",IF(OR(AND($J278&lt;&gt;"",$J278&lt;=0),AND($L278&lt;&gt;"",$L278&lt;0)),"교체",IF(OR(AND($J278&lt;&gt;"",$J278&lt;=사용안내!$C$16),AND($L278&lt;&gt;"",$L278&lt;=사용안내!$C$17)),"임박","정상"))))</f>
        <v/>
      </c>
    </row>
    <row r="279" customFormat="false" ht="15" hidden="false" customHeight="true" outlineLevel="0" collapsed="false">
      <c r="A279" s="23" t="str">
        <f aca="false">IF(OR(차량목록!$A25="",정비항목!$A12="",차량목록!$G25="매각"),"",차량목록!$A25)</f>
        <v/>
      </c>
      <c r="B279" s="23" t="str">
        <f aca="false">IF($A279="","",차량목록!$B25)</f>
        <v/>
      </c>
      <c r="C279" s="23" t="str">
        <f aca="false">IF($A279="","",정비항목!$B12)</f>
        <v/>
      </c>
      <c r="D279" s="24" t="str">
        <f aca="false">IF($A279="","",IF(정비항목!$C12="",0,정비항목!$C12))</f>
        <v/>
      </c>
      <c r="E279" s="28" t="str">
        <f aca="false">IF($A279="","",IF(정비항목!$D12="",0,정비항목!$D12))</f>
        <v/>
      </c>
      <c r="F279" s="26" t="str">
        <f aca="false">IF($A279="","",IF(COUNTIFS(정비이력!$B$3:$B$1002,$A279,정비이력!$D$3:$D$1002,정비항목!$A12)=0,"",SUMPRODUCT(MAX((정비이력!$B$3:$B$1002=$A279)*(정비이력!$D$3:$D$1002=정비항목!$A12)*정비이력!$A$3:$A$1002))))</f>
        <v/>
      </c>
      <c r="G279" s="27" t="str">
        <f aca="false">IF($A279="","",IF($F279="","",SUMPRODUCT(MAX((정비이력!$B$3:$B$1002=$A279)*(정비이력!$D$3:$D$1002=정비항목!$A12)*정비이력!$F$3:$F$1002))))</f>
        <v/>
      </c>
      <c r="H279" s="27" t="str">
        <f aca="false">IF($A279="","",IF(차량목록!$E25="",0,차량목록!$E25))</f>
        <v/>
      </c>
      <c r="I279" s="27" t="str">
        <f aca="false">IF(OR($A279="",$D279=0),"",IF($G279="",$H279+$D279,$G279+$D279))</f>
        <v/>
      </c>
      <c r="J279" s="24" t="str">
        <f aca="false">IF($I279="","",$I279-$H279)</f>
        <v/>
      </c>
      <c r="K279" s="26" t="str">
        <f aca="true">IF(OR($A279="",$E279=0),"",IF($F279="",EDATE(TODAY(),$E279),EDATE($F279,$E279)))</f>
        <v/>
      </c>
      <c r="L279" s="28" t="str">
        <f aca="true">IF($K279="","",$K279-TODAY())</f>
        <v/>
      </c>
      <c r="M279" s="28" t="str">
        <f aca="false">IF($A279="","",IF(AND($J279="",$L279=""),"-",IF(OR(AND($J279&lt;&gt;"",$J279&lt;=0),AND($L279&lt;&gt;"",$L279&lt;0)),"교체",IF(OR(AND($J279&lt;&gt;"",$J279&lt;=사용안내!$C$16),AND($L279&lt;&gt;"",$L279&lt;=사용안내!$C$17)),"임박","정상"))))</f>
        <v/>
      </c>
    </row>
    <row r="280" customFormat="false" ht="15" hidden="false" customHeight="true" outlineLevel="0" collapsed="false">
      <c r="A280" s="23" t="str">
        <f aca="false">IF(OR(차량목록!$A25="",정비항목!$A13="",차량목록!$G25="매각"),"",차량목록!$A25)</f>
        <v/>
      </c>
      <c r="B280" s="23" t="str">
        <f aca="false">IF($A280="","",차량목록!$B25)</f>
        <v/>
      </c>
      <c r="C280" s="23" t="str">
        <f aca="false">IF($A280="","",정비항목!$B13)</f>
        <v/>
      </c>
      <c r="D280" s="24" t="str">
        <f aca="false">IF($A280="","",IF(정비항목!$C13="",0,정비항목!$C13))</f>
        <v/>
      </c>
      <c r="E280" s="28" t="str">
        <f aca="false">IF($A280="","",IF(정비항목!$D13="",0,정비항목!$D13))</f>
        <v/>
      </c>
      <c r="F280" s="26" t="str">
        <f aca="false">IF($A280="","",IF(COUNTIFS(정비이력!$B$3:$B$1002,$A280,정비이력!$D$3:$D$1002,정비항목!$A13)=0,"",SUMPRODUCT(MAX((정비이력!$B$3:$B$1002=$A280)*(정비이력!$D$3:$D$1002=정비항목!$A13)*정비이력!$A$3:$A$1002))))</f>
        <v/>
      </c>
      <c r="G280" s="27" t="str">
        <f aca="false">IF($A280="","",IF($F280="","",SUMPRODUCT(MAX((정비이력!$B$3:$B$1002=$A280)*(정비이력!$D$3:$D$1002=정비항목!$A13)*정비이력!$F$3:$F$1002))))</f>
        <v/>
      </c>
      <c r="H280" s="27" t="str">
        <f aca="false">IF($A280="","",IF(차량목록!$E25="",0,차량목록!$E25))</f>
        <v/>
      </c>
      <c r="I280" s="27" t="str">
        <f aca="false">IF(OR($A280="",$D280=0),"",IF($G280="",$H280+$D280,$G280+$D280))</f>
        <v/>
      </c>
      <c r="J280" s="24" t="str">
        <f aca="false">IF($I280="","",$I280-$H280)</f>
        <v/>
      </c>
      <c r="K280" s="26" t="str">
        <f aca="true">IF(OR($A280="",$E280=0),"",IF($F280="",EDATE(TODAY(),$E280),EDATE($F280,$E280)))</f>
        <v/>
      </c>
      <c r="L280" s="28" t="str">
        <f aca="true">IF($K280="","",$K280-TODAY())</f>
        <v/>
      </c>
      <c r="M280" s="28" t="str">
        <f aca="false">IF($A280="","",IF(AND($J280="",$L280=""),"-",IF(OR(AND($J280&lt;&gt;"",$J280&lt;=0),AND($L280&lt;&gt;"",$L280&lt;0)),"교체",IF(OR(AND($J280&lt;&gt;"",$J280&lt;=사용안내!$C$16),AND($L280&lt;&gt;"",$L280&lt;=사용안내!$C$17)),"임박","정상"))))</f>
        <v/>
      </c>
    </row>
    <row r="281" customFormat="false" ht="15" hidden="false" customHeight="true" outlineLevel="0" collapsed="false">
      <c r="A281" s="23" t="str">
        <f aca="false">IF(OR(차량목록!$A25="",정비항목!$A14="",차량목록!$G25="매각"),"",차량목록!$A25)</f>
        <v/>
      </c>
      <c r="B281" s="23" t="str">
        <f aca="false">IF($A281="","",차량목록!$B25)</f>
        <v/>
      </c>
      <c r="C281" s="23" t="str">
        <f aca="false">IF($A281="","",정비항목!$B14)</f>
        <v/>
      </c>
      <c r="D281" s="24" t="str">
        <f aca="false">IF($A281="","",IF(정비항목!$C14="",0,정비항목!$C14))</f>
        <v/>
      </c>
      <c r="E281" s="28" t="str">
        <f aca="false">IF($A281="","",IF(정비항목!$D14="",0,정비항목!$D14))</f>
        <v/>
      </c>
      <c r="F281" s="26" t="str">
        <f aca="false">IF($A281="","",IF(COUNTIFS(정비이력!$B$3:$B$1002,$A281,정비이력!$D$3:$D$1002,정비항목!$A14)=0,"",SUMPRODUCT(MAX((정비이력!$B$3:$B$1002=$A281)*(정비이력!$D$3:$D$1002=정비항목!$A14)*정비이력!$A$3:$A$1002))))</f>
        <v/>
      </c>
      <c r="G281" s="27" t="str">
        <f aca="false">IF($A281="","",IF($F281="","",SUMPRODUCT(MAX((정비이력!$B$3:$B$1002=$A281)*(정비이력!$D$3:$D$1002=정비항목!$A14)*정비이력!$F$3:$F$1002))))</f>
        <v/>
      </c>
      <c r="H281" s="27" t="str">
        <f aca="false">IF($A281="","",IF(차량목록!$E25="",0,차량목록!$E25))</f>
        <v/>
      </c>
      <c r="I281" s="27" t="str">
        <f aca="false">IF(OR($A281="",$D281=0),"",IF($G281="",$H281+$D281,$G281+$D281))</f>
        <v/>
      </c>
      <c r="J281" s="24" t="str">
        <f aca="false">IF($I281="","",$I281-$H281)</f>
        <v/>
      </c>
      <c r="K281" s="26" t="str">
        <f aca="true">IF(OR($A281="",$E281=0),"",IF($F281="",EDATE(TODAY(),$E281),EDATE($F281,$E281)))</f>
        <v/>
      </c>
      <c r="L281" s="28" t="str">
        <f aca="true">IF($K281="","",$K281-TODAY())</f>
        <v/>
      </c>
      <c r="M281" s="28" t="str">
        <f aca="false">IF($A281="","",IF(AND($J281="",$L281=""),"-",IF(OR(AND($J281&lt;&gt;"",$J281&lt;=0),AND($L281&lt;&gt;"",$L281&lt;0)),"교체",IF(OR(AND($J281&lt;&gt;"",$J281&lt;=사용안내!$C$16),AND($L281&lt;&gt;"",$L281&lt;=사용안내!$C$17)),"임박","정상"))))</f>
        <v/>
      </c>
    </row>
    <row r="282" customFormat="false" ht="15" hidden="false" customHeight="true" outlineLevel="0" collapsed="false">
      <c r="A282" s="23" t="str">
        <f aca="false">IF(OR(차량목록!$A26="",정비항목!$A3="",차량목록!$G26="매각"),"",차량목록!$A26)</f>
        <v/>
      </c>
      <c r="B282" s="23" t="str">
        <f aca="false">IF($A282="","",차량목록!$B26)</f>
        <v/>
      </c>
      <c r="C282" s="23" t="str">
        <f aca="false">IF($A282="","",정비항목!$B3)</f>
        <v/>
      </c>
      <c r="D282" s="24" t="str">
        <f aca="false">IF($A282="","",IF(정비항목!$C3="",0,정비항목!$C3))</f>
        <v/>
      </c>
      <c r="E282" s="28" t="str">
        <f aca="false">IF($A282="","",IF(정비항목!$D3="",0,정비항목!$D3))</f>
        <v/>
      </c>
      <c r="F282" s="26" t="str">
        <f aca="false">IF($A282="","",IF(COUNTIFS(정비이력!$B$3:$B$1002,$A282,정비이력!$D$3:$D$1002,정비항목!$A3)=0,"",SUMPRODUCT(MAX((정비이력!$B$3:$B$1002=$A282)*(정비이력!$D$3:$D$1002=정비항목!$A3)*정비이력!$A$3:$A$1002))))</f>
        <v/>
      </c>
      <c r="G282" s="27" t="str">
        <f aca="false">IF($A282="","",IF($F282="","",SUMPRODUCT(MAX((정비이력!$B$3:$B$1002=$A282)*(정비이력!$D$3:$D$1002=정비항목!$A3)*정비이력!$F$3:$F$1002))))</f>
        <v/>
      </c>
      <c r="H282" s="27" t="str">
        <f aca="false">IF($A282="","",IF(차량목록!$E26="",0,차량목록!$E26))</f>
        <v/>
      </c>
      <c r="I282" s="27" t="str">
        <f aca="false">IF(OR($A282="",$D282=0),"",IF($G282="",$H282+$D282,$G282+$D282))</f>
        <v/>
      </c>
      <c r="J282" s="24" t="str">
        <f aca="false">IF($I282="","",$I282-$H282)</f>
        <v/>
      </c>
      <c r="K282" s="26" t="str">
        <f aca="true">IF(OR($A282="",$E282=0),"",IF($F282="",EDATE(TODAY(),$E282),EDATE($F282,$E282)))</f>
        <v/>
      </c>
      <c r="L282" s="28" t="str">
        <f aca="true">IF($K282="","",$K282-TODAY())</f>
        <v/>
      </c>
      <c r="M282" s="28" t="str">
        <f aca="false">IF($A282="","",IF(AND($J282="",$L282=""),"-",IF(OR(AND($J282&lt;&gt;"",$J282&lt;=0),AND($L282&lt;&gt;"",$L282&lt;0)),"교체",IF(OR(AND($J282&lt;&gt;"",$J282&lt;=사용안내!$C$16),AND($L282&lt;&gt;"",$L282&lt;=사용안내!$C$17)),"임박","정상"))))</f>
        <v/>
      </c>
    </row>
    <row r="283" customFormat="false" ht="15" hidden="false" customHeight="true" outlineLevel="0" collapsed="false">
      <c r="A283" s="23" t="str">
        <f aca="false">IF(OR(차량목록!$A26="",정비항목!$A4="",차량목록!$G26="매각"),"",차량목록!$A26)</f>
        <v/>
      </c>
      <c r="B283" s="23" t="str">
        <f aca="false">IF($A283="","",차량목록!$B26)</f>
        <v/>
      </c>
      <c r="C283" s="23" t="str">
        <f aca="false">IF($A283="","",정비항목!$B4)</f>
        <v/>
      </c>
      <c r="D283" s="24" t="str">
        <f aca="false">IF($A283="","",IF(정비항목!$C4="",0,정비항목!$C4))</f>
        <v/>
      </c>
      <c r="E283" s="28" t="str">
        <f aca="false">IF($A283="","",IF(정비항목!$D4="",0,정비항목!$D4))</f>
        <v/>
      </c>
      <c r="F283" s="26" t="str">
        <f aca="false">IF($A283="","",IF(COUNTIFS(정비이력!$B$3:$B$1002,$A283,정비이력!$D$3:$D$1002,정비항목!$A4)=0,"",SUMPRODUCT(MAX((정비이력!$B$3:$B$1002=$A283)*(정비이력!$D$3:$D$1002=정비항목!$A4)*정비이력!$A$3:$A$1002))))</f>
        <v/>
      </c>
      <c r="G283" s="27" t="str">
        <f aca="false">IF($A283="","",IF($F283="","",SUMPRODUCT(MAX((정비이력!$B$3:$B$1002=$A283)*(정비이력!$D$3:$D$1002=정비항목!$A4)*정비이력!$F$3:$F$1002))))</f>
        <v/>
      </c>
      <c r="H283" s="27" t="str">
        <f aca="false">IF($A283="","",IF(차량목록!$E26="",0,차량목록!$E26))</f>
        <v/>
      </c>
      <c r="I283" s="27" t="str">
        <f aca="false">IF(OR($A283="",$D283=0),"",IF($G283="",$H283+$D283,$G283+$D283))</f>
        <v/>
      </c>
      <c r="J283" s="24" t="str">
        <f aca="false">IF($I283="","",$I283-$H283)</f>
        <v/>
      </c>
      <c r="K283" s="26" t="str">
        <f aca="true">IF(OR($A283="",$E283=0),"",IF($F283="",EDATE(TODAY(),$E283),EDATE($F283,$E283)))</f>
        <v/>
      </c>
      <c r="L283" s="28" t="str">
        <f aca="true">IF($K283="","",$K283-TODAY())</f>
        <v/>
      </c>
      <c r="M283" s="28" t="str">
        <f aca="false">IF($A283="","",IF(AND($J283="",$L283=""),"-",IF(OR(AND($J283&lt;&gt;"",$J283&lt;=0),AND($L283&lt;&gt;"",$L283&lt;0)),"교체",IF(OR(AND($J283&lt;&gt;"",$J283&lt;=사용안내!$C$16),AND($L283&lt;&gt;"",$L283&lt;=사용안내!$C$17)),"임박","정상"))))</f>
        <v/>
      </c>
    </row>
    <row r="284" customFormat="false" ht="15" hidden="false" customHeight="true" outlineLevel="0" collapsed="false">
      <c r="A284" s="23" t="str">
        <f aca="false">IF(OR(차량목록!$A26="",정비항목!$A5="",차량목록!$G26="매각"),"",차량목록!$A26)</f>
        <v/>
      </c>
      <c r="B284" s="23" t="str">
        <f aca="false">IF($A284="","",차량목록!$B26)</f>
        <v/>
      </c>
      <c r="C284" s="23" t="str">
        <f aca="false">IF($A284="","",정비항목!$B5)</f>
        <v/>
      </c>
      <c r="D284" s="24" t="str">
        <f aca="false">IF($A284="","",IF(정비항목!$C5="",0,정비항목!$C5))</f>
        <v/>
      </c>
      <c r="E284" s="28" t="str">
        <f aca="false">IF($A284="","",IF(정비항목!$D5="",0,정비항목!$D5))</f>
        <v/>
      </c>
      <c r="F284" s="26" t="str">
        <f aca="false">IF($A284="","",IF(COUNTIFS(정비이력!$B$3:$B$1002,$A284,정비이력!$D$3:$D$1002,정비항목!$A5)=0,"",SUMPRODUCT(MAX((정비이력!$B$3:$B$1002=$A284)*(정비이력!$D$3:$D$1002=정비항목!$A5)*정비이력!$A$3:$A$1002))))</f>
        <v/>
      </c>
      <c r="G284" s="27" t="str">
        <f aca="false">IF($A284="","",IF($F284="","",SUMPRODUCT(MAX((정비이력!$B$3:$B$1002=$A284)*(정비이력!$D$3:$D$1002=정비항목!$A5)*정비이력!$F$3:$F$1002))))</f>
        <v/>
      </c>
      <c r="H284" s="27" t="str">
        <f aca="false">IF($A284="","",IF(차량목록!$E26="",0,차량목록!$E26))</f>
        <v/>
      </c>
      <c r="I284" s="27" t="str">
        <f aca="false">IF(OR($A284="",$D284=0),"",IF($G284="",$H284+$D284,$G284+$D284))</f>
        <v/>
      </c>
      <c r="J284" s="24" t="str">
        <f aca="false">IF($I284="","",$I284-$H284)</f>
        <v/>
      </c>
      <c r="K284" s="26" t="str">
        <f aca="true">IF(OR($A284="",$E284=0),"",IF($F284="",EDATE(TODAY(),$E284),EDATE($F284,$E284)))</f>
        <v/>
      </c>
      <c r="L284" s="28" t="str">
        <f aca="true">IF($K284="","",$K284-TODAY())</f>
        <v/>
      </c>
      <c r="M284" s="28" t="str">
        <f aca="false">IF($A284="","",IF(AND($J284="",$L284=""),"-",IF(OR(AND($J284&lt;&gt;"",$J284&lt;=0),AND($L284&lt;&gt;"",$L284&lt;0)),"교체",IF(OR(AND($J284&lt;&gt;"",$J284&lt;=사용안내!$C$16),AND($L284&lt;&gt;"",$L284&lt;=사용안내!$C$17)),"임박","정상"))))</f>
        <v/>
      </c>
    </row>
    <row r="285" customFormat="false" ht="15" hidden="false" customHeight="true" outlineLevel="0" collapsed="false">
      <c r="A285" s="23" t="str">
        <f aca="false">IF(OR(차량목록!$A26="",정비항목!$A6="",차량목록!$G26="매각"),"",차량목록!$A26)</f>
        <v/>
      </c>
      <c r="B285" s="23" t="str">
        <f aca="false">IF($A285="","",차량목록!$B26)</f>
        <v/>
      </c>
      <c r="C285" s="23" t="str">
        <f aca="false">IF($A285="","",정비항목!$B6)</f>
        <v/>
      </c>
      <c r="D285" s="24" t="str">
        <f aca="false">IF($A285="","",IF(정비항목!$C6="",0,정비항목!$C6))</f>
        <v/>
      </c>
      <c r="E285" s="28" t="str">
        <f aca="false">IF($A285="","",IF(정비항목!$D6="",0,정비항목!$D6))</f>
        <v/>
      </c>
      <c r="F285" s="26" t="str">
        <f aca="false">IF($A285="","",IF(COUNTIFS(정비이력!$B$3:$B$1002,$A285,정비이력!$D$3:$D$1002,정비항목!$A6)=0,"",SUMPRODUCT(MAX((정비이력!$B$3:$B$1002=$A285)*(정비이력!$D$3:$D$1002=정비항목!$A6)*정비이력!$A$3:$A$1002))))</f>
        <v/>
      </c>
      <c r="G285" s="27" t="str">
        <f aca="false">IF($A285="","",IF($F285="","",SUMPRODUCT(MAX((정비이력!$B$3:$B$1002=$A285)*(정비이력!$D$3:$D$1002=정비항목!$A6)*정비이력!$F$3:$F$1002))))</f>
        <v/>
      </c>
      <c r="H285" s="27" t="str">
        <f aca="false">IF($A285="","",IF(차량목록!$E26="",0,차량목록!$E26))</f>
        <v/>
      </c>
      <c r="I285" s="27" t="str">
        <f aca="false">IF(OR($A285="",$D285=0),"",IF($G285="",$H285+$D285,$G285+$D285))</f>
        <v/>
      </c>
      <c r="J285" s="24" t="str">
        <f aca="false">IF($I285="","",$I285-$H285)</f>
        <v/>
      </c>
      <c r="K285" s="26" t="str">
        <f aca="true">IF(OR($A285="",$E285=0),"",IF($F285="",EDATE(TODAY(),$E285),EDATE($F285,$E285)))</f>
        <v/>
      </c>
      <c r="L285" s="28" t="str">
        <f aca="true">IF($K285="","",$K285-TODAY())</f>
        <v/>
      </c>
      <c r="M285" s="28" t="str">
        <f aca="false">IF($A285="","",IF(AND($J285="",$L285=""),"-",IF(OR(AND($J285&lt;&gt;"",$J285&lt;=0),AND($L285&lt;&gt;"",$L285&lt;0)),"교체",IF(OR(AND($J285&lt;&gt;"",$J285&lt;=사용안내!$C$16),AND($L285&lt;&gt;"",$L285&lt;=사용안내!$C$17)),"임박","정상"))))</f>
        <v/>
      </c>
    </row>
    <row r="286" customFormat="false" ht="15" hidden="false" customHeight="true" outlineLevel="0" collapsed="false">
      <c r="A286" s="23" t="str">
        <f aca="false">IF(OR(차량목록!$A26="",정비항목!$A7="",차량목록!$G26="매각"),"",차량목록!$A26)</f>
        <v/>
      </c>
      <c r="B286" s="23" t="str">
        <f aca="false">IF($A286="","",차량목록!$B26)</f>
        <v/>
      </c>
      <c r="C286" s="23" t="str">
        <f aca="false">IF($A286="","",정비항목!$B7)</f>
        <v/>
      </c>
      <c r="D286" s="24" t="str">
        <f aca="false">IF($A286="","",IF(정비항목!$C7="",0,정비항목!$C7))</f>
        <v/>
      </c>
      <c r="E286" s="28" t="str">
        <f aca="false">IF($A286="","",IF(정비항목!$D7="",0,정비항목!$D7))</f>
        <v/>
      </c>
      <c r="F286" s="26" t="str">
        <f aca="false">IF($A286="","",IF(COUNTIFS(정비이력!$B$3:$B$1002,$A286,정비이력!$D$3:$D$1002,정비항목!$A7)=0,"",SUMPRODUCT(MAX((정비이력!$B$3:$B$1002=$A286)*(정비이력!$D$3:$D$1002=정비항목!$A7)*정비이력!$A$3:$A$1002))))</f>
        <v/>
      </c>
      <c r="G286" s="27" t="str">
        <f aca="false">IF($A286="","",IF($F286="","",SUMPRODUCT(MAX((정비이력!$B$3:$B$1002=$A286)*(정비이력!$D$3:$D$1002=정비항목!$A7)*정비이력!$F$3:$F$1002))))</f>
        <v/>
      </c>
      <c r="H286" s="27" t="str">
        <f aca="false">IF($A286="","",IF(차량목록!$E26="",0,차량목록!$E26))</f>
        <v/>
      </c>
      <c r="I286" s="27" t="str">
        <f aca="false">IF(OR($A286="",$D286=0),"",IF($G286="",$H286+$D286,$G286+$D286))</f>
        <v/>
      </c>
      <c r="J286" s="24" t="str">
        <f aca="false">IF($I286="","",$I286-$H286)</f>
        <v/>
      </c>
      <c r="K286" s="26" t="str">
        <f aca="true">IF(OR($A286="",$E286=0),"",IF($F286="",EDATE(TODAY(),$E286),EDATE($F286,$E286)))</f>
        <v/>
      </c>
      <c r="L286" s="28" t="str">
        <f aca="true">IF($K286="","",$K286-TODAY())</f>
        <v/>
      </c>
      <c r="M286" s="28" t="str">
        <f aca="false">IF($A286="","",IF(AND($J286="",$L286=""),"-",IF(OR(AND($J286&lt;&gt;"",$J286&lt;=0),AND($L286&lt;&gt;"",$L286&lt;0)),"교체",IF(OR(AND($J286&lt;&gt;"",$J286&lt;=사용안내!$C$16),AND($L286&lt;&gt;"",$L286&lt;=사용안내!$C$17)),"임박","정상"))))</f>
        <v/>
      </c>
    </row>
    <row r="287" customFormat="false" ht="15" hidden="false" customHeight="true" outlineLevel="0" collapsed="false">
      <c r="A287" s="23" t="str">
        <f aca="false">IF(OR(차량목록!$A26="",정비항목!$A8="",차량목록!$G26="매각"),"",차량목록!$A26)</f>
        <v/>
      </c>
      <c r="B287" s="23" t="str">
        <f aca="false">IF($A287="","",차량목록!$B26)</f>
        <v/>
      </c>
      <c r="C287" s="23" t="str">
        <f aca="false">IF($A287="","",정비항목!$B8)</f>
        <v/>
      </c>
      <c r="D287" s="24" t="str">
        <f aca="false">IF($A287="","",IF(정비항목!$C8="",0,정비항목!$C8))</f>
        <v/>
      </c>
      <c r="E287" s="28" t="str">
        <f aca="false">IF($A287="","",IF(정비항목!$D8="",0,정비항목!$D8))</f>
        <v/>
      </c>
      <c r="F287" s="26" t="str">
        <f aca="false">IF($A287="","",IF(COUNTIFS(정비이력!$B$3:$B$1002,$A287,정비이력!$D$3:$D$1002,정비항목!$A8)=0,"",SUMPRODUCT(MAX((정비이력!$B$3:$B$1002=$A287)*(정비이력!$D$3:$D$1002=정비항목!$A8)*정비이력!$A$3:$A$1002))))</f>
        <v/>
      </c>
      <c r="G287" s="27" t="str">
        <f aca="false">IF($A287="","",IF($F287="","",SUMPRODUCT(MAX((정비이력!$B$3:$B$1002=$A287)*(정비이력!$D$3:$D$1002=정비항목!$A8)*정비이력!$F$3:$F$1002))))</f>
        <v/>
      </c>
      <c r="H287" s="27" t="str">
        <f aca="false">IF($A287="","",IF(차량목록!$E26="",0,차량목록!$E26))</f>
        <v/>
      </c>
      <c r="I287" s="27" t="str">
        <f aca="false">IF(OR($A287="",$D287=0),"",IF($G287="",$H287+$D287,$G287+$D287))</f>
        <v/>
      </c>
      <c r="J287" s="24" t="str">
        <f aca="false">IF($I287="","",$I287-$H287)</f>
        <v/>
      </c>
      <c r="K287" s="26" t="str">
        <f aca="true">IF(OR($A287="",$E287=0),"",IF($F287="",EDATE(TODAY(),$E287),EDATE($F287,$E287)))</f>
        <v/>
      </c>
      <c r="L287" s="28" t="str">
        <f aca="true">IF($K287="","",$K287-TODAY())</f>
        <v/>
      </c>
      <c r="M287" s="28" t="str">
        <f aca="false">IF($A287="","",IF(AND($J287="",$L287=""),"-",IF(OR(AND($J287&lt;&gt;"",$J287&lt;=0),AND($L287&lt;&gt;"",$L287&lt;0)),"교체",IF(OR(AND($J287&lt;&gt;"",$J287&lt;=사용안내!$C$16),AND($L287&lt;&gt;"",$L287&lt;=사용안내!$C$17)),"임박","정상"))))</f>
        <v/>
      </c>
    </row>
    <row r="288" customFormat="false" ht="15" hidden="false" customHeight="true" outlineLevel="0" collapsed="false">
      <c r="A288" s="23" t="str">
        <f aca="false">IF(OR(차량목록!$A26="",정비항목!$A9="",차량목록!$G26="매각"),"",차량목록!$A26)</f>
        <v/>
      </c>
      <c r="B288" s="23" t="str">
        <f aca="false">IF($A288="","",차량목록!$B26)</f>
        <v/>
      </c>
      <c r="C288" s="23" t="str">
        <f aca="false">IF($A288="","",정비항목!$B9)</f>
        <v/>
      </c>
      <c r="D288" s="24" t="str">
        <f aca="false">IF($A288="","",IF(정비항목!$C9="",0,정비항목!$C9))</f>
        <v/>
      </c>
      <c r="E288" s="28" t="str">
        <f aca="false">IF($A288="","",IF(정비항목!$D9="",0,정비항목!$D9))</f>
        <v/>
      </c>
      <c r="F288" s="26" t="str">
        <f aca="false">IF($A288="","",IF(COUNTIFS(정비이력!$B$3:$B$1002,$A288,정비이력!$D$3:$D$1002,정비항목!$A9)=0,"",SUMPRODUCT(MAX((정비이력!$B$3:$B$1002=$A288)*(정비이력!$D$3:$D$1002=정비항목!$A9)*정비이력!$A$3:$A$1002))))</f>
        <v/>
      </c>
      <c r="G288" s="27" t="str">
        <f aca="false">IF($A288="","",IF($F288="","",SUMPRODUCT(MAX((정비이력!$B$3:$B$1002=$A288)*(정비이력!$D$3:$D$1002=정비항목!$A9)*정비이력!$F$3:$F$1002))))</f>
        <v/>
      </c>
      <c r="H288" s="27" t="str">
        <f aca="false">IF($A288="","",IF(차량목록!$E26="",0,차량목록!$E26))</f>
        <v/>
      </c>
      <c r="I288" s="27" t="str">
        <f aca="false">IF(OR($A288="",$D288=0),"",IF($G288="",$H288+$D288,$G288+$D288))</f>
        <v/>
      </c>
      <c r="J288" s="24" t="str">
        <f aca="false">IF($I288="","",$I288-$H288)</f>
        <v/>
      </c>
      <c r="K288" s="26" t="str">
        <f aca="true">IF(OR($A288="",$E288=0),"",IF($F288="",EDATE(TODAY(),$E288),EDATE($F288,$E288)))</f>
        <v/>
      </c>
      <c r="L288" s="28" t="str">
        <f aca="true">IF($K288="","",$K288-TODAY())</f>
        <v/>
      </c>
      <c r="M288" s="28" t="str">
        <f aca="false">IF($A288="","",IF(AND($J288="",$L288=""),"-",IF(OR(AND($J288&lt;&gt;"",$J288&lt;=0),AND($L288&lt;&gt;"",$L288&lt;0)),"교체",IF(OR(AND($J288&lt;&gt;"",$J288&lt;=사용안내!$C$16),AND($L288&lt;&gt;"",$L288&lt;=사용안내!$C$17)),"임박","정상"))))</f>
        <v/>
      </c>
    </row>
    <row r="289" customFormat="false" ht="15" hidden="false" customHeight="true" outlineLevel="0" collapsed="false">
      <c r="A289" s="23" t="str">
        <f aca="false">IF(OR(차량목록!$A26="",정비항목!$A10="",차량목록!$G26="매각"),"",차량목록!$A26)</f>
        <v/>
      </c>
      <c r="B289" s="23" t="str">
        <f aca="false">IF($A289="","",차량목록!$B26)</f>
        <v/>
      </c>
      <c r="C289" s="23" t="str">
        <f aca="false">IF($A289="","",정비항목!$B10)</f>
        <v/>
      </c>
      <c r="D289" s="24" t="str">
        <f aca="false">IF($A289="","",IF(정비항목!$C10="",0,정비항목!$C10))</f>
        <v/>
      </c>
      <c r="E289" s="28" t="str">
        <f aca="false">IF($A289="","",IF(정비항목!$D10="",0,정비항목!$D10))</f>
        <v/>
      </c>
      <c r="F289" s="26" t="str">
        <f aca="false">IF($A289="","",IF(COUNTIFS(정비이력!$B$3:$B$1002,$A289,정비이력!$D$3:$D$1002,정비항목!$A10)=0,"",SUMPRODUCT(MAX((정비이력!$B$3:$B$1002=$A289)*(정비이력!$D$3:$D$1002=정비항목!$A10)*정비이력!$A$3:$A$1002))))</f>
        <v/>
      </c>
      <c r="G289" s="27" t="str">
        <f aca="false">IF($A289="","",IF($F289="","",SUMPRODUCT(MAX((정비이력!$B$3:$B$1002=$A289)*(정비이력!$D$3:$D$1002=정비항목!$A10)*정비이력!$F$3:$F$1002))))</f>
        <v/>
      </c>
      <c r="H289" s="27" t="str">
        <f aca="false">IF($A289="","",IF(차량목록!$E26="",0,차량목록!$E26))</f>
        <v/>
      </c>
      <c r="I289" s="27" t="str">
        <f aca="false">IF(OR($A289="",$D289=0),"",IF($G289="",$H289+$D289,$G289+$D289))</f>
        <v/>
      </c>
      <c r="J289" s="24" t="str">
        <f aca="false">IF($I289="","",$I289-$H289)</f>
        <v/>
      </c>
      <c r="K289" s="26" t="str">
        <f aca="true">IF(OR($A289="",$E289=0),"",IF($F289="",EDATE(TODAY(),$E289),EDATE($F289,$E289)))</f>
        <v/>
      </c>
      <c r="L289" s="28" t="str">
        <f aca="true">IF($K289="","",$K289-TODAY())</f>
        <v/>
      </c>
      <c r="M289" s="28" t="str">
        <f aca="false">IF($A289="","",IF(AND($J289="",$L289=""),"-",IF(OR(AND($J289&lt;&gt;"",$J289&lt;=0),AND($L289&lt;&gt;"",$L289&lt;0)),"교체",IF(OR(AND($J289&lt;&gt;"",$J289&lt;=사용안내!$C$16),AND($L289&lt;&gt;"",$L289&lt;=사용안내!$C$17)),"임박","정상"))))</f>
        <v/>
      </c>
    </row>
    <row r="290" customFormat="false" ht="15" hidden="false" customHeight="true" outlineLevel="0" collapsed="false">
      <c r="A290" s="23" t="str">
        <f aca="false">IF(OR(차량목록!$A26="",정비항목!$A11="",차량목록!$G26="매각"),"",차량목록!$A26)</f>
        <v/>
      </c>
      <c r="B290" s="23" t="str">
        <f aca="false">IF($A290="","",차량목록!$B26)</f>
        <v/>
      </c>
      <c r="C290" s="23" t="str">
        <f aca="false">IF($A290="","",정비항목!$B11)</f>
        <v/>
      </c>
      <c r="D290" s="24" t="str">
        <f aca="false">IF($A290="","",IF(정비항목!$C11="",0,정비항목!$C11))</f>
        <v/>
      </c>
      <c r="E290" s="28" t="str">
        <f aca="false">IF($A290="","",IF(정비항목!$D11="",0,정비항목!$D11))</f>
        <v/>
      </c>
      <c r="F290" s="26" t="str">
        <f aca="false">IF($A290="","",IF(COUNTIFS(정비이력!$B$3:$B$1002,$A290,정비이력!$D$3:$D$1002,정비항목!$A11)=0,"",SUMPRODUCT(MAX((정비이력!$B$3:$B$1002=$A290)*(정비이력!$D$3:$D$1002=정비항목!$A11)*정비이력!$A$3:$A$1002))))</f>
        <v/>
      </c>
      <c r="G290" s="27" t="str">
        <f aca="false">IF($A290="","",IF($F290="","",SUMPRODUCT(MAX((정비이력!$B$3:$B$1002=$A290)*(정비이력!$D$3:$D$1002=정비항목!$A11)*정비이력!$F$3:$F$1002))))</f>
        <v/>
      </c>
      <c r="H290" s="27" t="str">
        <f aca="false">IF($A290="","",IF(차량목록!$E26="",0,차량목록!$E26))</f>
        <v/>
      </c>
      <c r="I290" s="27" t="str">
        <f aca="false">IF(OR($A290="",$D290=0),"",IF($G290="",$H290+$D290,$G290+$D290))</f>
        <v/>
      </c>
      <c r="J290" s="24" t="str">
        <f aca="false">IF($I290="","",$I290-$H290)</f>
        <v/>
      </c>
      <c r="K290" s="26" t="str">
        <f aca="true">IF(OR($A290="",$E290=0),"",IF($F290="",EDATE(TODAY(),$E290),EDATE($F290,$E290)))</f>
        <v/>
      </c>
      <c r="L290" s="28" t="str">
        <f aca="true">IF($K290="","",$K290-TODAY())</f>
        <v/>
      </c>
      <c r="M290" s="28" t="str">
        <f aca="false">IF($A290="","",IF(AND($J290="",$L290=""),"-",IF(OR(AND($J290&lt;&gt;"",$J290&lt;=0),AND($L290&lt;&gt;"",$L290&lt;0)),"교체",IF(OR(AND($J290&lt;&gt;"",$J290&lt;=사용안내!$C$16),AND($L290&lt;&gt;"",$L290&lt;=사용안내!$C$17)),"임박","정상"))))</f>
        <v/>
      </c>
    </row>
    <row r="291" customFormat="false" ht="15" hidden="false" customHeight="true" outlineLevel="0" collapsed="false">
      <c r="A291" s="23" t="str">
        <f aca="false">IF(OR(차량목록!$A26="",정비항목!$A12="",차량목록!$G26="매각"),"",차량목록!$A26)</f>
        <v/>
      </c>
      <c r="B291" s="23" t="str">
        <f aca="false">IF($A291="","",차량목록!$B26)</f>
        <v/>
      </c>
      <c r="C291" s="23" t="str">
        <f aca="false">IF($A291="","",정비항목!$B12)</f>
        <v/>
      </c>
      <c r="D291" s="24" t="str">
        <f aca="false">IF($A291="","",IF(정비항목!$C12="",0,정비항목!$C12))</f>
        <v/>
      </c>
      <c r="E291" s="28" t="str">
        <f aca="false">IF($A291="","",IF(정비항목!$D12="",0,정비항목!$D12))</f>
        <v/>
      </c>
      <c r="F291" s="26" t="str">
        <f aca="false">IF($A291="","",IF(COUNTIFS(정비이력!$B$3:$B$1002,$A291,정비이력!$D$3:$D$1002,정비항목!$A12)=0,"",SUMPRODUCT(MAX((정비이력!$B$3:$B$1002=$A291)*(정비이력!$D$3:$D$1002=정비항목!$A12)*정비이력!$A$3:$A$1002))))</f>
        <v/>
      </c>
      <c r="G291" s="27" t="str">
        <f aca="false">IF($A291="","",IF($F291="","",SUMPRODUCT(MAX((정비이력!$B$3:$B$1002=$A291)*(정비이력!$D$3:$D$1002=정비항목!$A12)*정비이력!$F$3:$F$1002))))</f>
        <v/>
      </c>
      <c r="H291" s="27" t="str">
        <f aca="false">IF($A291="","",IF(차량목록!$E26="",0,차량목록!$E26))</f>
        <v/>
      </c>
      <c r="I291" s="27" t="str">
        <f aca="false">IF(OR($A291="",$D291=0),"",IF($G291="",$H291+$D291,$G291+$D291))</f>
        <v/>
      </c>
      <c r="J291" s="24" t="str">
        <f aca="false">IF($I291="","",$I291-$H291)</f>
        <v/>
      </c>
      <c r="K291" s="26" t="str">
        <f aca="true">IF(OR($A291="",$E291=0),"",IF($F291="",EDATE(TODAY(),$E291),EDATE($F291,$E291)))</f>
        <v/>
      </c>
      <c r="L291" s="28" t="str">
        <f aca="true">IF($K291="","",$K291-TODAY())</f>
        <v/>
      </c>
      <c r="M291" s="28" t="str">
        <f aca="false">IF($A291="","",IF(AND($J291="",$L291=""),"-",IF(OR(AND($J291&lt;&gt;"",$J291&lt;=0),AND($L291&lt;&gt;"",$L291&lt;0)),"교체",IF(OR(AND($J291&lt;&gt;"",$J291&lt;=사용안내!$C$16),AND($L291&lt;&gt;"",$L291&lt;=사용안내!$C$17)),"임박","정상"))))</f>
        <v/>
      </c>
    </row>
    <row r="292" customFormat="false" ht="15" hidden="false" customHeight="true" outlineLevel="0" collapsed="false">
      <c r="A292" s="23" t="str">
        <f aca="false">IF(OR(차량목록!$A26="",정비항목!$A13="",차량목록!$G26="매각"),"",차량목록!$A26)</f>
        <v/>
      </c>
      <c r="B292" s="23" t="str">
        <f aca="false">IF($A292="","",차량목록!$B26)</f>
        <v/>
      </c>
      <c r="C292" s="23" t="str">
        <f aca="false">IF($A292="","",정비항목!$B13)</f>
        <v/>
      </c>
      <c r="D292" s="24" t="str">
        <f aca="false">IF($A292="","",IF(정비항목!$C13="",0,정비항목!$C13))</f>
        <v/>
      </c>
      <c r="E292" s="28" t="str">
        <f aca="false">IF($A292="","",IF(정비항목!$D13="",0,정비항목!$D13))</f>
        <v/>
      </c>
      <c r="F292" s="26" t="str">
        <f aca="false">IF($A292="","",IF(COUNTIFS(정비이력!$B$3:$B$1002,$A292,정비이력!$D$3:$D$1002,정비항목!$A13)=0,"",SUMPRODUCT(MAX((정비이력!$B$3:$B$1002=$A292)*(정비이력!$D$3:$D$1002=정비항목!$A13)*정비이력!$A$3:$A$1002))))</f>
        <v/>
      </c>
      <c r="G292" s="27" t="str">
        <f aca="false">IF($A292="","",IF($F292="","",SUMPRODUCT(MAX((정비이력!$B$3:$B$1002=$A292)*(정비이력!$D$3:$D$1002=정비항목!$A13)*정비이력!$F$3:$F$1002))))</f>
        <v/>
      </c>
      <c r="H292" s="27" t="str">
        <f aca="false">IF($A292="","",IF(차량목록!$E26="",0,차량목록!$E26))</f>
        <v/>
      </c>
      <c r="I292" s="27" t="str">
        <f aca="false">IF(OR($A292="",$D292=0),"",IF($G292="",$H292+$D292,$G292+$D292))</f>
        <v/>
      </c>
      <c r="J292" s="24" t="str">
        <f aca="false">IF($I292="","",$I292-$H292)</f>
        <v/>
      </c>
      <c r="K292" s="26" t="str">
        <f aca="true">IF(OR($A292="",$E292=0),"",IF($F292="",EDATE(TODAY(),$E292),EDATE($F292,$E292)))</f>
        <v/>
      </c>
      <c r="L292" s="28" t="str">
        <f aca="true">IF($K292="","",$K292-TODAY())</f>
        <v/>
      </c>
      <c r="M292" s="28" t="str">
        <f aca="false">IF($A292="","",IF(AND($J292="",$L292=""),"-",IF(OR(AND($J292&lt;&gt;"",$J292&lt;=0),AND($L292&lt;&gt;"",$L292&lt;0)),"교체",IF(OR(AND($J292&lt;&gt;"",$J292&lt;=사용안내!$C$16),AND($L292&lt;&gt;"",$L292&lt;=사용안내!$C$17)),"임박","정상"))))</f>
        <v/>
      </c>
    </row>
    <row r="293" customFormat="false" ht="15" hidden="false" customHeight="true" outlineLevel="0" collapsed="false">
      <c r="A293" s="23" t="str">
        <f aca="false">IF(OR(차량목록!$A26="",정비항목!$A14="",차량목록!$G26="매각"),"",차량목록!$A26)</f>
        <v/>
      </c>
      <c r="B293" s="23" t="str">
        <f aca="false">IF($A293="","",차량목록!$B26)</f>
        <v/>
      </c>
      <c r="C293" s="23" t="str">
        <f aca="false">IF($A293="","",정비항목!$B14)</f>
        <v/>
      </c>
      <c r="D293" s="24" t="str">
        <f aca="false">IF($A293="","",IF(정비항목!$C14="",0,정비항목!$C14))</f>
        <v/>
      </c>
      <c r="E293" s="28" t="str">
        <f aca="false">IF($A293="","",IF(정비항목!$D14="",0,정비항목!$D14))</f>
        <v/>
      </c>
      <c r="F293" s="26" t="str">
        <f aca="false">IF($A293="","",IF(COUNTIFS(정비이력!$B$3:$B$1002,$A293,정비이력!$D$3:$D$1002,정비항목!$A14)=0,"",SUMPRODUCT(MAX((정비이력!$B$3:$B$1002=$A293)*(정비이력!$D$3:$D$1002=정비항목!$A14)*정비이력!$A$3:$A$1002))))</f>
        <v/>
      </c>
      <c r="G293" s="27" t="str">
        <f aca="false">IF($A293="","",IF($F293="","",SUMPRODUCT(MAX((정비이력!$B$3:$B$1002=$A293)*(정비이력!$D$3:$D$1002=정비항목!$A14)*정비이력!$F$3:$F$1002))))</f>
        <v/>
      </c>
      <c r="H293" s="27" t="str">
        <f aca="false">IF($A293="","",IF(차량목록!$E26="",0,차량목록!$E26))</f>
        <v/>
      </c>
      <c r="I293" s="27" t="str">
        <f aca="false">IF(OR($A293="",$D293=0),"",IF($G293="",$H293+$D293,$G293+$D293))</f>
        <v/>
      </c>
      <c r="J293" s="24" t="str">
        <f aca="false">IF($I293="","",$I293-$H293)</f>
        <v/>
      </c>
      <c r="K293" s="26" t="str">
        <f aca="true">IF(OR($A293="",$E293=0),"",IF($F293="",EDATE(TODAY(),$E293),EDATE($F293,$E293)))</f>
        <v/>
      </c>
      <c r="L293" s="28" t="str">
        <f aca="true">IF($K293="","",$K293-TODAY())</f>
        <v/>
      </c>
      <c r="M293" s="28" t="str">
        <f aca="false">IF($A293="","",IF(AND($J293="",$L293=""),"-",IF(OR(AND($J293&lt;&gt;"",$J293&lt;=0),AND($L293&lt;&gt;"",$L293&lt;0)),"교체",IF(OR(AND($J293&lt;&gt;"",$J293&lt;=사용안내!$C$16),AND($L293&lt;&gt;"",$L293&lt;=사용안내!$C$17)),"임박","정상"))))</f>
        <v/>
      </c>
    </row>
    <row r="294" customFormat="false" ht="15" hidden="false" customHeight="true" outlineLevel="0" collapsed="false">
      <c r="A294" s="23" t="str">
        <f aca="false">IF(OR(차량목록!$A27="",정비항목!$A3="",차량목록!$G27="매각"),"",차량목록!$A27)</f>
        <v/>
      </c>
      <c r="B294" s="23" t="str">
        <f aca="false">IF($A294="","",차량목록!$B27)</f>
        <v/>
      </c>
      <c r="C294" s="23" t="str">
        <f aca="false">IF($A294="","",정비항목!$B3)</f>
        <v/>
      </c>
      <c r="D294" s="24" t="str">
        <f aca="false">IF($A294="","",IF(정비항목!$C3="",0,정비항목!$C3))</f>
        <v/>
      </c>
      <c r="E294" s="28" t="str">
        <f aca="false">IF($A294="","",IF(정비항목!$D3="",0,정비항목!$D3))</f>
        <v/>
      </c>
      <c r="F294" s="26" t="str">
        <f aca="false">IF($A294="","",IF(COUNTIFS(정비이력!$B$3:$B$1002,$A294,정비이력!$D$3:$D$1002,정비항목!$A3)=0,"",SUMPRODUCT(MAX((정비이력!$B$3:$B$1002=$A294)*(정비이력!$D$3:$D$1002=정비항목!$A3)*정비이력!$A$3:$A$1002))))</f>
        <v/>
      </c>
      <c r="G294" s="27" t="str">
        <f aca="false">IF($A294="","",IF($F294="","",SUMPRODUCT(MAX((정비이력!$B$3:$B$1002=$A294)*(정비이력!$D$3:$D$1002=정비항목!$A3)*정비이력!$F$3:$F$1002))))</f>
        <v/>
      </c>
      <c r="H294" s="27" t="str">
        <f aca="false">IF($A294="","",IF(차량목록!$E27="",0,차량목록!$E27))</f>
        <v/>
      </c>
      <c r="I294" s="27" t="str">
        <f aca="false">IF(OR($A294="",$D294=0),"",IF($G294="",$H294+$D294,$G294+$D294))</f>
        <v/>
      </c>
      <c r="J294" s="24" t="str">
        <f aca="false">IF($I294="","",$I294-$H294)</f>
        <v/>
      </c>
      <c r="K294" s="26" t="str">
        <f aca="true">IF(OR($A294="",$E294=0),"",IF($F294="",EDATE(TODAY(),$E294),EDATE($F294,$E294)))</f>
        <v/>
      </c>
      <c r="L294" s="28" t="str">
        <f aca="true">IF($K294="","",$K294-TODAY())</f>
        <v/>
      </c>
      <c r="M294" s="28" t="str">
        <f aca="false">IF($A294="","",IF(AND($J294="",$L294=""),"-",IF(OR(AND($J294&lt;&gt;"",$J294&lt;=0),AND($L294&lt;&gt;"",$L294&lt;0)),"교체",IF(OR(AND($J294&lt;&gt;"",$J294&lt;=사용안내!$C$16),AND($L294&lt;&gt;"",$L294&lt;=사용안내!$C$17)),"임박","정상"))))</f>
        <v/>
      </c>
    </row>
    <row r="295" customFormat="false" ht="15" hidden="false" customHeight="true" outlineLevel="0" collapsed="false">
      <c r="A295" s="23" t="str">
        <f aca="false">IF(OR(차량목록!$A27="",정비항목!$A4="",차량목록!$G27="매각"),"",차량목록!$A27)</f>
        <v/>
      </c>
      <c r="B295" s="23" t="str">
        <f aca="false">IF($A295="","",차량목록!$B27)</f>
        <v/>
      </c>
      <c r="C295" s="23" t="str">
        <f aca="false">IF($A295="","",정비항목!$B4)</f>
        <v/>
      </c>
      <c r="D295" s="24" t="str">
        <f aca="false">IF($A295="","",IF(정비항목!$C4="",0,정비항목!$C4))</f>
        <v/>
      </c>
      <c r="E295" s="28" t="str">
        <f aca="false">IF($A295="","",IF(정비항목!$D4="",0,정비항목!$D4))</f>
        <v/>
      </c>
      <c r="F295" s="26" t="str">
        <f aca="false">IF($A295="","",IF(COUNTIFS(정비이력!$B$3:$B$1002,$A295,정비이력!$D$3:$D$1002,정비항목!$A4)=0,"",SUMPRODUCT(MAX((정비이력!$B$3:$B$1002=$A295)*(정비이력!$D$3:$D$1002=정비항목!$A4)*정비이력!$A$3:$A$1002))))</f>
        <v/>
      </c>
      <c r="G295" s="27" t="str">
        <f aca="false">IF($A295="","",IF($F295="","",SUMPRODUCT(MAX((정비이력!$B$3:$B$1002=$A295)*(정비이력!$D$3:$D$1002=정비항목!$A4)*정비이력!$F$3:$F$1002))))</f>
        <v/>
      </c>
      <c r="H295" s="27" t="str">
        <f aca="false">IF($A295="","",IF(차량목록!$E27="",0,차량목록!$E27))</f>
        <v/>
      </c>
      <c r="I295" s="27" t="str">
        <f aca="false">IF(OR($A295="",$D295=0),"",IF($G295="",$H295+$D295,$G295+$D295))</f>
        <v/>
      </c>
      <c r="J295" s="24" t="str">
        <f aca="false">IF($I295="","",$I295-$H295)</f>
        <v/>
      </c>
      <c r="K295" s="26" t="str">
        <f aca="true">IF(OR($A295="",$E295=0),"",IF($F295="",EDATE(TODAY(),$E295),EDATE($F295,$E295)))</f>
        <v/>
      </c>
      <c r="L295" s="28" t="str">
        <f aca="true">IF($K295="","",$K295-TODAY())</f>
        <v/>
      </c>
      <c r="M295" s="28" t="str">
        <f aca="false">IF($A295="","",IF(AND($J295="",$L295=""),"-",IF(OR(AND($J295&lt;&gt;"",$J295&lt;=0),AND($L295&lt;&gt;"",$L295&lt;0)),"교체",IF(OR(AND($J295&lt;&gt;"",$J295&lt;=사용안내!$C$16),AND($L295&lt;&gt;"",$L295&lt;=사용안내!$C$17)),"임박","정상"))))</f>
        <v/>
      </c>
    </row>
    <row r="296" customFormat="false" ht="15" hidden="false" customHeight="true" outlineLevel="0" collapsed="false">
      <c r="A296" s="23" t="str">
        <f aca="false">IF(OR(차량목록!$A27="",정비항목!$A5="",차량목록!$G27="매각"),"",차량목록!$A27)</f>
        <v/>
      </c>
      <c r="B296" s="23" t="str">
        <f aca="false">IF($A296="","",차량목록!$B27)</f>
        <v/>
      </c>
      <c r="C296" s="23" t="str">
        <f aca="false">IF($A296="","",정비항목!$B5)</f>
        <v/>
      </c>
      <c r="D296" s="24" t="str">
        <f aca="false">IF($A296="","",IF(정비항목!$C5="",0,정비항목!$C5))</f>
        <v/>
      </c>
      <c r="E296" s="28" t="str">
        <f aca="false">IF($A296="","",IF(정비항목!$D5="",0,정비항목!$D5))</f>
        <v/>
      </c>
      <c r="F296" s="26" t="str">
        <f aca="false">IF($A296="","",IF(COUNTIFS(정비이력!$B$3:$B$1002,$A296,정비이력!$D$3:$D$1002,정비항목!$A5)=0,"",SUMPRODUCT(MAX((정비이력!$B$3:$B$1002=$A296)*(정비이력!$D$3:$D$1002=정비항목!$A5)*정비이력!$A$3:$A$1002))))</f>
        <v/>
      </c>
      <c r="G296" s="27" t="str">
        <f aca="false">IF($A296="","",IF($F296="","",SUMPRODUCT(MAX((정비이력!$B$3:$B$1002=$A296)*(정비이력!$D$3:$D$1002=정비항목!$A5)*정비이력!$F$3:$F$1002))))</f>
        <v/>
      </c>
      <c r="H296" s="27" t="str">
        <f aca="false">IF($A296="","",IF(차량목록!$E27="",0,차량목록!$E27))</f>
        <v/>
      </c>
      <c r="I296" s="27" t="str">
        <f aca="false">IF(OR($A296="",$D296=0),"",IF($G296="",$H296+$D296,$G296+$D296))</f>
        <v/>
      </c>
      <c r="J296" s="24" t="str">
        <f aca="false">IF($I296="","",$I296-$H296)</f>
        <v/>
      </c>
      <c r="K296" s="26" t="str">
        <f aca="true">IF(OR($A296="",$E296=0),"",IF($F296="",EDATE(TODAY(),$E296),EDATE($F296,$E296)))</f>
        <v/>
      </c>
      <c r="L296" s="28" t="str">
        <f aca="true">IF($K296="","",$K296-TODAY())</f>
        <v/>
      </c>
      <c r="M296" s="28" t="str">
        <f aca="false">IF($A296="","",IF(AND($J296="",$L296=""),"-",IF(OR(AND($J296&lt;&gt;"",$J296&lt;=0),AND($L296&lt;&gt;"",$L296&lt;0)),"교체",IF(OR(AND($J296&lt;&gt;"",$J296&lt;=사용안내!$C$16),AND($L296&lt;&gt;"",$L296&lt;=사용안내!$C$17)),"임박","정상"))))</f>
        <v/>
      </c>
    </row>
    <row r="297" customFormat="false" ht="15" hidden="false" customHeight="true" outlineLevel="0" collapsed="false">
      <c r="A297" s="23" t="str">
        <f aca="false">IF(OR(차량목록!$A27="",정비항목!$A6="",차량목록!$G27="매각"),"",차량목록!$A27)</f>
        <v/>
      </c>
      <c r="B297" s="23" t="str">
        <f aca="false">IF($A297="","",차량목록!$B27)</f>
        <v/>
      </c>
      <c r="C297" s="23" t="str">
        <f aca="false">IF($A297="","",정비항목!$B6)</f>
        <v/>
      </c>
      <c r="D297" s="24" t="str">
        <f aca="false">IF($A297="","",IF(정비항목!$C6="",0,정비항목!$C6))</f>
        <v/>
      </c>
      <c r="E297" s="28" t="str">
        <f aca="false">IF($A297="","",IF(정비항목!$D6="",0,정비항목!$D6))</f>
        <v/>
      </c>
      <c r="F297" s="26" t="str">
        <f aca="false">IF($A297="","",IF(COUNTIFS(정비이력!$B$3:$B$1002,$A297,정비이력!$D$3:$D$1002,정비항목!$A6)=0,"",SUMPRODUCT(MAX((정비이력!$B$3:$B$1002=$A297)*(정비이력!$D$3:$D$1002=정비항목!$A6)*정비이력!$A$3:$A$1002))))</f>
        <v/>
      </c>
      <c r="G297" s="27" t="str">
        <f aca="false">IF($A297="","",IF($F297="","",SUMPRODUCT(MAX((정비이력!$B$3:$B$1002=$A297)*(정비이력!$D$3:$D$1002=정비항목!$A6)*정비이력!$F$3:$F$1002))))</f>
        <v/>
      </c>
      <c r="H297" s="27" t="str">
        <f aca="false">IF($A297="","",IF(차량목록!$E27="",0,차량목록!$E27))</f>
        <v/>
      </c>
      <c r="I297" s="27" t="str">
        <f aca="false">IF(OR($A297="",$D297=0),"",IF($G297="",$H297+$D297,$G297+$D297))</f>
        <v/>
      </c>
      <c r="J297" s="24" t="str">
        <f aca="false">IF($I297="","",$I297-$H297)</f>
        <v/>
      </c>
      <c r="K297" s="26" t="str">
        <f aca="true">IF(OR($A297="",$E297=0),"",IF($F297="",EDATE(TODAY(),$E297),EDATE($F297,$E297)))</f>
        <v/>
      </c>
      <c r="L297" s="28" t="str">
        <f aca="true">IF($K297="","",$K297-TODAY())</f>
        <v/>
      </c>
      <c r="M297" s="28" t="str">
        <f aca="false">IF($A297="","",IF(AND($J297="",$L297=""),"-",IF(OR(AND($J297&lt;&gt;"",$J297&lt;=0),AND($L297&lt;&gt;"",$L297&lt;0)),"교체",IF(OR(AND($J297&lt;&gt;"",$J297&lt;=사용안내!$C$16),AND($L297&lt;&gt;"",$L297&lt;=사용안내!$C$17)),"임박","정상"))))</f>
        <v/>
      </c>
    </row>
    <row r="298" customFormat="false" ht="15" hidden="false" customHeight="true" outlineLevel="0" collapsed="false">
      <c r="A298" s="23" t="str">
        <f aca="false">IF(OR(차량목록!$A27="",정비항목!$A7="",차량목록!$G27="매각"),"",차량목록!$A27)</f>
        <v/>
      </c>
      <c r="B298" s="23" t="str">
        <f aca="false">IF($A298="","",차량목록!$B27)</f>
        <v/>
      </c>
      <c r="C298" s="23" t="str">
        <f aca="false">IF($A298="","",정비항목!$B7)</f>
        <v/>
      </c>
      <c r="D298" s="24" t="str">
        <f aca="false">IF($A298="","",IF(정비항목!$C7="",0,정비항목!$C7))</f>
        <v/>
      </c>
      <c r="E298" s="28" t="str">
        <f aca="false">IF($A298="","",IF(정비항목!$D7="",0,정비항목!$D7))</f>
        <v/>
      </c>
      <c r="F298" s="26" t="str">
        <f aca="false">IF($A298="","",IF(COUNTIFS(정비이력!$B$3:$B$1002,$A298,정비이력!$D$3:$D$1002,정비항목!$A7)=0,"",SUMPRODUCT(MAX((정비이력!$B$3:$B$1002=$A298)*(정비이력!$D$3:$D$1002=정비항목!$A7)*정비이력!$A$3:$A$1002))))</f>
        <v/>
      </c>
      <c r="G298" s="27" t="str">
        <f aca="false">IF($A298="","",IF($F298="","",SUMPRODUCT(MAX((정비이력!$B$3:$B$1002=$A298)*(정비이력!$D$3:$D$1002=정비항목!$A7)*정비이력!$F$3:$F$1002))))</f>
        <v/>
      </c>
      <c r="H298" s="27" t="str">
        <f aca="false">IF($A298="","",IF(차량목록!$E27="",0,차량목록!$E27))</f>
        <v/>
      </c>
      <c r="I298" s="27" t="str">
        <f aca="false">IF(OR($A298="",$D298=0),"",IF($G298="",$H298+$D298,$G298+$D298))</f>
        <v/>
      </c>
      <c r="J298" s="24" t="str">
        <f aca="false">IF($I298="","",$I298-$H298)</f>
        <v/>
      </c>
      <c r="K298" s="26" t="str">
        <f aca="true">IF(OR($A298="",$E298=0),"",IF($F298="",EDATE(TODAY(),$E298),EDATE($F298,$E298)))</f>
        <v/>
      </c>
      <c r="L298" s="28" t="str">
        <f aca="true">IF($K298="","",$K298-TODAY())</f>
        <v/>
      </c>
      <c r="M298" s="28" t="str">
        <f aca="false">IF($A298="","",IF(AND($J298="",$L298=""),"-",IF(OR(AND($J298&lt;&gt;"",$J298&lt;=0),AND($L298&lt;&gt;"",$L298&lt;0)),"교체",IF(OR(AND($J298&lt;&gt;"",$J298&lt;=사용안내!$C$16),AND($L298&lt;&gt;"",$L298&lt;=사용안내!$C$17)),"임박","정상"))))</f>
        <v/>
      </c>
    </row>
    <row r="299" customFormat="false" ht="15" hidden="false" customHeight="true" outlineLevel="0" collapsed="false">
      <c r="A299" s="23" t="str">
        <f aca="false">IF(OR(차량목록!$A27="",정비항목!$A8="",차량목록!$G27="매각"),"",차량목록!$A27)</f>
        <v/>
      </c>
      <c r="B299" s="23" t="str">
        <f aca="false">IF($A299="","",차량목록!$B27)</f>
        <v/>
      </c>
      <c r="C299" s="23" t="str">
        <f aca="false">IF($A299="","",정비항목!$B8)</f>
        <v/>
      </c>
      <c r="D299" s="24" t="str">
        <f aca="false">IF($A299="","",IF(정비항목!$C8="",0,정비항목!$C8))</f>
        <v/>
      </c>
      <c r="E299" s="28" t="str">
        <f aca="false">IF($A299="","",IF(정비항목!$D8="",0,정비항목!$D8))</f>
        <v/>
      </c>
      <c r="F299" s="26" t="str">
        <f aca="false">IF($A299="","",IF(COUNTIFS(정비이력!$B$3:$B$1002,$A299,정비이력!$D$3:$D$1002,정비항목!$A8)=0,"",SUMPRODUCT(MAX((정비이력!$B$3:$B$1002=$A299)*(정비이력!$D$3:$D$1002=정비항목!$A8)*정비이력!$A$3:$A$1002))))</f>
        <v/>
      </c>
      <c r="G299" s="27" t="str">
        <f aca="false">IF($A299="","",IF($F299="","",SUMPRODUCT(MAX((정비이력!$B$3:$B$1002=$A299)*(정비이력!$D$3:$D$1002=정비항목!$A8)*정비이력!$F$3:$F$1002))))</f>
        <v/>
      </c>
      <c r="H299" s="27" t="str">
        <f aca="false">IF($A299="","",IF(차량목록!$E27="",0,차량목록!$E27))</f>
        <v/>
      </c>
      <c r="I299" s="27" t="str">
        <f aca="false">IF(OR($A299="",$D299=0),"",IF($G299="",$H299+$D299,$G299+$D299))</f>
        <v/>
      </c>
      <c r="J299" s="24" t="str">
        <f aca="false">IF($I299="","",$I299-$H299)</f>
        <v/>
      </c>
      <c r="K299" s="26" t="str">
        <f aca="true">IF(OR($A299="",$E299=0),"",IF($F299="",EDATE(TODAY(),$E299),EDATE($F299,$E299)))</f>
        <v/>
      </c>
      <c r="L299" s="28" t="str">
        <f aca="true">IF($K299="","",$K299-TODAY())</f>
        <v/>
      </c>
      <c r="M299" s="28" t="str">
        <f aca="false">IF($A299="","",IF(AND($J299="",$L299=""),"-",IF(OR(AND($J299&lt;&gt;"",$J299&lt;=0),AND($L299&lt;&gt;"",$L299&lt;0)),"교체",IF(OR(AND($J299&lt;&gt;"",$J299&lt;=사용안내!$C$16),AND($L299&lt;&gt;"",$L299&lt;=사용안내!$C$17)),"임박","정상"))))</f>
        <v/>
      </c>
    </row>
    <row r="300" customFormat="false" ht="15" hidden="false" customHeight="true" outlineLevel="0" collapsed="false">
      <c r="A300" s="23" t="str">
        <f aca="false">IF(OR(차량목록!$A27="",정비항목!$A9="",차량목록!$G27="매각"),"",차량목록!$A27)</f>
        <v/>
      </c>
      <c r="B300" s="23" t="str">
        <f aca="false">IF($A300="","",차량목록!$B27)</f>
        <v/>
      </c>
      <c r="C300" s="23" t="str">
        <f aca="false">IF($A300="","",정비항목!$B9)</f>
        <v/>
      </c>
      <c r="D300" s="24" t="str">
        <f aca="false">IF($A300="","",IF(정비항목!$C9="",0,정비항목!$C9))</f>
        <v/>
      </c>
      <c r="E300" s="28" t="str">
        <f aca="false">IF($A300="","",IF(정비항목!$D9="",0,정비항목!$D9))</f>
        <v/>
      </c>
      <c r="F300" s="26" t="str">
        <f aca="false">IF($A300="","",IF(COUNTIFS(정비이력!$B$3:$B$1002,$A300,정비이력!$D$3:$D$1002,정비항목!$A9)=0,"",SUMPRODUCT(MAX((정비이력!$B$3:$B$1002=$A300)*(정비이력!$D$3:$D$1002=정비항목!$A9)*정비이력!$A$3:$A$1002))))</f>
        <v/>
      </c>
      <c r="G300" s="27" t="str">
        <f aca="false">IF($A300="","",IF($F300="","",SUMPRODUCT(MAX((정비이력!$B$3:$B$1002=$A300)*(정비이력!$D$3:$D$1002=정비항목!$A9)*정비이력!$F$3:$F$1002))))</f>
        <v/>
      </c>
      <c r="H300" s="27" t="str">
        <f aca="false">IF($A300="","",IF(차량목록!$E27="",0,차량목록!$E27))</f>
        <v/>
      </c>
      <c r="I300" s="27" t="str">
        <f aca="false">IF(OR($A300="",$D300=0),"",IF($G300="",$H300+$D300,$G300+$D300))</f>
        <v/>
      </c>
      <c r="J300" s="24" t="str">
        <f aca="false">IF($I300="","",$I300-$H300)</f>
        <v/>
      </c>
      <c r="K300" s="26" t="str">
        <f aca="true">IF(OR($A300="",$E300=0),"",IF($F300="",EDATE(TODAY(),$E300),EDATE($F300,$E300)))</f>
        <v/>
      </c>
      <c r="L300" s="28" t="str">
        <f aca="true">IF($K300="","",$K300-TODAY())</f>
        <v/>
      </c>
      <c r="M300" s="28" t="str">
        <f aca="false">IF($A300="","",IF(AND($J300="",$L300=""),"-",IF(OR(AND($J300&lt;&gt;"",$J300&lt;=0),AND($L300&lt;&gt;"",$L300&lt;0)),"교체",IF(OR(AND($J300&lt;&gt;"",$J300&lt;=사용안내!$C$16),AND($L300&lt;&gt;"",$L300&lt;=사용안내!$C$17)),"임박","정상"))))</f>
        <v/>
      </c>
    </row>
    <row r="301" customFormat="false" ht="15" hidden="false" customHeight="true" outlineLevel="0" collapsed="false">
      <c r="A301" s="23" t="str">
        <f aca="false">IF(OR(차량목록!$A27="",정비항목!$A10="",차량목록!$G27="매각"),"",차량목록!$A27)</f>
        <v/>
      </c>
      <c r="B301" s="23" t="str">
        <f aca="false">IF($A301="","",차량목록!$B27)</f>
        <v/>
      </c>
      <c r="C301" s="23" t="str">
        <f aca="false">IF($A301="","",정비항목!$B10)</f>
        <v/>
      </c>
      <c r="D301" s="24" t="str">
        <f aca="false">IF($A301="","",IF(정비항목!$C10="",0,정비항목!$C10))</f>
        <v/>
      </c>
      <c r="E301" s="28" t="str">
        <f aca="false">IF($A301="","",IF(정비항목!$D10="",0,정비항목!$D10))</f>
        <v/>
      </c>
      <c r="F301" s="26" t="str">
        <f aca="false">IF($A301="","",IF(COUNTIFS(정비이력!$B$3:$B$1002,$A301,정비이력!$D$3:$D$1002,정비항목!$A10)=0,"",SUMPRODUCT(MAX((정비이력!$B$3:$B$1002=$A301)*(정비이력!$D$3:$D$1002=정비항목!$A10)*정비이력!$A$3:$A$1002))))</f>
        <v/>
      </c>
      <c r="G301" s="27" t="str">
        <f aca="false">IF($A301="","",IF($F301="","",SUMPRODUCT(MAX((정비이력!$B$3:$B$1002=$A301)*(정비이력!$D$3:$D$1002=정비항목!$A10)*정비이력!$F$3:$F$1002))))</f>
        <v/>
      </c>
      <c r="H301" s="27" t="str">
        <f aca="false">IF($A301="","",IF(차량목록!$E27="",0,차량목록!$E27))</f>
        <v/>
      </c>
      <c r="I301" s="27" t="str">
        <f aca="false">IF(OR($A301="",$D301=0),"",IF($G301="",$H301+$D301,$G301+$D301))</f>
        <v/>
      </c>
      <c r="J301" s="24" t="str">
        <f aca="false">IF($I301="","",$I301-$H301)</f>
        <v/>
      </c>
      <c r="K301" s="26" t="str">
        <f aca="true">IF(OR($A301="",$E301=0),"",IF($F301="",EDATE(TODAY(),$E301),EDATE($F301,$E301)))</f>
        <v/>
      </c>
      <c r="L301" s="28" t="str">
        <f aca="true">IF($K301="","",$K301-TODAY())</f>
        <v/>
      </c>
      <c r="M301" s="28" t="str">
        <f aca="false">IF($A301="","",IF(AND($J301="",$L301=""),"-",IF(OR(AND($J301&lt;&gt;"",$J301&lt;=0),AND($L301&lt;&gt;"",$L301&lt;0)),"교체",IF(OR(AND($J301&lt;&gt;"",$J301&lt;=사용안내!$C$16),AND($L301&lt;&gt;"",$L301&lt;=사용안내!$C$17)),"임박","정상"))))</f>
        <v/>
      </c>
    </row>
    <row r="302" customFormat="false" ht="15" hidden="false" customHeight="true" outlineLevel="0" collapsed="false">
      <c r="A302" s="23" t="str">
        <f aca="false">IF(OR(차량목록!$A27="",정비항목!$A11="",차량목록!$G27="매각"),"",차량목록!$A27)</f>
        <v/>
      </c>
      <c r="B302" s="23" t="str">
        <f aca="false">IF($A302="","",차량목록!$B27)</f>
        <v/>
      </c>
      <c r="C302" s="23" t="str">
        <f aca="false">IF($A302="","",정비항목!$B11)</f>
        <v/>
      </c>
      <c r="D302" s="24" t="str">
        <f aca="false">IF($A302="","",IF(정비항목!$C11="",0,정비항목!$C11))</f>
        <v/>
      </c>
      <c r="E302" s="28" t="str">
        <f aca="false">IF($A302="","",IF(정비항목!$D11="",0,정비항목!$D11))</f>
        <v/>
      </c>
      <c r="F302" s="26" t="str">
        <f aca="false">IF($A302="","",IF(COUNTIFS(정비이력!$B$3:$B$1002,$A302,정비이력!$D$3:$D$1002,정비항목!$A11)=0,"",SUMPRODUCT(MAX((정비이력!$B$3:$B$1002=$A302)*(정비이력!$D$3:$D$1002=정비항목!$A11)*정비이력!$A$3:$A$1002))))</f>
        <v/>
      </c>
      <c r="G302" s="27" t="str">
        <f aca="false">IF($A302="","",IF($F302="","",SUMPRODUCT(MAX((정비이력!$B$3:$B$1002=$A302)*(정비이력!$D$3:$D$1002=정비항목!$A11)*정비이력!$F$3:$F$1002))))</f>
        <v/>
      </c>
      <c r="H302" s="27" t="str">
        <f aca="false">IF($A302="","",IF(차량목록!$E27="",0,차량목록!$E27))</f>
        <v/>
      </c>
      <c r="I302" s="27" t="str">
        <f aca="false">IF(OR($A302="",$D302=0),"",IF($G302="",$H302+$D302,$G302+$D302))</f>
        <v/>
      </c>
      <c r="J302" s="24" t="str">
        <f aca="false">IF($I302="","",$I302-$H302)</f>
        <v/>
      </c>
      <c r="K302" s="26" t="str">
        <f aca="true">IF(OR($A302="",$E302=0),"",IF($F302="",EDATE(TODAY(),$E302),EDATE($F302,$E302)))</f>
        <v/>
      </c>
      <c r="L302" s="28" t="str">
        <f aca="true">IF($K302="","",$K302-TODAY())</f>
        <v/>
      </c>
      <c r="M302" s="28" t="str">
        <f aca="false">IF($A302="","",IF(AND($J302="",$L302=""),"-",IF(OR(AND($J302&lt;&gt;"",$J302&lt;=0),AND($L302&lt;&gt;"",$L302&lt;0)),"교체",IF(OR(AND($J302&lt;&gt;"",$J302&lt;=사용안내!$C$16),AND($L302&lt;&gt;"",$L302&lt;=사용안내!$C$17)),"임박","정상"))))</f>
        <v/>
      </c>
    </row>
    <row r="303" customFormat="false" ht="15" hidden="false" customHeight="true" outlineLevel="0" collapsed="false">
      <c r="A303" s="23" t="str">
        <f aca="false">IF(OR(차량목록!$A27="",정비항목!$A12="",차량목록!$G27="매각"),"",차량목록!$A27)</f>
        <v/>
      </c>
      <c r="B303" s="23" t="str">
        <f aca="false">IF($A303="","",차량목록!$B27)</f>
        <v/>
      </c>
      <c r="C303" s="23" t="str">
        <f aca="false">IF($A303="","",정비항목!$B12)</f>
        <v/>
      </c>
      <c r="D303" s="24" t="str">
        <f aca="false">IF($A303="","",IF(정비항목!$C12="",0,정비항목!$C12))</f>
        <v/>
      </c>
      <c r="E303" s="28" t="str">
        <f aca="false">IF($A303="","",IF(정비항목!$D12="",0,정비항목!$D12))</f>
        <v/>
      </c>
      <c r="F303" s="26" t="str">
        <f aca="false">IF($A303="","",IF(COUNTIFS(정비이력!$B$3:$B$1002,$A303,정비이력!$D$3:$D$1002,정비항목!$A12)=0,"",SUMPRODUCT(MAX((정비이력!$B$3:$B$1002=$A303)*(정비이력!$D$3:$D$1002=정비항목!$A12)*정비이력!$A$3:$A$1002))))</f>
        <v/>
      </c>
      <c r="G303" s="27" t="str">
        <f aca="false">IF($A303="","",IF($F303="","",SUMPRODUCT(MAX((정비이력!$B$3:$B$1002=$A303)*(정비이력!$D$3:$D$1002=정비항목!$A12)*정비이력!$F$3:$F$1002))))</f>
        <v/>
      </c>
      <c r="H303" s="27" t="str">
        <f aca="false">IF($A303="","",IF(차량목록!$E27="",0,차량목록!$E27))</f>
        <v/>
      </c>
      <c r="I303" s="27" t="str">
        <f aca="false">IF(OR($A303="",$D303=0),"",IF($G303="",$H303+$D303,$G303+$D303))</f>
        <v/>
      </c>
      <c r="J303" s="24" t="str">
        <f aca="false">IF($I303="","",$I303-$H303)</f>
        <v/>
      </c>
      <c r="K303" s="26" t="str">
        <f aca="true">IF(OR($A303="",$E303=0),"",IF($F303="",EDATE(TODAY(),$E303),EDATE($F303,$E303)))</f>
        <v/>
      </c>
      <c r="L303" s="28" t="str">
        <f aca="true">IF($K303="","",$K303-TODAY())</f>
        <v/>
      </c>
      <c r="M303" s="28" t="str">
        <f aca="false">IF($A303="","",IF(AND($J303="",$L303=""),"-",IF(OR(AND($J303&lt;&gt;"",$J303&lt;=0),AND($L303&lt;&gt;"",$L303&lt;0)),"교체",IF(OR(AND($J303&lt;&gt;"",$J303&lt;=사용안내!$C$16),AND($L303&lt;&gt;"",$L303&lt;=사용안내!$C$17)),"임박","정상"))))</f>
        <v/>
      </c>
    </row>
    <row r="304" customFormat="false" ht="15" hidden="false" customHeight="true" outlineLevel="0" collapsed="false">
      <c r="A304" s="23" t="str">
        <f aca="false">IF(OR(차량목록!$A27="",정비항목!$A13="",차량목록!$G27="매각"),"",차량목록!$A27)</f>
        <v/>
      </c>
      <c r="B304" s="23" t="str">
        <f aca="false">IF($A304="","",차량목록!$B27)</f>
        <v/>
      </c>
      <c r="C304" s="23" t="str">
        <f aca="false">IF($A304="","",정비항목!$B13)</f>
        <v/>
      </c>
      <c r="D304" s="24" t="str">
        <f aca="false">IF($A304="","",IF(정비항목!$C13="",0,정비항목!$C13))</f>
        <v/>
      </c>
      <c r="E304" s="28" t="str">
        <f aca="false">IF($A304="","",IF(정비항목!$D13="",0,정비항목!$D13))</f>
        <v/>
      </c>
      <c r="F304" s="26" t="str">
        <f aca="false">IF($A304="","",IF(COUNTIFS(정비이력!$B$3:$B$1002,$A304,정비이력!$D$3:$D$1002,정비항목!$A13)=0,"",SUMPRODUCT(MAX((정비이력!$B$3:$B$1002=$A304)*(정비이력!$D$3:$D$1002=정비항목!$A13)*정비이력!$A$3:$A$1002))))</f>
        <v/>
      </c>
      <c r="G304" s="27" t="str">
        <f aca="false">IF($A304="","",IF($F304="","",SUMPRODUCT(MAX((정비이력!$B$3:$B$1002=$A304)*(정비이력!$D$3:$D$1002=정비항목!$A13)*정비이력!$F$3:$F$1002))))</f>
        <v/>
      </c>
      <c r="H304" s="27" t="str">
        <f aca="false">IF($A304="","",IF(차량목록!$E27="",0,차량목록!$E27))</f>
        <v/>
      </c>
      <c r="I304" s="27" t="str">
        <f aca="false">IF(OR($A304="",$D304=0),"",IF($G304="",$H304+$D304,$G304+$D304))</f>
        <v/>
      </c>
      <c r="J304" s="24" t="str">
        <f aca="false">IF($I304="","",$I304-$H304)</f>
        <v/>
      </c>
      <c r="K304" s="26" t="str">
        <f aca="true">IF(OR($A304="",$E304=0),"",IF($F304="",EDATE(TODAY(),$E304),EDATE($F304,$E304)))</f>
        <v/>
      </c>
      <c r="L304" s="28" t="str">
        <f aca="true">IF($K304="","",$K304-TODAY())</f>
        <v/>
      </c>
      <c r="M304" s="28" t="str">
        <f aca="false">IF($A304="","",IF(AND($J304="",$L304=""),"-",IF(OR(AND($J304&lt;&gt;"",$J304&lt;=0),AND($L304&lt;&gt;"",$L304&lt;0)),"교체",IF(OR(AND($J304&lt;&gt;"",$J304&lt;=사용안내!$C$16),AND($L304&lt;&gt;"",$L304&lt;=사용안내!$C$17)),"임박","정상"))))</f>
        <v/>
      </c>
    </row>
    <row r="305" customFormat="false" ht="15" hidden="false" customHeight="true" outlineLevel="0" collapsed="false">
      <c r="A305" s="23" t="str">
        <f aca="false">IF(OR(차량목록!$A27="",정비항목!$A14="",차량목록!$G27="매각"),"",차량목록!$A27)</f>
        <v/>
      </c>
      <c r="B305" s="23" t="str">
        <f aca="false">IF($A305="","",차량목록!$B27)</f>
        <v/>
      </c>
      <c r="C305" s="23" t="str">
        <f aca="false">IF($A305="","",정비항목!$B14)</f>
        <v/>
      </c>
      <c r="D305" s="24" t="str">
        <f aca="false">IF($A305="","",IF(정비항목!$C14="",0,정비항목!$C14))</f>
        <v/>
      </c>
      <c r="E305" s="28" t="str">
        <f aca="false">IF($A305="","",IF(정비항목!$D14="",0,정비항목!$D14))</f>
        <v/>
      </c>
      <c r="F305" s="26" t="str">
        <f aca="false">IF($A305="","",IF(COUNTIFS(정비이력!$B$3:$B$1002,$A305,정비이력!$D$3:$D$1002,정비항목!$A14)=0,"",SUMPRODUCT(MAX((정비이력!$B$3:$B$1002=$A305)*(정비이력!$D$3:$D$1002=정비항목!$A14)*정비이력!$A$3:$A$1002))))</f>
        <v/>
      </c>
      <c r="G305" s="27" t="str">
        <f aca="false">IF($A305="","",IF($F305="","",SUMPRODUCT(MAX((정비이력!$B$3:$B$1002=$A305)*(정비이력!$D$3:$D$1002=정비항목!$A14)*정비이력!$F$3:$F$1002))))</f>
        <v/>
      </c>
      <c r="H305" s="27" t="str">
        <f aca="false">IF($A305="","",IF(차량목록!$E27="",0,차량목록!$E27))</f>
        <v/>
      </c>
      <c r="I305" s="27" t="str">
        <f aca="false">IF(OR($A305="",$D305=0),"",IF($G305="",$H305+$D305,$G305+$D305))</f>
        <v/>
      </c>
      <c r="J305" s="24" t="str">
        <f aca="false">IF($I305="","",$I305-$H305)</f>
        <v/>
      </c>
      <c r="K305" s="26" t="str">
        <f aca="true">IF(OR($A305="",$E305=0),"",IF($F305="",EDATE(TODAY(),$E305),EDATE($F305,$E305)))</f>
        <v/>
      </c>
      <c r="L305" s="28" t="str">
        <f aca="true">IF($K305="","",$K305-TODAY())</f>
        <v/>
      </c>
      <c r="M305" s="28" t="str">
        <f aca="false">IF($A305="","",IF(AND($J305="",$L305=""),"-",IF(OR(AND($J305&lt;&gt;"",$J305&lt;=0),AND($L305&lt;&gt;"",$L305&lt;0)),"교체",IF(OR(AND($J305&lt;&gt;"",$J305&lt;=사용안내!$C$16),AND($L305&lt;&gt;"",$L305&lt;=사용안내!$C$17)),"임박","정상"))))</f>
        <v/>
      </c>
    </row>
    <row r="306" customFormat="false" ht="15" hidden="false" customHeight="true" outlineLevel="0" collapsed="false">
      <c r="A306" s="23" t="str">
        <f aca="false">IF(OR(차량목록!$A28="",정비항목!$A3="",차량목록!$G28="매각"),"",차량목록!$A28)</f>
        <v/>
      </c>
      <c r="B306" s="23" t="str">
        <f aca="false">IF($A306="","",차량목록!$B28)</f>
        <v/>
      </c>
      <c r="C306" s="23" t="str">
        <f aca="false">IF($A306="","",정비항목!$B3)</f>
        <v/>
      </c>
      <c r="D306" s="24" t="str">
        <f aca="false">IF($A306="","",IF(정비항목!$C3="",0,정비항목!$C3))</f>
        <v/>
      </c>
      <c r="E306" s="28" t="str">
        <f aca="false">IF($A306="","",IF(정비항목!$D3="",0,정비항목!$D3))</f>
        <v/>
      </c>
      <c r="F306" s="26" t="str">
        <f aca="false">IF($A306="","",IF(COUNTIFS(정비이력!$B$3:$B$1002,$A306,정비이력!$D$3:$D$1002,정비항목!$A3)=0,"",SUMPRODUCT(MAX((정비이력!$B$3:$B$1002=$A306)*(정비이력!$D$3:$D$1002=정비항목!$A3)*정비이력!$A$3:$A$1002))))</f>
        <v/>
      </c>
      <c r="G306" s="27" t="str">
        <f aca="false">IF($A306="","",IF($F306="","",SUMPRODUCT(MAX((정비이력!$B$3:$B$1002=$A306)*(정비이력!$D$3:$D$1002=정비항목!$A3)*정비이력!$F$3:$F$1002))))</f>
        <v/>
      </c>
      <c r="H306" s="27" t="str">
        <f aca="false">IF($A306="","",IF(차량목록!$E28="",0,차량목록!$E28))</f>
        <v/>
      </c>
      <c r="I306" s="27" t="str">
        <f aca="false">IF(OR($A306="",$D306=0),"",IF($G306="",$H306+$D306,$G306+$D306))</f>
        <v/>
      </c>
      <c r="J306" s="24" t="str">
        <f aca="false">IF($I306="","",$I306-$H306)</f>
        <v/>
      </c>
      <c r="K306" s="26" t="str">
        <f aca="true">IF(OR($A306="",$E306=0),"",IF($F306="",EDATE(TODAY(),$E306),EDATE($F306,$E306)))</f>
        <v/>
      </c>
      <c r="L306" s="28" t="str">
        <f aca="true">IF($K306="","",$K306-TODAY())</f>
        <v/>
      </c>
      <c r="M306" s="28" t="str">
        <f aca="false">IF($A306="","",IF(AND($J306="",$L306=""),"-",IF(OR(AND($J306&lt;&gt;"",$J306&lt;=0),AND($L306&lt;&gt;"",$L306&lt;0)),"교체",IF(OR(AND($J306&lt;&gt;"",$J306&lt;=사용안내!$C$16),AND($L306&lt;&gt;"",$L306&lt;=사용안내!$C$17)),"임박","정상"))))</f>
        <v/>
      </c>
    </row>
    <row r="307" customFormat="false" ht="15" hidden="false" customHeight="true" outlineLevel="0" collapsed="false">
      <c r="A307" s="23" t="str">
        <f aca="false">IF(OR(차량목록!$A28="",정비항목!$A4="",차량목록!$G28="매각"),"",차량목록!$A28)</f>
        <v/>
      </c>
      <c r="B307" s="23" t="str">
        <f aca="false">IF($A307="","",차량목록!$B28)</f>
        <v/>
      </c>
      <c r="C307" s="23" t="str">
        <f aca="false">IF($A307="","",정비항목!$B4)</f>
        <v/>
      </c>
      <c r="D307" s="24" t="str">
        <f aca="false">IF($A307="","",IF(정비항목!$C4="",0,정비항목!$C4))</f>
        <v/>
      </c>
      <c r="E307" s="28" t="str">
        <f aca="false">IF($A307="","",IF(정비항목!$D4="",0,정비항목!$D4))</f>
        <v/>
      </c>
      <c r="F307" s="26" t="str">
        <f aca="false">IF($A307="","",IF(COUNTIFS(정비이력!$B$3:$B$1002,$A307,정비이력!$D$3:$D$1002,정비항목!$A4)=0,"",SUMPRODUCT(MAX((정비이력!$B$3:$B$1002=$A307)*(정비이력!$D$3:$D$1002=정비항목!$A4)*정비이력!$A$3:$A$1002))))</f>
        <v/>
      </c>
      <c r="G307" s="27" t="str">
        <f aca="false">IF($A307="","",IF($F307="","",SUMPRODUCT(MAX((정비이력!$B$3:$B$1002=$A307)*(정비이력!$D$3:$D$1002=정비항목!$A4)*정비이력!$F$3:$F$1002))))</f>
        <v/>
      </c>
      <c r="H307" s="27" t="str">
        <f aca="false">IF($A307="","",IF(차량목록!$E28="",0,차량목록!$E28))</f>
        <v/>
      </c>
      <c r="I307" s="27" t="str">
        <f aca="false">IF(OR($A307="",$D307=0),"",IF($G307="",$H307+$D307,$G307+$D307))</f>
        <v/>
      </c>
      <c r="J307" s="24" t="str">
        <f aca="false">IF($I307="","",$I307-$H307)</f>
        <v/>
      </c>
      <c r="K307" s="26" t="str">
        <f aca="true">IF(OR($A307="",$E307=0),"",IF($F307="",EDATE(TODAY(),$E307),EDATE($F307,$E307)))</f>
        <v/>
      </c>
      <c r="L307" s="28" t="str">
        <f aca="true">IF($K307="","",$K307-TODAY())</f>
        <v/>
      </c>
      <c r="M307" s="28" t="str">
        <f aca="false">IF($A307="","",IF(AND($J307="",$L307=""),"-",IF(OR(AND($J307&lt;&gt;"",$J307&lt;=0),AND($L307&lt;&gt;"",$L307&lt;0)),"교체",IF(OR(AND($J307&lt;&gt;"",$J307&lt;=사용안내!$C$16),AND($L307&lt;&gt;"",$L307&lt;=사용안내!$C$17)),"임박","정상"))))</f>
        <v/>
      </c>
    </row>
    <row r="308" customFormat="false" ht="15" hidden="false" customHeight="true" outlineLevel="0" collapsed="false">
      <c r="A308" s="23" t="str">
        <f aca="false">IF(OR(차량목록!$A28="",정비항목!$A5="",차량목록!$G28="매각"),"",차량목록!$A28)</f>
        <v/>
      </c>
      <c r="B308" s="23" t="str">
        <f aca="false">IF($A308="","",차량목록!$B28)</f>
        <v/>
      </c>
      <c r="C308" s="23" t="str">
        <f aca="false">IF($A308="","",정비항목!$B5)</f>
        <v/>
      </c>
      <c r="D308" s="24" t="str">
        <f aca="false">IF($A308="","",IF(정비항목!$C5="",0,정비항목!$C5))</f>
        <v/>
      </c>
      <c r="E308" s="28" t="str">
        <f aca="false">IF($A308="","",IF(정비항목!$D5="",0,정비항목!$D5))</f>
        <v/>
      </c>
      <c r="F308" s="26" t="str">
        <f aca="false">IF($A308="","",IF(COUNTIFS(정비이력!$B$3:$B$1002,$A308,정비이력!$D$3:$D$1002,정비항목!$A5)=0,"",SUMPRODUCT(MAX((정비이력!$B$3:$B$1002=$A308)*(정비이력!$D$3:$D$1002=정비항목!$A5)*정비이력!$A$3:$A$1002))))</f>
        <v/>
      </c>
      <c r="G308" s="27" t="str">
        <f aca="false">IF($A308="","",IF($F308="","",SUMPRODUCT(MAX((정비이력!$B$3:$B$1002=$A308)*(정비이력!$D$3:$D$1002=정비항목!$A5)*정비이력!$F$3:$F$1002))))</f>
        <v/>
      </c>
      <c r="H308" s="27" t="str">
        <f aca="false">IF($A308="","",IF(차량목록!$E28="",0,차량목록!$E28))</f>
        <v/>
      </c>
      <c r="I308" s="27" t="str">
        <f aca="false">IF(OR($A308="",$D308=0),"",IF($G308="",$H308+$D308,$G308+$D308))</f>
        <v/>
      </c>
      <c r="J308" s="24" t="str">
        <f aca="false">IF($I308="","",$I308-$H308)</f>
        <v/>
      </c>
      <c r="K308" s="26" t="str">
        <f aca="true">IF(OR($A308="",$E308=0),"",IF($F308="",EDATE(TODAY(),$E308),EDATE($F308,$E308)))</f>
        <v/>
      </c>
      <c r="L308" s="28" t="str">
        <f aca="true">IF($K308="","",$K308-TODAY())</f>
        <v/>
      </c>
      <c r="M308" s="28" t="str">
        <f aca="false">IF($A308="","",IF(AND($J308="",$L308=""),"-",IF(OR(AND($J308&lt;&gt;"",$J308&lt;=0),AND($L308&lt;&gt;"",$L308&lt;0)),"교체",IF(OR(AND($J308&lt;&gt;"",$J308&lt;=사용안내!$C$16),AND($L308&lt;&gt;"",$L308&lt;=사용안내!$C$17)),"임박","정상"))))</f>
        <v/>
      </c>
    </row>
    <row r="309" customFormat="false" ht="15" hidden="false" customHeight="true" outlineLevel="0" collapsed="false">
      <c r="A309" s="23" t="str">
        <f aca="false">IF(OR(차량목록!$A28="",정비항목!$A6="",차량목록!$G28="매각"),"",차량목록!$A28)</f>
        <v/>
      </c>
      <c r="B309" s="23" t="str">
        <f aca="false">IF($A309="","",차량목록!$B28)</f>
        <v/>
      </c>
      <c r="C309" s="23" t="str">
        <f aca="false">IF($A309="","",정비항목!$B6)</f>
        <v/>
      </c>
      <c r="D309" s="24" t="str">
        <f aca="false">IF($A309="","",IF(정비항목!$C6="",0,정비항목!$C6))</f>
        <v/>
      </c>
      <c r="E309" s="28" t="str">
        <f aca="false">IF($A309="","",IF(정비항목!$D6="",0,정비항목!$D6))</f>
        <v/>
      </c>
      <c r="F309" s="26" t="str">
        <f aca="false">IF($A309="","",IF(COUNTIFS(정비이력!$B$3:$B$1002,$A309,정비이력!$D$3:$D$1002,정비항목!$A6)=0,"",SUMPRODUCT(MAX((정비이력!$B$3:$B$1002=$A309)*(정비이력!$D$3:$D$1002=정비항목!$A6)*정비이력!$A$3:$A$1002))))</f>
        <v/>
      </c>
      <c r="G309" s="27" t="str">
        <f aca="false">IF($A309="","",IF($F309="","",SUMPRODUCT(MAX((정비이력!$B$3:$B$1002=$A309)*(정비이력!$D$3:$D$1002=정비항목!$A6)*정비이력!$F$3:$F$1002))))</f>
        <v/>
      </c>
      <c r="H309" s="27" t="str">
        <f aca="false">IF($A309="","",IF(차량목록!$E28="",0,차량목록!$E28))</f>
        <v/>
      </c>
      <c r="I309" s="27" t="str">
        <f aca="false">IF(OR($A309="",$D309=0),"",IF($G309="",$H309+$D309,$G309+$D309))</f>
        <v/>
      </c>
      <c r="J309" s="24" t="str">
        <f aca="false">IF($I309="","",$I309-$H309)</f>
        <v/>
      </c>
      <c r="K309" s="26" t="str">
        <f aca="true">IF(OR($A309="",$E309=0),"",IF($F309="",EDATE(TODAY(),$E309),EDATE($F309,$E309)))</f>
        <v/>
      </c>
      <c r="L309" s="28" t="str">
        <f aca="true">IF($K309="","",$K309-TODAY())</f>
        <v/>
      </c>
      <c r="M309" s="28" t="str">
        <f aca="false">IF($A309="","",IF(AND($J309="",$L309=""),"-",IF(OR(AND($J309&lt;&gt;"",$J309&lt;=0),AND($L309&lt;&gt;"",$L309&lt;0)),"교체",IF(OR(AND($J309&lt;&gt;"",$J309&lt;=사용안내!$C$16),AND($L309&lt;&gt;"",$L309&lt;=사용안내!$C$17)),"임박","정상"))))</f>
        <v/>
      </c>
    </row>
    <row r="310" customFormat="false" ht="15" hidden="false" customHeight="true" outlineLevel="0" collapsed="false">
      <c r="A310" s="23" t="str">
        <f aca="false">IF(OR(차량목록!$A28="",정비항목!$A7="",차량목록!$G28="매각"),"",차량목록!$A28)</f>
        <v/>
      </c>
      <c r="B310" s="23" t="str">
        <f aca="false">IF($A310="","",차량목록!$B28)</f>
        <v/>
      </c>
      <c r="C310" s="23" t="str">
        <f aca="false">IF($A310="","",정비항목!$B7)</f>
        <v/>
      </c>
      <c r="D310" s="24" t="str">
        <f aca="false">IF($A310="","",IF(정비항목!$C7="",0,정비항목!$C7))</f>
        <v/>
      </c>
      <c r="E310" s="28" t="str">
        <f aca="false">IF($A310="","",IF(정비항목!$D7="",0,정비항목!$D7))</f>
        <v/>
      </c>
      <c r="F310" s="26" t="str">
        <f aca="false">IF($A310="","",IF(COUNTIFS(정비이력!$B$3:$B$1002,$A310,정비이력!$D$3:$D$1002,정비항목!$A7)=0,"",SUMPRODUCT(MAX((정비이력!$B$3:$B$1002=$A310)*(정비이력!$D$3:$D$1002=정비항목!$A7)*정비이력!$A$3:$A$1002))))</f>
        <v/>
      </c>
      <c r="G310" s="27" t="str">
        <f aca="false">IF($A310="","",IF($F310="","",SUMPRODUCT(MAX((정비이력!$B$3:$B$1002=$A310)*(정비이력!$D$3:$D$1002=정비항목!$A7)*정비이력!$F$3:$F$1002))))</f>
        <v/>
      </c>
      <c r="H310" s="27" t="str">
        <f aca="false">IF($A310="","",IF(차량목록!$E28="",0,차량목록!$E28))</f>
        <v/>
      </c>
      <c r="I310" s="27" t="str">
        <f aca="false">IF(OR($A310="",$D310=0),"",IF($G310="",$H310+$D310,$G310+$D310))</f>
        <v/>
      </c>
      <c r="J310" s="24" t="str">
        <f aca="false">IF($I310="","",$I310-$H310)</f>
        <v/>
      </c>
      <c r="K310" s="26" t="str">
        <f aca="true">IF(OR($A310="",$E310=0),"",IF($F310="",EDATE(TODAY(),$E310),EDATE($F310,$E310)))</f>
        <v/>
      </c>
      <c r="L310" s="28" t="str">
        <f aca="true">IF($K310="","",$K310-TODAY())</f>
        <v/>
      </c>
      <c r="M310" s="28" t="str">
        <f aca="false">IF($A310="","",IF(AND($J310="",$L310=""),"-",IF(OR(AND($J310&lt;&gt;"",$J310&lt;=0),AND($L310&lt;&gt;"",$L310&lt;0)),"교체",IF(OR(AND($J310&lt;&gt;"",$J310&lt;=사용안내!$C$16),AND($L310&lt;&gt;"",$L310&lt;=사용안내!$C$17)),"임박","정상"))))</f>
        <v/>
      </c>
    </row>
    <row r="311" customFormat="false" ht="15" hidden="false" customHeight="true" outlineLevel="0" collapsed="false">
      <c r="A311" s="23" t="str">
        <f aca="false">IF(OR(차량목록!$A28="",정비항목!$A8="",차량목록!$G28="매각"),"",차량목록!$A28)</f>
        <v/>
      </c>
      <c r="B311" s="23" t="str">
        <f aca="false">IF($A311="","",차량목록!$B28)</f>
        <v/>
      </c>
      <c r="C311" s="23" t="str">
        <f aca="false">IF($A311="","",정비항목!$B8)</f>
        <v/>
      </c>
      <c r="D311" s="24" t="str">
        <f aca="false">IF($A311="","",IF(정비항목!$C8="",0,정비항목!$C8))</f>
        <v/>
      </c>
      <c r="E311" s="28" t="str">
        <f aca="false">IF($A311="","",IF(정비항목!$D8="",0,정비항목!$D8))</f>
        <v/>
      </c>
      <c r="F311" s="26" t="str">
        <f aca="false">IF($A311="","",IF(COUNTIFS(정비이력!$B$3:$B$1002,$A311,정비이력!$D$3:$D$1002,정비항목!$A8)=0,"",SUMPRODUCT(MAX((정비이력!$B$3:$B$1002=$A311)*(정비이력!$D$3:$D$1002=정비항목!$A8)*정비이력!$A$3:$A$1002))))</f>
        <v/>
      </c>
      <c r="G311" s="27" t="str">
        <f aca="false">IF($A311="","",IF($F311="","",SUMPRODUCT(MAX((정비이력!$B$3:$B$1002=$A311)*(정비이력!$D$3:$D$1002=정비항목!$A8)*정비이력!$F$3:$F$1002))))</f>
        <v/>
      </c>
      <c r="H311" s="27" t="str">
        <f aca="false">IF($A311="","",IF(차량목록!$E28="",0,차량목록!$E28))</f>
        <v/>
      </c>
      <c r="I311" s="27" t="str">
        <f aca="false">IF(OR($A311="",$D311=0),"",IF($G311="",$H311+$D311,$G311+$D311))</f>
        <v/>
      </c>
      <c r="J311" s="24" t="str">
        <f aca="false">IF($I311="","",$I311-$H311)</f>
        <v/>
      </c>
      <c r="K311" s="26" t="str">
        <f aca="true">IF(OR($A311="",$E311=0),"",IF($F311="",EDATE(TODAY(),$E311),EDATE($F311,$E311)))</f>
        <v/>
      </c>
      <c r="L311" s="28" t="str">
        <f aca="true">IF($K311="","",$K311-TODAY())</f>
        <v/>
      </c>
      <c r="M311" s="28" t="str">
        <f aca="false">IF($A311="","",IF(AND($J311="",$L311=""),"-",IF(OR(AND($J311&lt;&gt;"",$J311&lt;=0),AND($L311&lt;&gt;"",$L311&lt;0)),"교체",IF(OR(AND($J311&lt;&gt;"",$J311&lt;=사용안내!$C$16),AND($L311&lt;&gt;"",$L311&lt;=사용안내!$C$17)),"임박","정상"))))</f>
        <v/>
      </c>
    </row>
    <row r="312" customFormat="false" ht="15" hidden="false" customHeight="true" outlineLevel="0" collapsed="false">
      <c r="A312" s="23" t="str">
        <f aca="false">IF(OR(차량목록!$A28="",정비항목!$A9="",차량목록!$G28="매각"),"",차량목록!$A28)</f>
        <v/>
      </c>
      <c r="B312" s="23" t="str">
        <f aca="false">IF($A312="","",차량목록!$B28)</f>
        <v/>
      </c>
      <c r="C312" s="23" t="str">
        <f aca="false">IF($A312="","",정비항목!$B9)</f>
        <v/>
      </c>
      <c r="D312" s="24" t="str">
        <f aca="false">IF($A312="","",IF(정비항목!$C9="",0,정비항목!$C9))</f>
        <v/>
      </c>
      <c r="E312" s="28" t="str">
        <f aca="false">IF($A312="","",IF(정비항목!$D9="",0,정비항목!$D9))</f>
        <v/>
      </c>
      <c r="F312" s="26" t="str">
        <f aca="false">IF($A312="","",IF(COUNTIFS(정비이력!$B$3:$B$1002,$A312,정비이력!$D$3:$D$1002,정비항목!$A9)=0,"",SUMPRODUCT(MAX((정비이력!$B$3:$B$1002=$A312)*(정비이력!$D$3:$D$1002=정비항목!$A9)*정비이력!$A$3:$A$1002))))</f>
        <v/>
      </c>
      <c r="G312" s="27" t="str">
        <f aca="false">IF($A312="","",IF($F312="","",SUMPRODUCT(MAX((정비이력!$B$3:$B$1002=$A312)*(정비이력!$D$3:$D$1002=정비항목!$A9)*정비이력!$F$3:$F$1002))))</f>
        <v/>
      </c>
      <c r="H312" s="27" t="str">
        <f aca="false">IF($A312="","",IF(차량목록!$E28="",0,차량목록!$E28))</f>
        <v/>
      </c>
      <c r="I312" s="27" t="str">
        <f aca="false">IF(OR($A312="",$D312=0),"",IF($G312="",$H312+$D312,$G312+$D312))</f>
        <v/>
      </c>
      <c r="J312" s="24" t="str">
        <f aca="false">IF($I312="","",$I312-$H312)</f>
        <v/>
      </c>
      <c r="K312" s="26" t="str">
        <f aca="true">IF(OR($A312="",$E312=0),"",IF($F312="",EDATE(TODAY(),$E312),EDATE($F312,$E312)))</f>
        <v/>
      </c>
      <c r="L312" s="28" t="str">
        <f aca="true">IF($K312="","",$K312-TODAY())</f>
        <v/>
      </c>
      <c r="M312" s="28" t="str">
        <f aca="false">IF($A312="","",IF(AND($J312="",$L312=""),"-",IF(OR(AND($J312&lt;&gt;"",$J312&lt;=0),AND($L312&lt;&gt;"",$L312&lt;0)),"교체",IF(OR(AND($J312&lt;&gt;"",$J312&lt;=사용안내!$C$16),AND($L312&lt;&gt;"",$L312&lt;=사용안내!$C$17)),"임박","정상"))))</f>
        <v/>
      </c>
    </row>
    <row r="313" customFormat="false" ht="15" hidden="false" customHeight="true" outlineLevel="0" collapsed="false">
      <c r="A313" s="23" t="str">
        <f aca="false">IF(OR(차량목록!$A28="",정비항목!$A10="",차량목록!$G28="매각"),"",차량목록!$A28)</f>
        <v/>
      </c>
      <c r="B313" s="23" t="str">
        <f aca="false">IF($A313="","",차량목록!$B28)</f>
        <v/>
      </c>
      <c r="C313" s="23" t="str">
        <f aca="false">IF($A313="","",정비항목!$B10)</f>
        <v/>
      </c>
      <c r="D313" s="24" t="str">
        <f aca="false">IF($A313="","",IF(정비항목!$C10="",0,정비항목!$C10))</f>
        <v/>
      </c>
      <c r="E313" s="28" t="str">
        <f aca="false">IF($A313="","",IF(정비항목!$D10="",0,정비항목!$D10))</f>
        <v/>
      </c>
      <c r="F313" s="26" t="str">
        <f aca="false">IF($A313="","",IF(COUNTIFS(정비이력!$B$3:$B$1002,$A313,정비이력!$D$3:$D$1002,정비항목!$A10)=0,"",SUMPRODUCT(MAX((정비이력!$B$3:$B$1002=$A313)*(정비이력!$D$3:$D$1002=정비항목!$A10)*정비이력!$A$3:$A$1002))))</f>
        <v/>
      </c>
      <c r="G313" s="27" t="str">
        <f aca="false">IF($A313="","",IF($F313="","",SUMPRODUCT(MAX((정비이력!$B$3:$B$1002=$A313)*(정비이력!$D$3:$D$1002=정비항목!$A10)*정비이력!$F$3:$F$1002))))</f>
        <v/>
      </c>
      <c r="H313" s="27" t="str">
        <f aca="false">IF($A313="","",IF(차량목록!$E28="",0,차량목록!$E28))</f>
        <v/>
      </c>
      <c r="I313" s="27" t="str">
        <f aca="false">IF(OR($A313="",$D313=0),"",IF($G313="",$H313+$D313,$G313+$D313))</f>
        <v/>
      </c>
      <c r="J313" s="24" t="str">
        <f aca="false">IF($I313="","",$I313-$H313)</f>
        <v/>
      </c>
      <c r="K313" s="26" t="str">
        <f aca="true">IF(OR($A313="",$E313=0),"",IF($F313="",EDATE(TODAY(),$E313),EDATE($F313,$E313)))</f>
        <v/>
      </c>
      <c r="L313" s="28" t="str">
        <f aca="true">IF($K313="","",$K313-TODAY())</f>
        <v/>
      </c>
      <c r="M313" s="28" t="str">
        <f aca="false">IF($A313="","",IF(AND($J313="",$L313=""),"-",IF(OR(AND($J313&lt;&gt;"",$J313&lt;=0),AND($L313&lt;&gt;"",$L313&lt;0)),"교체",IF(OR(AND($J313&lt;&gt;"",$J313&lt;=사용안내!$C$16),AND($L313&lt;&gt;"",$L313&lt;=사용안내!$C$17)),"임박","정상"))))</f>
        <v/>
      </c>
    </row>
    <row r="314" customFormat="false" ht="15" hidden="false" customHeight="true" outlineLevel="0" collapsed="false">
      <c r="A314" s="23" t="str">
        <f aca="false">IF(OR(차량목록!$A28="",정비항목!$A11="",차량목록!$G28="매각"),"",차량목록!$A28)</f>
        <v/>
      </c>
      <c r="B314" s="23" t="str">
        <f aca="false">IF($A314="","",차량목록!$B28)</f>
        <v/>
      </c>
      <c r="C314" s="23" t="str">
        <f aca="false">IF($A314="","",정비항목!$B11)</f>
        <v/>
      </c>
      <c r="D314" s="24" t="str">
        <f aca="false">IF($A314="","",IF(정비항목!$C11="",0,정비항목!$C11))</f>
        <v/>
      </c>
      <c r="E314" s="28" t="str">
        <f aca="false">IF($A314="","",IF(정비항목!$D11="",0,정비항목!$D11))</f>
        <v/>
      </c>
      <c r="F314" s="26" t="str">
        <f aca="false">IF($A314="","",IF(COUNTIFS(정비이력!$B$3:$B$1002,$A314,정비이력!$D$3:$D$1002,정비항목!$A11)=0,"",SUMPRODUCT(MAX((정비이력!$B$3:$B$1002=$A314)*(정비이력!$D$3:$D$1002=정비항목!$A11)*정비이력!$A$3:$A$1002))))</f>
        <v/>
      </c>
      <c r="G314" s="27" t="str">
        <f aca="false">IF($A314="","",IF($F314="","",SUMPRODUCT(MAX((정비이력!$B$3:$B$1002=$A314)*(정비이력!$D$3:$D$1002=정비항목!$A11)*정비이력!$F$3:$F$1002))))</f>
        <v/>
      </c>
      <c r="H314" s="27" t="str">
        <f aca="false">IF($A314="","",IF(차량목록!$E28="",0,차량목록!$E28))</f>
        <v/>
      </c>
      <c r="I314" s="27" t="str">
        <f aca="false">IF(OR($A314="",$D314=0),"",IF($G314="",$H314+$D314,$G314+$D314))</f>
        <v/>
      </c>
      <c r="J314" s="24" t="str">
        <f aca="false">IF($I314="","",$I314-$H314)</f>
        <v/>
      </c>
      <c r="K314" s="26" t="str">
        <f aca="true">IF(OR($A314="",$E314=0),"",IF($F314="",EDATE(TODAY(),$E314),EDATE($F314,$E314)))</f>
        <v/>
      </c>
      <c r="L314" s="28" t="str">
        <f aca="true">IF($K314="","",$K314-TODAY())</f>
        <v/>
      </c>
      <c r="M314" s="28" t="str">
        <f aca="false">IF($A314="","",IF(AND($J314="",$L314=""),"-",IF(OR(AND($J314&lt;&gt;"",$J314&lt;=0),AND($L314&lt;&gt;"",$L314&lt;0)),"교체",IF(OR(AND($J314&lt;&gt;"",$J314&lt;=사용안내!$C$16),AND($L314&lt;&gt;"",$L314&lt;=사용안내!$C$17)),"임박","정상"))))</f>
        <v/>
      </c>
    </row>
    <row r="315" customFormat="false" ht="15" hidden="false" customHeight="true" outlineLevel="0" collapsed="false">
      <c r="A315" s="23" t="str">
        <f aca="false">IF(OR(차량목록!$A28="",정비항목!$A12="",차량목록!$G28="매각"),"",차량목록!$A28)</f>
        <v/>
      </c>
      <c r="B315" s="23" t="str">
        <f aca="false">IF($A315="","",차량목록!$B28)</f>
        <v/>
      </c>
      <c r="C315" s="23" t="str">
        <f aca="false">IF($A315="","",정비항목!$B12)</f>
        <v/>
      </c>
      <c r="D315" s="24" t="str">
        <f aca="false">IF($A315="","",IF(정비항목!$C12="",0,정비항목!$C12))</f>
        <v/>
      </c>
      <c r="E315" s="28" t="str">
        <f aca="false">IF($A315="","",IF(정비항목!$D12="",0,정비항목!$D12))</f>
        <v/>
      </c>
      <c r="F315" s="26" t="str">
        <f aca="false">IF($A315="","",IF(COUNTIFS(정비이력!$B$3:$B$1002,$A315,정비이력!$D$3:$D$1002,정비항목!$A12)=0,"",SUMPRODUCT(MAX((정비이력!$B$3:$B$1002=$A315)*(정비이력!$D$3:$D$1002=정비항목!$A12)*정비이력!$A$3:$A$1002))))</f>
        <v/>
      </c>
      <c r="G315" s="27" t="str">
        <f aca="false">IF($A315="","",IF($F315="","",SUMPRODUCT(MAX((정비이력!$B$3:$B$1002=$A315)*(정비이력!$D$3:$D$1002=정비항목!$A12)*정비이력!$F$3:$F$1002))))</f>
        <v/>
      </c>
      <c r="H315" s="27" t="str">
        <f aca="false">IF($A315="","",IF(차량목록!$E28="",0,차량목록!$E28))</f>
        <v/>
      </c>
      <c r="I315" s="27" t="str">
        <f aca="false">IF(OR($A315="",$D315=0),"",IF($G315="",$H315+$D315,$G315+$D315))</f>
        <v/>
      </c>
      <c r="J315" s="24" t="str">
        <f aca="false">IF($I315="","",$I315-$H315)</f>
        <v/>
      </c>
      <c r="K315" s="26" t="str">
        <f aca="true">IF(OR($A315="",$E315=0),"",IF($F315="",EDATE(TODAY(),$E315),EDATE($F315,$E315)))</f>
        <v/>
      </c>
      <c r="L315" s="28" t="str">
        <f aca="true">IF($K315="","",$K315-TODAY())</f>
        <v/>
      </c>
      <c r="M315" s="28" t="str">
        <f aca="false">IF($A315="","",IF(AND($J315="",$L315=""),"-",IF(OR(AND($J315&lt;&gt;"",$J315&lt;=0),AND($L315&lt;&gt;"",$L315&lt;0)),"교체",IF(OR(AND($J315&lt;&gt;"",$J315&lt;=사용안내!$C$16),AND($L315&lt;&gt;"",$L315&lt;=사용안내!$C$17)),"임박","정상"))))</f>
        <v/>
      </c>
    </row>
    <row r="316" customFormat="false" ht="15" hidden="false" customHeight="true" outlineLevel="0" collapsed="false">
      <c r="A316" s="23" t="str">
        <f aca="false">IF(OR(차량목록!$A28="",정비항목!$A13="",차량목록!$G28="매각"),"",차량목록!$A28)</f>
        <v/>
      </c>
      <c r="B316" s="23" t="str">
        <f aca="false">IF($A316="","",차량목록!$B28)</f>
        <v/>
      </c>
      <c r="C316" s="23" t="str">
        <f aca="false">IF($A316="","",정비항목!$B13)</f>
        <v/>
      </c>
      <c r="D316" s="24" t="str">
        <f aca="false">IF($A316="","",IF(정비항목!$C13="",0,정비항목!$C13))</f>
        <v/>
      </c>
      <c r="E316" s="28" t="str">
        <f aca="false">IF($A316="","",IF(정비항목!$D13="",0,정비항목!$D13))</f>
        <v/>
      </c>
      <c r="F316" s="26" t="str">
        <f aca="false">IF($A316="","",IF(COUNTIFS(정비이력!$B$3:$B$1002,$A316,정비이력!$D$3:$D$1002,정비항목!$A13)=0,"",SUMPRODUCT(MAX((정비이력!$B$3:$B$1002=$A316)*(정비이력!$D$3:$D$1002=정비항목!$A13)*정비이력!$A$3:$A$1002))))</f>
        <v/>
      </c>
      <c r="G316" s="27" t="str">
        <f aca="false">IF($A316="","",IF($F316="","",SUMPRODUCT(MAX((정비이력!$B$3:$B$1002=$A316)*(정비이력!$D$3:$D$1002=정비항목!$A13)*정비이력!$F$3:$F$1002))))</f>
        <v/>
      </c>
      <c r="H316" s="27" t="str">
        <f aca="false">IF($A316="","",IF(차량목록!$E28="",0,차량목록!$E28))</f>
        <v/>
      </c>
      <c r="I316" s="27" t="str">
        <f aca="false">IF(OR($A316="",$D316=0),"",IF($G316="",$H316+$D316,$G316+$D316))</f>
        <v/>
      </c>
      <c r="J316" s="24" t="str">
        <f aca="false">IF($I316="","",$I316-$H316)</f>
        <v/>
      </c>
      <c r="K316" s="26" t="str">
        <f aca="true">IF(OR($A316="",$E316=0),"",IF($F316="",EDATE(TODAY(),$E316),EDATE($F316,$E316)))</f>
        <v/>
      </c>
      <c r="L316" s="28" t="str">
        <f aca="true">IF($K316="","",$K316-TODAY())</f>
        <v/>
      </c>
      <c r="M316" s="28" t="str">
        <f aca="false">IF($A316="","",IF(AND($J316="",$L316=""),"-",IF(OR(AND($J316&lt;&gt;"",$J316&lt;=0),AND($L316&lt;&gt;"",$L316&lt;0)),"교체",IF(OR(AND($J316&lt;&gt;"",$J316&lt;=사용안내!$C$16),AND($L316&lt;&gt;"",$L316&lt;=사용안내!$C$17)),"임박","정상"))))</f>
        <v/>
      </c>
    </row>
    <row r="317" customFormat="false" ht="15" hidden="false" customHeight="true" outlineLevel="0" collapsed="false">
      <c r="A317" s="23" t="str">
        <f aca="false">IF(OR(차량목록!$A28="",정비항목!$A14="",차량목록!$G28="매각"),"",차량목록!$A28)</f>
        <v/>
      </c>
      <c r="B317" s="23" t="str">
        <f aca="false">IF($A317="","",차량목록!$B28)</f>
        <v/>
      </c>
      <c r="C317" s="23" t="str">
        <f aca="false">IF($A317="","",정비항목!$B14)</f>
        <v/>
      </c>
      <c r="D317" s="24" t="str">
        <f aca="false">IF($A317="","",IF(정비항목!$C14="",0,정비항목!$C14))</f>
        <v/>
      </c>
      <c r="E317" s="28" t="str">
        <f aca="false">IF($A317="","",IF(정비항목!$D14="",0,정비항목!$D14))</f>
        <v/>
      </c>
      <c r="F317" s="26" t="str">
        <f aca="false">IF($A317="","",IF(COUNTIFS(정비이력!$B$3:$B$1002,$A317,정비이력!$D$3:$D$1002,정비항목!$A14)=0,"",SUMPRODUCT(MAX((정비이력!$B$3:$B$1002=$A317)*(정비이력!$D$3:$D$1002=정비항목!$A14)*정비이력!$A$3:$A$1002))))</f>
        <v/>
      </c>
      <c r="G317" s="27" t="str">
        <f aca="false">IF($A317="","",IF($F317="","",SUMPRODUCT(MAX((정비이력!$B$3:$B$1002=$A317)*(정비이력!$D$3:$D$1002=정비항목!$A14)*정비이력!$F$3:$F$1002))))</f>
        <v/>
      </c>
      <c r="H317" s="27" t="str">
        <f aca="false">IF($A317="","",IF(차량목록!$E28="",0,차량목록!$E28))</f>
        <v/>
      </c>
      <c r="I317" s="27" t="str">
        <f aca="false">IF(OR($A317="",$D317=0),"",IF($G317="",$H317+$D317,$G317+$D317))</f>
        <v/>
      </c>
      <c r="J317" s="24" t="str">
        <f aca="false">IF($I317="","",$I317-$H317)</f>
        <v/>
      </c>
      <c r="K317" s="26" t="str">
        <f aca="true">IF(OR($A317="",$E317=0),"",IF($F317="",EDATE(TODAY(),$E317),EDATE($F317,$E317)))</f>
        <v/>
      </c>
      <c r="L317" s="28" t="str">
        <f aca="true">IF($K317="","",$K317-TODAY())</f>
        <v/>
      </c>
      <c r="M317" s="28" t="str">
        <f aca="false">IF($A317="","",IF(AND($J317="",$L317=""),"-",IF(OR(AND($J317&lt;&gt;"",$J317&lt;=0),AND($L317&lt;&gt;"",$L317&lt;0)),"교체",IF(OR(AND($J317&lt;&gt;"",$J317&lt;=사용안내!$C$16),AND($L317&lt;&gt;"",$L317&lt;=사용안내!$C$17)),"임박","정상"))))</f>
        <v/>
      </c>
    </row>
    <row r="318" customFormat="false" ht="15" hidden="false" customHeight="true" outlineLevel="0" collapsed="false">
      <c r="A318" s="23" t="str">
        <f aca="false">IF(OR(차량목록!$A29="",정비항목!$A3="",차량목록!$G29="매각"),"",차량목록!$A29)</f>
        <v/>
      </c>
      <c r="B318" s="23" t="str">
        <f aca="false">IF($A318="","",차량목록!$B29)</f>
        <v/>
      </c>
      <c r="C318" s="23" t="str">
        <f aca="false">IF($A318="","",정비항목!$B3)</f>
        <v/>
      </c>
      <c r="D318" s="24" t="str">
        <f aca="false">IF($A318="","",IF(정비항목!$C3="",0,정비항목!$C3))</f>
        <v/>
      </c>
      <c r="E318" s="28" t="str">
        <f aca="false">IF($A318="","",IF(정비항목!$D3="",0,정비항목!$D3))</f>
        <v/>
      </c>
      <c r="F318" s="26" t="str">
        <f aca="false">IF($A318="","",IF(COUNTIFS(정비이력!$B$3:$B$1002,$A318,정비이력!$D$3:$D$1002,정비항목!$A3)=0,"",SUMPRODUCT(MAX((정비이력!$B$3:$B$1002=$A318)*(정비이력!$D$3:$D$1002=정비항목!$A3)*정비이력!$A$3:$A$1002))))</f>
        <v/>
      </c>
      <c r="G318" s="27" t="str">
        <f aca="false">IF($A318="","",IF($F318="","",SUMPRODUCT(MAX((정비이력!$B$3:$B$1002=$A318)*(정비이력!$D$3:$D$1002=정비항목!$A3)*정비이력!$F$3:$F$1002))))</f>
        <v/>
      </c>
      <c r="H318" s="27" t="str">
        <f aca="false">IF($A318="","",IF(차량목록!$E29="",0,차량목록!$E29))</f>
        <v/>
      </c>
      <c r="I318" s="27" t="str">
        <f aca="false">IF(OR($A318="",$D318=0),"",IF($G318="",$H318+$D318,$G318+$D318))</f>
        <v/>
      </c>
      <c r="J318" s="24" t="str">
        <f aca="false">IF($I318="","",$I318-$H318)</f>
        <v/>
      </c>
      <c r="K318" s="26" t="str">
        <f aca="true">IF(OR($A318="",$E318=0),"",IF($F318="",EDATE(TODAY(),$E318),EDATE($F318,$E318)))</f>
        <v/>
      </c>
      <c r="L318" s="28" t="str">
        <f aca="true">IF($K318="","",$K318-TODAY())</f>
        <v/>
      </c>
      <c r="M318" s="28" t="str">
        <f aca="false">IF($A318="","",IF(AND($J318="",$L318=""),"-",IF(OR(AND($J318&lt;&gt;"",$J318&lt;=0),AND($L318&lt;&gt;"",$L318&lt;0)),"교체",IF(OR(AND($J318&lt;&gt;"",$J318&lt;=사용안내!$C$16),AND($L318&lt;&gt;"",$L318&lt;=사용안내!$C$17)),"임박","정상"))))</f>
        <v/>
      </c>
    </row>
    <row r="319" customFormat="false" ht="15" hidden="false" customHeight="true" outlineLevel="0" collapsed="false">
      <c r="A319" s="23" t="str">
        <f aca="false">IF(OR(차량목록!$A29="",정비항목!$A4="",차량목록!$G29="매각"),"",차량목록!$A29)</f>
        <v/>
      </c>
      <c r="B319" s="23" t="str">
        <f aca="false">IF($A319="","",차량목록!$B29)</f>
        <v/>
      </c>
      <c r="C319" s="23" t="str">
        <f aca="false">IF($A319="","",정비항목!$B4)</f>
        <v/>
      </c>
      <c r="D319" s="24" t="str">
        <f aca="false">IF($A319="","",IF(정비항목!$C4="",0,정비항목!$C4))</f>
        <v/>
      </c>
      <c r="E319" s="28" t="str">
        <f aca="false">IF($A319="","",IF(정비항목!$D4="",0,정비항목!$D4))</f>
        <v/>
      </c>
      <c r="F319" s="26" t="str">
        <f aca="false">IF($A319="","",IF(COUNTIFS(정비이력!$B$3:$B$1002,$A319,정비이력!$D$3:$D$1002,정비항목!$A4)=0,"",SUMPRODUCT(MAX((정비이력!$B$3:$B$1002=$A319)*(정비이력!$D$3:$D$1002=정비항목!$A4)*정비이력!$A$3:$A$1002))))</f>
        <v/>
      </c>
      <c r="G319" s="27" t="str">
        <f aca="false">IF($A319="","",IF($F319="","",SUMPRODUCT(MAX((정비이력!$B$3:$B$1002=$A319)*(정비이력!$D$3:$D$1002=정비항목!$A4)*정비이력!$F$3:$F$1002))))</f>
        <v/>
      </c>
      <c r="H319" s="27" t="str">
        <f aca="false">IF($A319="","",IF(차량목록!$E29="",0,차량목록!$E29))</f>
        <v/>
      </c>
      <c r="I319" s="27" t="str">
        <f aca="false">IF(OR($A319="",$D319=0),"",IF($G319="",$H319+$D319,$G319+$D319))</f>
        <v/>
      </c>
      <c r="J319" s="24" t="str">
        <f aca="false">IF($I319="","",$I319-$H319)</f>
        <v/>
      </c>
      <c r="K319" s="26" t="str">
        <f aca="true">IF(OR($A319="",$E319=0),"",IF($F319="",EDATE(TODAY(),$E319),EDATE($F319,$E319)))</f>
        <v/>
      </c>
      <c r="L319" s="28" t="str">
        <f aca="true">IF($K319="","",$K319-TODAY())</f>
        <v/>
      </c>
      <c r="M319" s="28" t="str">
        <f aca="false">IF($A319="","",IF(AND($J319="",$L319=""),"-",IF(OR(AND($J319&lt;&gt;"",$J319&lt;=0),AND($L319&lt;&gt;"",$L319&lt;0)),"교체",IF(OR(AND($J319&lt;&gt;"",$J319&lt;=사용안내!$C$16),AND($L319&lt;&gt;"",$L319&lt;=사용안내!$C$17)),"임박","정상"))))</f>
        <v/>
      </c>
    </row>
    <row r="320" customFormat="false" ht="15" hidden="false" customHeight="true" outlineLevel="0" collapsed="false">
      <c r="A320" s="23" t="str">
        <f aca="false">IF(OR(차량목록!$A29="",정비항목!$A5="",차량목록!$G29="매각"),"",차량목록!$A29)</f>
        <v/>
      </c>
      <c r="B320" s="23" t="str">
        <f aca="false">IF($A320="","",차량목록!$B29)</f>
        <v/>
      </c>
      <c r="C320" s="23" t="str">
        <f aca="false">IF($A320="","",정비항목!$B5)</f>
        <v/>
      </c>
      <c r="D320" s="24" t="str">
        <f aca="false">IF($A320="","",IF(정비항목!$C5="",0,정비항목!$C5))</f>
        <v/>
      </c>
      <c r="E320" s="28" t="str">
        <f aca="false">IF($A320="","",IF(정비항목!$D5="",0,정비항목!$D5))</f>
        <v/>
      </c>
      <c r="F320" s="26" t="str">
        <f aca="false">IF($A320="","",IF(COUNTIFS(정비이력!$B$3:$B$1002,$A320,정비이력!$D$3:$D$1002,정비항목!$A5)=0,"",SUMPRODUCT(MAX((정비이력!$B$3:$B$1002=$A320)*(정비이력!$D$3:$D$1002=정비항목!$A5)*정비이력!$A$3:$A$1002))))</f>
        <v/>
      </c>
      <c r="G320" s="27" t="str">
        <f aca="false">IF($A320="","",IF($F320="","",SUMPRODUCT(MAX((정비이력!$B$3:$B$1002=$A320)*(정비이력!$D$3:$D$1002=정비항목!$A5)*정비이력!$F$3:$F$1002))))</f>
        <v/>
      </c>
      <c r="H320" s="27" t="str">
        <f aca="false">IF($A320="","",IF(차량목록!$E29="",0,차량목록!$E29))</f>
        <v/>
      </c>
      <c r="I320" s="27" t="str">
        <f aca="false">IF(OR($A320="",$D320=0),"",IF($G320="",$H320+$D320,$G320+$D320))</f>
        <v/>
      </c>
      <c r="J320" s="24" t="str">
        <f aca="false">IF($I320="","",$I320-$H320)</f>
        <v/>
      </c>
      <c r="K320" s="26" t="str">
        <f aca="true">IF(OR($A320="",$E320=0),"",IF($F320="",EDATE(TODAY(),$E320),EDATE($F320,$E320)))</f>
        <v/>
      </c>
      <c r="L320" s="28" t="str">
        <f aca="true">IF($K320="","",$K320-TODAY())</f>
        <v/>
      </c>
      <c r="M320" s="28" t="str">
        <f aca="false">IF($A320="","",IF(AND($J320="",$L320=""),"-",IF(OR(AND($J320&lt;&gt;"",$J320&lt;=0),AND($L320&lt;&gt;"",$L320&lt;0)),"교체",IF(OR(AND($J320&lt;&gt;"",$J320&lt;=사용안내!$C$16),AND($L320&lt;&gt;"",$L320&lt;=사용안내!$C$17)),"임박","정상"))))</f>
        <v/>
      </c>
    </row>
    <row r="321" customFormat="false" ht="15" hidden="false" customHeight="true" outlineLevel="0" collapsed="false">
      <c r="A321" s="23" t="str">
        <f aca="false">IF(OR(차량목록!$A29="",정비항목!$A6="",차량목록!$G29="매각"),"",차량목록!$A29)</f>
        <v/>
      </c>
      <c r="B321" s="23" t="str">
        <f aca="false">IF($A321="","",차량목록!$B29)</f>
        <v/>
      </c>
      <c r="C321" s="23" t="str">
        <f aca="false">IF($A321="","",정비항목!$B6)</f>
        <v/>
      </c>
      <c r="D321" s="24" t="str">
        <f aca="false">IF($A321="","",IF(정비항목!$C6="",0,정비항목!$C6))</f>
        <v/>
      </c>
      <c r="E321" s="28" t="str">
        <f aca="false">IF($A321="","",IF(정비항목!$D6="",0,정비항목!$D6))</f>
        <v/>
      </c>
      <c r="F321" s="26" t="str">
        <f aca="false">IF($A321="","",IF(COUNTIFS(정비이력!$B$3:$B$1002,$A321,정비이력!$D$3:$D$1002,정비항목!$A6)=0,"",SUMPRODUCT(MAX((정비이력!$B$3:$B$1002=$A321)*(정비이력!$D$3:$D$1002=정비항목!$A6)*정비이력!$A$3:$A$1002))))</f>
        <v/>
      </c>
      <c r="G321" s="27" t="str">
        <f aca="false">IF($A321="","",IF($F321="","",SUMPRODUCT(MAX((정비이력!$B$3:$B$1002=$A321)*(정비이력!$D$3:$D$1002=정비항목!$A6)*정비이력!$F$3:$F$1002))))</f>
        <v/>
      </c>
      <c r="H321" s="27" t="str">
        <f aca="false">IF($A321="","",IF(차량목록!$E29="",0,차량목록!$E29))</f>
        <v/>
      </c>
      <c r="I321" s="27" t="str">
        <f aca="false">IF(OR($A321="",$D321=0),"",IF($G321="",$H321+$D321,$G321+$D321))</f>
        <v/>
      </c>
      <c r="J321" s="24" t="str">
        <f aca="false">IF($I321="","",$I321-$H321)</f>
        <v/>
      </c>
      <c r="K321" s="26" t="str">
        <f aca="true">IF(OR($A321="",$E321=0),"",IF($F321="",EDATE(TODAY(),$E321),EDATE($F321,$E321)))</f>
        <v/>
      </c>
      <c r="L321" s="28" t="str">
        <f aca="true">IF($K321="","",$K321-TODAY())</f>
        <v/>
      </c>
      <c r="M321" s="28" t="str">
        <f aca="false">IF($A321="","",IF(AND($J321="",$L321=""),"-",IF(OR(AND($J321&lt;&gt;"",$J321&lt;=0),AND($L321&lt;&gt;"",$L321&lt;0)),"교체",IF(OR(AND($J321&lt;&gt;"",$J321&lt;=사용안내!$C$16),AND($L321&lt;&gt;"",$L321&lt;=사용안내!$C$17)),"임박","정상"))))</f>
        <v/>
      </c>
    </row>
    <row r="322" customFormat="false" ht="15" hidden="false" customHeight="true" outlineLevel="0" collapsed="false">
      <c r="A322" s="23" t="str">
        <f aca="false">IF(OR(차량목록!$A29="",정비항목!$A7="",차량목록!$G29="매각"),"",차량목록!$A29)</f>
        <v/>
      </c>
      <c r="B322" s="23" t="str">
        <f aca="false">IF($A322="","",차량목록!$B29)</f>
        <v/>
      </c>
      <c r="C322" s="23" t="str">
        <f aca="false">IF($A322="","",정비항목!$B7)</f>
        <v/>
      </c>
      <c r="D322" s="24" t="str">
        <f aca="false">IF($A322="","",IF(정비항목!$C7="",0,정비항목!$C7))</f>
        <v/>
      </c>
      <c r="E322" s="28" t="str">
        <f aca="false">IF($A322="","",IF(정비항목!$D7="",0,정비항목!$D7))</f>
        <v/>
      </c>
      <c r="F322" s="26" t="str">
        <f aca="false">IF($A322="","",IF(COUNTIFS(정비이력!$B$3:$B$1002,$A322,정비이력!$D$3:$D$1002,정비항목!$A7)=0,"",SUMPRODUCT(MAX((정비이력!$B$3:$B$1002=$A322)*(정비이력!$D$3:$D$1002=정비항목!$A7)*정비이력!$A$3:$A$1002))))</f>
        <v/>
      </c>
      <c r="G322" s="27" t="str">
        <f aca="false">IF($A322="","",IF($F322="","",SUMPRODUCT(MAX((정비이력!$B$3:$B$1002=$A322)*(정비이력!$D$3:$D$1002=정비항목!$A7)*정비이력!$F$3:$F$1002))))</f>
        <v/>
      </c>
      <c r="H322" s="27" t="str">
        <f aca="false">IF($A322="","",IF(차량목록!$E29="",0,차량목록!$E29))</f>
        <v/>
      </c>
      <c r="I322" s="27" t="str">
        <f aca="false">IF(OR($A322="",$D322=0),"",IF($G322="",$H322+$D322,$G322+$D322))</f>
        <v/>
      </c>
      <c r="J322" s="24" t="str">
        <f aca="false">IF($I322="","",$I322-$H322)</f>
        <v/>
      </c>
      <c r="K322" s="26" t="str">
        <f aca="true">IF(OR($A322="",$E322=0),"",IF($F322="",EDATE(TODAY(),$E322),EDATE($F322,$E322)))</f>
        <v/>
      </c>
      <c r="L322" s="28" t="str">
        <f aca="true">IF($K322="","",$K322-TODAY())</f>
        <v/>
      </c>
      <c r="M322" s="28" t="str">
        <f aca="false">IF($A322="","",IF(AND($J322="",$L322=""),"-",IF(OR(AND($J322&lt;&gt;"",$J322&lt;=0),AND($L322&lt;&gt;"",$L322&lt;0)),"교체",IF(OR(AND($J322&lt;&gt;"",$J322&lt;=사용안내!$C$16),AND($L322&lt;&gt;"",$L322&lt;=사용안내!$C$17)),"임박","정상"))))</f>
        <v/>
      </c>
    </row>
    <row r="323" customFormat="false" ht="15" hidden="false" customHeight="true" outlineLevel="0" collapsed="false">
      <c r="A323" s="23" t="str">
        <f aca="false">IF(OR(차량목록!$A29="",정비항목!$A8="",차량목록!$G29="매각"),"",차량목록!$A29)</f>
        <v/>
      </c>
      <c r="B323" s="23" t="str">
        <f aca="false">IF($A323="","",차량목록!$B29)</f>
        <v/>
      </c>
      <c r="C323" s="23" t="str">
        <f aca="false">IF($A323="","",정비항목!$B8)</f>
        <v/>
      </c>
      <c r="D323" s="24" t="str">
        <f aca="false">IF($A323="","",IF(정비항목!$C8="",0,정비항목!$C8))</f>
        <v/>
      </c>
      <c r="E323" s="28" t="str">
        <f aca="false">IF($A323="","",IF(정비항목!$D8="",0,정비항목!$D8))</f>
        <v/>
      </c>
      <c r="F323" s="26" t="str">
        <f aca="false">IF($A323="","",IF(COUNTIFS(정비이력!$B$3:$B$1002,$A323,정비이력!$D$3:$D$1002,정비항목!$A8)=0,"",SUMPRODUCT(MAX((정비이력!$B$3:$B$1002=$A323)*(정비이력!$D$3:$D$1002=정비항목!$A8)*정비이력!$A$3:$A$1002))))</f>
        <v/>
      </c>
      <c r="G323" s="27" t="str">
        <f aca="false">IF($A323="","",IF($F323="","",SUMPRODUCT(MAX((정비이력!$B$3:$B$1002=$A323)*(정비이력!$D$3:$D$1002=정비항목!$A8)*정비이력!$F$3:$F$1002))))</f>
        <v/>
      </c>
      <c r="H323" s="27" t="str">
        <f aca="false">IF($A323="","",IF(차량목록!$E29="",0,차량목록!$E29))</f>
        <v/>
      </c>
      <c r="I323" s="27" t="str">
        <f aca="false">IF(OR($A323="",$D323=0),"",IF($G323="",$H323+$D323,$G323+$D323))</f>
        <v/>
      </c>
      <c r="J323" s="24" t="str">
        <f aca="false">IF($I323="","",$I323-$H323)</f>
        <v/>
      </c>
      <c r="K323" s="26" t="str">
        <f aca="true">IF(OR($A323="",$E323=0),"",IF($F323="",EDATE(TODAY(),$E323),EDATE($F323,$E323)))</f>
        <v/>
      </c>
      <c r="L323" s="28" t="str">
        <f aca="true">IF($K323="","",$K323-TODAY())</f>
        <v/>
      </c>
      <c r="M323" s="28" t="str">
        <f aca="false">IF($A323="","",IF(AND($J323="",$L323=""),"-",IF(OR(AND($J323&lt;&gt;"",$J323&lt;=0),AND($L323&lt;&gt;"",$L323&lt;0)),"교체",IF(OR(AND($J323&lt;&gt;"",$J323&lt;=사용안내!$C$16),AND($L323&lt;&gt;"",$L323&lt;=사용안내!$C$17)),"임박","정상"))))</f>
        <v/>
      </c>
    </row>
    <row r="324" customFormat="false" ht="15" hidden="false" customHeight="true" outlineLevel="0" collapsed="false">
      <c r="A324" s="23" t="str">
        <f aca="false">IF(OR(차량목록!$A29="",정비항목!$A9="",차량목록!$G29="매각"),"",차량목록!$A29)</f>
        <v/>
      </c>
      <c r="B324" s="23" t="str">
        <f aca="false">IF($A324="","",차량목록!$B29)</f>
        <v/>
      </c>
      <c r="C324" s="23" t="str">
        <f aca="false">IF($A324="","",정비항목!$B9)</f>
        <v/>
      </c>
      <c r="D324" s="24" t="str">
        <f aca="false">IF($A324="","",IF(정비항목!$C9="",0,정비항목!$C9))</f>
        <v/>
      </c>
      <c r="E324" s="28" t="str">
        <f aca="false">IF($A324="","",IF(정비항목!$D9="",0,정비항목!$D9))</f>
        <v/>
      </c>
      <c r="F324" s="26" t="str">
        <f aca="false">IF($A324="","",IF(COUNTIFS(정비이력!$B$3:$B$1002,$A324,정비이력!$D$3:$D$1002,정비항목!$A9)=0,"",SUMPRODUCT(MAX((정비이력!$B$3:$B$1002=$A324)*(정비이력!$D$3:$D$1002=정비항목!$A9)*정비이력!$A$3:$A$1002))))</f>
        <v/>
      </c>
      <c r="G324" s="27" t="str">
        <f aca="false">IF($A324="","",IF($F324="","",SUMPRODUCT(MAX((정비이력!$B$3:$B$1002=$A324)*(정비이력!$D$3:$D$1002=정비항목!$A9)*정비이력!$F$3:$F$1002))))</f>
        <v/>
      </c>
      <c r="H324" s="27" t="str">
        <f aca="false">IF($A324="","",IF(차량목록!$E29="",0,차량목록!$E29))</f>
        <v/>
      </c>
      <c r="I324" s="27" t="str">
        <f aca="false">IF(OR($A324="",$D324=0),"",IF($G324="",$H324+$D324,$G324+$D324))</f>
        <v/>
      </c>
      <c r="J324" s="24" t="str">
        <f aca="false">IF($I324="","",$I324-$H324)</f>
        <v/>
      </c>
      <c r="K324" s="26" t="str">
        <f aca="true">IF(OR($A324="",$E324=0),"",IF($F324="",EDATE(TODAY(),$E324),EDATE($F324,$E324)))</f>
        <v/>
      </c>
      <c r="L324" s="28" t="str">
        <f aca="true">IF($K324="","",$K324-TODAY())</f>
        <v/>
      </c>
      <c r="M324" s="28" t="str">
        <f aca="false">IF($A324="","",IF(AND($J324="",$L324=""),"-",IF(OR(AND($J324&lt;&gt;"",$J324&lt;=0),AND($L324&lt;&gt;"",$L324&lt;0)),"교체",IF(OR(AND($J324&lt;&gt;"",$J324&lt;=사용안내!$C$16),AND($L324&lt;&gt;"",$L324&lt;=사용안내!$C$17)),"임박","정상"))))</f>
        <v/>
      </c>
    </row>
    <row r="325" customFormat="false" ht="15" hidden="false" customHeight="true" outlineLevel="0" collapsed="false">
      <c r="A325" s="23" t="str">
        <f aca="false">IF(OR(차량목록!$A29="",정비항목!$A10="",차량목록!$G29="매각"),"",차량목록!$A29)</f>
        <v/>
      </c>
      <c r="B325" s="23" t="str">
        <f aca="false">IF($A325="","",차량목록!$B29)</f>
        <v/>
      </c>
      <c r="C325" s="23" t="str">
        <f aca="false">IF($A325="","",정비항목!$B10)</f>
        <v/>
      </c>
      <c r="D325" s="24" t="str">
        <f aca="false">IF($A325="","",IF(정비항목!$C10="",0,정비항목!$C10))</f>
        <v/>
      </c>
      <c r="E325" s="28" t="str">
        <f aca="false">IF($A325="","",IF(정비항목!$D10="",0,정비항목!$D10))</f>
        <v/>
      </c>
      <c r="F325" s="26" t="str">
        <f aca="false">IF($A325="","",IF(COUNTIFS(정비이력!$B$3:$B$1002,$A325,정비이력!$D$3:$D$1002,정비항목!$A10)=0,"",SUMPRODUCT(MAX((정비이력!$B$3:$B$1002=$A325)*(정비이력!$D$3:$D$1002=정비항목!$A10)*정비이력!$A$3:$A$1002))))</f>
        <v/>
      </c>
      <c r="G325" s="27" t="str">
        <f aca="false">IF($A325="","",IF($F325="","",SUMPRODUCT(MAX((정비이력!$B$3:$B$1002=$A325)*(정비이력!$D$3:$D$1002=정비항목!$A10)*정비이력!$F$3:$F$1002))))</f>
        <v/>
      </c>
      <c r="H325" s="27" t="str">
        <f aca="false">IF($A325="","",IF(차량목록!$E29="",0,차량목록!$E29))</f>
        <v/>
      </c>
      <c r="I325" s="27" t="str">
        <f aca="false">IF(OR($A325="",$D325=0),"",IF($G325="",$H325+$D325,$G325+$D325))</f>
        <v/>
      </c>
      <c r="J325" s="24" t="str">
        <f aca="false">IF($I325="","",$I325-$H325)</f>
        <v/>
      </c>
      <c r="K325" s="26" t="str">
        <f aca="true">IF(OR($A325="",$E325=0),"",IF($F325="",EDATE(TODAY(),$E325),EDATE($F325,$E325)))</f>
        <v/>
      </c>
      <c r="L325" s="28" t="str">
        <f aca="true">IF($K325="","",$K325-TODAY())</f>
        <v/>
      </c>
      <c r="M325" s="28" t="str">
        <f aca="false">IF($A325="","",IF(AND($J325="",$L325=""),"-",IF(OR(AND($J325&lt;&gt;"",$J325&lt;=0),AND($L325&lt;&gt;"",$L325&lt;0)),"교체",IF(OR(AND($J325&lt;&gt;"",$J325&lt;=사용안내!$C$16),AND($L325&lt;&gt;"",$L325&lt;=사용안내!$C$17)),"임박","정상"))))</f>
        <v/>
      </c>
    </row>
    <row r="326" customFormat="false" ht="15" hidden="false" customHeight="true" outlineLevel="0" collapsed="false">
      <c r="A326" s="23" t="str">
        <f aca="false">IF(OR(차량목록!$A29="",정비항목!$A11="",차량목록!$G29="매각"),"",차량목록!$A29)</f>
        <v/>
      </c>
      <c r="B326" s="23" t="str">
        <f aca="false">IF($A326="","",차량목록!$B29)</f>
        <v/>
      </c>
      <c r="C326" s="23" t="str">
        <f aca="false">IF($A326="","",정비항목!$B11)</f>
        <v/>
      </c>
      <c r="D326" s="24" t="str">
        <f aca="false">IF($A326="","",IF(정비항목!$C11="",0,정비항목!$C11))</f>
        <v/>
      </c>
      <c r="E326" s="28" t="str">
        <f aca="false">IF($A326="","",IF(정비항목!$D11="",0,정비항목!$D11))</f>
        <v/>
      </c>
      <c r="F326" s="26" t="str">
        <f aca="false">IF($A326="","",IF(COUNTIFS(정비이력!$B$3:$B$1002,$A326,정비이력!$D$3:$D$1002,정비항목!$A11)=0,"",SUMPRODUCT(MAX((정비이력!$B$3:$B$1002=$A326)*(정비이력!$D$3:$D$1002=정비항목!$A11)*정비이력!$A$3:$A$1002))))</f>
        <v/>
      </c>
      <c r="G326" s="27" t="str">
        <f aca="false">IF($A326="","",IF($F326="","",SUMPRODUCT(MAX((정비이력!$B$3:$B$1002=$A326)*(정비이력!$D$3:$D$1002=정비항목!$A11)*정비이력!$F$3:$F$1002))))</f>
        <v/>
      </c>
      <c r="H326" s="27" t="str">
        <f aca="false">IF($A326="","",IF(차량목록!$E29="",0,차량목록!$E29))</f>
        <v/>
      </c>
      <c r="I326" s="27" t="str">
        <f aca="false">IF(OR($A326="",$D326=0),"",IF($G326="",$H326+$D326,$G326+$D326))</f>
        <v/>
      </c>
      <c r="J326" s="24" t="str">
        <f aca="false">IF($I326="","",$I326-$H326)</f>
        <v/>
      </c>
      <c r="K326" s="26" t="str">
        <f aca="true">IF(OR($A326="",$E326=0),"",IF($F326="",EDATE(TODAY(),$E326),EDATE($F326,$E326)))</f>
        <v/>
      </c>
      <c r="L326" s="28" t="str">
        <f aca="true">IF($K326="","",$K326-TODAY())</f>
        <v/>
      </c>
      <c r="M326" s="28" t="str">
        <f aca="false">IF($A326="","",IF(AND($J326="",$L326=""),"-",IF(OR(AND($J326&lt;&gt;"",$J326&lt;=0),AND($L326&lt;&gt;"",$L326&lt;0)),"교체",IF(OR(AND($J326&lt;&gt;"",$J326&lt;=사용안내!$C$16),AND($L326&lt;&gt;"",$L326&lt;=사용안내!$C$17)),"임박","정상"))))</f>
        <v/>
      </c>
    </row>
    <row r="327" customFormat="false" ht="15" hidden="false" customHeight="true" outlineLevel="0" collapsed="false">
      <c r="A327" s="23" t="str">
        <f aca="false">IF(OR(차량목록!$A29="",정비항목!$A12="",차량목록!$G29="매각"),"",차량목록!$A29)</f>
        <v/>
      </c>
      <c r="B327" s="23" t="str">
        <f aca="false">IF($A327="","",차량목록!$B29)</f>
        <v/>
      </c>
      <c r="C327" s="23" t="str">
        <f aca="false">IF($A327="","",정비항목!$B12)</f>
        <v/>
      </c>
      <c r="D327" s="24" t="str">
        <f aca="false">IF($A327="","",IF(정비항목!$C12="",0,정비항목!$C12))</f>
        <v/>
      </c>
      <c r="E327" s="28" t="str">
        <f aca="false">IF($A327="","",IF(정비항목!$D12="",0,정비항목!$D12))</f>
        <v/>
      </c>
      <c r="F327" s="26" t="str">
        <f aca="false">IF($A327="","",IF(COUNTIFS(정비이력!$B$3:$B$1002,$A327,정비이력!$D$3:$D$1002,정비항목!$A12)=0,"",SUMPRODUCT(MAX((정비이력!$B$3:$B$1002=$A327)*(정비이력!$D$3:$D$1002=정비항목!$A12)*정비이력!$A$3:$A$1002))))</f>
        <v/>
      </c>
      <c r="G327" s="27" t="str">
        <f aca="false">IF($A327="","",IF($F327="","",SUMPRODUCT(MAX((정비이력!$B$3:$B$1002=$A327)*(정비이력!$D$3:$D$1002=정비항목!$A12)*정비이력!$F$3:$F$1002))))</f>
        <v/>
      </c>
      <c r="H327" s="27" t="str">
        <f aca="false">IF($A327="","",IF(차량목록!$E29="",0,차량목록!$E29))</f>
        <v/>
      </c>
      <c r="I327" s="27" t="str">
        <f aca="false">IF(OR($A327="",$D327=0),"",IF($G327="",$H327+$D327,$G327+$D327))</f>
        <v/>
      </c>
      <c r="J327" s="24" t="str">
        <f aca="false">IF($I327="","",$I327-$H327)</f>
        <v/>
      </c>
      <c r="K327" s="26" t="str">
        <f aca="true">IF(OR($A327="",$E327=0),"",IF($F327="",EDATE(TODAY(),$E327),EDATE($F327,$E327)))</f>
        <v/>
      </c>
      <c r="L327" s="28" t="str">
        <f aca="true">IF($K327="","",$K327-TODAY())</f>
        <v/>
      </c>
      <c r="M327" s="28" t="str">
        <f aca="false">IF($A327="","",IF(AND($J327="",$L327=""),"-",IF(OR(AND($J327&lt;&gt;"",$J327&lt;=0),AND($L327&lt;&gt;"",$L327&lt;0)),"교체",IF(OR(AND($J327&lt;&gt;"",$J327&lt;=사용안내!$C$16),AND($L327&lt;&gt;"",$L327&lt;=사용안내!$C$17)),"임박","정상"))))</f>
        <v/>
      </c>
    </row>
    <row r="328" customFormat="false" ht="15" hidden="false" customHeight="true" outlineLevel="0" collapsed="false">
      <c r="A328" s="23" t="str">
        <f aca="false">IF(OR(차량목록!$A29="",정비항목!$A13="",차량목록!$G29="매각"),"",차량목록!$A29)</f>
        <v/>
      </c>
      <c r="B328" s="23" t="str">
        <f aca="false">IF($A328="","",차량목록!$B29)</f>
        <v/>
      </c>
      <c r="C328" s="23" t="str">
        <f aca="false">IF($A328="","",정비항목!$B13)</f>
        <v/>
      </c>
      <c r="D328" s="24" t="str">
        <f aca="false">IF($A328="","",IF(정비항목!$C13="",0,정비항목!$C13))</f>
        <v/>
      </c>
      <c r="E328" s="28" t="str">
        <f aca="false">IF($A328="","",IF(정비항목!$D13="",0,정비항목!$D13))</f>
        <v/>
      </c>
      <c r="F328" s="26" t="str">
        <f aca="false">IF($A328="","",IF(COUNTIFS(정비이력!$B$3:$B$1002,$A328,정비이력!$D$3:$D$1002,정비항목!$A13)=0,"",SUMPRODUCT(MAX((정비이력!$B$3:$B$1002=$A328)*(정비이력!$D$3:$D$1002=정비항목!$A13)*정비이력!$A$3:$A$1002))))</f>
        <v/>
      </c>
      <c r="G328" s="27" t="str">
        <f aca="false">IF($A328="","",IF($F328="","",SUMPRODUCT(MAX((정비이력!$B$3:$B$1002=$A328)*(정비이력!$D$3:$D$1002=정비항목!$A13)*정비이력!$F$3:$F$1002))))</f>
        <v/>
      </c>
      <c r="H328" s="27" t="str">
        <f aca="false">IF($A328="","",IF(차량목록!$E29="",0,차량목록!$E29))</f>
        <v/>
      </c>
      <c r="I328" s="27" t="str">
        <f aca="false">IF(OR($A328="",$D328=0),"",IF($G328="",$H328+$D328,$G328+$D328))</f>
        <v/>
      </c>
      <c r="J328" s="24" t="str">
        <f aca="false">IF($I328="","",$I328-$H328)</f>
        <v/>
      </c>
      <c r="K328" s="26" t="str">
        <f aca="true">IF(OR($A328="",$E328=0),"",IF($F328="",EDATE(TODAY(),$E328),EDATE($F328,$E328)))</f>
        <v/>
      </c>
      <c r="L328" s="28" t="str">
        <f aca="true">IF($K328="","",$K328-TODAY())</f>
        <v/>
      </c>
      <c r="M328" s="28" t="str">
        <f aca="false">IF($A328="","",IF(AND($J328="",$L328=""),"-",IF(OR(AND($J328&lt;&gt;"",$J328&lt;=0),AND($L328&lt;&gt;"",$L328&lt;0)),"교체",IF(OR(AND($J328&lt;&gt;"",$J328&lt;=사용안내!$C$16),AND($L328&lt;&gt;"",$L328&lt;=사용안내!$C$17)),"임박","정상"))))</f>
        <v/>
      </c>
    </row>
    <row r="329" customFormat="false" ht="15" hidden="false" customHeight="true" outlineLevel="0" collapsed="false">
      <c r="A329" s="23" t="str">
        <f aca="false">IF(OR(차량목록!$A29="",정비항목!$A14="",차량목록!$G29="매각"),"",차량목록!$A29)</f>
        <v/>
      </c>
      <c r="B329" s="23" t="str">
        <f aca="false">IF($A329="","",차량목록!$B29)</f>
        <v/>
      </c>
      <c r="C329" s="23" t="str">
        <f aca="false">IF($A329="","",정비항목!$B14)</f>
        <v/>
      </c>
      <c r="D329" s="24" t="str">
        <f aca="false">IF($A329="","",IF(정비항목!$C14="",0,정비항목!$C14))</f>
        <v/>
      </c>
      <c r="E329" s="28" t="str">
        <f aca="false">IF($A329="","",IF(정비항목!$D14="",0,정비항목!$D14))</f>
        <v/>
      </c>
      <c r="F329" s="26" t="str">
        <f aca="false">IF($A329="","",IF(COUNTIFS(정비이력!$B$3:$B$1002,$A329,정비이력!$D$3:$D$1002,정비항목!$A14)=0,"",SUMPRODUCT(MAX((정비이력!$B$3:$B$1002=$A329)*(정비이력!$D$3:$D$1002=정비항목!$A14)*정비이력!$A$3:$A$1002))))</f>
        <v/>
      </c>
      <c r="G329" s="27" t="str">
        <f aca="false">IF($A329="","",IF($F329="","",SUMPRODUCT(MAX((정비이력!$B$3:$B$1002=$A329)*(정비이력!$D$3:$D$1002=정비항목!$A14)*정비이력!$F$3:$F$1002))))</f>
        <v/>
      </c>
      <c r="H329" s="27" t="str">
        <f aca="false">IF($A329="","",IF(차량목록!$E29="",0,차량목록!$E29))</f>
        <v/>
      </c>
      <c r="I329" s="27" t="str">
        <f aca="false">IF(OR($A329="",$D329=0),"",IF($G329="",$H329+$D329,$G329+$D329))</f>
        <v/>
      </c>
      <c r="J329" s="24" t="str">
        <f aca="false">IF($I329="","",$I329-$H329)</f>
        <v/>
      </c>
      <c r="K329" s="26" t="str">
        <f aca="true">IF(OR($A329="",$E329=0),"",IF($F329="",EDATE(TODAY(),$E329),EDATE($F329,$E329)))</f>
        <v/>
      </c>
      <c r="L329" s="28" t="str">
        <f aca="true">IF($K329="","",$K329-TODAY())</f>
        <v/>
      </c>
      <c r="M329" s="28" t="str">
        <f aca="false">IF($A329="","",IF(AND($J329="",$L329=""),"-",IF(OR(AND($J329&lt;&gt;"",$J329&lt;=0),AND($L329&lt;&gt;"",$L329&lt;0)),"교체",IF(OR(AND($J329&lt;&gt;"",$J329&lt;=사용안내!$C$16),AND($L329&lt;&gt;"",$L329&lt;=사용안내!$C$17)),"임박","정상"))))</f>
        <v/>
      </c>
    </row>
    <row r="330" customFormat="false" ht="15" hidden="false" customHeight="true" outlineLevel="0" collapsed="false">
      <c r="A330" s="23" t="str">
        <f aca="false">IF(OR(차량목록!$A30="",정비항목!$A3="",차량목록!$G30="매각"),"",차량목록!$A30)</f>
        <v/>
      </c>
      <c r="B330" s="23" t="str">
        <f aca="false">IF($A330="","",차량목록!$B30)</f>
        <v/>
      </c>
      <c r="C330" s="23" t="str">
        <f aca="false">IF($A330="","",정비항목!$B3)</f>
        <v/>
      </c>
      <c r="D330" s="24" t="str">
        <f aca="false">IF($A330="","",IF(정비항목!$C3="",0,정비항목!$C3))</f>
        <v/>
      </c>
      <c r="E330" s="28" t="str">
        <f aca="false">IF($A330="","",IF(정비항목!$D3="",0,정비항목!$D3))</f>
        <v/>
      </c>
      <c r="F330" s="26" t="str">
        <f aca="false">IF($A330="","",IF(COUNTIFS(정비이력!$B$3:$B$1002,$A330,정비이력!$D$3:$D$1002,정비항목!$A3)=0,"",SUMPRODUCT(MAX((정비이력!$B$3:$B$1002=$A330)*(정비이력!$D$3:$D$1002=정비항목!$A3)*정비이력!$A$3:$A$1002))))</f>
        <v/>
      </c>
      <c r="G330" s="27" t="str">
        <f aca="false">IF($A330="","",IF($F330="","",SUMPRODUCT(MAX((정비이력!$B$3:$B$1002=$A330)*(정비이력!$D$3:$D$1002=정비항목!$A3)*정비이력!$F$3:$F$1002))))</f>
        <v/>
      </c>
      <c r="H330" s="27" t="str">
        <f aca="false">IF($A330="","",IF(차량목록!$E30="",0,차량목록!$E30))</f>
        <v/>
      </c>
      <c r="I330" s="27" t="str">
        <f aca="false">IF(OR($A330="",$D330=0),"",IF($G330="",$H330+$D330,$G330+$D330))</f>
        <v/>
      </c>
      <c r="J330" s="24" t="str">
        <f aca="false">IF($I330="","",$I330-$H330)</f>
        <v/>
      </c>
      <c r="K330" s="26" t="str">
        <f aca="true">IF(OR($A330="",$E330=0),"",IF($F330="",EDATE(TODAY(),$E330),EDATE($F330,$E330)))</f>
        <v/>
      </c>
      <c r="L330" s="28" t="str">
        <f aca="true">IF($K330="","",$K330-TODAY())</f>
        <v/>
      </c>
      <c r="M330" s="28" t="str">
        <f aca="false">IF($A330="","",IF(AND($J330="",$L330=""),"-",IF(OR(AND($J330&lt;&gt;"",$J330&lt;=0),AND($L330&lt;&gt;"",$L330&lt;0)),"교체",IF(OR(AND($J330&lt;&gt;"",$J330&lt;=사용안내!$C$16),AND($L330&lt;&gt;"",$L330&lt;=사용안내!$C$17)),"임박","정상"))))</f>
        <v/>
      </c>
    </row>
    <row r="331" customFormat="false" ht="15" hidden="false" customHeight="true" outlineLevel="0" collapsed="false">
      <c r="A331" s="23" t="str">
        <f aca="false">IF(OR(차량목록!$A30="",정비항목!$A4="",차량목록!$G30="매각"),"",차량목록!$A30)</f>
        <v/>
      </c>
      <c r="B331" s="23" t="str">
        <f aca="false">IF($A331="","",차량목록!$B30)</f>
        <v/>
      </c>
      <c r="C331" s="23" t="str">
        <f aca="false">IF($A331="","",정비항목!$B4)</f>
        <v/>
      </c>
      <c r="D331" s="24" t="str">
        <f aca="false">IF($A331="","",IF(정비항목!$C4="",0,정비항목!$C4))</f>
        <v/>
      </c>
      <c r="E331" s="28" t="str">
        <f aca="false">IF($A331="","",IF(정비항목!$D4="",0,정비항목!$D4))</f>
        <v/>
      </c>
      <c r="F331" s="26" t="str">
        <f aca="false">IF($A331="","",IF(COUNTIFS(정비이력!$B$3:$B$1002,$A331,정비이력!$D$3:$D$1002,정비항목!$A4)=0,"",SUMPRODUCT(MAX((정비이력!$B$3:$B$1002=$A331)*(정비이력!$D$3:$D$1002=정비항목!$A4)*정비이력!$A$3:$A$1002))))</f>
        <v/>
      </c>
      <c r="G331" s="27" t="str">
        <f aca="false">IF($A331="","",IF($F331="","",SUMPRODUCT(MAX((정비이력!$B$3:$B$1002=$A331)*(정비이력!$D$3:$D$1002=정비항목!$A4)*정비이력!$F$3:$F$1002))))</f>
        <v/>
      </c>
      <c r="H331" s="27" t="str">
        <f aca="false">IF($A331="","",IF(차량목록!$E30="",0,차량목록!$E30))</f>
        <v/>
      </c>
      <c r="I331" s="27" t="str">
        <f aca="false">IF(OR($A331="",$D331=0),"",IF($G331="",$H331+$D331,$G331+$D331))</f>
        <v/>
      </c>
      <c r="J331" s="24" t="str">
        <f aca="false">IF($I331="","",$I331-$H331)</f>
        <v/>
      </c>
      <c r="K331" s="26" t="str">
        <f aca="true">IF(OR($A331="",$E331=0),"",IF($F331="",EDATE(TODAY(),$E331),EDATE($F331,$E331)))</f>
        <v/>
      </c>
      <c r="L331" s="28" t="str">
        <f aca="true">IF($K331="","",$K331-TODAY())</f>
        <v/>
      </c>
      <c r="M331" s="28" t="str">
        <f aca="false">IF($A331="","",IF(AND($J331="",$L331=""),"-",IF(OR(AND($J331&lt;&gt;"",$J331&lt;=0),AND($L331&lt;&gt;"",$L331&lt;0)),"교체",IF(OR(AND($J331&lt;&gt;"",$J331&lt;=사용안내!$C$16),AND($L331&lt;&gt;"",$L331&lt;=사용안내!$C$17)),"임박","정상"))))</f>
        <v/>
      </c>
    </row>
    <row r="332" customFormat="false" ht="15" hidden="false" customHeight="true" outlineLevel="0" collapsed="false">
      <c r="A332" s="23" t="str">
        <f aca="false">IF(OR(차량목록!$A30="",정비항목!$A5="",차량목록!$G30="매각"),"",차량목록!$A30)</f>
        <v/>
      </c>
      <c r="B332" s="23" t="str">
        <f aca="false">IF($A332="","",차량목록!$B30)</f>
        <v/>
      </c>
      <c r="C332" s="23" t="str">
        <f aca="false">IF($A332="","",정비항목!$B5)</f>
        <v/>
      </c>
      <c r="D332" s="24" t="str">
        <f aca="false">IF($A332="","",IF(정비항목!$C5="",0,정비항목!$C5))</f>
        <v/>
      </c>
      <c r="E332" s="28" t="str">
        <f aca="false">IF($A332="","",IF(정비항목!$D5="",0,정비항목!$D5))</f>
        <v/>
      </c>
      <c r="F332" s="26" t="str">
        <f aca="false">IF($A332="","",IF(COUNTIFS(정비이력!$B$3:$B$1002,$A332,정비이력!$D$3:$D$1002,정비항목!$A5)=0,"",SUMPRODUCT(MAX((정비이력!$B$3:$B$1002=$A332)*(정비이력!$D$3:$D$1002=정비항목!$A5)*정비이력!$A$3:$A$1002))))</f>
        <v/>
      </c>
      <c r="G332" s="27" t="str">
        <f aca="false">IF($A332="","",IF($F332="","",SUMPRODUCT(MAX((정비이력!$B$3:$B$1002=$A332)*(정비이력!$D$3:$D$1002=정비항목!$A5)*정비이력!$F$3:$F$1002))))</f>
        <v/>
      </c>
      <c r="H332" s="27" t="str">
        <f aca="false">IF($A332="","",IF(차량목록!$E30="",0,차량목록!$E30))</f>
        <v/>
      </c>
      <c r="I332" s="27" t="str">
        <f aca="false">IF(OR($A332="",$D332=0),"",IF($G332="",$H332+$D332,$G332+$D332))</f>
        <v/>
      </c>
      <c r="J332" s="24" t="str">
        <f aca="false">IF($I332="","",$I332-$H332)</f>
        <v/>
      </c>
      <c r="K332" s="26" t="str">
        <f aca="true">IF(OR($A332="",$E332=0),"",IF($F332="",EDATE(TODAY(),$E332),EDATE($F332,$E332)))</f>
        <v/>
      </c>
      <c r="L332" s="28" t="str">
        <f aca="true">IF($K332="","",$K332-TODAY())</f>
        <v/>
      </c>
      <c r="M332" s="28" t="str">
        <f aca="false">IF($A332="","",IF(AND($J332="",$L332=""),"-",IF(OR(AND($J332&lt;&gt;"",$J332&lt;=0),AND($L332&lt;&gt;"",$L332&lt;0)),"교체",IF(OR(AND($J332&lt;&gt;"",$J332&lt;=사용안내!$C$16),AND($L332&lt;&gt;"",$L332&lt;=사용안내!$C$17)),"임박","정상"))))</f>
        <v/>
      </c>
    </row>
    <row r="333" customFormat="false" ht="15" hidden="false" customHeight="true" outlineLevel="0" collapsed="false">
      <c r="A333" s="23" t="str">
        <f aca="false">IF(OR(차량목록!$A30="",정비항목!$A6="",차량목록!$G30="매각"),"",차량목록!$A30)</f>
        <v/>
      </c>
      <c r="B333" s="23" t="str">
        <f aca="false">IF($A333="","",차량목록!$B30)</f>
        <v/>
      </c>
      <c r="C333" s="23" t="str">
        <f aca="false">IF($A333="","",정비항목!$B6)</f>
        <v/>
      </c>
      <c r="D333" s="24" t="str">
        <f aca="false">IF($A333="","",IF(정비항목!$C6="",0,정비항목!$C6))</f>
        <v/>
      </c>
      <c r="E333" s="28" t="str">
        <f aca="false">IF($A333="","",IF(정비항목!$D6="",0,정비항목!$D6))</f>
        <v/>
      </c>
      <c r="F333" s="26" t="str">
        <f aca="false">IF($A333="","",IF(COUNTIFS(정비이력!$B$3:$B$1002,$A333,정비이력!$D$3:$D$1002,정비항목!$A6)=0,"",SUMPRODUCT(MAX((정비이력!$B$3:$B$1002=$A333)*(정비이력!$D$3:$D$1002=정비항목!$A6)*정비이력!$A$3:$A$1002))))</f>
        <v/>
      </c>
      <c r="G333" s="27" t="str">
        <f aca="false">IF($A333="","",IF($F333="","",SUMPRODUCT(MAX((정비이력!$B$3:$B$1002=$A333)*(정비이력!$D$3:$D$1002=정비항목!$A6)*정비이력!$F$3:$F$1002))))</f>
        <v/>
      </c>
      <c r="H333" s="27" t="str">
        <f aca="false">IF($A333="","",IF(차량목록!$E30="",0,차량목록!$E30))</f>
        <v/>
      </c>
      <c r="I333" s="27" t="str">
        <f aca="false">IF(OR($A333="",$D333=0),"",IF($G333="",$H333+$D333,$G333+$D333))</f>
        <v/>
      </c>
      <c r="J333" s="24" t="str">
        <f aca="false">IF($I333="","",$I333-$H333)</f>
        <v/>
      </c>
      <c r="K333" s="26" t="str">
        <f aca="true">IF(OR($A333="",$E333=0),"",IF($F333="",EDATE(TODAY(),$E333),EDATE($F333,$E333)))</f>
        <v/>
      </c>
      <c r="L333" s="28" t="str">
        <f aca="true">IF($K333="","",$K333-TODAY())</f>
        <v/>
      </c>
      <c r="M333" s="28" t="str">
        <f aca="false">IF($A333="","",IF(AND($J333="",$L333=""),"-",IF(OR(AND($J333&lt;&gt;"",$J333&lt;=0),AND($L333&lt;&gt;"",$L333&lt;0)),"교체",IF(OR(AND($J333&lt;&gt;"",$J333&lt;=사용안내!$C$16),AND($L333&lt;&gt;"",$L333&lt;=사용안내!$C$17)),"임박","정상"))))</f>
        <v/>
      </c>
    </row>
    <row r="334" customFormat="false" ht="15" hidden="false" customHeight="true" outlineLevel="0" collapsed="false">
      <c r="A334" s="23" t="str">
        <f aca="false">IF(OR(차량목록!$A30="",정비항목!$A7="",차량목록!$G30="매각"),"",차량목록!$A30)</f>
        <v/>
      </c>
      <c r="B334" s="23" t="str">
        <f aca="false">IF($A334="","",차량목록!$B30)</f>
        <v/>
      </c>
      <c r="C334" s="23" t="str">
        <f aca="false">IF($A334="","",정비항목!$B7)</f>
        <v/>
      </c>
      <c r="D334" s="24" t="str">
        <f aca="false">IF($A334="","",IF(정비항목!$C7="",0,정비항목!$C7))</f>
        <v/>
      </c>
      <c r="E334" s="28" t="str">
        <f aca="false">IF($A334="","",IF(정비항목!$D7="",0,정비항목!$D7))</f>
        <v/>
      </c>
      <c r="F334" s="26" t="str">
        <f aca="false">IF($A334="","",IF(COUNTIFS(정비이력!$B$3:$B$1002,$A334,정비이력!$D$3:$D$1002,정비항목!$A7)=0,"",SUMPRODUCT(MAX((정비이력!$B$3:$B$1002=$A334)*(정비이력!$D$3:$D$1002=정비항목!$A7)*정비이력!$A$3:$A$1002))))</f>
        <v/>
      </c>
      <c r="G334" s="27" t="str">
        <f aca="false">IF($A334="","",IF($F334="","",SUMPRODUCT(MAX((정비이력!$B$3:$B$1002=$A334)*(정비이력!$D$3:$D$1002=정비항목!$A7)*정비이력!$F$3:$F$1002))))</f>
        <v/>
      </c>
      <c r="H334" s="27" t="str">
        <f aca="false">IF($A334="","",IF(차량목록!$E30="",0,차량목록!$E30))</f>
        <v/>
      </c>
      <c r="I334" s="27" t="str">
        <f aca="false">IF(OR($A334="",$D334=0),"",IF($G334="",$H334+$D334,$G334+$D334))</f>
        <v/>
      </c>
      <c r="J334" s="24" t="str">
        <f aca="false">IF($I334="","",$I334-$H334)</f>
        <v/>
      </c>
      <c r="K334" s="26" t="str">
        <f aca="true">IF(OR($A334="",$E334=0),"",IF($F334="",EDATE(TODAY(),$E334),EDATE($F334,$E334)))</f>
        <v/>
      </c>
      <c r="L334" s="28" t="str">
        <f aca="true">IF($K334="","",$K334-TODAY())</f>
        <v/>
      </c>
      <c r="M334" s="28" t="str">
        <f aca="false">IF($A334="","",IF(AND($J334="",$L334=""),"-",IF(OR(AND($J334&lt;&gt;"",$J334&lt;=0),AND($L334&lt;&gt;"",$L334&lt;0)),"교체",IF(OR(AND($J334&lt;&gt;"",$J334&lt;=사용안내!$C$16),AND($L334&lt;&gt;"",$L334&lt;=사용안내!$C$17)),"임박","정상"))))</f>
        <v/>
      </c>
    </row>
    <row r="335" customFormat="false" ht="15" hidden="false" customHeight="true" outlineLevel="0" collapsed="false">
      <c r="A335" s="23" t="str">
        <f aca="false">IF(OR(차량목록!$A30="",정비항목!$A8="",차량목록!$G30="매각"),"",차량목록!$A30)</f>
        <v/>
      </c>
      <c r="B335" s="23" t="str">
        <f aca="false">IF($A335="","",차량목록!$B30)</f>
        <v/>
      </c>
      <c r="C335" s="23" t="str">
        <f aca="false">IF($A335="","",정비항목!$B8)</f>
        <v/>
      </c>
      <c r="D335" s="24" t="str">
        <f aca="false">IF($A335="","",IF(정비항목!$C8="",0,정비항목!$C8))</f>
        <v/>
      </c>
      <c r="E335" s="28" t="str">
        <f aca="false">IF($A335="","",IF(정비항목!$D8="",0,정비항목!$D8))</f>
        <v/>
      </c>
      <c r="F335" s="26" t="str">
        <f aca="false">IF($A335="","",IF(COUNTIFS(정비이력!$B$3:$B$1002,$A335,정비이력!$D$3:$D$1002,정비항목!$A8)=0,"",SUMPRODUCT(MAX((정비이력!$B$3:$B$1002=$A335)*(정비이력!$D$3:$D$1002=정비항목!$A8)*정비이력!$A$3:$A$1002))))</f>
        <v/>
      </c>
      <c r="G335" s="27" t="str">
        <f aca="false">IF($A335="","",IF($F335="","",SUMPRODUCT(MAX((정비이력!$B$3:$B$1002=$A335)*(정비이력!$D$3:$D$1002=정비항목!$A8)*정비이력!$F$3:$F$1002))))</f>
        <v/>
      </c>
      <c r="H335" s="27" t="str">
        <f aca="false">IF($A335="","",IF(차량목록!$E30="",0,차량목록!$E30))</f>
        <v/>
      </c>
      <c r="I335" s="27" t="str">
        <f aca="false">IF(OR($A335="",$D335=0),"",IF($G335="",$H335+$D335,$G335+$D335))</f>
        <v/>
      </c>
      <c r="J335" s="24" t="str">
        <f aca="false">IF($I335="","",$I335-$H335)</f>
        <v/>
      </c>
      <c r="K335" s="26" t="str">
        <f aca="true">IF(OR($A335="",$E335=0),"",IF($F335="",EDATE(TODAY(),$E335),EDATE($F335,$E335)))</f>
        <v/>
      </c>
      <c r="L335" s="28" t="str">
        <f aca="true">IF($K335="","",$K335-TODAY())</f>
        <v/>
      </c>
      <c r="M335" s="28" t="str">
        <f aca="false">IF($A335="","",IF(AND($J335="",$L335=""),"-",IF(OR(AND($J335&lt;&gt;"",$J335&lt;=0),AND($L335&lt;&gt;"",$L335&lt;0)),"교체",IF(OR(AND($J335&lt;&gt;"",$J335&lt;=사용안내!$C$16),AND($L335&lt;&gt;"",$L335&lt;=사용안내!$C$17)),"임박","정상"))))</f>
        <v/>
      </c>
    </row>
    <row r="336" customFormat="false" ht="15" hidden="false" customHeight="true" outlineLevel="0" collapsed="false">
      <c r="A336" s="23" t="str">
        <f aca="false">IF(OR(차량목록!$A30="",정비항목!$A9="",차량목록!$G30="매각"),"",차량목록!$A30)</f>
        <v/>
      </c>
      <c r="B336" s="23" t="str">
        <f aca="false">IF($A336="","",차량목록!$B30)</f>
        <v/>
      </c>
      <c r="C336" s="23" t="str">
        <f aca="false">IF($A336="","",정비항목!$B9)</f>
        <v/>
      </c>
      <c r="D336" s="24" t="str">
        <f aca="false">IF($A336="","",IF(정비항목!$C9="",0,정비항목!$C9))</f>
        <v/>
      </c>
      <c r="E336" s="28" t="str">
        <f aca="false">IF($A336="","",IF(정비항목!$D9="",0,정비항목!$D9))</f>
        <v/>
      </c>
      <c r="F336" s="26" t="str">
        <f aca="false">IF($A336="","",IF(COUNTIFS(정비이력!$B$3:$B$1002,$A336,정비이력!$D$3:$D$1002,정비항목!$A9)=0,"",SUMPRODUCT(MAX((정비이력!$B$3:$B$1002=$A336)*(정비이력!$D$3:$D$1002=정비항목!$A9)*정비이력!$A$3:$A$1002))))</f>
        <v/>
      </c>
      <c r="G336" s="27" t="str">
        <f aca="false">IF($A336="","",IF($F336="","",SUMPRODUCT(MAX((정비이력!$B$3:$B$1002=$A336)*(정비이력!$D$3:$D$1002=정비항목!$A9)*정비이력!$F$3:$F$1002))))</f>
        <v/>
      </c>
      <c r="H336" s="27" t="str">
        <f aca="false">IF($A336="","",IF(차량목록!$E30="",0,차량목록!$E30))</f>
        <v/>
      </c>
      <c r="I336" s="27" t="str">
        <f aca="false">IF(OR($A336="",$D336=0),"",IF($G336="",$H336+$D336,$G336+$D336))</f>
        <v/>
      </c>
      <c r="J336" s="24" t="str">
        <f aca="false">IF($I336="","",$I336-$H336)</f>
        <v/>
      </c>
      <c r="K336" s="26" t="str">
        <f aca="true">IF(OR($A336="",$E336=0),"",IF($F336="",EDATE(TODAY(),$E336),EDATE($F336,$E336)))</f>
        <v/>
      </c>
      <c r="L336" s="28" t="str">
        <f aca="true">IF($K336="","",$K336-TODAY())</f>
        <v/>
      </c>
      <c r="M336" s="28" t="str">
        <f aca="false">IF($A336="","",IF(AND($J336="",$L336=""),"-",IF(OR(AND($J336&lt;&gt;"",$J336&lt;=0),AND($L336&lt;&gt;"",$L336&lt;0)),"교체",IF(OR(AND($J336&lt;&gt;"",$J336&lt;=사용안내!$C$16),AND($L336&lt;&gt;"",$L336&lt;=사용안내!$C$17)),"임박","정상"))))</f>
        <v/>
      </c>
    </row>
    <row r="337" customFormat="false" ht="15" hidden="false" customHeight="true" outlineLevel="0" collapsed="false">
      <c r="A337" s="23" t="str">
        <f aca="false">IF(OR(차량목록!$A30="",정비항목!$A10="",차량목록!$G30="매각"),"",차량목록!$A30)</f>
        <v/>
      </c>
      <c r="B337" s="23" t="str">
        <f aca="false">IF($A337="","",차량목록!$B30)</f>
        <v/>
      </c>
      <c r="C337" s="23" t="str">
        <f aca="false">IF($A337="","",정비항목!$B10)</f>
        <v/>
      </c>
      <c r="D337" s="24" t="str">
        <f aca="false">IF($A337="","",IF(정비항목!$C10="",0,정비항목!$C10))</f>
        <v/>
      </c>
      <c r="E337" s="28" t="str">
        <f aca="false">IF($A337="","",IF(정비항목!$D10="",0,정비항목!$D10))</f>
        <v/>
      </c>
      <c r="F337" s="26" t="str">
        <f aca="false">IF($A337="","",IF(COUNTIFS(정비이력!$B$3:$B$1002,$A337,정비이력!$D$3:$D$1002,정비항목!$A10)=0,"",SUMPRODUCT(MAX((정비이력!$B$3:$B$1002=$A337)*(정비이력!$D$3:$D$1002=정비항목!$A10)*정비이력!$A$3:$A$1002))))</f>
        <v/>
      </c>
      <c r="G337" s="27" t="str">
        <f aca="false">IF($A337="","",IF($F337="","",SUMPRODUCT(MAX((정비이력!$B$3:$B$1002=$A337)*(정비이력!$D$3:$D$1002=정비항목!$A10)*정비이력!$F$3:$F$1002))))</f>
        <v/>
      </c>
      <c r="H337" s="27" t="str">
        <f aca="false">IF($A337="","",IF(차량목록!$E30="",0,차량목록!$E30))</f>
        <v/>
      </c>
      <c r="I337" s="27" t="str">
        <f aca="false">IF(OR($A337="",$D337=0),"",IF($G337="",$H337+$D337,$G337+$D337))</f>
        <v/>
      </c>
      <c r="J337" s="24" t="str">
        <f aca="false">IF($I337="","",$I337-$H337)</f>
        <v/>
      </c>
      <c r="K337" s="26" t="str">
        <f aca="true">IF(OR($A337="",$E337=0),"",IF($F337="",EDATE(TODAY(),$E337),EDATE($F337,$E337)))</f>
        <v/>
      </c>
      <c r="L337" s="28" t="str">
        <f aca="true">IF($K337="","",$K337-TODAY())</f>
        <v/>
      </c>
      <c r="M337" s="28" t="str">
        <f aca="false">IF($A337="","",IF(AND($J337="",$L337=""),"-",IF(OR(AND($J337&lt;&gt;"",$J337&lt;=0),AND($L337&lt;&gt;"",$L337&lt;0)),"교체",IF(OR(AND($J337&lt;&gt;"",$J337&lt;=사용안내!$C$16),AND($L337&lt;&gt;"",$L337&lt;=사용안내!$C$17)),"임박","정상"))))</f>
        <v/>
      </c>
    </row>
    <row r="338" customFormat="false" ht="15" hidden="false" customHeight="true" outlineLevel="0" collapsed="false">
      <c r="A338" s="23" t="str">
        <f aca="false">IF(OR(차량목록!$A30="",정비항목!$A11="",차량목록!$G30="매각"),"",차량목록!$A30)</f>
        <v/>
      </c>
      <c r="B338" s="23" t="str">
        <f aca="false">IF($A338="","",차량목록!$B30)</f>
        <v/>
      </c>
      <c r="C338" s="23" t="str">
        <f aca="false">IF($A338="","",정비항목!$B11)</f>
        <v/>
      </c>
      <c r="D338" s="24" t="str">
        <f aca="false">IF($A338="","",IF(정비항목!$C11="",0,정비항목!$C11))</f>
        <v/>
      </c>
      <c r="E338" s="28" t="str">
        <f aca="false">IF($A338="","",IF(정비항목!$D11="",0,정비항목!$D11))</f>
        <v/>
      </c>
      <c r="F338" s="26" t="str">
        <f aca="false">IF($A338="","",IF(COUNTIFS(정비이력!$B$3:$B$1002,$A338,정비이력!$D$3:$D$1002,정비항목!$A11)=0,"",SUMPRODUCT(MAX((정비이력!$B$3:$B$1002=$A338)*(정비이력!$D$3:$D$1002=정비항목!$A11)*정비이력!$A$3:$A$1002))))</f>
        <v/>
      </c>
      <c r="G338" s="27" t="str">
        <f aca="false">IF($A338="","",IF($F338="","",SUMPRODUCT(MAX((정비이력!$B$3:$B$1002=$A338)*(정비이력!$D$3:$D$1002=정비항목!$A11)*정비이력!$F$3:$F$1002))))</f>
        <v/>
      </c>
      <c r="H338" s="27" t="str">
        <f aca="false">IF($A338="","",IF(차량목록!$E30="",0,차량목록!$E30))</f>
        <v/>
      </c>
      <c r="I338" s="27" t="str">
        <f aca="false">IF(OR($A338="",$D338=0),"",IF($G338="",$H338+$D338,$G338+$D338))</f>
        <v/>
      </c>
      <c r="J338" s="24" t="str">
        <f aca="false">IF($I338="","",$I338-$H338)</f>
        <v/>
      </c>
      <c r="K338" s="26" t="str">
        <f aca="true">IF(OR($A338="",$E338=0),"",IF($F338="",EDATE(TODAY(),$E338),EDATE($F338,$E338)))</f>
        <v/>
      </c>
      <c r="L338" s="28" t="str">
        <f aca="true">IF($K338="","",$K338-TODAY())</f>
        <v/>
      </c>
      <c r="M338" s="28" t="str">
        <f aca="false">IF($A338="","",IF(AND($J338="",$L338=""),"-",IF(OR(AND($J338&lt;&gt;"",$J338&lt;=0),AND($L338&lt;&gt;"",$L338&lt;0)),"교체",IF(OR(AND($J338&lt;&gt;"",$J338&lt;=사용안내!$C$16),AND($L338&lt;&gt;"",$L338&lt;=사용안내!$C$17)),"임박","정상"))))</f>
        <v/>
      </c>
    </row>
    <row r="339" customFormat="false" ht="15" hidden="false" customHeight="true" outlineLevel="0" collapsed="false">
      <c r="A339" s="23" t="str">
        <f aca="false">IF(OR(차량목록!$A30="",정비항목!$A12="",차량목록!$G30="매각"),"",차량목록!$A30)</f>
        <v/>
      </c>
      <c r="B339" s="23" t="str">
        <f aca="false">IF($A339="","",차량목록!$B30)</f>
        <v/>
      </c>
      <c r="C339" s="23" t="str">
        <f aca="false">IF($A339="","",정비항목!$B12)</f>
        <v/>
      </c>
      <c r="D339" s="24" t="str">
        <f aca="false">IF($A339="","",IF(정비항목!$C12="",0,정비항목!$C12))</f>
        <v/>
      </c>
      <c r="E339" s="28" t="str">
        <f aca="false">IF($A339="","",IF(정비항목!$D12="",0,정비항목!$D12))</f>
        <v/>
      </c>
      <c r="F339" s="26" t="str">
        <f aca="false">IF($A339="","",IF(COUNTIFS(정비이력!$B$3:$B$1002,$A339,정비이력!$D$3:$D$1002,정비항목!$A12)=0,"",SUMPRODUCT(MAX((정비이력!$B$3:$B$1002=$A339)*(정비이력!$D$3:$D$1002=정비항목!$A12)*정비이력!$A$3:$A$1002))))</f>
        <v/>
      </c>
      <c r="G339" s="27" t="str">
        <f aca="false">IF($A339="","",IF($F339="","",SUMPRODUCT(MAX((정비이력!$B$3:$B$1002=$A339)*(정비이력!$D$3:$D$1002=정비항목!$A12)*정비이력!$F$3:$F$1002))))</f>
        <v/>
      </c>
      <c r="H339" s="27" t="str">
        <f aca="false">IF($A339="","",IF(차량목록!$E30="",0,차량목록!$E30))</f>
        <v/>
      </c>
      <c r="I339" s="27" t="str">
        <f aca="false">IF(OR($A339="",$D339=0),"",IF($G339="",$H339+$D339,$G339+$D339))</f>
        <v/>
      </c>
      <c r="J339" s="24" t="str">
        <f aca="false">IF($I339="","",$I339-$H339)</f>
        <v/>
      </c>
      <c r="K339" s="26" t="str">
        <f aca="true">IF(OR($A339="",$E339=0),"",IF($F339="",EDATE(TODAY(),$E339),EDATE($F339,$E339)))</f>
        <v/>
      </c>
      <c r="L339" s="28" t="str">
        <f aca="true">IF($K339="","",$K339-TODAY())</f>
        <v/>
      </c>
      <c r="M339" s="28" t="str">
        <f aca="false">IF($A339="","",IF(AND($J339="",$L339=""),"-",IF(OR(AND($J339&lt;&gt;"",$J339&lt;=0),AND($L339&lt;&gt;"",$L339&lt;0)),"교체",IF(OR(AND($J339&lt;&gt;"",$J339&lt;=사용안내!$C$16),AND($L339&lt;&gt;"",$L339&lt;=사용안내!$C$17)),"임박","정상"))))</f>
        <v/>
      </c>
    </row>
    <row r="340" customFormat="false" ht="15" hidden="false" customHeight="true" outlineLevel="0" collapsed="false">
      <c r="A340" s="23" t="str">
        <f aca="false">IF(OR(차량목록!$A30="",정비항목!$A13="",차량목록!$G30="매각"),"",차량목록!$A30)</f>
        <v/>
      </c>
      <c r="B340" s="23" t="str">
        <f aca="false">IF($A340="","",차량목록!$B30)</f>
        <v/>
      </c>
      <c r="C340" s="23" t="str">
        <f aca="false">IF($A340="","",정비항목!$B13)</f>
        <v/>
      </c>
      <c r="D340" s="24" t="str">
        <f aca="false">IF($A340="","",IF(정비항목!$C13="",0,정비항목!$C13))</f>
        <v/>
      </c>
      <c r="E340" s="28" t="str">
        <f aca="false">IF($A340="","",IF(정비항목!$D13="",0,정비항목!$D13))</f>
        <v/>
      </c>
      <c r="F340" s="26" t="str">
        <f aca="false">IF($A340="","",IF(COUNTIFS(정비이력!$B$3:$B$1002,$A340,정비이력!$D$3:$D$1002,정비항목!$A13)=0,"",SUMPRODUCT(MAX((정비이력!$B$3:$B$1002=$A340)*(정비이력!$D$3:$D$1002=정비항목!$A13)*정비이력!$A$3:$A$1002))))</f>
        <v/>
      </c>
      <c r="G340" s="27" t="str">
        <f aca="false">IF($A340="","",IF($F340="","",SUMPRODUCT(MAX((정비이력!$B$3:$B$1002=$A340)*(정비이력!$D$3:$D$1002=정비항목!$A13)*정비이력!$F$3:$F$1002))))</f>
        <v/>
      </c>
      <c r="H340" s="27" t="str">
        <f aca="false">IF($A340="","",IF(차량목록!$E30="",0,차량목록!$E30))</f>
        <v/>
      </c>
      <c r="I340" s="27" t="str">
        <f aca="false">IF(OR($A340="",$D340=0),"",IF($G340="",$H340+$D340,$G340+$D340))</f>
        <v/>
      </c>
      <c r="J340" s="24" t="str">
        <f aca="false">IF($I340="","",$I340-$H340)</f>
        <v/>
      </c>
      <c r="K340" s="26" t="str">
        <f aca="true">IF(OR($A340="",$E340=0),"",IF($F340="",EDATE(TODAY(),$E340),EDATE($F340,$E340)))</f>
        <v/>
      </c>
      <c r="L340" s="28" t="str">
        <f aca="true">IF($K340="","",$K340-TODAY())</f>
        <v/>
      </c>
      <c r="M340" s="28" t="str">
        <f aca="false">IF($A340="","",IF(AND($J340="",$L340=""),"-",IF(OR(AND($J340&lt;&gt;"",$J340&lt;=0),AND($L340&lt;&gt;"",$L340&lt;0)),"교체",IF(OR(AND($J340&lt;&gt;"",$J340&lt;=사용안내!$C$16),AND($L340&lt;&gt;"",$L340&lt;=사용안내!$C$17)),"임박","정상"))))</f>
        <v/>
      </c>
    </row>
    <row r="341" customFormat="false" ht="15" hidden="false" customHeight="true" outlineLevel="0" collapsed="false">
      <c r="A341" s="23" t="str">
        <f aca="false">IF(OR(차량목록!$A30="",정비항목!$A14="",차량목록!$G30="매각"),"",차량목록!$A30)</f>
        <v/>
      </c>
      <c r="B341" s="23" t="str">
        <f aca="false">IF($A341="","",차량목록!$B30)</f>
        <v/>
      </c>
      <c r="C341" s="23" t="str">
        <f aca="false">IF($A341="","",정비항목!$B14)</f>
        <v/>
      </c>
      <c r="D341" s="24" t="str">
        <f aca="false">IF($A341="","",IF(정비항목!$C14="",0,정비항목!$C14))</f>
        <v/>
      </c>
      <c r="E341" s="28" t="str">
        <f aca="false">IF($A341="","",IF(정비항목!$D14="",0,정비항목!$D14))</f>
        <v/>
      </c>
      <c r="F341" s="26" t="str">
        <f aca="false">IF($A341="","",IF(COUNTIFS(정비이력!$B$3:$B$1002,$A341,정비이력!$D$3:$D$1002,정비항목!$A14)=0,"",SUMPRODUCT(MAX((정비이력!$B$3:$B$1002=$A341)*(정비이력!$D$3:$D$1002=정비항목!$A14)*정비이력!$A$3:$A$1002))))</f>
        <v/>
      </c>
      <c r="G341" s="27" t="str">
        <f aca="false">IF($A341="","",IF($F341="","",SUMPRODUCT(MAX((정비이력!$B$3:$B$1002=$A341)*(정비이력!$D$3:$D$1002=정비항목!$A14)*정비이력!$F$3:$F$1002))))</f>
        <v/>
      </c>
      <c r="H341" s="27" t="str">
        <f aca="false">IF($A341="","",IF(차량목록!$E30="",0,차량목록!$E30))</f>
        <v/>
      </c>
      <c r="I341" s="27" t="str">
        <f aca="false">IF(OR($A341="",$D341=0),"",IF($G341="",$H341+$D341,$G341+$D341))</f>
        <v/>
      </c>
      <c r="J341" s="24" t="str">
        <f aca="false">IF($I341="","",$I341-$H341)</f>
        <v/>
      </c>
      <c r="K341" s="26" t="str">
        <f aca="true">IF(OR($A341="",$E341=0),"",IF($F341="",EDATE(TODAY(),$E341),EDATE($F341,$E341)))</f>
        <v/>
      </c>
      <c r="L341" s="28" t="str">
        <f aca="true">IF($K341="","",$K341-TODAY())</f>
        <v/>
      </c>
      <c r="M341" s="28" t="str">
        <f aca="false">IF($A341="","",IF(AND($J341="",$L341=""),"-",IF(OR(AND($J341&lt;&gt;"",$J341&lt;=0),AND($L341&lt;&gt;"",$L341&lt;0)),"교체",IF(OR(AND($J341&lt;&gt;"",$J341&lt;=사용안내!$C$16),AND($L341&lt;&gt;"",$L341&lt;=사용안내!$C$17)),"임박","정상"))))</f>
        <v/>
      </c>
    </row>
    <row r="342" customFormat="false" ht="15" hidden="false" customHeight="true" outlineLevel="0" collapsed="false">
      <c r="A342" s="23" t="str">
        <f aca="false">IF(OR(차량목록!$A31="",정비항목!$A3="",차량목록!$G31="매각"),"",차량목록!$A31)</f>
        <v/>
      </c>
      <c r="B342" s="23" t="str">
        <f aca="false">IF($A342="","",차량목록!$B31)</f>
        <v/>
      </c>
      <c r="C342" s="23" t="str">
        <f aca="false">IF($A342="","",정비항목!$B3)</f>
        <v/>
      </c>
      <c r="D342" s="24" t="str">
        <f aca="false">IF($A342="","",IF(정비항목!$C3="",0,정비항목!$C3))</f>
        <v/>
      </c>
      <c r="E342" s="28" t="str">
        <f aca="false">IF($A342="","",IF(정비항목!$D3="",0,정비항목!$D3))</f>
        <v/>
      </c>
      <c r="F342" s="26" t="str">
        <f aca="false">IF($A342="","",IF(COUNTIFS(정비이력!$B$3:$B$1002,$A342,정비이력!$D$3:$D$1002,정비항목!$A3)=0,"",SUMPRODUCT(MAX((정비이력!$B$3:$B$1002=$A342)*(정비이력!$D$3:$D$1002=정비항목!$A3)*정비이력!$A$3:$A$1002))))</f>
        <v/>
      </c>
      <c r="G342" s="27" t="str">
        <f aca="false">IF($A342="","",IF($F342="","",SUMPRODUCT(MAX((정비이력!$B$3:$B$1002=$A342)*(정비이력!$D$3:$D$1002=정비항목!$A3)*정비이력!$F$3:$F$1002))))</f>
        <v/>
      </c>
      <c r="H342" s="27" t="str">
        <f aca="false">IF($A342="","",IF(차량목록!$E31="",0,차량목록!$E31))</f>
        <v/>
      </c>
      <c r="I342" s="27" t="str">
        <f aca="false">IF(OR($A342="",$D342=0),"",IF($G342="",$H342+$D342,$G342+$D342))</f>
        <v/>
      </c>
      <c r="J342" s="24" t="str">
        <f aca="false">IF($I342="","",$I342-$H342)</f>
        <v/>
      </c>
      <c r="K342" s="26" t="str">
        <f aca="true">IF(OR($A342="",$E342=0),"",IF($F342="",EDATE(TODAY(),$E342),EDATE($F342,$E342)))</f>
        <v/>
      </c>
      <c r="L342" s="28" t="str">
        <f aca="true">IF($K342="","",$K342-TODAY())</f>
        <v/>
      </c>
      <c r="M342" s="28" t="str">
        <f aca="false">IF($A342="","",IF(AND($J342="",$L342=""),"-",IF(OR(AND($J342&lt;&gt;"",$J342&lt;=0),AND($L342&lt;&gt;"",$L342&lt;0)),"교체",IF(OR(AND($J342&lt;&gt;"",$J342&lt;=사용안내!$C$16),AND($L342&lt;&gt;"",$L342&lt;=사용안내!$C$17)),"임박","정상"))))</f>
        <v/>
      </c>
    </row>
    <row r="343" customFormat="false" ht="15" hidden="false" customHeight="true" outlineLevel="0" collapsed="false">
      <c r="A343" s="23" t="str">
        <f aca="false">IF(OR(차량목록!$A31="",정비항목!$A4="",차량목록!$G31="매각"),"",차량목록!$A31)</f>
        <v/>
      </c>
      <c r="B343" s="23" t="str">
        <f aca="false">IF($A343="","",차량목록!$B31)</f>
        <v/>
      </c>
      <c r="C343" s="23" t="str">
        <f aca="false">IF($A343="","",정비항목!$B4)</f>
        <v/>
      </c>
      <c r="D343" s="24" t="str">
        <f aca="false">IF($A343="","",IF(정비항목!$C4="",0,정비항목!$C4))</f>
        <v/>
      </c>
      <c r="E343" s="28" t="str">
        <f aca="false">IF($A343="","",IF(정비항목!$D4="",0,정비항목!$D4))</f>
        <v/>
      </c>
      <c r="F343" s="26" t="str">
        <f aca="false">IF($A343="","",IF(COUNTIFS(정비이력!$B$3:$B$1002,$A343,정비이력!$D$3:$D$1002,정비항목!$A4)=0,"",SUMPRODUCT(MAX((정비이력!$B$3:$B$1002=$A343)*(정비이력!$D$3:$D$1002=정비항목!$A4)*정비이력!$A$3:$A$1002))))</f>
        <v/>
      </c>
      <c r="G343" s="27" t="str">
        <f aca="false">IF($A343="","",IF($F343="","",SUMPRODUCT(MAX((정비이력!$B$3:$B$1002=$A343)*(정비이력!$D$3:$D$1002=정비항목!$A4)*정비이력!$F$3:$F$1002))))</f>
        <v/>
      </c>
      <c r="H343" s="27" t="str">
        <f aca="false">IF($A343="","",IF(차량목록!$E31="",0,차량목록!$E31))</f>
        <v/>
      </c>
      <c r="I343" s="27" t="str">
        <f aca="false">IF(OR($A343="",$D343=0),"",IF($G343="",$H343+$D343,$G343+$D343))</f>
        <v/>
      </c>
      <c r="J343" s="24" t="str">
        <f aca="false">IF($I343="","",$I343-$H343)</f>
        <v/>
      </c>
      <c r="K343" s="26" t="str">
        <f aca="true">IF(OR($A343="",$E343=0),"",IF($F343="",EDATE(TODAY(),$E343),EDATE($F343,$E343)))</f>
        <v/>
      </c>
      <c r="L343" s="28" t="str">
        <f aca="true">IF($K343="","",$K343-TODAY())</f>
        <v/>
      </c>
      <c r="M343" s="28" t="str">
        <f aca="false">IF($A343="","",IF(AND($J343="",$L343=""),"-",IF(OR(AND($J343&lt;&gt;"",$J343&lt;=0),AND($L343&lt;&gt;"",$L343&lt;0)),"교체",IF(OR(AND($J343&lt;&gt;"",$J343&lt;=사용안내!$C$16),AND($L343&lt;&gt;"",$L343&lt;=사용안내!$C$17)),"임박","정상"))))</f>
        <v/>
      </c>
    </row>
    <row r="344" customFormat="false" ht="15" hidden="false" customHeight="true" outlineLevel="0" collapsed="false">
      <c r="A344" s="23" t="str">
        <f aca="false">IF(OR(차량목록!$A31="",정비항목!$A5="",차량목록!$G31="매각"),"",차량목록!$A31)</f>
        <v/>
      </c>
      <c r="B344" s="23" t="str">
        <f aca="false">IF($A344="","",차량목록!$B31)</f>
        <v/>
      </c>
      <c r="C344" s="23" t="str">
        <f aca="false">IF($A344="","",정비항목!$B5)</f>
        <v/>
      </c>
      <c r="D344" s="24" t="str">
        <f aca="false">IF($A344="","",IF(정비항목!$C5="",0,정비항목!$C5))</f>
        <v/>
      </c>
      <c r="E344" s="28" t="str">
        <f aca="false">IF($A344="","",IF(정비항목!$D5="",0,정비항목!$D5))</f>
        <v/>
      </c>
      <c r="F344" s="26" t="str">
        <f aca="false">IF($A344="","",IF(COUNTIFS(정비이력!$B$3:$B$1002,$A344,정비이력!$D$3:$D$1002,정비항목!$A5)=0,"",SUMPRODUCT(MAX((정비이력!$B$3:$B$1002=$A344)*(정비이력!$D$3:$D$1002=정비항목!$A5)*정비이력!$A$3:$A$1002))))</f>
        <v/>
      </c>
      <c r="G344" s="27" t="str">
        <f aca="false">IF($A344="","",IF($F344="","",SUMPRODUCT(MAX((정비이력!$B$3:$B$1002=$A344)*(정비이력!$D$3:$D$1002=정비항목!$A5)*정비이력!$F$3:$F$1002))))</f>
        <v/>
      </c>
      <c r="H344" s="27" t="str">
        <f aca="false">IF($A344="","",IF(차량목록!$E31="",0,차량목록!$E31))</f>
        <v/>
      </c>
      <c r="I344" s="27" t="str">
        <f aca="false">IF(OR($A344="",$D344=0),"",IF($G344="",$H344+$D344,$G344+$D344))</f>
        <v/>
      </c>
      <c r="J344" s="24" t="str">
        <f aca="false">IF($I344="","",$I344-$H344)</f>
        <v/>
      </c>
      <c r="K344" s="26" t="str">
        <f aca="true">IF(OR($A344="",$E344=0),"",IF($F344="",EDATE(TODAY(),$E344),EDATE($F344,$E344)))</f>
        <v/>
      </c>
      <c r="L344" s="28" t="str">
        <f aca="true">IF($K344="","",$K344-TODAY())</f>
        <v/>
      </c>
      <c r="M344" s="28" t="str">
        <f aca="false">IF($A344="","",IF(AND($J344="",$L344=""),"-",IF(OR(AND($J344&lt;&gt;"",$J344&lt;=0),AND($L344&lt;&gt;"",$L344&lt;0)),"교체",IF(OR(AND($J344&lt;&gt;"",$J344&lt;=사용안내!$C$16),AND($L344&lt;&gt;"",$L344&lt;=사용안내!$C$17)),"임박","정상"))))</f>
        <v/>
      </c>
    </row>
    <row r="345" customFormat="false" ht="15" hidden="false" customHeight="true" outlineLevel="0" collapsed="false">
      <c r="A345" s="23" t="str">
        <f aca="false">IF(OR(차량목록!$A31="",정비항목!$A6="",차량목록!$G31="매각"),"",차량목록!$A31)</f>
        <v/>
      </c>
      <c r="B345" s="23" t="str">
        <f aca="false">IF($A345="","",차량목록!$B31)</f>
        <v/>
      </c>
      <c r="C345" s="23" t="str">
        <f aca="false">IF($A345="","",정비항목!$B6)</f>
        <v/>
      </c>
      <c r="D345" s="24" t="str">
        <f aca="false">IF($A345="","",IF(정비항목!$C6="",0,정비항목!$C6))</f>
        <v/>
      </c>
      <c r="E345" s="28" t="str">
        <f aca="false">IF($A345="","",IF(정비항목!$D6="",0,정비항목!$D6))</f>
        <v/>
      </c>
      <c r="F345" s="26" t="str">
        <f aca="false">IF($A345="","",IF(COUNTIFS(정비이력!$B$3:$B$1002,$A345,정비이력!$D$3:$D$1002,정비항목!$A6)=0,"",SUMPRODUCT(MAX((정비이력!$B$3:$B$1002=$A345)*(정비이력!$D$3:$D$1002=정비항목!$A6)*정비이력!$A$3:$A$1002))))</f>
        <v/>
      </c>
      <c r="G345" s="27" t="str">
        <f aca="false">IF($A345="","",IF($F345="","",SUMPRODUCT(MAX((정비이력!$B$3:$B$1002=$A345)*(정비이력!$D$3:$D$1002=정비항목!$A6)*정비이력!$F$3:$F$1002))))</f>
        <v/>
      </c>
      <c r="H345" s="27" t="str">
        <f aca="false">IF($A345="","",IF(차량목록!$E31="",0,차량목록!$E31))</f>
        <v/>
      </c>
      <c r="I345" s="27" t="str">
        <f aca="false">IF(OR($A345="",$D345=0),"",IF($G345="",$H345+$D345,$G345+$D345))</f>
        <v/>
      </c>
      <c r="J345" s="24" t="str">
        <f aca="false">IF($I345="","",$I345-$H345)</f>
        <v/>
      </c>
      <c r="K345" s="26" t="str">
        <f aca="true">IF(OR($A345="",$E345=0),"",IF($F345="",EDATE(TODAY(),$E345),EDATE($F345,$E345)))</f>
        <v/>
      </c>
      <c r="L345" s="28" t="str">
        <f aca="true">IF($K345="","",$K345-TODAY())</f>
        <v/>
      </c>
      <c r="M345" s="28" t="str">
        <f aca="false">IF($A345="","",IF(AND($J345="",$L345=""),"-",IF(OR(AND($J345&lt;&gt;"",$J345&lt;=0),AND($L345&lt;&gt;"",$L345&lt;0)),"교체",IF(OR(AND($J345&lt;&gt;"",$J345&lt;=사용안내!$C$16),AND($L345&lt;&gt;"",$L345&lt;=사용안내!$C$17)),"임박","정상"))))</f>
        <v/>
      </c>
    </row>
    <row r="346" customFormat="false" ht="15" hidden="false" customHeight="true" outlineLevel="0" collapsed="false">
      <c r="A346" s="23" t="str">
        <f aca="false">IF(OR(차량목록!$A31="",정비항목!$A7="",차량목록!$G31="매각"),"",차량목록!$A31)</f>
        <v/>
      </c>
      <c r="B346" s="23" t="str">
        <f aca="false">IF($A346="","",차량목록!$B31)</f>
        <v/>
      </c>
      <c r="C346" s="23" t="str">
        <f aca="false">IF($A346="","",정비항목!$B7)</f>
        <v/>
      </c>
      <c r="D346" s="24" t="str">
        <f aca="false">IF($A346="","",IF(정비항목!$C7="",0,정비항목!$C7))</f>
        <v/>
      </c>
      <c r="E346" s="28" t="str">
        <f aca="false">IF($A346="","",IF(정비항목!$D7="",0,정비항목!$D7))</f>
        <v/>
      </c>
      <c r="F346" s="26" t="str">
        <f aca="false">IF($A346="","",IF(COUNTIFS(정비이력!$B$3:$B$1002,$A346,정비이력!$D$3:$D$1002,정비항목!$A7)=0,"",SUMPRODUCT(MAX((정비이력!$B$3:$B$1002=$A346)*(정비이력!$D$3:$D$1002=정비항목!$A7)*정비이력!$A$3:$A$1002))))</f>
        <v/>
      </c>
      <c r="G346" s="27" t="str">
        <f aca="false">IF($A346="","",IF($F346="","",SUMPRODUCT(MAX((정비이력!$B$3:$B$1002=$A346)*(정비이력!$D$3:$D$1002=정비항목!$A7)*정비이력!$F$3:$F$1002))))</f>
        <v/>
      </c>
      <c r="H346" s="27" t="str">
        <f aca="false">IF($A346="","",IF(차량목록!$E31="",0,차량목록!$E31))</f>
        <v/>
      </c>
      <c r="I346" s="27" t="str">
        <f aca="false">IF(OR($A346="",$D346=0),"",IF($G346="",$H346+$D346,$G346+$D346))</f>
        <v/>
      </c>
      <c r="J346" s="24" t="str">
        <f aca="false">IF($I346="","",$I346-$H346)</f>
        <v/>
      </c>
      <c r="K346" s="26" t="str">
        <f aca="true">IF(OR($A346="",$E346=0),"",IF($F346="",EDATE(TODAY(),$E346),EDATE($F346,$E346)))</f>
        <v/>
      </c>
      <c r="L346" s="28" t="str">
        <f aca="true">IF($K346="","",$K346-TODAY())</f>
        <v/>
      </c>
      <c r="M346" s="28" t="str">
        <f aca="false">IF($A346="","",IF(AND($J346="",$L346=""),"-",IF(OR(AND($J346&lt;&gt;"",$J346&lt;=0),AND($L346&lt;&gt;"",$L346&lt;0)),"교체",IF(OR(AND($J346&lt;&gt;"",$J346&lt;=사용안내!$C$16),AND($L346&lt;&gt;"",$L346&lt;=사용안내!$C$17)),"임박","정상"))))</f>
        <v/>
      </c>
    </row>
    <row r="347" customFormat="false" ht="15" hidden="false" customHeight="true" outlineLevel="0" collapsed="false">
      <c r="A347" s="23" t="str">
        <f aca="false">IF(OR(차량목록!$A31="",정비항목!$A8="",차량목록!$G31="매각"),"",차량목록!$A31)</f>
        <v/>
      </c>
      <c r="B347" s="23" t="str">
        <f aca="false">IF($A347="","",차량목록!$B31)</f>
        <v/>
      </c>
      <c r="C347" s="23" t="str">
        <f aca="false">IF($A347="","",정비항목!$B8)</f>
        <v/>
      </c>
      <c r="D347" s="24" t="str">
        <f aca="false">IF($A347="","",IF(정비항목!$C8="",0,정비항목!$C8))</f>
        <v/>
      </c>
      <c r="E347" s="28" t="str">
        <f aca="false">IF($A347="","",IF(정비항목!$D8="",0,정비항목!$D8))</f>
        <v/>
      </c>
      <c r="F347" s="26" t="str">
        <f aca="false">IF($A347="","",IF(COUNTIFS(정비이력!$B$3:$B$1002,$A347,정비이력!$D$3:$D$1002,정비항목!$A8)=0,"",SUMPRODUCT(MAX((정비이력!$B$3:$B$1002=$A347)*(정비이력!$D$3:$D$1002=정비항목!$A8)*정비이력!$A$3:$A$1002))))</f>
        <v/>
      </c>
      <c r="G347" s="27" t="str">
        <f aca="false">IF($A347="","",IF($F347="","",SUMPRODUCT(MAX((정비이력!$B$3:$B$1002=$A347)*(정비이력!$D$3:$D$1002=정비항목!$A8)*정비이력!$F$3:$F$1002))))</f>
        <v/>
      </c>
      <c r="H347" s="27" t="str">
        <f aca="false">IF($A347="","",IF(차량목록!$E31="",0,차량목록!$E31))</f>
        <v/>
      </c>
      <c r="I347" s="27" t="str">
        <f aca="false">IF(OR($A347="",$D347=0),"",IF($G347="",$H347+$D347,$G347+$D347))</f>
        <v/>
      </c>
      <c r="J347" s="24" t="str">
        <f aca="false">IF($I347="","",$I347-$H347)</f>
        <v/>
      </c>
      <c r="K347" s="26" t="str">
        <f aca="true">IF(OR($A347="",$E347=0),"",IF($F347="",EDATE(TODAY(),$E347),EDATE($F347,$E347)))</f>
        <v/>
      </c>
      <c r="L347" s="28" t="str">
        <f aca="true">IF($K347="","",$K347-TODAY())</f>
        <v/>
      </c>
      <c r="M347" s="28" t="str">
        <f aca="false">IF($A347="","",IF(AND($J347="",$L347=""),"-",IF(OR(AND($J347&lt;&gt;"",$J347&lt;=0),AND($L347&lt;&gt;"",$L347&lt;0)),"교체",IF(OR(AND($J347&lt;&gt;"",$J347&lt;=사용안내!$C$16),AND($L347&lt;&gt;"",$L347&lt;=사용안내!$C$17)),"임박","정상"))))</f>
        <v/>
      </c>
    </row>
    <row r="348" customFormat="false" ht="15" hidden="false" customHeight="true" outlineLevel="0" collapsed="false">
      <c r="A348" s="23" t="str">
        <f aca="false">IF(OR(차량목록!$A31="",정비항목!$A9="",차량목록!$G31="매각"),"",차량목록!$A31)</f>
        <v/>
      </c>
      <c r="B348" s="23" t="str">
        <f aca="false">IF($A348="","",차량목록!$B31)</f>
        <v/>
      </c>
      <c r="C348" s="23" t="str">
        <f aca="false">IF($A348="","",정비항목!$B9)</f>
        <v/>
      </c>
      <c r="D348" s="24" t="str">
        <f aca="false">IF($A348="","",IF(정비항목!$C9="",0,정비항목!$C9))</f>
        <v/>
      </c>
      <c r="E348" s="28" t="str">
        <f aca="false">IF($A348="","",IF(정비항목!$D9="",0,정비항목!$D9))</f>
        <v/>
      </c>
      <c r="F348" s="26" t="str">
        <f aca="false">IF($A348="","",IF(COUNTIFS(정비이력!$B$3:$B$1002,$A348,정비이력!$D$3:$D$1002,정비항목!$A9)=0,"",SUMPRODUCT(MAX((정비이력!$B$3:$B$1002=$A348)*(정비이력!$D$3:$D$1002=정비항목!$A9)*정비이력!$A$3:$A$1002))))</f>
        <v/>
      </c>
      <c r="G348" s="27" t="str">
        <f aca="false">IF($A348="","",IF($F348="","",SUMPRODUCT(MAX((정비이력!$B$3:$B$1002=$A348)*(정비이력!$D$3:$D$1002=정비항목!$A9)*정비이력!$F$3:$F$1002))))</f>
        <v/>
      </c>
      <c r="H348" s="27" t="str">
        <f aca="false">IF($A348="","",IF(차량목록!$E31="",0,차량목록!$E31))</f>
        <v/>
      </c>
      <c r="I348" s="27" t="str">
        <f aca="false">IF(OR($A348="",$D348=0),"",IF($G348="",$H348+$D348,$G348+$D348))</f>
        <v/>
      </c>
      <c r="J348" s="24" t="str">
        <f aca="false">IF($I348="","",$I348-$H348)</f>
        <v/>
      </c>
      <c r="K348" s="26" t="str">
        <f aca="true">IF(OR($A348="",$E348=0),"",IF($F348="",EDATE(TODAY(),$E348),EDATE($F348,$E348)))</f>
        <v/>
      </c>
      <c r="L348" s="28" t="str">
        <f aca="true">IF($K348="","",$K348-TODAY())</f>
        <v/>
      </c>
      <c r="M348" s="28" t="str">
        <f aca="false">IF($A348="","",IF(AND($J348="",$L348=""),"-",IF(OR(AND($J348&lt;&gt;"",$J348&lt;=0),AND($L348&lt;&gt;"",$L348&lt;0)),"교체",IF(OR(AND($J348&lt;&gt;"",$J348&lt;=사용안내!$C$16),AND($L348&lt;&gt;"",$L348&lt;=사용안내!$C$17)),"임박","정상"))))</f>
        <v/>
      </c>
    </row>
    <row r="349" customFormat="false" ht="15" hidden="false" customHeight="true" outlineLevel="0" collapsed="false">
      <c r="A349" s="23" t="str">
        <f aca="false">IF(OR(차량목록!$A31="",정비항목!$A10="",차량목록!$G31="매각"),"",차량목록!$A31)</f>
        <v/>
      </c>
      <c r="B349" s="23" t="str">
        <f aca="false">IF($A349="","",차량목록!$B31)</f>
        <v/>
      </c>
      <c r="C349" s="23" t="str">
        <f aca="false">IF($A349="","",정비항목!$B10)</f>
        <v/>
      </c>
      <c r="D349" s="24" t="str">
        <f aca="false">IF($A349="","",IF(정비항목!$C10="",0,정비항목!$C10))</f>
        <v/>
      </c>
      <c r="E349" s="28" t="str">
        <f aca="false">IF($A349="","",IF(정비항목!$D10="",0,정비항목!$D10))</f>
        <v/>
      </c>
      <c r="F349" s="26" t="str">
        <f aca="false">IF($A349="","",IF(COUNTIFS(정비이력!$B$3:$B$1002,$A349,정비이력!$D$3:$D$1002,정비항목!$A10)=0,"",SUMPRODUCT(MAX((정비이력!$B$3:$B$1002=$A349)*(정비이력!$D$3:$D$1002=정비항목!$A10)*정비이력!$A$3:$A$1002))))</f>
        <v/>
      </c>
      <c r="G349" s="27" t="str">
        <f aca="false">IF($A349="","",IF($F349="","",SUMPRODUCT(MAX((정비이력!$B$3:$B$1002=$A349)*(정비이력!$D$3:$D$1002=정비항목!$A10)*정비이력!$F$3:$F$1002))))</f>
        <v/>
      </c>
      <c r="H349" s="27" t="str">
        <f aca="false">IF($A349="","",IF(차량목록!$E31="",0,차량목록!$E31))</f>
        <v/>
      </c>
      <c r="I349" s="27" t="str">
        <f aca="false">IF(OR($A349="",$D349=0),"",IF($G349="",$H349+$D349,$G349+$D349))</f>
        <v/>
      </c>
      <c r="J349" s="24" t="str">
        <f aca="false">IF($I349="","",$I349-$H349)</f>
        <v/>
      </c>
      <c r="K349" s="26" t="str">
        <f aca="true">IF(OR($A349="",$E349=0),"",IF($F349="",EDATE(TODAY(),$E349),EDATE($F349,$E349)))</f>
        <v/>
      </c>
      <c r="L349" s="28" t="str">
        <f aca="true">IF($K349="","",$K349-TODAY())</f>
        <v/>
      </c>
      <c r="M349" s="28" t="str">
        <f aca="false">IF($A349="","",IF(AND($J349="",$L349=""),"-",IF(OR(AND($J349&lt;&gt;"",$J349&lt;=0),AND($L349&lt;&gt;"",$L349&lt;0)),"교체",IF(OR(AND($J349&lt;&gt;"",$J349&lt;=사용안내!$C$16),AND($L349&lt;&gt;"",$L349&lt;=사용안내!$C$17)),"임박","정상"))))</f>
        <v/>
      </c>
    </row>
    <row r="350" customFormat="false" ht="15" hidden="false" customHeight="true" outlineLevel="0" collapsed="false">
      <c r="A350" s="23" t="str">
        <f aca="false">IF(OR(차량목록!$A31="",정비항목!$A11="",차량목록!$G31="매각"),"",차량목록!$A31)</f>
        <v/>
      </c>
      <c r="B350" s="23" t="str">
        <f aca="false">IF($A350="","",차량목록!$B31)</f>
        <v/>
      </c>
      <c r="C350" s="23" t="str">
        <f aca="false">IF($A350="","",정비항목!$B11)</f>
        <v/>
      </c>
      <c r="D350" s="24" t="str">
        <f aca="false">IF($A350="","",IF(정비항목!$C11="",0,정비항목!$C11))</f>
        <v/>
      </c>
      <c r="E350" s="28" t="str">
        <f aca="false">IF($A350="","",IF(정비항목!$D11="",0,정비항목!$D11))</f>
        <v/>
      </c>
      <c r="F350" s="26" t="str">
        <f aca="false">IF($A350="","",IF(COUNTIFS(정비이력!$B$3:$B$1002,$A350,정비이력!$D$3:$D$1002,정비항목!$A11)=0,"",SUMPRODUCT(MAX((정비이력!$B$3:$B$1002=$A350)*(정비이력!$D$3:$D$1002=정비항목!$A11)*정비이력!$A$3:$A$1002))))</f>
        <v/>
      </c>
      <c r="G350" s="27" t="str">
        <f aca="false">IF($A350="","",IF($F350="","",SUMPRODUCT(MAX((정비이력!$B$3:$B$1002=$A350)*(정비이력!$D$3:$D$1002=정비항목!$A11)*정비이력!$F$3:$F$1002))))</f>
        <v/>
      </c>
      <c r="H350" s="27" t="str">
        <f aca="false">IF($A350="","",IF(차량목록!$E31="",0,차량목록!$E31))</f>
        <v/>
      </c>
      <c r="I350" s="27" t="str">
        <f aca="false">IF(OR($A350="",$D350=0),"",IF($G350="",$H350+$D350,$G350+$D350))</f>
        <v/>
      </c>
      <c r="J350" s="24" t="str">
        <f aca="false">IF($I350="","",$I350-$H350)</f>
        <v/>
      </c>
      <c r="K350" s="26" t="str">
        <f aca="true">IF(OR($A350="",$E350=0),"",IF($F350="",EDATE(TODAY(),$E350),EDATE($F350,$E350)))</f>
        <v/>
      </c>
      <c r="L350" s="28" t="str">
        <f aca="true">IF($K350="","",$K350-TODAY())</f>
        <v/>
      </c>
      <c r="M350" s="28" t="str">
        <f aca="false">IF($A350="","",IF(AND($J350="",$L350=""),"-",IF(OR(AND($J350&lt;&gt;"",$J350&lt;=0),AND($L350&lt;&gt;"",$L350&lt;0)),"교체",IF(OR(AND($J350&lt;&gt;"",$J350&lt;=사용안내!$C$16),AND($L350&lt;&gt;"",$L350&lt;=사용안내!$C$17)),"임박","정상"))))</f>
        <v/>
      </c>
    </row>
    <row r="351" customFormat="false" ht="15" hidden="false" customHeight="true" outlineLevel="0" collapsed="false">
      <c r="A351" s="23" t="str">
        <f aca="false">IF(OR(차량목록!$A31="",정비항목!$A12="",차량목록!$G31="매각"),"",차량목록!$A31)</f>
        <v/>
      </c>
      <c r="B351" s="23" t="str">
        <f aca="false">IF($A351="","",차량목록!$B31)</f>
        <v/>
      </c>
      <c r="C351" s="23" t="str">
        <f aca="false">IF($A351="","",정비항목!$B12)</f>
        <v/>
      </c>
      <c r="D351" s="24" t="str">
        <f aca="false">IF($A351="","",IF(정비항목!$C12="",0,정비항목!$C12))</f>
        <v/>
      </c>
      <c r="E351" s="28" t="str">
        <f aca="false">IF($A351="","",IF(정비항목!$D12="",0,정비항목!$D12))</f>
        <v/>
      </c>
      <c r="F351" s="26" t="str">
        <f aca="false">IF($A351="","",IF(COUNTIFS(정비이력!$B$3:$B$1002,$A351,정비이력!$D$3:$D$1002,정비항목!$A12)=0,"",SUMPRODUCT(MAX((정비이력!$B$3:$B$1002=$A351)*(정비이력!$D$3:$D$1002=정비항목!$A12)*정비이력!$A$3:$A$1002))))</f>
        <v/>
      </c>
      <c r="G351" s="27" t="str">
        <f aca="false">IF($A351="","",IF($F351="","",SUMPRODUCT(MAX((정비이력!$B$3:$B$1002=$A351)*(정비이력!$D$3:$D$1002=정비항목!$A12)*정비이력!$F$3:$F$1002))))</f>
        <v/>
      </c>
      <c r="H351" s="27" t="str">
        <f aca="false">IF($A351="","",IF(차량목록!$E31="",0,차량목록!$E31))</f>
        <v/>
      </c>
      <c r="I351" s="27" t="str">
        <f aca="false">IF(OR($A351="",$D351=0),"",IF($G351="",$H351+$D351,$G351+$D351))</f>
        <v/>
      </c>
      <c r="J351" s="24" t="str">
        <f aca="false">IF($I351="","",$I351-$H351)</f>
        <v/>
      </c>
      <c r="K351" s="26" t="str">
        <f aca="true">IF(OR($A351="",$E351=0),"",IF($F351="",EDATE(TODAY(),$E351),EDATE($F351,$E351)))</f>
        <v/>
      </c>
      <c r="L351" s="28" t="str">
        <f aca="true">IF($K351="","",$K351-TODAY())</f>
        <v/>
      </c>
      <c r="M351" s="28" t="str">
        <f aca="false">IF($A351="","",IF(AND($J351="",$L351=""),"-",IF(OR(AND($J351&lt;&gt;"",$J351&lt;=0),AND($L351&lt;&gt;"",$L351&lt;0)),"교체",IF(OR(AND($J351&lt;&gt;"",$J351&lt;=사용안내!$C$16),AND($L351&lt;&gt;"",$L351&lt;=사용안내!$C$17)),"임박","정상"))))</f>
        <v/>
      </c>
    </row>
    <row r="352" customFormat="false" ht="15" hidden="false" customHeight="true" outlineLevel="0" collapsed="false">
      <c r="A352" s="23" t="str">
        <f aca="false">IF(OR(차량목록!$A31="",정비항목!$A13="",차량목록!$G31="매각"),"",차량목록!$A31)</f>
        <v/>
      </c>
      <c r="B352" s="23" t="str">
        <f aca="false">IF($A352="","",차량목록!$B31)</f>
        <v/>
      </c>
      <c r="C352" s="23" t="str">
        <f aca="false">IF($A352="","",정비항목!$B13)</f>
        <v/>
      </c>
      <c r="D352" s="24" t="str">
        <f aca="false">IF($A352="","",IF(정비항목!$C13="",0,정비항목!$C13))</f>
        <v/>
      </c>
      <c r="E352" s="28" t="str">
        <f aca="false">IF($A352="","",IF(정비항목!$D13="",0,정비항목!$D13))</f>
        <v/>
      </c>
      <c r="F352" s="26" t="str">
        <f aca="false">IF($A352="","",IF(COUNTIFS(정비이력!$B$3:$B$1002,$A352,정비이력!$D$3:$D$1002,정비항목!$A13)=0,"",SUMPRODUCT(MAX((정비이력!$B$3:$B$1002=$A352)*(정비이력!$D$3:$D$1002=정비항목!$A13)*정비이력!$A$3:$A$1002))))</f>
        <v/>
      </c>
      <c r="G352" s="27" t="str">
        <f aca="false">IF($A352="","",IF($F352="","",SUMPRODUCT(MAX((정비이력!$B$3:$B$1002=$A352)*(정비이력!$D$3:$D$1002=정비항목!$A13)*정비이력!$F$3:$F$1002))))</f>
        <v/>
      </c>
      <c r="H352" s="27" t="str">
        <f aca="false">IF($A352="","",IF(차량목록!$E31="",0,차량목록!$E31))</f>
        <v/>
      </c>
      <c r="I352" s="27" t="str">
        <f aca="false">IF(OR($A352="",$D352=0),"",IF($G352="",$H352+$D352,$G352+$D352))</f>
        <v/>
      </c>
      <c r="J352" s="24" t="str">
        <f aca="false">IF($I352="","",$I352-$H352)</f>
        <v/>
      </c>
      <c r="K352" s="26" t="str">
        <f aca="true">IF(OR($A352="",$E352=0),"",IF($F352="",EDATE(TODAY(),$E352),EDATE($F352,$E352)))</f>
        <v/>
      </c>
      <c r="L352" s="28" t="str">
        <f aca="true">IF($K352="","",$K352-TODAY())</f>
        <v/>
      </c>
      <c r="M352" s="28" t="str">
        <f aca="false">IF($A352="","",IF(AND($J352="",$L352=""),"-",IF(OR(AND($J352&lt;&gt;"",$J352&lt;=0),AND($L352&lt;&gt;"",$L352&lt;0)),"교체",IF(OR(AND($J352&lt;&gt;"",$J352&lt;=사용안내!$C$16),AND($L352&lt;&gt;"",$L352&lt;=사용안내!$C$17)),"임박","정상"))))</f>
        <v/>
      </c>
    </row>
    <row r="353" customFormat="false" ht="15" hidden="false" customHeight="true" outlineLevel="0" collapsed="false">
      <c r="A353" s="23" t="str">
        <f aca="false">IF(OR(차량목록!$A31="",정비항목!$A14="",차량목록!$G31="매각"),"",차량목록!$A31)</f>
        <v/>
      </c>
      <c r="B353" s="23" t="str">
        <f aca="false">IF($A353="","",차량목록!$B31)</f>
        <v/>
      </c>
      <c r="C353" s="23" t="str">
        <f aca="false">IF($A353="","",정비항목!$B14)</f>
        <v/>
      </c>
      <c r="D353" s="24" t="str">
        <f aca="false">IF($A353="","",IF(정비항목!$C14="",0,정비항목!$C14))</f>
        <v/>
      </c>
      <c r="E353" s="28" t="str">
        <f aca="false">IF($A353="","",IF(정비항목!$D14="",0,정비항목!$D14))</f>
        <v/>
      </c>
      <c r="F353" s="26" t="str">
        <f aca="false">IF($A353="","",IF(COUNTIFS(정비이력!$B$3:$B$1002,$A353,정비이력!$D$3:$D$1002,정비항목!$A14)=0,"",SUMPRODUCT(MAX((정비이력!$B$3:$B$1002=$A353)*(정비이력!$D$3:$D$1002=정비항목!$A14)*정비이력!$A$3:$A$1002))))</f>
        <v/>
      </c>
      <c r="G353" s="27" t="str">
        <f aca="false">IF($A353="","",IF($F353="","",SUMPRODUCT(MAX((정비이력!$B$3:$B$1002=$A353)*(정비이력!$D$3:$D$1002=정비항목!$A14)*정비이력!$F$3:$F$1002))))</f>
        <v/>
      </c>
      <c r="H353" s="27" t="str">
        <f aca="false">IF($A353="","",IF(차량목록!$E31="",0,차량목록!$E31))</f>
        <v/>
      </c>
      <c r="I353" s="27" t="str">
        <f aca="false">IF(OR($A353="",$D353=0),"",IF($G353="",$H353+$D353,$G353+$D353))</f>
        <v/>
      </c>
      <c r="J353" s="24" t="str">
        <f aca="false">IF($I353="","",$I353-$H353)</f>
        <v/>
      </c>
      <c r="K353" s="26" t="str">
        <f aca="true">IF(OR($A353="",$E353=0),"",IF($F353="",EDATE(TODAY(),$E353),EDATE($F353,$E353)))</f>
        <v/>
      </c>
      <c r="L353" s="28" t="str">
        <f aca="true">IF($K353="","",$K353-TODAY())</f>
        <v/>
      </c>
      <c r="M353" s="28" t="str">
        <f aca="false">IF($A353="","",IF(AND($J353="",$L353=""),"-",IF(OR(AND($J353&lt;&gt;"",$J353&lt;=0),AND($L353&lt;&gt;"",$L353&lt;0)),"교체",IF(OR(AND($J353&lt;&gt;"",$J353&lt;=사용안내!$C$16),AND($L353&lt;&gt;"",$L353&lt;=사용안내!$C$17)),"임박","정상"))))</f>
        <v/>
      </c>
    </row>
    <row r="354" customFormat="false" ht="15" hidden="false" customHeight="true" outlineLevel="0" collapsed="false">
      <c r="A354" s="23" t="str">
        <f aca="false">IF(OR(차량목록!$A32="",정비항목!$A3="",차량목록!$G32="매각"),"",차량목록!$A32)</f>
        <v/>
      </c>
      <c r="B354" s="23" t="str">
        <f aca="false">IF($A354="","",차량목록!$B32)</f>
        <v/>
      </c>
      <c r="C354" s="23" t="str">
        <f aca="false">IF($A354="","",정비항목!$B3)</f>
        <v/>
      </c>
      <c r="D354" s="24" t="str">
        <f aca="false">IF($A354="","",IF(정비항목!$C3="",0,정비항목!$C3))</f>
        <v/>
      </c>
      <c r="E354" s="28" t="str">
        <f aca="false">IF($A354="","",IF(정비항목!$D3="",0,정비항목!$D3))</f>
        <v/>
      </c>
      <c r="F354" s="26" t="str">
        <f aca="false">IF($A354="","",IF(COUNTIFS(정비이력!$B$3:$B$1002,$A354,정비이력!$D$3:$D$1002,정비항목!$A3)=0,"",SUMPRODUCT(MAX((정비이력!$B$3:$B$1002=$A354)*(정비이력!$D$3:$D$1002=정비항목!$A3)*정비이력!$A$3:$A$1002))))</f>
        <v/>
      </c>
      <c r="G354" s="27" t="str">
        <f aca="false">IF($A354="","",IF($F354="","",SUMPRODUCT(MAX((정비이력!$B$3:$B$1002=$A354)*(정비이력!$D$3:$D$1002=정비항목!$A3)*정비이력!$F$3:$F$1002))))</f>
        <v/>
      </c>
      <c r="H354" s="27" t="str">
        <f aca="false">IF($A354="","",IF(차량목록!$E32="",0,차량목록!$E32))</f>
        <v/>
      </c>
      <c r="I354" s="27" t="str">
        <f aca="false">IF(OR($A354="",$D354=0),"",IF($G354="",$H354+$D354,$G354+$D354))</f>
        <v/>
      </c>
      <c r="J354" s="24" t="str">
        <f aca="false">IF($I354="","",$I354-$H354)</f>
        <v/>
      </c>
      <c r="K354" s="26" t="str">
        <f aca="true">IF(OR($A354="",$E354=0),"",IF($F354="",EDATE(TODAY(),$E354),EDATE($F354,$E354)))</f>
        <v/>
      </c>
      <c r="L354" s="28" t="str">
        <f aca="true">IF($K354="","",$K354-TODAY())</f>
        <v/>
      </c>
      <c r="M354" s="28" t="str">
        <f aca="false">IF($A354="","",IF(AND($J354="",$L354=""),"-",IF(OR(AND($J354&lt;&gt;"",$J354&lt;=0),AND($L354&lt;&gt;"",$L354&lt;0)),"교체",IF(OR(AND($J354&lt;&gt;"",$J354&lt;=사용안내!$C$16),AND($L354&lt;&gt;"",$L354&lt;=사용안내!$C$17)),"임박","정상"))))</f>
        <v/>
      </c>
    </row>
    <row r="355" customFormat="false" ht="15" hidden="false" customHeight="true" outlineLevel="0" collapsed="false">
      <c r="A355" s="23" t="str">
        <f aca="false">IF(OR(차량목록!$A32="",정비항목!$A4="",차량목록!$G32="매각"),"",차량목록!$A32)</f>
        <v/>
      </c>
      <c r="B355" s="23" t="str">
        <f aca="false">IF($A355="","",차량목록!$B32)</f>
        <v/>
      </c>
      <c r="C355" s="23" t="str">
        <f aca="false">IF($A355="","",정비항목!$B4)</f>
        <v/>
      </c>
      <c r="D355" s="24" t="str">
        <f aca="false">IF($A355="","",IF(정비항목!$C4="",0,정비항목!$C4))</f>
        <v/>
      </c>
      <c r="E355" s="28" t="str">
        <f aca="false">IF($A355="","",IF(정비항목!$D4="",0,정비항목!$D4))</f>
        <v/>
      </c>
      <c r="F355" s="26" t="str">
        <f aca="false">IF($A355="","",IF(COUNTIFS(정비이력!$B$3:$B$1002,$A355,정비이력!$D$3:$D$1002,정비항목!$A4)=0,"",SUMPRODUCT(MAX((정비이력!$B$3:$B$1002=$A355)*(정비이력!$D$3:$D$1002=정비항목!$A4)*정비이력!$A$3:$A$1002))))</f>
        <v/>
      </c>
      <c r="G355" s="27" t="str">
        <f aca="false">IF($A355="","",IF($F355="","",SUMPRODUCT(MAX((정비이력!$B$3:$B$1002=$A355)*(정비이력!$D$3:$D$1002=정비항목!$A4)*정비이력!$F$3:$F$1002))))</f>
        <v/>
      </c>
      <c r="H355" s="27" t="str">
        <f aca="false">IF($A355="","",IF(차량목록!$E32="",0,차량목록!$E32))</f>
        <v/>
      </c>
      <c r="I355" s="27" t="str">
        <f aca="false">IF(OR($A355="",$D355=0),"",IF($G355="",$H355+$D355,$G355+$D355))</f>
        <v/>
      </c>
      <c r="J355" s="24" t="str">
        <f aca="false">IF($I355="","",$I355-$H355)</f>
        <v/>
      </c>
      <c r="K355" s="26" t="str">
        <f aca="true">IF(OR($A355="",$E355=0),"",IF($F355="",EDATE(TODAY(),$E355),EDATE($F355,$E355)))</f>
        <v/>
      </c>
      <c r="L355" s="28" t="str">
        <f aca="true">IF($K355="","",$K355-TODAY())</f>
        <v/>
      </c>
      <c r="M355" s="28" t="str">
        <f aca="false">IF($A355="","",IF(AND($J355="",$L355=""),"-",IF(OR(AND($J355&lt;&gt;"",$J355&lt;=0),AND($L355&lt;&gt;"",$L355&lt;0)),"교체",IF(OR(AND($J355&lt;&gt;"",$J355&lt;=사용안내!$C$16),AND($L355&lt;&gt;"",$L355&lt;=사용안내!$C$17)),"임박","정상"))))</f>
        <v/>
      </c>
    </row>
    <row r="356" customFormat="false" ht="15" hidden="false" customHeight="true" outlineLevel="0" collapsed="false">
      <c r="A356" s="23" t="str">
        <f aca="false">IF(OR(차량목록!$A32="",정비항목!$A5="",차량목록!$G32="매각"),"",차량목록!$A32)</f>
        <v/>
      </c>
      <c r="B356" s="23" t="str">
        <f aca="false">IF($A356="","",차량목록!$B32)</f>
        <v/>
      </c>
      <c r="C356" s="23" t="str">
        <f aca="false">IF($A356="","",정비항목!$B5)</f>
        <v/>
      </c>
      <c r="D356" s="24" t="str">
        <f aca="false">IF($A356="","",IF(정비항목!$C5="",0,정비항목!$C5))</f>
        <v/>
      </c>
      <c r="E356" s="28" t="str">
        <f aca="false">IF($A356="","",IF(정비항목!$D5="",0,정비항목!$D5))</f>
        <v/>
      </c>
      <c r="F356" s="26" t="str">
        <f aca="false">IF($A356="","",IF(COUNTIFS(정비이력!$B$3:$B$1002,$A356,정비이력!$D$3:$D$1002,정비항목!$A5)=0,"",SUMPRODUCT(MAX((정비이력!$B$3:$B$1002=$A356)*(정비이력!$D$3:$D$1002=정비항목!$A5)*정비이력!$A$3:$A$1002))))</f>
        <v/>
      </c>
      <c r="G356" s="27" t="str">
        <f aca="false">IF($A356="","",IF($F356="","",SUMPRODUCT(MAX((정비이력!$B$3:$B$1002=$A356)*(정비이력!$D$3:$D$1002=정비항목!$A5)*정비이력!$F$3:$F$1002))))</f>
        <v/>
      </c>
      <c r="H356" s="27" t="str">
        <f aca="false">IF($A356="","",IF(차량목록!$E32="",0,차량목록!$E32))</f>
        <v/>
      </c>
      <c r="I356" s="27" t="str">
        <f aca="false">IF(OR($A356="",$D356=0),"",IF($G356="",$H356+$D356,$G356+$D356))</f>
        <v/>
      </c>
      <c r="J356" s="24" t="str">
        <f aca="false">IF($I356="","",$I356-$H356)</f>
        <v/>
      </c>
      <c r="K356" s="26" t="str">
        <f aca="true">IF(OR($A356="",$E356=0),"",IF($F356="",EDATE(TODAY(),$E356),EDATE($F356,$E356)))</f>
        <v/>
      </c>
      <c r="L356" s="28" t="str">
        <f aca="true">IF($K356="","",$K356-TODAY())</f>
        <v/>
      </c>
      <c r="M356" s="28" t="str">
        <f aca="false">IF($A356="","",IF(AND($J356="",$L356=""),"-",IF(OR(AND($J356&lt;&gt;"",$J356&lt;=0),AND($L356&lt;&gt;"",$L356&lt;0)),"교체",IF(OR(AND($J356&lt;&gt;"",$J356&lt;=사용안내!$C$16),AND($L356&lt;&gt;"",$L356&lt;=사용안내!$C$17)),"임박","정상"))))</f>
        <v/>
      </c>
    </row>
    <row r="357" customFormat="false" ht="15" hidden="false" customHeight="true" outlineLevel="0" collapsed="false">
      <c r="A357" s="23" t="str">
        <f aca="false">IF(OR(차량목록!$A32="",정비항목!$A6="",차량목록!$G32="매각"),"",차량목록!$A32)</f>
        <v/>
      </c>
      <c r="B357" s="23" t="str">
        <f aca="false">IF($A357="","",차량목록!$B32)</f>
        <v/>
      </c>
      <c r="C357" s="23" t="str">
        <f aca="false">IF($A357="","",정비항목!$B6)</f>
        <v/>
      </c>
      <c r="D357" s="24" t="str">
        <f aca="false">IF($A357="","",IF(정비항목!$C6="",0,정비항목!$C6))</f>
        <v/>
      </c>
      <c r="E357" s="28" t="str">
        <f aca="false">IF($A357="","",IF(정비항목!$D6="",0,정비항목!$D6))</f>
        <v/>
      </c>
      <c r="F357" s="26" t="str">
        <f aca="false">IF($A357="","",IF(COUNTIFS(정비이력!$B$3:$B$1002,$A357,정비이력!$D$3:$D$1002,정비항목!$A6)=0,"",SUMPRODUCT(MAX((정비이력!$B$3:$B$1002=$A357)*(정비이력!$D$3:$D$1002=정비항목!$A6)*정비이력!$A$3:$A$1002))))</f>
        <v/>
      </c>
      <c r="G357" s="27" t="str">
        <f aca="false">IF($A357="","",IF($F357="","",SUMPRODUCT(MAX((정비이력!$B$3:$B$1002=$A357)*(정비이력!$D$3:$D$1002=정비항목!$A6)*정비이력!$F$3:$F$1002))))</f>
        <v/>
      </c>
      <c r="H357" s="27" t="str">
        <f aca="false">IF($A357="","",IF(차량목록!$E32="",0,차량목록!$E32))</f>
        <v/>
      </c>
      <c r="I357" s="27" t="str">
        <f aca="false">IF(OR($A357="",$D357=0),"",IF($G357="",$H357+$D357,$G357+$D357))</f>
        <v/>
      </c>
      <c r="J357" s="24" t="str">
        <f aca="false">IF($I357="","",$I357-$H357)</f>
        <v/>
      </c>
      <c r="K357" s="26" t="str">
        <f aca="true">IF(OR($A357="",$E357=0),"",IF($F357="",EDATE(TODAY(),$E357),EDATE($F357,$E357)))</f>
        <v/>
      </c>
      <c r="L357" s="28" t="str">
        <f aca="true">IF($K357="","",$K357-TODAY())</f>
        <v/>
      </c>
      <c r="M357" s="28" t="str">
        <f aca="false">IF($A357="","",IF(AND($J357="",$L357=""),"-",IF(OR(AND($J357&lt;&gt;"",$J357&lt;=0),AND($L357&lt;&gt;"",$L357&lt;0)),"교체",IF(OR(AND($J357&lt;&gt;"",$J357&lt;=사용안내!$C$16),AND($L357&lt;&gt;"",$L357&lt;=사용안내!$C$17)),"임박","정상"))))</f>
        <v/>
      </c>
    </row>
    <row r="358" customFormat="false" ht="15" hidden="false" customHeight="true" outlineLevel="0" collapsed="false">
      <c r="A358" s="23" t="str">
        <f aca="false">IF(OR(차량목록!$A32="",정비항목!$A7="",차량목록!$G32="매각"),"",차량목록!$A32)</f>
        <v/>
      </c>
      <c r="B358" s="23" t="str">
        <f aca="false">IF($A358="","",차량목록!$B32)</f>
        <v/>
      </c>
      <c r="C358" s="23" t="str">
        <f aca="false">IF($A358="","",정비항목!$B7)</f>
        <v/>
      </c>
      <c r="D358" s="24" t="str">
        <f aca="false">IF($A358="","",IF(정비항목!$C7="",0,정비항목!$C7))</f>
        <v/>
      </c>
      <c r="E358" s="28" t="str">
        <f aca="false">IF($A358="","",IF(정비항목!$D7="",0,정비항목!$D7))</f>
        <v/>
      </c>
      <c r="F358" s="26" t="str">
        <f aca="false">IF($A358="","",IF(COUNTIFS(정비이력!$B$3:$B$1002,$A358,정비이력!$D$3:$D$1002,정비항목!$A7)=0,"",SUMPRODUCT(MAX((정비이력!$B$3:$B$1002=$A358)*(정비이력!$D$3:$D$1002=정비항목!$A7)*정비이력!$A$3:$A$1002))))</f>
        <v/>
      </c>
      <c r="G358" s="27" t="str">
        <f aca="false">IF($A358="","",IF($F358="","",SUMPRODUCT(MAX((정비이력!$B$3:$B$1002=$A358)*(정비이력!$D$3:$D$1002=정비항목!$A7)*정비이력!$F$3:$F$1002))))</f>
        <v/>
      </c>
      <c r="H358" s="27" t="str">
        <f aca="false">IF($A358="","",IF(차량목록!$E32="",0,차량목록!$E32))</f>
        <v/>
      </c>
      <c r="I358" s="27" t="str">
        <f aca="false">IF(OR($A358="",$D358=0),"",IF($G358="",$H358+$D358,$G358+$D358))</f>
        <v/>
      </c>
      <c r="J358" s="24" t="str">
        <f aca="false">IF($I358="","",$I358-$H358)</f>
        <v/>
      </c>
      <c r="K358" s="26" t="str">
        <f aca="true">IF(OR($A358="",$E358=0),"",IF($F358="",EDATE(TODAY(),$E358),EDATE($F358,$E358)))</f>
        <v/>
      </c>
      <c r="L358" s="28" t="str">
        <f aca="true">IF($K358="","",$K358-TODAY())</f>
        <v/>
      </c>
      <c r="M358" s="28" t="str">
        <f aca="false">IF($A358="","",IF(AND($J358="",$L358=""),"-",IF(OR(AND($J358&lt;&gt;"",$J358&lt;=0),AND($L358&lt;&gt;"",$L358&lt;0)),"교체",IF(OR(AND($J358&lt;&gt;"",$J358&lt;=사용안내!$C$16),AND($L358&lt;&gt;"",$L358&lt;=사용안내!$C$17)),"임박","정상"))))</f>
        <v/>
      </c>
    </row>
    <row r="359" customFormat="false" ht="15" hidden="false" customHeight="true" outlineLevel="0" collapsed="false">
      <c r="A359" s="23" t="str">
        <f aca="false">IF(OR(차량목록!$A32="",정비항목!$A8="",차량목록!$G32="매각"),"",차량목록!$A32)</f>
        <v/>
      </c>
      <c r="B359" s="23" t="str">
        <f aca="false">IF($A359="","",차량목록!$B32)</f>
        <v/>
      </c>
      <c r="C359" s="23" t="str">
        <f aca="false">IF($A359="","",정비항목!$B8)</f>
        <v/>
      </c>
      <c r="D359" s="24" t="str">
        <f aca="false">IF($A359="","",IF(정비항목!$C8="",0,정비항목!$C8))</f>
        <v/>
      </c>
      <c r="E359" s="28" t="str">
        <f aca="false">IF($A359="","",IF(정비항목!$D8="",0,정비항목!$D8))</f>
        <v/>
      </c>
      <c r="F359" s="26" t="str">
        <f aca="false">IF($A359="","",IF(COUNTIFS(정비이력!$B$3:$B$1002,$A359,정비이력!$D$3:$D$1002,정비항목!$A8)=0,"",SUMPRODUCT(MAX((정비이력!$B$3:$B$1002=$A359)*(정비이력!$D$3:$D$1002=정비항목!$A8)*정비이력!$A$3:$A$1002))))</f>
        <v/>
      </c>
      <c r="G359" s="27" t="str">
        <f aca="false">IF($A359="","",IF($F359="","",SUMPRODUCT(MAX((정비이력!$B$3:$B$1002=$A359)*(정비이력!$D$3:$D$1002=정비항목!$A8)*정비이력!$F$3:$F$1002))))</f>
        <v/>
      </c>
      <c r="H359" s="27" t="str">
        <f aca="false">IF($A359="","",IF(차량목록!$E32="",0,차량목록!$E32))</f>
        <v/>
      </c>
      <c r="I359" s="27" t="str">
        <f aca="false">IF(OR($A359="",$D359=0),"",IF($G359="",$H359+$D359,$G359+$D359))</f>
        <v/>
      </c>
      <c r="J359" s="24" t="str">
        <f aca="false">IF($I359="","",$I359-$H359)</f>
        <v/>
      </c>
      <c r="K359" s="26" t="str">
        <f aca="true">IF(OR($A359="",$E359=0),"",IF($F359="",EDATE(TODAY(),$E359),EDATE($F359,$E359)))</f>
        <v/>
      </c>
      <c r="L359" s="28" t="str">
        <f aca="true">IF($K359="","",$K359-TODAY())</f>
        <v/>
      </c>
      <c r="M359" s="28" t="str">
        <f aca="false">IF($A359="","",IF(AND($J359="",$L359=""),"-",IF(OR(AND($J359&lt;&gt;"",$J359&lt;=0),AND($L359&lt;&gt;"",$L359&lt;0)),"교체",IF(OR(AND($J359&lt;&gt;"",$J359&lt;=사용안내!$C$16),AND($L359&lt;&gt;"",$L359&lt;=사용안내!$C$17)),"임박","정상"))))</f>
        <v/>
      </c>
    </row>
    <row r="360" customFormat="false" ht="15" hidden="false" customHeight="true" outlineLevel="0" collapsed="false">
      <c r="A360" s="23" t="str">
        <f aca="false">IF(OR(차량목록!$A32="",정비항목!$A9="",차량목록!$G32="매각"),"",차량목록!$A32)</f>
        <v/>
      </c>
      <c r="B360" s="23" t="str">
        <f aca="false">IF($A360="","",차량목록!$B32)</f>
        <v/>
      </c>
      <c r="C360" s="23" t="str">
        <f aca="false">IF($A360="","",정비항목!$B9)</f>
        <v/>
      </c>
      <c r="D360" s="24" t="str">
        <f aca="false">IF($A360="","",IF(정비항목!$C9="",0,정비항목!$C9))</f>
        <v/>
      </c>
      <c r="E360" s="28" t="str">
        <f aca="false">IF($A360="","",IF(정비항목!$D9="",0,정비항목!$D9))</f>
        <v/>
      </c>
      <c r="F360" s="26" t="str">
        <f aca="false">IF($A360="","",IF(COUNTIFS(정비이력!$B$3:$B$1002,$A360,정비이력!$D$3:$D$1002,정비항목!$A9)=0,"",SUMPRODUCT(MAX((정비이력!$B$3:$B$1002=$A360)*(정비이력!$D$3:$D$1002=정비항목!$A9)*정비이력!$A$3:$A$1002))))</f>
        <v/>
      </c>
      <c r="G360" s="27" t="str">
        <f aca="false">IF($A360="","",IF($F360="","",SUMPRODUCT(MAX((정비이력!$B$3:$B$1002=$A360)*(정비이력!$D$3:$D$1002=정비항목!$A9)*정비이력!$F$3:$F$1002))))</f>
        <v/>
      </c>
      <c r="H360" s="27" t="str">
        <f aca="false">IF($A360="","",IF(차량목록!$E32="",0,차량목록!$E32))</f>
        <v/>
      </c>
      <c r="I360" s="27" t="str">
        <f aca="false">IF(OR($A360="",$D360=0),"",IF($G360="",$H360+$D360,$G360+$D360))</f>
        <v/>
      </c>
      <c r="J360" s="24" t="str">
        <f aca="false">IF($I360="","",$I360-$H360)</f>
        <v/>
      </c>
      <c r="K360" s="26" t="str">
        <f aca="true">IF(OR($A360="",$E360=0),"",IF($F360="",EDATE(TODAY(),$E360),EDATE($F360,$E360)))</f>
        <v/>
      </c>
      <c r="L360" s="28" t="str">
        <f aca="true">IF($K360="","",$K360-TODAY())</f>
        <v/>
      </c>
      <c r="M360" s="28" t="str">
        <f aca="false">IF($A360="","",IF(AND($J360="",$L360=""),"-",IF(OR(AND($J360&lt;&gt;"",$J360&lt;=0),AND($L360&lt;&gt;"",$L360&lt;0)),"교체",IF(OR(AND($J360&lt;&gt;"",$J360&lt;=사용안내!$C$16),AND($L360&lt;&gt;"",$L360&lt;=사용안내!$C$17)),"임박","정상"))))</f>
        <v/>
      </c>
    </row>
    <row r="361" customFormat="false" ht="15" hidden="false" customHeight="true" outlineLevel="0" collapsed="false">
      <c r="A361" s="23" t="str">
        <f aca="false">IF(OR(차량목록!$A32="",정비항목!$A10="",차량목록!$G32="매각"),"",차량목록!$A32)</f>
        <v/>
      </c>
      <c r="B361" s="23" t="str">
        <f aca="false">IF($A361="","",차량목록!$B32)</f>
        <v/>
      </c>
      <c r="C361" s="23" t="str">
        <f aca="false">IF($A361="","",정비항목!$B10)</f>
        <v/>
      </c>
      <c r="D361" s="24" t="str">
        <f aca="false">IF($A361="","",IF(정비항목!$C10="",0,정비항목!$C10))</f>
        <v/>
      </c>
      <c r="E361" s="28" t="str">
        <f aca="false">IF($A361="","",IF(정비항목!$D10="",0,정비항목!$D10))</f>
        <v/>
      </c>
      <c r="F361" s="26" t="str">
        <f aca="false">IF($A361="","",IF(COUNTIFS(정비이력!$B$3:$B$1002,$A361,정비이력!$D$3:$D$1002,정비항목!$A10)=0,"",SUMPRODUCT(MAX((정비이력!$B$3:$B$1002=$A361)*(정비이력!$D$3:$D$1002=정비항목!$A10)*정비이력!$A$3:$A$1002))))</f>
        <v/>
      </c>
      <c r="G361" s="27" t="str">
        <f aca="false">IF($A361="","",IF($F361="","",SUMPRODUCT(MAX((정비이력!$B$3:$B$1002=$A361)*(정비이력!$D$3:$D$1002=정비항목!$A10)*정비이력!$F$3:$F$1002))))</f>
        <v/>
      </c>
      <c r="H361" s="27" t="str">
        <f aca="false">IF($A361="","",IF(차량목록!$E32="",0,차량목록!$E32))</f>
        <v/>
      </c>
      <c r="I361" s="27" t="str">
        <f aca="false">IF(OR($A361="",$D361=0),"",IF($G361="",$H361+$D361,$G361+$D361))</f>
        <v/>
      </c>
      <c r="J361" s="24" t="str">
        <f aca="false">IF($I361="","",$I361-$H361)</f>
        <v/>
      </c>
      <c r="K361" s="26" t="str">
        <f aca="true">IF(OR($A361="",$E361=0),"",IF($F361="",EDATE(TODAY(),$E361),EDATE($F361,$E361)))</f>
        <v/>
      </c>
      <c r="L361" s="28" t="str">
        <f aca="true">IF($K361="","",$K361-TODAY())</f>
        <v/>
      </c>
      <c r="M361" s="28" t="str">
        <f aca="false">IF($A361="","",IF(AND($J361="",$L361=""),"-",IF(OR(AND($J361&lt;&gt;"",$J361&lt;=0),AND($L361&lt;&gt;"",$L361&lt;0)),"교체",IF(OR(AND($J361&lt;&gt;"",$J361&lt;=사용안내!$C$16),AND($L361&lt;&gt;"",$L361&lt;=사용안내!$C$17)),"임박","정상"))))</f>
        <v/>
      </c>
    </row>
    <row r="362" customFormat="false" ht="15" hidden="false" customHeight="true" outlineLevel="0" collapsed="false">
      <c r="A362" s="23" t="str">
        <f aca="false">IF(OR(차량목록!$A32="",정비항목!$A11="",차량목록!$G32="매각"),"",차량목록!$A32)</f>
        <v/>
      </c>
      <c r="B362" s="23" t="str">
        <f aca="false">IF($A362="","",차량목록!$B32)</f>
        <v/>
      </c>
      <c r="C362" s="23" t="str">
        <f aca="false">IF($A362="","",정비항목!$B11)</f>
        <v/>
      </c>
      <c r="D362" s="24" t="str">
        <f aca="false">IF($A362="","",IF(정비항목!$C11="",0,정비항목!$C11))</f>
        <v/>
      </c>
      <c r="E362" s="28" t="str">
        <f aca="false">IF($A362="","",IF(정비항목!$D11="",0,정비항목!$D11))</f>
        <v/>
      </c>
      <c r="F362" s="26" t="str">
        <f aca="false">IF($A362="","",IF(COUNTIFS(정비이력!$B$3:$B$1002,$A362,정비이력!$D$3:$D$1002,정비항목!$A11)=0,"",SUMPRODUCT(MAX((정비이력!$B$3:$B$1002=$A362)*(정비이력!$D$3:$D$1002=정비항목!$A11)*정비이력!$A$3:$A$1002))))</f>
        <v/>
      </c>
      <c r="G362" s="27" t="str">
        <f aca="false">IF($A362="","",IF($F362="","",SUMPRODUCT(MAX((정비이력!$B$3:$B$1002=$A362)*(정비이력!$D$3:$D$1002=정비항목!$A11)*정비이력!$F$3:$F$1002))))</f>
        <v/>
      </c>
      <c r="H362" s="27" t="str">
        <f aca="false">IF($A362="","",IF(차량목록!$E32="",0,차량목록!$E32))</f>
        <v/>
      </c>
      <c r="I362" s="27" t="str">
        <f aca="false">IF(OR($A362="",$D362=0),"",IF($G362="",$H362+$D362,$G362+$D362))</f>
        <v/>
      </c>
      <c r="J362" s="24" t="str">
        <f aca="false">IF($I362="","",$I362-$H362)</f>
        <v/>
      </c>
      <c r="K362" s="26" t="str">
        <f aca="true">IF(OR($A362="",$E362=0),"",IF($F362="",EDATE(TODAY(),$E362),EDATE($F362,$E362)))</f>
        <v/>
      </c>
      <c r="L362" s="28" t="str">
        <f aca="true">IF($K362="","",$K362-TODAY())</f>
        <v/>
      </c>
      <c r="M362" s="28" t="str">
        <f aca="false">IF($A362="","",IF(AND($J362="",$L362=""),"-",IF(OR(AND($J362&lt;&gt;"",$J362&lt;=0),AND($L362&lt;&gt;"",$L362&lt;0)),"교체",IF(OR(AND($J362&lt;&gt;"",$J362&lt;=사용안내!$C$16),AND($L362&lt;&gt;"",$L362&lt;=사용안내!$C$17)),"임박","정상"))))</f>
        <v/>
      </c>
    </row>
    <row r="363" customFormat="false" ht="15" hidden="false" customHeight="true" outlineLevel="0" collapsed="false">
      <c r="A363" s="23" t="str">
        <f aca="false">IF(OR(차량목록!$A32="",정비항목!$A12="",차량목록!$G32="매각"),"",차량목록!$A32)</f>
        <v/>
      </c>
      <c r="B363" s="23" t="str">
        <f aca="false">IF($A363="","",차량목록!$B32)</f>
        <v/>
      </c>
      <c r="C363" s="23" t="str">
        <f aca="false">IF($A363="","",정비항목!$B12)</f>
        <v/>
      </c>
      <c r="D363" s="24" t="str">
        <f aca="false">IF($A363="","",IF(정비항목!$C12="",0,정비항목!$C12))</f>
        <v/>
      </c>
      <c r="E363" s="28" t="str">
        <f aca="false">IF($A363="","",IF(정비항목!$D12="",0,정비항목!$D12))</f>
        <v/>
      </c>
      <c r="F363" s="26" t="str">
        <f aca="false">IF($A363="","",IF(COUNTIFS(정비이력!$B$3:$B$1002,$A363,정비이력!$D$3:$D$1002,정비항목!$A12)=0,"",SUMPRODUCT(MAX((정비이력!$B$3:$B$1002=$A363)*(정비이력!$D$3:$D$1002=정비항목!$A12)*정비이력!$A$3:$A$1002))))</f>
        <v/>
      </c>
      <c r="G363" s="27" t="str">
        <f aca="false">IF($A363="","",IF($F363="","",SUMPRODUCT(MAX((정비이력!$B$3:$B$1002=$A363)*(정비이력!$D$3:$D$1002=정비항목!$A12)*정비이력!$F$3:$F$1002))))</f>
        <v/>
      </c>
      <c r="H363" s="27" t="str">
        <f aca="false">IF($A363="","",IF(차량목록!$E32="",0,차량목록!$E32))</f>
        <v/>
      </c>
      <c r="I363" s="27" t="str">
        <f aca="false">IF(OR($A363="",$D363=0),"",IF($G363="",$H363+$D363,$G363+$D363))</f>
        <v/>
      </c>
      <c r="J363" s="24" t="str">
        <f aca="false">IF($I363="","",$I363-$H363)</f>
        <v/>
      </c>
      <c r="K363" s="26" t="str">
        <f aca="true">IF(OR($A363="",$E363=0),"",IF($F363="",EDATE(TODAY(),$E363),EDATE($F363,$E363)))</f>
        <v/>
      </c>
      <c r="L363" s="28" t="str">
        <f aca="true">IF($K363="","",$K363-TODAY())</f>
        <v/>
      </c>
      <c r="M363" s="28" t="str">
        <f aca="false">IF($A363="","",IF(AND($J363="",$L363=""),"-",IF(OR(AND($J363&lt;&gt;"",$J363&lt;=0),AND($L363&lt;&gt;"",$L363&lt;0)),"교체",IF(OR(AND($J363&lt;&gt;"",$J363&lt;=사용안내!$C$16),AND($L363&lt;&gt;"",$L363&lt;=사용안내!$C$17)),"임박","정상"))))</f>
        <v/>
      </c>
    </row>
    <row r="364" customFormat="false" ht="15" hidden="false" customHeight="true" outlineLevel="0" collapsed="false">
      <c r="A364" s="23" t="str">
        <f aca="false">IF(OR(차량목록!$A32="",정비항목!$A13="",차량목록!$G32="매각"),"",차량목록!$A32)</f>
        <v/>
      </c>
      <c r="B364" s="23" t="str">
        <f aca="false">IF($A364="","",차량목록!$B32)</f>
        <v/>
      </c>
      <c r="C364" s="23" t="str">
        <f aca="false">IF($A364="","",정비항목!$B13)</f>
        <v/>
      </c>
      <c r="D364" s="24" t="str">
        <f aca="false">IF($A364="","",IF(정비항목!$C13="",0,정비항목!$C13))</f>
        <v/>
      </c>
      <c r="E364" s="28" t="str">
        <f aca="false">IF($A364="","",IF(정비항목!$D13="",0,정비항목!$D13))</f>
        <v/>
      </c>
      <c r="F364" s="26" t="str">
        <f aca="false">IF($A364="","",IF(COUNTIFS(정비이력!$B$3:$B$1002,$A364,정비이력!$D$3:$D$1002,정비항목!$A13)=0,"",SUMPRODUCT(MAX((정비이력!$B$3:$B$1002=$A364)*(정비이력!$D$3:$D$1002=정비항목!$A13)*정비이력!$A$3:$A$1002))))</f>
        <v/>
      </c>
      <c r="G364" s="27" t="str">
        <f aca="false">IF($A364="","",IF($F364="","",SUMPRODUCT(MAX((정비이력!$B$3:$B$1002=$A364)*(정비이력!$D$3:$D$1002=정비항목!$A13)*정비이력!$F$3:$F$1002))))</f>
        <v/>
      </c>
      <c r="H364" s="27" t="str">
        <f aca="false">IF($A364="","",IF(차량목록!$E32="",0,차량목록!$E32))</f>
        <v/>
      </c>
      <c r="I364" s="27" t="str">
        <f aca="false">IF(OR($A364="",$D364=0),"",IF($G364="",$H364+$D364,$G364+$D364))</f>
        <v/>
      </c>
      <c r="J364" s="24" t="str">
        <f aca="false">IF($I364="","",$I364-$H364)</f>
        <v/>
      </c>
      <c r="K364" s="26" t="str">
        <f aca="true">IF(OR($A364="",$E364=0),"",IF($F364="",EDATE(TODAY(),$E364),EDATE($F364,$E364)))</f>
        <v/>
      </c>
      <c r="L364" s="28" t="str">
        <f aca="true">IF($K364="","",$K364-TODAY())</f>
        <v/>
      </c>
      <c r="M364" s="28" t="str">
        <f aca="false">IF($A364="","",IF(AND($J364="",$L364=""),"-",IF(OR(AND($J364&lt;&gt;"",$J364&lt;=0),AND($L364&lt;&gt;"",$L364&lt;0)),"교체",IF(OR(AND($J364&lt;&gt;"",$J364&lt;=사용안내!$C$16),AND($L364&lt;&gt;"",$L364&lt;=사용안내!$C$17)),"임박","정상"))))</f>
        <v/>
      </c>
    </row>
    <row r="365" customFormat="false" ht="15" hidden="false" customHeight="true" outlineLevel="0" collapsed="false">
      <c r="A365" s="23" t="str">
        <f aca="false">IF(OR(차량목록!$A32="",정비항목!$A14="",차량목록!$G32="매각"),"",차량목록!$A32)</f>
        <v/>
      </c>
      <c r="B365" s="23" t="str">
        <f aca="false">IF($A365="","",차량목록!$B32)</f>
        <v/>
      </c>
      <c r="C365" s="23" t="str">
        <f aca="false">IF($A365="","",정비항목!$B14)</f>
        <v/>
      </c>
      <c r="D365" s="24" t="str">
        <f aca="false">IF($A365="","",IF(정비항목!$C14="",0,정비항목!$C14))</f>
        <v/>
      </c>
      <c r="E365" s="28" t="str">
        <f aca="false">IF($A365="","",IF(정비항목!$D14="",0,정비항목!$D14))</f>
        <v/>
      </c>
      <c r="F365" s="26" t="str">
        <f aca="false">IF($A365="","",IF(COUNTIFS(정비이력!$B$3:$B$1002,$A365,정비이력!$D$3:$D$1002,정비항목!$A14)=0,"",SUMPRODUCT(MAX((정비이력!$B$3:$B$1002=$A365)*(정비이력!$D$3:$D$1002=정비항목!$A14)*정비이력!$A$3:$A$1002))))</f>
        <v/>
      </c>
      <c r="G365" s="27" t="str">
        <f aca="false">IF($A365="","",IF($F365="","",SUMPRODUCT(MAX((정비이력!$B$3:$B$1002=$A365)*(정비이력!$D$3:$D$1002=정비항목!$A14)*정비이력!$F$3:$F$1002))))</f>
        <v/>
      </c>
      <c r="H365" s="27" t="str">
        <f aca="false">IF($A365="","",IF(차량목록!$E32="",0,차량목록!$E32))</f>
        <v/>
      </c>
      <c r="I365" s="27" t="str">
        <f aca="false">IF(OR($A365="",$D365=0),"",IF($G365="",$H365+$D365,$G365+$D365))</f>
        <v/>
      </c>
      <c r="J365" s="24" t="str">
        <f aca="false">IF($I365="","",$I365-$H365)</f>
        <v/>
      </c>
      <c r="K365" s="26" t="str">
        <f aca="true">IF(OR($A365="",$E365=0),"",IF($F365="",EDATE(TODAY(),$E365),EDATE($F365,$E365)))</f>
        <v/>
      </c>
      <c r="L365" s="28" t="str">
        <f aca="true">IF($K365="","",$K365-TODAY())</f>
        <v/>
      </c>
      <c r="M365" s="28" t="str">
        <f aca="false">IF($A365="","",IF(AND($J365="",$L365=""),"-",IF(OR(AND($J365&lt;&gt;"",$J365&lt;=0),AND($L365&lt;&gt;"",$L365&lt;0)),"교체",IF(OR(AND($J365&lt;&gt;"",$J365&lt;=사용안내!$C$16),AND($L365&lt;&gt;"",$L365&lt;=사용안내!$C$17)),"임박","정상"))))</f>
        <v/>
      </c>
    </row>
    <row r="367" customFormat="false" ht="15" hidden="false" customHeight="true" outlineLevel="0" collapsed="false">
      <c r="A367" s="6" t="s">
        <v>79</v>
      </c>
    </row>
    <row r="368" customFormat="false" ht="15" hidden="false" customHeight="true" outlineLevel="0" collapsed="false">
      <c r="A368" s="6" t="s">
        <v>80</v>
      </c>
    </row>
  </sheetData>
  <mergeCells count="1">
    <mergeCell ref="A1:M1"/>
  </mergeCells>
  <conditionalFormatting sqref="A6:M365">
    <cfRule type="expression" priority="2" aboveAverage="0" equalAverage="0" bottom="0" percent="0" rank="0" text="" dxfId="0">
      <formula>$M6="교체"</formula>
    </cfRule>
    <cfRule type="expression" priority="3" aboveAverage="0" equalAverage="0" bottom="0" percent="0" rank="0" text="" dxfId="1">
      <formula>$M6="임박"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11" min="10" style="1" width="11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82</v>
      </c>
      <c r="B3" s="20" t="n">
        <f aca="false">COUNTIF($J$6:$J$365,TRUE())</f>
        <v>1</v>
      </c>
    </row>
    <row r="5" customFormat="false" ht="15" hidden="false" customHeight="true" outlineLevel="0" collapsed="false">
      <c r="A5" s="10" t="s">
        <v>83</v>
      </c>
      <c r="B5" s="10" t="s">
        <v>26</v>
      </c>
      <c r="C5" s="10" t="s">
        <v>27</v>
      </c>
      <c r="D5" s="10" t="s">
        <v>71</v>
      </c>
      <c r="E5" s="10" t="s">
        <v>76</v>
      </c>
      <c r="F5" s="10" t="s">
        <v>77</v>
      </c>
      <c r="G5" s="22" t="s">
        <v>78</v>
      </c>
      <c r="H5" s="10" t="s">
        <v>32</v>
      </c>
    </row>
    <row r="6" customFormat="false" ht="15" hidden="false" customHeight="true" outlineLevel="0" collapsed="false">
      <c r="A6" s="28" t="n">
        <f aca="false">IF($B6="","",1)</f>
        <v>1</v>
      </c>
      <c r="B6" s="23" t="str">
        <f aca="false">IFERROR(INDEX(정비현황!$A$6:$A$365,MATCH("R"&amp;1,교체대상!$L$6:$L$365,0)),"")</f>
        <v>12가3456</v>
      </c>
      <c r="C6" s="23" t="str">
        <f aca="false">IF($B6="","",IFERROR(INDEX(정비현황!$B$6:$B$365,MATCH("R"&amp;1,교체대상!$L$6:$L$365,0)),""))</f>
        <v>포터2</v>
      </c>
      <c r="D6" s="23" t="str">
        <f aca="false">IF($B6="","",IFERROR(INDEX(정비현황!$C$6:$C$365,MATCH("R"&amp;1,교체대상!$L$6:$L$365,0)),""))</f>
        <v>엔진오일</v>
      </c>
      <c r="E6" s="24" t="n">
        <f aca="false">IF($B6="","",IFERROR(INDEX(정비현황!$J$6:$J$365,MATCH("R"&amp;1,교체대상!$L$6:$L$365,0)),""))</f>
        <v>200</v>
      </c>
      <c r="F6" s="26" t="n">
        <f aca="false">IF($B6="","",IFERROR(INDEX(정비현황!$K$6:$K$365,MATCH("R"&amp;1,교체대상!$L$6:$L$365,0)),""))</f>
        <v>46366</v>
      </c>
      <c r="G6" s="28" t="n">
        <f aca="false">IF($B6="","",IFERROR(INDEX(정비현황!$L$6:$L$365,MATCH("R"&amp;1,교체대상!$L$6:$L$365,0)),""))</f>
        <v>87</v>
      </c>
      <c r="H6" s="28" t="str">
        <f aca="false">IF($B6="","",IFERROR(INDEX(정비현황!$M$6:$M$365,MATCH("R"&amp;1,교체대상!$L$6:$L$365,0)),""))</f>
        <v>임박</v>
      </c>
      <c r="J6" s="29" t="b">
        <f aca="false">IF(정비현황!$A6="",FALSE(),OR(정비현황!$M6="교체",정비현황!$M6="임박"))</f>
        <v>1</v>
      </c>
      <c r="K6" s="6" t="n">
        <f aca="false">IF($J6=FALSE(),"",COUNTIF($J$6:$J6,TRUE()))</f>
        <v>1</v>
      </c>
      <c r="L6" s="6" t="str">
        <f aca="false">IF($K6="","","R"&amp;$K6)</f>
        <v>R1</v>
      </c>
    </row>
    <row r="7" customFormat="false" ht="15" hidden="false" customHeight="true" outlineLevel="0" collapsed="false">
      <c r="A7" s="28" t="str">
        <f aca="false">IF($B7="","",2)</f>
        <v/>
      </c>
      <c r="B7" s="23" t="str">
        <f aca="false">IFERROR(INDEX(정비현황!$A$6:$A$365,MATCH("R"&amp;2,교체대상!$L$6:$L$365,0)),"")</f>
        <v/>
      </c>
      <c r="C7" s="23" t="str">
        <f aca="false">IF($B7="","",IFERROR(INDEX(정비현황!$B$6:$B$365,MATCH("R"&amp;2,교체대상!$L$6:$L$365,0)),""))</f>
        <v/>
      </c>
      <c r="D7" s="23" t="str">
        <f aca="false">IF($B7="","",IFERROR(INDEX(정비현황!$C$6:$C$365,MATCH("R"&amp;2,교체대상!$L$6:$L$365,0)),""))</f>
        <v/>
      </c>
      <c r="E7" s="24" t="str">
        <f aca="false">IF($B7="","",IFERROR(INDEX(정비현황!$J$6:$J$365,MATCH("R"&amp;2,교체대상!$L$6:$L$365,0)),""))</f>
        <v/>
      </c>
      <c r="F7" s="26" t="str">
        <f aca="false">IF($B7="","",IFERROR(INDEX(정비현황!$K$6:$K$365,MATCH("R"&amp;2,교체대상!$L$6:$L$365,0)),""))</f>
        <v/>
      </c>
      <c r="G7" s="28" t="str">
        <f aca="false">IF($B7="","",IFERROR(INDEX(정비현황!$L$6:$L$365,MATCH("R"&amp;2,교체대상!$L$6:$L$365,0)),""))</f>
        <v/>
      </c>
      <c r="H7" s="28" t="str">
        <f aca="false">IF($B7="","",IFERROR(INDEX(정비현황!$M$6:$M$365,MATCH("R"&amp;2,교체대상!$L$6:$L$365,0)),""))</f>
        <v/>
      </c>
      <c r="J7" s="29" t="b">
        <f aca="false">IF(정비현황!$A7="",FALSE(),OR(정비현황!$M7="교체",정비현황!$M7="임박"))</f>
        <v>0</v>
      </c>
      <c r="K7" s="6" t="str">
        <f aca="false">IF($J7=FALSE(),"",COUNTIF($J$6:$J7,TRUE()))</f>
        <v/>
      </c>
      <c r="L7" s="6" t="str">
        <f aca="false">IF($K7="","","R"&amp;$K7)</f>
        <v/>
      </c>
    </row>
    <row r="8" customFormat="false" ht="15" hidden="false" customHeight="true" outlineLevel="0" collapsed="false">
      <c r="A8" s="28" t="str">
        <f aca="false">IF($B8="","",3)</f>
        <v/>
      </c>
      <c r="B8" s="23" t="str">
        <f aca="false">IFERROR(INDEX(정비현황!$A$6:$A$365,MATCH("R"&amp;3,교체대상!$L$6:$L$365,0)),"")</f>
        <v/>
      </c>
      <c r="C8" s="23" t="str">
        <f aca="false">IF($B8="","",IFERROR(INDEX(정비현황!$B$6:$B$365,MATCH("R"&amp;3,교체대상!$L$6:$L$365,0)),""))</f>
        <v/>
      </c>
      <c r="D8" s="23" t="str">
        <f aca="false">IF($B8="","",IFERROR(INDEX(정비현황!$C$6:$C$365,MATCH("R"&amp;3,교체대상!$L$6:$L$365,0)),""))</f>
        <v/>
      </c>
      <c r="E8" s="24" t="str">
        <f aca="false">IF($B8="","",IFERROR(INDEX(정비현황!$J$6:$J$365,MATCH("R"&amp;3,교체대상!$L$6:$L$365,0)),""))</f>
        <v/>
      </c>
      <c r="F8" s="26" t="str">
        <f aca="false">IF($B8="","",IFERROR(INDEX(정비현황!$K$6:$K$365,MATCH("R"&amp;3,교체대상!$L$6:$L$365,0)),""))</f>
        <v/>
      </c>
      <c r="G8" s="28" t="str">
        <f aca="false">IF($B8="","",IFERROR(INDEX(정비현황!$L$6:$L$365,MATCH("R"&amp;3,교체대상!$L$6:$L$365,0)),""))</f>
        <v/>
      </c>
      <c r="H8" s="28" t="str">
        <f aca="false">IF($B8="","",IFERROR(INDEX(정비현황!$M$6:$M$365,MATCH("R"&amp;3,교체대상!$L$6:$L$365,0)),""))</f>
        <v/>
      </c>
      <c r="J8" s="29" t="b">
        <f aca="false">IF(정비현황!$A8="",FALSE(),OR(정비현황!$M8="교체",정비현황!$M8="임박"))</f>
        <v>0</v>
      </c>
      <c r="K8" s="6" t="str">
        <f aca="false">IF($J8=FALSE(),"",COUNTIF($J$6:$J8,TRUE()))</f>
        <v/>
      </c>
      <c r="L8" s="6" t="str">
        <f aca="false">IF($K8="","","R"&amp;$K8)</f>
        <v/>
      </c>
    </row>
    <row r="9" customFormat="false" ht="15" hidden="false" customHeight="true" outlineLevel="0" collapsed="false">
      <c r="A9" s="28" t="str">
        <f aca="false">IF($B9="","",4)</f>
        <v/>
      </c>
      <c r="B9" s="23" t="str">
        <f aca="false">IFERROR(INDEX(정비현황!$A$6:$A$365,MATCH("R"&amp;4,교체대상!$L$6:$L$365,0)),"")</f>
        <v/>
      </c>
      <c r="C9" s="23" t="str">
        <f aca="false">IF($B9="","",IFERROR(INDEX(정비현황!$B$6:$B$365,MATCH("R"&amp;4,교체대상!$L$6:$L$365,0)),""))</f>
        <v/>
      </c>
      <c r="D9" s="23" t="str">
        <f aca="false">IF($B9="","",IFERROR(INDEX(정비현황!$C$6:$C$365,MATCH("R"&amp;4,교체대상!$L$6:$L$365,0)),""))</f>
        <v/>
      </c>
      <c r="E9" s="24" t="str">
        <f aca="false">IF($B9="","",IFERROR(INDEX(정비현황!$J$6:$J$365,MATCH("R"&amp;4,교체대상!$L$6:$L$365,0)),""))</f>
        <v/>
      </c>
      <c r="F9" s="26" t="str">
        <f aca="false">IF($B9="","",IFERROR(INDEX(정비현황!$K$6:$K$365,MATCH("R"&amp;4,교체대상!$L$6:$L$365,0)),""))</f>
        <v/>
      </c>
      <c r="G9" s="28" t="str">
        <f aca="false">IF($B9="","",IFERROR(INDEX(정비현황!$L$6:$L$365,MATCH("R"&amp;4,교체대상!$L$6:$L$365,0)),""))</f>
        <v/>
      </c>
      <c r="H9" s="28" t="str">
        <f aca="false">IF($B9="","",IFERROR(INDEX(정비현황!$M$6:$M$365,MATCH("R"&amp;4,교체대상!$L$6:$L$365,0)),""))</f>
        <v/>
      </c>
      <c r="J9" s="29" t="b">
        <f aca="false">IF(정비현황!$A9="",FALSE(),OR(정비현황!$M9="교체",정비현황!$M9="임박"))</f>
        <v>0</v>
      </c>
      <c r="K9" s="6" t="str">
        <f aca="false">IF($J9=FALSE(),"",COUNTIF($J$6:$J9,TRUE()))</f>
        <v/>
      </c>
      <c r="L9" s="6" t="str">
        <f aca="false">IF($K9="","","R"&amp;$K9)</f>
        <v/>
      </c>
    </row>
    <row r="10" customFormat="false" ht="15" hidden="false" customHeight="true" outlineLevel="0" collapsed="false">
      <c r="A10" s="28" t="str">
        <f aca="false">IF($B10="","",5)</f>
        <v/>
      </c>
      <c r="B10" s="23" t="str">
        <f aca="false">IFERROR(INDEX(정비현황!$A$6:$A$365,MATCH("R"&amp;5,교체대상!$L$6:$L$365,0)),"")</f>
        <v/>
      </c>
      <c r="C10" s="23" t="str">
        <f aca="false">IF($B10="","",IFERROR(INDEX(정비현황!$B$6:$B$365,MATCH("R"&amp;5,교체대상!$L$6:$L$365,0)),""))</f>
        <v/>
      </c>
      <c r="D10" s="23" t="str">
        <f aca="false">IF($B10="","",IFERROR(INDEX(정비현황!$C$6:$C$365,MATCH("R"&amp;5,교체대상!$L$6:$L$365,0)),""))</f>
        <v/>
      </c>
      <c r="E10" s="24" t="str">
        <f aca="false">IF($B10="","",IFERROR(INDEX(정비현황!$J$6:$J$365,MATCH("R"&amp;5,교체대상!$L$6:$L$365,0)),""))</f>
        <v/>
      </c>
      <c r="F10" s="26" t="str">
        <f aca="false">IF($B10="","",IFERROR(INDEX(정비현황!$K$6:$K$365,MATCH("R"&amp;5,교체대상!$L$6:$L$365,0)),""))</f>
        <v/>
      </c>
      <c r="G10" s="28" t="str">
        <f aca="false">IF($B10="","",IFERROR(INDEX(정비현황!$L$6:$L$365,MATCH("R"&amp;5,교체대상!$L$6:$L$365,0)),""))</f>
        <v/>
      </c>
      <c r="H10" s="28" t="str">
        <f aca="false">IF($B10="","",IFERROR(INDEX(정비현황!$M$6:$M$365,MATCH("R"&amp;5,교체대상!$L$6:$L$365,0)),""))</f>
        <v/>
      </c>
      <c r="J10" s="29" t="b">
        <f aca="false">IF(정비현황!$A10="",FALSE(),OR(정비현황!$M10="교체",정비현황!$M10="임박"))</f>
        <v>0</v>
      </c>
      <c r="K10" s="6" t="str">
        <f aca="false">IF($J10=FALSE(),"",COUNTIF($J$6:$J10,TRUE()))</f>
        <v/>
      </c>
      <c r="L10" s="6" t="str">
        <f aca="false">IF($K10="","","R"&amp;$K10)</f>
        <v/>
      </c>
    </row>
    <row r="11" customFormat="false" ht="15" hidden="false" customHeight="true" outlineLevel="0" collapsed="false">
      <c r="A11" s="28" t="str">
        <f aca="false">IF($B11="","",6)</f>
        <v/>
      </c>
      <c r="B11" s="23" t="str">
        <f aca="false">IFERROR(INDEX(정비현황!$A$6:$A$365,MATCH("R"&amp;6,교체대상!$L$6:$L$365,0)),"")</f>
        <v/>
      </c>
      <c r="C11" s="23" t="str">
        <f aca="false">IF($B11="","",IFERROR(INDEX(정비현황!$B$6:$B$365,MATCH("R"&amp;6,교체대상!$L$6:$L$365,0)),""))</f>
        <v/>
      </c>
      <c r="D11" s="23" t="str">
        <f aca="false">IF($B11="","",IFERROR(INDEX(정비현황!$C$6:$C$365,MATCH("R"&amp;6,교체대상!$L$6:$L$365,0)),""))</f>
        <v/>
      </c>
      <c r="E11" s="24" t="str">
        <f aca="false">IF($B11="","",IFERROR(INDEX(정비현황!$J$6:$J$365,MATCH("R"&amp;6,교체대상!$L$6:$L$365,0)),""))</f>
        <v/>
      </c>
      <c r="F11" s="26" t="str">
        <f aca="false">IF($B11="","",IFERROR(INDEX(정비현황!$K$6:$K$365,MATCH("R"&amp;6,교체대상!$L$6:$L$365,0)),""))</f>
        <v/>
      </c>
      <c r="G11" s="28" t="str">
        <f aca="false">IF($B11="","",IFERROR(INDEX(정비현황!$L$6:$L$365,MATCH("R"&amp;6,교체대상!$L$6:$L$365,0)),""))</f>
        <v/>
      </c>
      <c r="H11" s="28" t="str">
        <f aca="false">IF($B11="","",IFERROR(INDEX(정비현황!$M$6:$M$365,MATCH("R"&amp;6,교체대상!$L$6:$L$365,0)),""))</f>
        <v/>
      </c>
      <c r="J11" s="29" t="b">
        <f aca="false">IF(정비현황!$A11="",FALSE(),OR(정비현황!$M11="교체",정비현황!$M11="임박"))</f>
        <v>0</v>
      </c>
      <c r="K11" s="6" t="str">
        <f aca="false">IF($J11=FALSE(),"",COUNTIF($J$6:$J11,TRUE()))</f>
        <v/>
      </c>
      <c r="L11" s="6" t="str">
        <f aca="false">IF($K11="","","R"&amp;$K11)</f>
        <v/>
      </c>
    </row>
    <row r="12" customFormat="false" ht="15" hidden="false" customHeight="true" outlineLevel="0" collapsed="false">
      <c r="A12" s="28" t="str">
        <f aca="false">IF($B12="","",7)</f>
        <v/>
      </c>
      <c r="B12" s="23" t="str">
        <f aca="false">IFERROR(INDEX(정비현황!$A$6:$A$365,MATCH("R"&amp;7,교체대상!$L$6:$L$365,0)),"")</f>
        <v/>
      </c>
      <c r="C12" s="23" t="str">
        <f aca="false">IF($B12="","",IFERROR(INDEX(정비현황!$B$6:$B$365,MATCH("R"&amp;7,교체대상!$L$6:$L$365,0)),""))</f>
        <v/>
      </c>
      <c r="D12" s="23" t="str">
        <f aca="false">IF($B12="","",IFERROR(INDEX(정비현황!$C$6:$C$365,MATCH("R"&amp;7,교체대상!$L$6:$L$365,0)),""))</f>
        <v/>
      </c>
      <c r="E12" s="24" t="str">
        <f aca="false">IF($B12="","",IFERROR(INDEX(정비현황!$J$6:$J$365,MATCH("R"&amp;7,교체대상!$L$6:$L$365,0)),""))</f>
        <v/>
      </c>
      <c r="F12" s="26" t="str">
        <f aca="false">IF($B12="","",IFERROR(INDEX(정비현황!$K$6:$K$365,MATCH("R"&amp;7,교체대상!$L$6:$L$365,0)),""))</f>
        <v/>
      </c>
      <c r="G12" s="28" t="str">
        <f aca="false">IF($B12="","",IFERROR(INDEX(정비현황!$L$6:$L$365,MATCH("R"&amp;7,교체대상!$L$6:$L$365,0)),""))</f>
        <v/>
      </c>
      <c r="H12" s="28" t="str">
        <f aca="false">IF($B12="","",IFERROR(INDEX(정비현황!$M$6:$M$365,MATCH("R"&amp;7,교체대상!$L$6:$L$365,0)),""))</f>
        <v/>
      </c>
      <c r="J12" s="29" t="b">
        <f aca="false">IF(정비현황!$A12="",FALSE(),OR(정비현황!$M12="교체",정비현황!$M12="임박"))</f>
        <v>0</v>
      </c>
      <c r="K12" s="6" t="str">
        <f aca="false">IF($J12=FALSE(),"",COUNTIF($J$6:$J12,TRUE()))</f>
        <v/>
      </c>
      <c r="L12" s="6" t="str">
        <f aca="false">IF($K12="","","R"&amp;$K12)</f>
        <v/>
      </c>
    </row>
    <row r="13" customFormat="false" ht="15" hidden="false" customHeight="true" outlineLevel="0" collapsed="false">
      <c r="A13" s="28" t="str">
        <f aca="false">IF($B13="","",8)</f>
        <v/>
      </c>
      <c r="B13" s="23" t="str">
        <f aca="false">IFERROR(INDEX(정비현황!$A$6:$A$365,MATCH("R"&amp;8,교체대상!$L$6:$L$365,0)),"")</f>
        <v/>
      </c>
      <c r="C13" s="23" t="str">
        <f aca="false">IF($B13="","",IFERROR(INDEX(정비현황!$B$6:$B$365,MATCH("R"&amp;8,교체대상!$L$6:$L$365,0)),""))</f>
        <v/>
      </c>
      <c r="D13" s="23" t="str">
        <f aca="false">IF($B13="","",IFERROR(INDEX(정비현황!$C$6:$C$365,MATCH("R"&amp;8,교체대상!$L$6:$L$365,0)),""))</f>
        <v/>
      </c>
      <c r="E13" s="24" t="str">
        <f aca="false">IF($B13="","",IFERROR(INDEX(정비현황!$J$6:$J$365,MATCH("R"&amp;8,교체대상!$L$6:$L$365,0)),""))</f>
        <v/>
      </c>
      <c r="F13" s="26" t="str">
        <f aca="false">IF($B13="","",IFERROR(INDEX(정비현황!$K$6:$K$365,MATCH("R"&amp;8,교체대상!$L$6:$L$365,0)),""))</f>
        <v/>
      </c>
      <c r="G13" s="28" t="str">
        <f aca="false">IF($B13="","",IFERROR(INDEX(정비현황!$L$6:$L$365,MATCH("R"&amp;8,교체대상!$L$6:$L$365,0)),""))</f>
        <v/>
      </c>
      <c r="H13" s="28" t="str">
        <f aca="false">IF($B13="","",IFERROR(INDEX(정비현황!$M$6:$M$365,MATCH("R"&amp;8,교체대상!$L$6:$L$365,0)),""))</f>
        <v/>
      </c>
      <c r="J13" s="29" t="b">
        <f aca="false">IF(정비현황!$A13="",FALSE(),OR(정비현황!$M13="교체",정비현황!$M13="임박"))</f>
        <v>0</v>
      </c>
      <c r="K13" s="6" t="str">
        <f aca="false">IF($J13=FALSE(),"",COUNTIF($J$6:$J13,TRUE()))</f>
        <v/>
      </c>
      <c r="L13" s="6" t="str">
        <f aca="false">IF($K13="","","R"&amp;$K13)</f>
        <v/>
      </c>
    </row>
    <row r="14" customFormat="false" ht="15" hidden="false" customHeight="true" outlineLevel="0" collapsed="false">
      <c r="A14" s="28" t="str">
        <f aca="false">IF($B14="","",9)</f>
        <v/>
      </c>
      <c r="B14" s="23" t="str">
        <f aca="false">IFERROR(INDEX(정비현황!$A$6:$A$365,MATCH("R"&amp;9,교체대상!$L$6:$L$365,0)),"")</f>
        <v/>
      </c>
      <c r="C14" s="23" t="str">
        <f aca="false">IF($B14="","",IFERROR(INDEX(정비현황!$B$6:$B$365,MATCH("R"&amp;9,교체대상!$L$6:$L$365,0)),""))</f>
        <v/>
      </c>
      <c r="D14" s="23" t="str">
        <f aca="false">IF($B14="","",IFERROR(INDEX(정비현황!$C$6:$C$365,MATCH("R"&amp;9,교체대상!$L$6:$L$365,0)),""))</f>
        <v/>
      </c>
      <c r="E14" s="24" t="str">
        <f aca="false">IF($B14="","",IFERROR(INDEX(정비현황!$J$6:$J$365,MATCH("R"&amp;9,교체대상!$L$6:$L$365,0)),""))</f>
        <v/>
      </c>
      <c r="F14" s="26" t="str">
        <f aca="false">IF($B14="","",IFERROR(INDEX(정비현황!$K$6:$K$365,MATCH("R"&amp;9,교체대상!$L$6:$L$365,0)),""))</f>
        <v/>
      </c>
      <c r="G14" s="28" t="str">
        <f aca="false">IF($B14="","",IFERROR(INDEX(정비현황!$L$6:$L$365,MATCH("R"&amp;9,교체대상!$L$6:$L$365,0)),""))</f>
        <v/>
      </c>
      <c r="H14" s="28" t="str">
        <f aca="false">IF($B14="","",IFERROR(INDEX(정비현황!$M$6:$M$365,MATCH("R"&amp;9,교체대상!$L$6:$L$365,0)),""))</f>
        <v/>
      </c>
      <c r="J14" s="29" t="b">
        <f aca="false">IF(정비현황!$A14="",FALSE(),OR(정비현황!$M14="교체",정비현황!$M14="임박"))</f>
        <v>0</v>
      </c>
      <c r="K14" s="6" t="str">
        <f aca="false">IF($J14=FALSE(),"",COUNTIF($J$6:$J14,TRUE()))</f>
        <v/>
      </c>
      <c r="L14" s="6" t="str">
        <f aca="false">IF($K14="","","R"&amp;$K14)</f>
        <v/>
      </c>
    </row>
    <row r="15" customFormat="false" ht="15" hidden="false" customHeight="true" outlineLevel="0" collapsed="false">
      <c r="A15" s="28" t="str">
        <f aca="false">IF($B15="","",10)</f>
        <v/>
      </c>
      <c r="B15" s="23" t="str">
        <f aca="false">IFERROR(INDEX(정비현황!$A$6:$A$365,MATCH("R"&amp;10,교체대상!$L$6:$L$365,0)),"")</f>
        <v/>
      </c>
      <c r="C15" s="23" t="str">
        <f aca="false">IF($B15="","",IFERROR(INDEX(정비현황!$B$6:$B$365,MATCH("R"&amp;10,교체대상!$L$6:$L$365,0)),""))</f>
        <v/>
      </c>
      <c r="D15" s="23" t="str">
        <f aca="false">IF($B15="","",IFERROR(INDEX(정비현황!$C$6:$C$365,MATCH("R"&amp;10,교체대상!$L$6:$L$365,0)),""))</f>
        <v/>
      </c>
      <c r="E15" s="24" t="str">
        <f aca="false">IF($B15="","",IFERROR(INDEX(정비현황!$J$6:$J$365,MATCH("R"&amp;10,교체대상!$L$6:$L$365,0)),""))</f>
        <v/>
      </c>
      <c r="F15" s="26" t="str">
        <f aca="false">IF($B15="","",IFERROR(INDEX(정비현황!$K$6:$K$365,MATCH("R"&amp;10,교체대상!$L$6:$L$365,0)),""))</f>
        <v/>
      </c>
      <c r="G15" s="28" t="str">
        <f aca="false">IF($B15="","",IFERROR(INDEX(정비현황!$L$6:$L$365,MATCH("R"&amp;10,교체대상!$L$6:$L$365,0)),""))</f>
        <v/>
      </c>
      <c r="H15" s="28" t="str">
        <f aca="false">IF($B15="","",IFERROR(INDEX(정비현황!$M$6:$M$365,MATCH("R"&amp;10,교체대상!$L$6:$L$365,0)),""))</f>
        <v/>
      </c>
      <c r="J15" s="29" t="b">
        <f aca="false">IF(정비현황!$A15="",FALSE(),OR(정비현황!$M15="교체",정비현황!$M15="임박"))</f>
        <v>0</v>
      </c>
      <c r="K15" s="6" t="str">
        <f aca="false">IF($J15=FALSE(),"",COUNTIF($J$6:$J15,TRUE()))</f>
        <v/>
      </c>
      <c r="L15" s="6" t="str">
        <f aca="false">IF($K15="","","R"&amp;$K15)</f>
        <v/>
      </c>
    </row>
    <row r="16" customFormat="false" ht="15" hidden="false" customHeight="true" outlineLevel="0" collapsed="false">
      <c r="A16" s="28" t="str">
        <f aca="false">IF($B16="","",11)</f>
        <v/>
      </c>
      <c r="B16" s="23" t="str">
        <f aca="false">IFERROR(INDEX(정비현황!$A$6:$A$365,MATCH("R"&amp;11,교체대상!$L$6:$L$365,0)),"")</f>
        <v/>
      </c>
      <c r="C16" s="23" t="str">
        <f aca="false">IF($B16="","",IFERROR(INDEX(정비현황!$B$6:$B$365,MATCH("R"&amp;11,교체대상!$L$6:$L$365,0)),""))</f>
        <v/>
      </c>
      <c r="D16" s="23" t="str">
        <f aca="false">IF($B16="","",IFERROR(INDEX(정비현황!$C$6:$C$365,MATCH("R"&amp;11,교체대상!$L$6:$L$365,0)),""))</f>
        <v/>
      </c>
      <c r="E16" s="24" t="str">
        <f aca="false">IF($B16="","",IFERROR(INDEX(정비현황!$J$6:$J$365,MATCH("R"&amp;11,교체대상!$L$6:$L$365,0)),""))</f>
        <v/>
      </c>
      <c r="F16" s="26" t="str">
        <f aca="false">IF($B16="","",IFERROR(INDEX(정비현황!$K$6:$K$365,MATCH("R"&amp;11,교체대상!$L$6:$L$365,0)),""))</f>
        <v/>
      </c>
      <c r="G16" s="28" t="str">
        <f aca="false">IF($B16="","",IFERROR(INDEX(정비현황!$L$6:$L$365,MATCH("R"&amp;11,교체대상!$L$6:$L$365,0)),""))</f>
        <v/>
      </c>
      <c r="H16" s="28" t="str">
        <f aca="false">IF($B16="","",IFERROR(INDEX(정비현황!$M$6:$M$365,MATCH("R"&amp;11,교체대상!$L$6:$L$365,0)),""))</f>
        <v/>
      </c>
      <c r="J16" s="29" t="b">
        <f aca="false">IF(정비현황!$A16="",FALSE(),OR(정비현황!$M16="교체",정비현황!$M16="임박"))</f>
        <v>0</v>
      </c>
      <c r="K16" s="6" t="str">
        <f aca="false">IF($J16=FALSE(),"",COUNTIF($J$6:$J16,TRUE()))</f>
        <v/>
      </c>
      <c r="L16" s="6" t="str">
        <f aca="false">IF($K16="","","R"&amp;$K16)</f>
        <v/>
      </c>
    </row>
    <row r="17" customFormat="false" ht="15" hidden="false" customHeight="true" outlineLevel="0" collapsed="false">
      <c r="A17" s="28" t="str">
        <f aca="false">IF($B17="","",12)</f>
        <v/>
      </c>
      <c r="B17" s="23" t="str">
        <f aca="false">IFERROR(INDEX(정비현황!$A$6:$A$365,MATCH("R"&amp;12,교체대상!$L$6:$L$365,0)),"")</f>
        <v/>
      </c>
      <c r="C17" s="23" t="str">
        <f aca="false">IF($B17="","",IFERROR(INDEX(정비현황!$B$6:$B$365,MATCH("R"&amp;12,교체대상!$L$6:$L$365,0)),""))</f>
        <v/>
      </c>
      <c r="D17" s="23" t="str">
        <f aca="false">IF($B17="","",IFERROR(INDEX(정비현황!$C$6:$C$365,MATCH("R"&amp;12,교체대상!$L$6:$L$365,0)),""))</f>
        <v/>
      </c>
      <c r="E17" s="24" t="str">
        <f aca="false">IF($B17="","",IFERROR(INDEX(정비현황!$J$6:$J$365,MATCH("R"&amp;12,교체대상!$L$6:$L$365,0)),""))</f>
        <v/>
      </c>
      <c r="F17" s="26" t="str">
        <f aca="false">IF($B17="","",IFERROR(INDEX(정비현황!$K$6:$K$365,MATCH("R"&amp;12,교체대상!$L$6:$L$365,0)),""))</f>
        <v/>
      </c>
      <c r="G17" s="28" t="str">
        <f aca="false">IF($B17="","",IFERROR(INDEX(정비현황!$L$6:$L$365,MATCH("R"&amp;12,교체대상!$L$6:$L$365,0)),""))</f>
        <v/>
      </c>
      <c r="H17" s="28" t="str">
        <f aca="false">IF($B17="","",IFERROR(INDEX(정비현황!$M$6:$M$365,MATCH("R"&amp;12,교체대상!$L$6:$L$365,0)),""))</f>
        <v/>
      </c>
      <c r="J17" s="29" t="b">
        <f aca="false">IF(정비현황!$A17="",FALSE(),OR(정비현황!$M17="교체",정비현황!$M17="임박"))</f>
        <v>0</v>
      </c>
      <c r="K17" s="6" t="str">
        <f aca="false">IF($J17=FALSE(),"",COUNTIF($J$6:$J17,TRUE()))</f>
        <v/>
      </c>
      <c r="L17" s="6" t="str">
        <f aca="false">IF($K17="","","R"&amp;$K17)</f>
        <v/>
      </c>
    </row>
    <row r="18" customFormat="false" ht="15" hidden="false" customHeight="true" outlineLevel="0" collapsed="false">
      <c r="A18" s="28" t="str">
        <f aca="false">IF($B18="","",13)</f>
        <v/>
      </c>
      <c r="B18" s="23" t="str">
        <f aca="false">IFERROR(INDEX(정비현황!$A$6:$A$365,MATCH("R"&amp;13,교체대상!$L$6:$L$365,0)),"")</f>
        <v/>
      </c>
      <c r="C18" s="23" t="str">
        <f aca="false">IF($B18="","",IFERROR(INDEX(정비현황!$B$6:$B$365,MATCH("R"&amp;13,교체대상!$L$6:$L$365,0)),""))</f>
        <v/>
      </c>
      <c r="D18" s="23" t="str">
        <f aca="false">IF($B18="","",IFERROR(INDEX(정비현황!$C$6:$C$365,MATCH("R"&amp;13,교체대상!$L$6:$L$365,0)),""))</f>
        <v/>
      </c>
      <c r="E18" s="24" t="str">
        <f aca="false">IF($B18="","",IFERROR(INDEX(정비현황!$J$6:$J$365,MATCH("R"&amp;13,교체대상!$L$6:$L$365,0)),""))</f>
        <v/>
      </c>
      <c r="F18" s="26" t="str">
        <f aca="false">IF($B18="","",IFERROR(INDEX(정비현황!$K$6:$K$365,MATCH("R"&amp;13,교체대상!$L$6:$L$365,0)),""))</f>
        <v/>
      </c>
      <c r="G18" s="28" t="str">
        <f aca="false">IF($B18="","",IFERROR(INDEX(정비현황!$L$6:$L$365,MATCH("R"&amp;13,교체대상!$L$6:$L$365,0)),""))</f>
        <v/>
      </c>
      <c r="H18" s="28" t="str">
        <f aca="false">IF($B18="","",IFERROR(INDEX(정비현황!$M$6:$M$365,MATCH("R"&amp;13,교체대상!$L$6:$L$365,0)),""))</f>
        <v/>
      </c>
      <c r="J18" s="29" t="b">
        <f aca="false">IF(정비현황!$A18="",FALSE(),OR(정비현황!$M18="교체",정비현황!$M18="임박"))</f>
        <v>0</v>
      </c>
      <c r="K18" s="6" t="str">
        <f aca="false">IF($J18=FALSE(),"",COUNTIF($J$6:$J18,TRUE()))</f>
        <v/>
      </c>
      <c r="L18" s="6" t="str">
        <f aca="false">IF($K18="","","R"&amp;$K18)</f>
        <v/>
      </c>
    </row>
    <row r="19" customFormat="false" ht="15" hidden="false" customHeight="true" outlineLevel="0" collapsed="false">
      <c r="A19" s="28" t="str">
        <f aca="false">IF($B19="","",14)</f>
        <v/>
      </c>
      <c r="B19" s="23" t="str">
        <f aca="false">IFERROR(INDEX(정비현황!$A$6:$A$365,MATCH("R"&amp;14,교체대상!$L$6:$L$365,0)),"")</f>
        <v/>
      </c>
      <c r="C19" s="23" t="str">
        <f aca="false">IF($B19="","",IFERROR(INDEX(정비현황!$B$6:$B$365,MATCH("R"&amp;14,교체대상!$L$6:$L$365,0)),""))</f>
        <v/>
      </c>
      <c r="D19" s="23" t="str">
        <f aca="false">IF($B19="","",IFERROR(INDEX(정비현황!$C$6:$C$365,MATCH("R"&amp;14,교체대상!$L$6:$L$365,0)),""))</f>
        <v/>
      </c>
      <c r="E19" s="24" t="str">
        <f aca="false">IF($B19="","",IFERROR(INDEX(정비현황!$J$6:$J$365,MATCH("R"&amp;14,교체대상!$L$6:$L$365,0)),""))</f>
        <v/>
      </c>
      <c r="F19" s="26" t="str">
        <f aca="false">IF($B19="","",IFERROR(INDEX(정비현황!$K$6:$K$365,MATCH("R"&amp;14,교체대상!$L$6:$L$365,0)),""))</f>
        <v/>
      </c>
      <c r="G19" s="28" t="str">
        <f aca="false">IF($B19="","",IFERROR(INDEX(정비현황!$L$6:$L$365,MATCH("R"&amp;14,교체대상!$L$6:$L$365,0)),""))</f>
        <v/>
      </c>
      <c r="H19" s="28" t="str">
        <f aca="false">IF($B19="","",IFERROR(INDEX(정비현황!$M$6:$M$365,MATCH("R"&amp;14,교체대상!$L$6:$L$365,0)),""))</f>
        <v/>
      </c>
      <c r="J19" s="29" t="b">
        <f aca="false">IF(정비현황!$A19="",FALSE(),OR(정비현황!$M19="교체",정비현황!$M19="임박"))</f>
        <v>0</v>
      </c>
      <c r="K19" s="6" t="str">
        <f aca="false">IF($J19=FALSE(),"",COUNTIF($J$6:$J19,TRUE()))</f>
        <v/>
      </c>
      <c r="L19" s="6" t="str">
        <f aca="false">IF($K19="","","R"&amp;$K19)</f>
        <v/>
      </c>
    </row>
    <row r="20" customFormat="false" ht="15" hidden="false" customHeight="true" outlineLevel="0" collapsed="false">
      <c r="A20" s="28" t="str">
        <f aca="false">IF($B20="","",15)</f>
        <v/>
      </c>
      <c r="B20" s="23" t="str">
        <f aca="false">IFERROR(INDEX(정비현황!$A$6:$A$365,MATCH("R"&amp;15,교체대상!$L$6:$L$365,0)),"")</f>
        <v/>
      </c>
      <c r="C20" s="23" t="str">
        <f aca="false">IF($B20="","",IFERROR(INDEX(정비현황!$B$6:$B$365,MATCH("R"&amp;15,교체대상!$L$6:$L$365,0)),""))</f>
        <v/>
      </c>
      <c r="D20" s="23" t="str">
        <f aca="false">IF($B20="","",IFERROR(INDEX(정비현황!$C$6:$C$365,MATCH("R"&amp;15,교체대상!$L$6:$L$365,0)),""))</f>
        <v/>
      </c>
      <c r="E20" s="24" t="str">
        <f aca="false">IF($B20="","",IFERROR(INDEX(정비현황!$J$6:$J$365,MATCH("R"&amp;15,교체대상!$L$6:$L$365,0)),""))</f>
        <v/>
      </c>
      <c r="F20" s="26" t="str">
        <f aca="false">IF($B20="","",IFERROR(INDEX(정비현황!$K$6:$K$365,MATCH("R"&amp;15,교체대상!$L$6:$L$365,0)),""))</f>
        <v/>
      </c>
      <c r="G20" s="28" t="str">
        <f aca="false">IF($B20="","",IFERROR(INDEX(정비현황!$L$6:$L$365,MATCH("R"&amp;15,교체대상!$L$6:$L$365,0)),""))</f>
        <v/>
      </c>
      <c r="H20" s="28" t="str">
        <f aca="false">IF($B20="","",IFERROR(INDEX(정비현황!$M$6:$M$365,MATCH("R"&amp;15,교체대상!$L$6:$L$365,0)),""))</f>
        <v/>
      </c>
      <c r="J20" s="29" t="b">
        <f aca="false">IF(정비현황!$A20="",FALSE(),OR(정비현황!$M20="교체",정비현황!$M20="임박"))</f>
        <v>0</v>
      </c>
      <c r="K20" s="6" t="str">
        <f aca="false">IF($J20=FALSE(),"",COUNTIF($J$6:$J20,TRUE()))</f>
        <v/>
      </c>
      <c r="L20" s="6" t="str">
        <f aca="false">IF($K20="","","R"&amp;$K20)</f>
        <v/>
      </c>
    </row>
    <row r="21" customFormat="false" ht="15" hidden="false" customHeight="true" outlineLevel="0" collapsed="false">
      <c r="A21" s="28" t="str">
        <f aca="false">IF($B21="","",16)</f>
        <v/>
      </c>
      <c r="B21" s="23" t="str">
        <f aca="false">IFERROR(INDEX(정비현황!$A$6:$A$365,MATCH("R"&amp;16,교체대상!$L$6:$L$365,0)),"")</f>
        <v/>
      </c>
      <c r="C21" s="23" t="str">
        <f aca="false">IF($B21="","",IFERROR(INDEX(정비현황!$B$6:$B$365,MATCH("R"&amp;16,교체대상!$L$6:$L$365,0)),""))</f>
        <v/>
      </c>
      <c r="D21" s="23" t="str">
        <f aca="false">IF($B21="","",IFERROR(INDEX(정비현황!$C$6:$C$365,MATCH("R"&amp;16,교체대상!$L$6:$L$365,0)),""))</f>
        <v/>
      </c>
      <c r="E21" s="24" t="str">
        <f aca="false">IF($B21="","",IFERROR(INDEX(정비현황!$J$6:$J$365,MATCH("R"&amp;16,교체대상!$L$6:$L$365,0)),""))</f>
        <v/>
      </c>
      <c r="F21" s="26" t="str">
        <f aca="false">IF($B21="","",IFERROR(INDEX(정비현황!$K$6:$K$365,MATCH("R"&amp;16,교체대상!$L$6:$L$365,0)),""))</f>
        <v/>
      </c>
      <c r="G21" s="28" t="str">
        <f aca="false">IF($B21="","",IFERROR(INDEX(정비현황!$L$6:$L$365,MATCH("R"&amp;16,교체대상!$L$6:$L$365,0)),""))</f>
        <v/>
      </c>
      <c r="H21" s="28" t="str">
        <f aca="false">IF($B21="","",IFERROR(INDEX(정비현황!$M$6:$M$365,MATCH("R"&amp;16,교체대상!$L$6:$L$365,0)),""))</f>
        <v/>
      </c>
      <c r="J21" s="29" t="b">
        <f aca="false">IF(정비현황!$A21="",FALSE(),OR(정비현황!$M21="교체",정비현황!$M21="임박"))</f>
        <v>0</v>
      </c>
      <c r="K21" s="6" t="str">
        <f aca="false">IF($J21=FALSE(),"",COUNTIF($J$6:$J21,TRUE()))</f>
        <v/>
      </c>
      <c r="L21" s="6" t="str">
        <f aca="false">IF($K21="","","R"&amp;$K21)</f>
        <v/>
      </c>
    </row>
    <row r="22" customFormat="false" ht="15" hidden="false" customHeight="true" outlineLevel="0" collapsed="false">
      <c r="A22" s="28" t="str">
        <f aca="false">IF($B22="","",17)</f>
        <v/>
      </c>
      <c r="B22" s="23" t="str">
        <f aca="false">IFERROR(INDEX(정비현황!$A$6:$A$365,MATCH("R"&amp;17,교체대상!$L$6:$L$365,0)),"")</f>
        <v/>
      </c>
      <c r="C22" s="23" t="str">
        <f aca="false">IF($B22="","",IFERROR(INDEX(정비현황!$B$6:$B$365,MATCH("R"&amp;17,교체대상!$L$6:$L$365,0)),""))</f>
        <v/>
      </c>
      <c r="D22" s="23" t="str">
        <f aca="false">IF($B22="","",IFERROR(INDEX(정비현황!$C$6:$C$365,MATCH("R"&amp;17,교체대상!$L$6:$L$365,0)),""))</f>
        <v/>
      </c>
      <c r="E22" s="24" t="str">
        <f aca="false">IF($B22="","",IFERROR(INDEX(정비현황!$J$6:$J$365,MATCH("R"&amp;17,교체대상!$L$6:$L$365,0)),""))</f>
        <v/>
      </c>
      <c r="F22" s="26" t="str">
        <f aca="false">IF($B22="","",IFERROR(INDEX(정비현황!$K$6:$K$365,MATCH("R"&amp;17,교체대상!$L$6:$L$365,0)),""))</f>
        <v/>
      </c>
      <c r="G22" s="28" t="str">
        <f aca="false">IF($B22="","",IFERROR(INDEX(정비현황!$L$6:$L$365,MATCH("R"&amp;17,교체대상!$L$6:$L$365,0)),""))</f>
        <v/>
      </c>
      <c r="H22" s="28" t="str">
        <f aca="false">IF($B22="","",IFERROR(INDEX(정비현황!$M$6:$M$365,MATCH("R"&amp;17,교체대상!$L$6:$L$365,0)),""))</f>
        <v/>
      </c>
      <c r="J22" s="29" t="b">
        <f aca="false">IF(정비현황!$A22="",FALSE(),OR(정비현황!$M22="교체",정비현황!$M22="임박"))</f>
        <v>0</v>
      </c>
      <c r="K22" s="6" t="str">
        <f aca="false">IF($J22=FALSE(),"",COUNTIF($J$6:$J22,TRUE()))</f>
        <v/>
      </c>
      <c r="L22" s="6" t="str">
        <f aca="false">IF($K22="","","R"&amp;$K22)</f>
        <v/>
      </c>
    </row>
    <row r="23" customFormat="false" ht="15" hidden="false" customHeight="true" outlineLevel="0" collapsed="false">
      <c r="A23" s="28" t="str">
        <f aca="false">IF($B23="","",18)</f>
        <v/>
      </c>
      <c r="B23" s="23" t="str">
        <f aca="false">IFERROR(INDEX(정비현황!$A$6:$A$365,MATCH("R"&amp;18,교체대상!$L$6:$L$365,0)),"")</f>
        <v/>
      </c>
      <c r="C23" s="23" t="str">
        <f aca="false">IF($B23="","",IFERROR(INDEX(정비현황!$B$6:$B$365,MATCH("R"&amp;18,교체대상!$L$6:$L$365,0)),""))</f>
        <v/>
      </c>
      <c r="D23" s="23" t="str">
        <f aca="false">IF($B23="","",IFERROR(INDEX(정비현황!$C$6:$C$365,MATCH("R"&amp;18,교체대상!$L$6:$L$365,0)),""))</f>
        <v/>
      </c>
      <c r="E23" s="24" t="str">
        <f aca="false">IF($B23="","",IFERROR(INDEX(정비현황!$J$6:$J$365,MATCH("R"&amp;18,교체대상!$L$6:$L$365,0)),""))</f>
        <v/>
      </c>
      <c r="F23" s="26" t="str">
        <f aca="false">IF($B23="","",IFERROR(INDEX(정비현황!$K$6:$K$365,MATCH("R"&amp;18,교체대상!$L$6:$L$365,0)),""))</f>
        <v/>
      </c>
      <c r="G23" s="28" t="str">
        <f aca="false">IF($B23="","",IFERROR(INDEX(정비현황!$L$6:$L$365,MATCH("R"&amp;18,교체대상!$L$6:$L$365,0)),""))</f>
        <v/>
      </c>
      <c r="H23" s="28" t="str">
        <f aca="false">IF($B23="","",IFERROR(INDEX(정비현황!$M$6:$M$365,MATCH("R"&amp;18,교체대상!$L$6:$L$365,0)),""))</f>
        <v/>
      </c>
      <c r="J23" s="29" t="b">
        <f aca="false">IF(정비현황!$A23="",FALSE(),OR(정비현황!$M23="교체",정비현황!$M23="임박"))</f>
        <v>0</v>
      </c>
      <c r="K23" s="6" t="str">
        <f aca="false">IF($J23=FALSE(),"",COUNTIF($J$6:$J23,TRUE()))</f>
        <v/>
      </c>
      <c r="L23" s="6" t="str">
        <f aca="false">IF($K23="","","R"&amp;$K23)</f>
        <v/>
      </c>
    </row>
    <row r="24" customFormat="false" ht="15" hidden="false" customHeight="true" outlineLevel="0" collapsed="false">
      <c r="A24" s="28" t="str">
        <f aca="false">IF($B24="","",19)</f>
        <v/>
      </c>
      <c r="B24" s="23" t="str">
        <f aca="false">IFERROR(INDEX(정비현황!$A$6:$A$365,MATCH("R"&amp;19,교체대상!$L$6:$L$365,0)),"")</f>
        <v/>
      </c>
      <c r="C24" s="23" t="str">
        <f aca="false">IF($B24="","",IFERROR(INDEX(정비현황!$B$6:$B$365,MATCH("R"&amp;19,교체대상!$L$6:$L$365,0)),""))</f>
        <v/>
      </c>
      <c r="D24" s="23" t="str">
        <f aca="false">IF($B24="","",IFERROR(INDEX(정비현황!$C$6:$C$365,MATCH("R"&amp;19,교체대상!$L$6:$L$365,0)),""))</f>
        <v/>
      </c>
      <c r="E24" s="24" t="str">
        <f aca="false">IF($B24="","",IFERROR(INDEX(정비현황!$J$6:$J$365,MATCH("R"&amp;19,교체대상!$L$6:$L$365,0)),""))</f>
        <v/>
      </c>
      <c r="F24" s="26" t="str">
        <f aca="false">IF($B24="","",IFERROR(INDEX(정비현황!$K$6:$K$365,MATCH("R"&amp;19,교체대상!$L$6:$L$365,0)),""))</f>
        <v/>
      </c>
      <c r="G24" s="28" t="str">
        <f aca="false">IF($B24="","",IFERROR(INDEX(정비현황!$L$6:$L$365,MATCH("R"&amp;19,교체대상!$L$6:$L$365,0)),""))</f>
        <v/>
      </c>
      <c r="H24" s="28" t="str">
        <f aca="false">IF($B24="","",IFERROR(INDEX(정비현황!$M$6:$M$365,MATCH("R"&amp;19,교체대상!$L$6:$L$365,0)),""))</f>
        <v/>
      </c>
      <c r="J24" s="29" t="b">
        <f aca="false">IF(정비현황!$A24="",FALSE(),OR(정비현황!$M24="교체",정비현황!$M24="임박"))</f>
        <v>0</v>
      </c>
      <c r="K24" s="6" t="str">
        <f aca="false">IF($J24=FALSE(),"",COUNTIF($J$6:$J24,TRUE()))</f>
        <v/>
      </c>
      <c r="L24" s="6" t="str">
        <f aca="false">IF($K24="","","R"&amp;$K24)</f>
        <v/>
      </c>
    </row>
    <row r="25" customFormat="false" ht="15" hidden="false" customHeight="true" outlineLevel="0" collapsed="false">
      <c r="A25" s="28" t="str">
        <f aca="false">IF($B25="","",20)</f>
        <v/>
      </c>
      <c r="B25" s="23" t="str">
        <f aca="false">IFERROR(INDEX(정비현황!$A$6:$A$365,MATCH("R"&amp;20,교체대상!$L$6:$L$365,0)),"")</f>
        <v/>
      </c>
      <c r="C25" s="23" t="str">
        <f aca="false">IF($B25="","",IFERROR(INDEX(정비현황!$B$6:$B$365,MATCH("R"&amp;20,교체대상!$L$6:$L$365,0)),""))</f>
        <v/>
      </c>
      <c r="D25" s="23" t="str">
        <f aca="false">IF($B25="","",IFERROR(INDEX(정비현황!$C$6:$C$365,MATCH("R"&amp;20,교체대상!$L$6:$L$365,0)),""))</f>
        <v/>
      </c>
      <c r="E25" s="24" t="str">
        <f aca="false">IF($B25="","",IFERROR(INDEX(정비현황!$J$6:$J$365,MATCH("R"&amp;20,교체대상!$L$6:$L$365,0)),""))</f>
        <v/>
      </c>
      <c r="F25" s="26" t="str">
        <f aca="false">IF($B25="","",IFERROR(INDEX(정비현황!$K$6:$K$365,MATCH("R"&amp;20,교체대상!$L$6:$L$365,0)),""))</f>
        <v/>
      </c>
      <c r="G25" s="28" t="str">
        <f aca="false">IF($B25="","",IFERROR(INDEX(정비현황!$L$6:$L$365,MATCH("R"&amp;20,교체대상!$L$6:$L$365,0)),""))</f>
        <v/>
      </c>
      <c r="H25" s="28" t="str">
        <f aca="false">IF($B25="","",IFERROR(INDEX(정비현황!$M$6:$M$365,MATCH("R"&amp;20,교체대상!$L$6:$L$365,0)),""))</f>
        <v/>
      </c>
      <c r="J25" s="29" t="b">
        <f aca="false">IF(정비현황!$A25="",FALSE(),OR(정비현황!$M25="교체",정비현황!$M25="임박"))</f>
        <v>0</v>
      </c>
      <c r="K25" s="6" t="str">
        <f aca="false">IF($J25=FALSE(),"",COUNTIF($J$6:$J25,TRUE()))</f>
        <v/>
      </c>
      <c r="L25" s="6" t="str">
        <f aca="false">IF($K25="","","R"&amp;$K25)</f>
        <v/>
      </c>
    </row>
    <row r="26" customFormat="false" ht="15" hidden="false" customHeight="true" outlineLevel="0" collapsed="false">
      <c r="A26" s="28" t="str">
        <f aca="false">IF($B26="","",21)</f>
        <v/>
      </c>
      <c r="B26" s="23" t="str">
        <f aca="false">IFERROR(INDEX(정비현황!$A$6:$A$365,MATCH("R"&amp;21,교체대상!$L$6:$L$365,0)),"")</f>
        <v/>
      </c>
      <c r="C26" s="23" t="str">
        <f aca="false">IF($B26="","",IFERROR(INDEX(정비현황!$B$6:$B$365,MATCH("R"&amp;21,교체대상!$L$6:$L$365,0)),""))</f>
        <v/>
      </c>
      <c r="D26" s="23" t="str">
        <f aca="false">IF($B26="","",IFERROR(INDEX(정비현황!$C$6:$C$365,MATCH("R"&amp;21,교체대상!$L$6:$L$365,0)),""))</f>
        <v/>
      </c>
      <c r="E26" s="24" t="str">
        <f aca="false">IF($B26="","",IFERROR(INDEX(정비현황!$J$6:$J$365,MATCH("R"&amp;21,교체대상!$L$6:$L$365,0)),""))</f>
        <v/>
      </c>
      <c r="F26" s="26" t="str">
        <f aca="false">IF($B26="","",IFERROR(INDEX(정비현황!$K$6:$K$365,MATCH("R"&amp;21,교체대상!$L$6:$L$365,0)),""))</f>
        <v/>
      </c>
      <c r="G26" s="28" t="str">
        <f aca="false">IF($B26="","",IFERROR(INDEX(정비현황!$L$6:$L$365,MATCH("R"&amp;21,교체대상!$L$6:$L$365,0)),""))</f>
        <v/>
      </c>
      <c r="H26" s="28" t="str">
        <f aca="false">IF($B26="","",IFERROR(INDEX(정비현황!$M$6:$M$365,MATCH("R"&amp;21,교체대상!$L$6:$L$365,0)),""))</f>
        <v/>
      </c>
      <c r="J26" s="29" t="b">
        <f aca="false">IF(정비현황!$A26="",FALSE(),OR(정비현황!$M26="교체",정비현황!$M26="임박"))</f>
        <v>0</v>
      </c>
      <c r="K26" s="6" t="str">
        <f aca="false">IF($J26=FALSE(),"",COUNTIF($J$6:$J26,TRUE()))</f>
        <v/>
      </c>
      <c r="L26" s="6" t="str">
        <f aca="false">IF($K26="","","R"&amp;$K26)</f>
        <v/>
      </c>
    </row>
    <row r="27" customFormat="false" ht="15" hidden="false" customHeight="true" outlineLevel="0" collapsed="false">
      <c r="A27" s="28" t="str">
        <f aca="false">IF($B27="","",22)</f>
        <v/>
      </c>
      <c r="B27" s="23" t="str">
        <f aca="false">IFERROR(INDEX(정비현황!$A$6:$A$365,MATCH("R"&amp;22,교체대상!$L$6:$L$365,0)),"")</f>
        <v/>
      </c>
      <c r="C27" s="23" t="str">
        <f aca="false">IF($B27="","",IFERROR(INDEX(정비현황!$B$6:$B$365,MATCH("R"&amp;22,교체대상!$L$6:$L$365,0)),""))</f>
        <v/>
      </c>
      <c r="D27" s="23" t="str">
        <f aca="false">IF($B27="","",IFERROR(INDEX(정비현황!$C$6:$C$365,MATCH("R"&amp;22,교체대상!$L$6:$L$365,0)),""))</f>
        <v/>
      </c>
      <c r="E27" s="24" t="str">
        <f aca="false">IF($B27="","",IFERROR(INDEX(정비현황!$J$6:$J$365,MATCH("R"&amp;22,교체대상!$L$6:$L$365,0)),""))</f>
        <v/>
      </c>
      <c r="F27" s="26" t="str">
        <f aca="false">IF($B27="","",IFERROR(INDEX(정비현황!$K$6:$K$365,MATCH("R"&amp;22,교체대상!$L$6:$L$365,0)),""))</f>
        <v/>
      </c>
      <c r="G27" s="28" t="str">
        <f aca="false">IF($B27="","",IFERROR(INDEX(정비현황!$L$6:$L$365,MATCH("R"&amp;22,교체대상!$L$6:$L$365,0)),""))</f>
        <v/>
      </c>
      <c r="H27" s="28" t="str">
        <f aca="false">IF($B27="","",IFERROR(INDEX(정비현황!$M$6:$M$365,MATCH("R"&amp;22,교체대상!$L$6:$L$365,0)),""))</f>
        <v/>
      </c>
      <c r="J27" s="29" t="b">
        <f aca="false">IF(정비현황!$A27="",FALSE(),OR(정비현황!$M27="교체",정비현황!$M27="임박"))</f>
        <v>0</v>
      </c>
      <c r="K27" s="6" t="str">
        <f aca="false">IF($J27=FALSE(),"",COUNTIF($J$6:$J27,TRUE()))</f>
        <v/>
      </c>
      <c r="L27" s="6" t="str">
        <f aca="false">IF($K27="","","R"&amp;$K27)</f>
        <v/>
      </c>
    </row>
    <row r="28" customFormat="false" ht="15" hidden="false" customHeight="true" outlineLevel="0" collapsed="false">
      <c r="A28" s="28" t="str">
        <f aca="false">IF($B28="","",23)</f>
        <v/>
      </c>
      <c r="B28" s="23" t="str">
        <f aca="false">IFERROR(INDEX(정비현황!$A$6:$A$365,MATCH("R"&amp;23,교체대상!$L$6:$L$365,0)),"")</f>
        <v/>
      </c>
      <c r="C28" s="23" t="str">
        <f aca="false">IF($B28="","",IFERROR(INDEX(정비현황!$B$6:$B$365,MATCH("R"&amp;23,교체대상!$L$6:$L$365,0)),""))</f>
        <v/>
      </c>
      <c r="D28" s="23" t="str">
        <f aca="false">IF($B28="","",IFERROR(INDEX(정비현황!$C$6:$C$365,MATCH("R"&amp;23,교체대상!$L$6:$L$365,0)),""))</f>
        <v/>
      </c>
      <c r="E28" s="24" t="str">
        <f aca="false">IF($B28="","",IFERROR(INDEX(정비현황!$J$6:$J$365,MATCH("R"&amp;23,교체대상!$L$6:$L$365,0)),""))</f>
        <v/>
      </c>
      <c r="F28" s="26" t="str">
        <f aca="false">IF($B28="","",IFERROR(INDEX(정비현황!$K$6:$K$365,MATCH("R"&amp;23,교체대상!$L$6:$L$365,0)),""))</f>
        <v/>
      </c>
      <c r="G28" s="28" t="str">
        <f aca="false">IF($B28="","",IFERROR(INDEX(정비현황!$L$6:$L$365,MATCH("R"&amp;23,교체대상!$L$6:$L$365,0)),""))</f>
        <v/>
      </c>
      <c r="H28" s="28" t="str">
        <f aca="false">IF($B28="","",IFERROR(INDEX(정비현황!$M$6:$M$365,MATCH("R"&amp;23,교체대상!$L$6:$L$365,0)),""))</f>
        <v/>
      </c>
      <c r="J28" s="29" t="b">
        <f aca="false">IF(정비현황!$A28="",FALSE(),OR(정비현황!$M28="교체",정비현황!$M28="임박"))</f>
        <v>0</v>
      </c>
      <c r="K28" s="6" t="str">
        <f aca="false">IF($J28=FALSE(),"",COUNTIF($J$6:$J28,TRUE()))</f>
        <v/>
      </c>
      <c r="L28" s="6" t="str">
        <f aca="false">IF($K28="","","R"&amp;$K28)</f>
        <v/>
      </c>
    </row>
    <row r="29" customFormat="false" ht="15" hidden="false" customHeight="true" outlineLevel="0" collapsed="false">
      <c r="A29" s="28" t="str">
        <f aca="false">IF($B29="","",24)</f>
        <v/>
      </c>
      <c r="B29" s="23" t="str">
        <f aca="false">IFERROR(INDEX(정비현황!$A$6:$A$365,MATCH("R"&amp;24,교체대상!$L$6:$L$365,0)),"")</f>
        <v/>
      </c>
      <c r="C29" s="23" t="str">
        <f aca="false">IF($B29="","",IFERROR(INDEX(정비현황!$B$6:$B$365,MATCH("R"&amp;24,교체대상!$L$6:$L$365,0)),""))</f>
        <v/>
      </c>
      <c r="D29" s="23" t="str">
        <f aca="false">IF($B29="","",IFERROR(INDEX(정비현황!$C$6:$C$365,MATCH("R"&amp;24,교체대상!$L$6:$L$365,0)),""))</f>
        <v/>
      </c>
      <c r="E29" s="24" t="str">
        <f aca="false">IF($B29="","",IFERROR(INDEX(정비현황!$J$6:$J$365,MATCH("R"&amp;24,교체대상!$L$6:$L$365,0)),""))</f>
        <v/>
      </c>
      <c r="F29" s="26" t="str">
        <f aca="false">IF($B29="","",IFERROR(INDEX(정비현황!$K$6:$K$365,MATCH("R"&amp;24,교체대상!$L$6:$L$365,0)),""))</f>
        <v/>
      </c>
      <c r="G29" s="28" t="str">
        <f aca="false">IF($B29="","",IFERROR(INDEX(정비현황!$L$6:$L$365,MATCH("R"&amp;24,교체대상!$L$6:$L$365,0)),""))</f>
        <v/>
      </c>
      <c r="H29" s="28" t="str">
        <f aca="false">IF($B29="","",IFERROR(INDEX(정비현황!$M$6:$M$365,MATCH("R"&amp;24,교체대상!$L$6:$L$365,0)),""))</f>
        <v/>
      </c>
      <c r="J29" s="29" t="b">
        <f aca="false">IF(정비현황!$A29="",FALSE(),OR(정비현황!$M29="교체",정비현황!$M29="임박"))</f>
        <v>0</v>
      </c>
      <c r="K29" s="6" t="str">
        <f aca="false">IF($J29=FALSE(),"",COUNTIF($J$6:$J29,TRUE()))</f>
        <v/>
      </c>
      <c r="L29" s="6" t="str">
        <f aca="false">IF($K29="","","R"&amp;$K29)</f>
        <v/>
      </c>
    </row>
    <row r="30" customFormat="false" ht="15" hidden="false" customHeight="true" outlineLevel="0" collapsed="false">
      <c r="A30" s="28" t="str">
        <f aca="false">IF($B30="","",25)</f>
        <v/>
      </c>
      <c r="B30" s="23" t="str">
        <f aca="false">IFERROR(INDEX(정비현황!$A$6:$A$365,MATCH("R"&amp;25,교체대상!$L$6:$L$365,0)),"")</f>
        <v/>
      </c>
      <c r="C30" s="23" t="str">
        <f aca="false">IF($B30="","",IFERROR(INDEX(정비현황!$B$6:$B$365,MATCH("R"&amp;25,교체대상!$L$6:$L$365,0)),""))</f>
        <v/>
      </c>
      <c r="D30" s="23" t="str">
        <f aca="false">IF($B30="","",IFERROR(INDEX(정비현황!$C$6:$C$365,MATCH("R"&amp;25,교체대상!$L$6:$L$365,0)),""))</f>
        <v/>
      </c>
      <c r="E30" s="24" t="str">
        <f aca="false">IF($B30="","",IFERROR(INDEX(정비현황!$J$6:$J$365,MATCH("R"&amp;25,교체대상!$L$6:$L$365,0)),""))</f>
        <v/>
      </c>
      <c r="F30" s="26" t="str">
        <f aca="false">IF($B30="","",IFERROR(INDEX(정비현황!$K$6:$K$365,MATCH("R"&amp;25,교체대상!$L$6:$L$365,0)),""))</f>
        <v/>
      </c>
      <c r="G30" s="28" t="str">
        <f aca="false">IF($B30="","",IFERROR(INDEX(정비현황!$L$6:$L$365,MATCH("R"&amp;25,교체대상!$L$6:$L$365,0)),""))</f>
        <v/>
      </c>
      <c r="H30" s="28" t="str">
        <f aca="false">IF($B30="","",IFERROR(INDEX(정비현황!$M$6:$M$365,MATCH("R"&amp;25,교체대상!$L$6:$L$365,0)),""))</f>
        <v/>
      </c>
      <c r="J30" s="29" t="b">
        <f aca="false">IF(정비현황!$A30="",FALSE(),OR(정비현황!$M30="교체",정비현황!$M30="임박"))</f>
        <v>0</v>
      </c>
      <c r="K30" s="6" t="str">
        <f aca="false">IF($J30=FALSE(),"",COUNTIF($J$6:$J30,TRUE()))</f>
        <v/>
      </c>
      <c r="L30" s="6" t="str">
        <f aca="false">IF($K30="","","R"&amp;$K30)</f>
        <v/>
      </c>
    </row>
    <row r="31" customFormat="false" ht="15" hidden="false" customHeight="true" outlineLevel="0" collapsed="false">
      <c r="A31" s="28" t="str">
        <f aca="false">IF($B31="","",26)</f>
        <v/>
      </c>
      <c r="B31" s="23" t="str">
        <f aca="false">IFERROR(INDEX(정비현황!$A$6:$A$365,MATCH("R"&amp;26,교체대상!$L$6:$L$365,0)),"")</f>
        <v/>
      </c>
      <c r="C31" s="23" t="str">
        <f aca="false">IF($B31="","",IFERROR(INDEX(정비현황!$B$6:$B$365,MATCH("R"&amp;26,교체대상!$L$6:$L$365,0)),""))</f>
        <v/>
      </c>
      <c r="D31" s="23" t="str">
        <f aca="false">IF($B31="","",IFERROR(INDEX(정비현황!$C$6:$C$365,MATCH("R"&amp;26,교체대상!$L$6:$L$365,0)),""))</f>
        <v/>
      </c>
      <c r="E31" s="24" t="str">
        <f aca="false">IF($B31="","",IFERROR(INDEX(정비현황!$J$6:$J$365,MATCH("R"&amp;26,교체대상!$L$6:$L$365,0)),""))</f>
        <v/>
      </c>
      <c r="F31" s="26" t="str">
        <f aca="false">IF($B31="","",IFERROR(INDEX(정비현황!$K$6:$K$365,MATCH("R"&amp;26,교체대상!$L$6:$L$365,0)),""))</f>
        <v/>
      </c>
      <c r="G31" s="28" t="str">
        <f aca="false">IF($B31="","",IFERROR(INDEX(정비현황!$L$6:$L$365,MATCH("R"&amp;26,교체대상!$L$6:$L$365,0)),""))</f>
        <v/>
      </c>
      <c r="H31" s="28" t="str">
        <f aca="false">IF($B31="","",IFERROR(INDEX(정비현황!$M$6:$M$365,MATCH("R"&amp;26,교체대상!$L$6:$L$365,0)),""))</f>
        <v/>
      </c>
      <c r="J31" s="29" t="b">
        <f aca="false">IF(정비현황!$A31="",FALSE(),OR(정비현황!$M31="교체",정비현황!$M31="임박"))</f>
        <v>0</v>
      </c>
      <c r="K31" s="6" t="str">
        <f aca="false">IF($J31=FALSE(),"",COUNTIF($J$6:$J31,TRUE()))</f>
        <v/>
      </c>
      <c r="L31" s="6" t="str">
        <f aca="false">IF($K31="","","R"&amp;$K31)</f>
        <v/>
      </c>
    </row>
    <row r="32" customFormat="false" ht="15" hidden="false" customHeight="true" outlineLevel="0" collapsed="false">
      <c r="A32" s="28" t="str">
        <f aca="false">IF($B32="","",27)</f>
        <v/>
      </c>
      <c r="B32" s="23" t="str">
        <f aca="false">IFERROR(INDEX(정비현황!$A$6:$A$365,MATCH("R"&amp;27,교체대상!$L$6:$L$365,0)),"")</f>
        <v/>
      </c>
      <c r="C32" s="23" t="str">
        <f aca="false">IF($B32="","",IFERROR(INDEX(정비현황!$B$6:$B$365,MATCH("R"&amp;27,교체대상!$L$6:$L$365,0)),""))</f>
        <v/>
      </c>
      <c r="D32" s="23" t="str">
        <f aca="false">IF($B32="","",IFERROR(INDEX(정비현황!$C$6:$C$365,MATCH("R"&amp;27,교체대상!$L$6:$L$365,0)),""))</f>
        <v/>
      </c>
      <c r="E32" s="24" t="str">
        <f aca="false">IF($B32="","",IFERROR(INDEX(정비현황!$J$6:$J$365,MATCH("R"&amp;27,교체대상!$L$6:$L$365,0)),""))</f>
        <v/>
      </c>
      <c r="F32" s="26" t="str">
        <f aca="false">IF($B32="","",IFERROR(INDEX(정비현황!$K$6:$K$365,MATCH("R"&amp;27,교체대상!$L$6:$L$365,0)),""))</f>
        <v/>
      </c>
      <c r="G32" s="28" t="str">
        <f aca="false">IF($B32="","",IFERROR(INDEX(정비현황!$L$6:$L$365,MATCH("R"&amp;27,교체대상!$L$6:$L$365,0)),""))</f>
        <v/>
      </c>
      <c r="H32" s="28" t="str">
        <f aca="false">IF($B32="","",IFERROR(INDEX(정비현황!$M$6:$M$365,MATCH("R"&amp;27,교체대상!$L$6:$L$365,0)),""))</f>
        <v/>
      </c>
      <c r="J32" s="29" t="b">
        <f aca="false">IF(정비현황!$A32="",FALSE(),OR(정비현황!$M32="교체",정비현황!$M32="임박"))</f>
        <v>0</v>
      </c>
      <c r="K32" s="6" t="str">
        <f aca="false">IF($J32=FALSE(),"",COUNTIF($J$6:$J32,TRUE()))</f>
        <v/>
      </c>
      <c r="L32" s="6" t="str">
        <f aca="false">IF($K32="","","R"&amp;$K32)</f>
        <v/>
      </c>
    </row>
    <row r="33" customFormat="false" ht="15" hidden="false" customHeight="true" outlineLevel="0" collapsed="false">
      <c r="A33" s="28" t="str">
        <f aca="false">IF($B33="","",28)</f>
        <v/>
      </c>
      <c r="B33" s="23" t="str">
        <f aca="false">IFERROR(INDEX(정비현황!$A$6:$A$365,MATCH("R"&amp;28,교체대상!$L$6:$L$365,0)),"")</f>
        <v/>
      </c>
      <c r="C33" s="23" t="str">
        <f aca="false">IF($B33="","",IFERROR(INDEX(정비현황!$B$6:$B$365,MATCH("R"&amp;28,교체대상!$L$6:$L$365,0)),""))</f>
        <v/>
      </c>
      <c r="D33" s="23" t="str">
        <f aca="false">IF($B33="","",IFERROR(INDEX(정비현황!$C$6:$C$365,MATCH("R"&amp;28,교체대상!$L$6:$L$365,0)),""))</f>
        <v/>
      </c>
      <c r="E33" s="24" t="str">
        <f aca="false">IF($B33="","",IFERROR(INDEX(정비현황!$J$6:$J$365,MATCH("R"&amp;28,교체대상!$L$6:$L$365,0)),""))</f>
        <v/>
      </c>
      <c r="F33" s="26" t="str">
        <f aca="false">IF($B33="","",IFERROR(INDEX(정비현황!$K$6:$K$365,MATCH("R"&amp;28,교체대상!$L$6:$L$365,0)),""))</f>
        <v/>
      </c>
      <c r="G33" s="28" t="str">
        <f aca="false">IF($B33="","",IFERROR(INDEX(정비현황!$L$6:$L$365,MATCH("R"&amp;28,교체대상!$L$6:$L$365,0)),""))</f>
        <v/>
      </c>
      <c r="H33" s="28" t="str">
        <f aca="false">IF($B33="","",IFERROR(INDEX(정비현황!$M$6:$M$365,MATCH("R"&amp;28,교체대상!$L$6:$L$365,0)),""))</f>
        <v/>
      </c>
      <c r="J33" s="29" t="b">
        <f aca="false">IF(정비현황!$A33="",FALSE(),OR(정비현황!$M33="교체",정비현황!$M33="임박"))</f>
        <v>0</v>
      </c>
      <c r="K33" s="6" t="str">
        <f aca="false">IF($J33=FALSE(),"",COUNTIF($J$6:$J33,TRUE()))</f>
        <v/>
      </c>
      <c r="L33" s="6" t="str">
        <f aca="false">IF($K33="","","R"&amp;$K33)</f>
        <v/>
      </c>
    </row>
    <row r="34" customFormat="false" ht="15" hidden="false" customHeight="true" outlineLevel="0" collapsed="false">
      <c r="A34" s="28" t="str">
        <f aca="false">IF($B34="","",29)</f>
        <v/>
      </c>
      <c r="B34" s="23" t="str">
        <f aca="false">IFERROR(INDEX(정비현황!$A$6:$A$365,MATCH("R"&amp;29,교체대상!$L$6:$L$365,0)),"")</f>
        <v/>
      </c>
      <c r="C34" s="23" t="str">
        <f aca="false">IF($B34="","",IFERROR(INDEX(정비현황!$B$6:$B$365,MATCH("R"&amp;29,교체대상!$L$6:$L$365,0)),""))</f>
        <v/>
      </c>
      <c r="D34" s="23" t="str">
        <f aca="false">IF($B34="","",IFERROR(INDEX(정비현황!$C$6:$C$365,MATCH("R"&amp;29,교체대상!$L$6:$L$365,0)),""))</f>
        <v/>
      </c>
      <c r="E34" s="24" t="str">
        <f aca="false">IF($B34="","",IFERROR(INDEX(정비현황!$J$6:$J$365,MATCH("R"&amp;29,교체대상!$L$6:$L$365,0)),""))</f>
        <v/>
      </c>
      <c r="F34" s="26" t="str">
        <f aca="false">IF($B34="","",IFERROR(INDEX(정비현황!$K$6:$K$365,MATCH("R"&amp;29,교체대상!$L$6:$L$365,0)),""))</f>
        <v/>
      </c>
      <c r="G34" s="28" t="str">
        <f aca="false">IF($B34="","",IFERROR(INDEX(정비현황!$L$6:$L$365,MATCH("R"&amp;29,교체대상!$L$6:$L$365,0)),""))</f>
        <v/>
      </c>
      <c r="H34" s="28" t="str">
        <f aca="false">IF($B34="","",IFERROR(INDEX(정비현황!$M$6:$M$365,MATCH("R"&amp;29,교체대상!$L$6:$L$365,0)),""))</f>
        <v/>
      </c>
      <c r="J34" s="29" t="b">
        <f aca="false">IF(정비현황!$A34="",FALSE(),OR(정비현황!$M34="교체",정비현황!$M34="임박"))</f>
        <v>0</v>
      </c>
      <c r="K34" s="6" t="str">
        <f aca="false">IF($J34=FALSE(),"",COUNTIF($J$6:$J34,TRUE()))</f>
        <v/>
      </c>
      <c r="L34" s="6" t="str">
        <f aca="false">IF($K34="","","R"&amp;$K34)</f>
        <v/>
      </c>
    </row>
    <row r="35" customFormat="false" ht="15" hidden="false" customHeight="true" outlineLevel="0" collapsed="false">
      <c r="A35" s="28" t="str">
        <f aca="false">IF($B35="","",30)</f>
        <v/>
      </c>
      <c r="B35" s="23" t="str">
        <f aca="false">IFERROR(INDEX(정비현황!$A$6:$A$365,MATCH("R"&amp;30,교체대상!$L$6:$L$365,0)),"")</f>
        <v/>
      </c>
      <c r="C35" s="23" t="str">
        <f aca="false">IF($B35="","",IFERROR(INDEX(정비현황!$B$6:$B$365,MATCH("R"&amp;30,교체대상!$L$6:$L$365,0)),""))</f>
        <v/>
      </c>
      <c r="D35" s="23" t="str">
        <f aca="false">IF($B35="","",IFERROR(INDEX(정비현황!$C$6:$C$365,MATCH("R"&amp;30,교체대상!$L$6:$L$365,0)),""))</f>
        <v/>
      </c>
      <c r="E35" s="24" t="str">
        <f aca="false">IF($B35="","",IFERROR(INDEX(정비현황!$J$6:$J$365,MATCH("R"&amp;30,교체대상!$L$6:$L$365,0)),""))</f>
        <v/>
      </c>
      <c r="F35" s="26" t="str">
        <f aca="false">IF($B35="","",IFERROR(INDEX(정비현황!$K$6:$K$365,MATCH("R"&amp;30,교체대상!$L$6:$L$365,0)),""))</f>
        <v/>
      </c>
      <c r="G35" s="28" t="str">
        <f aca="false">IF($B35="","",IFERROR(INDEX(정비현황!$L$6:$L$365,MATCH("R"&amp;30,교체대상!$L$6:$L$365,0)),""))</f>
        <v/>
      </c>
      <c r="H35" s="28" t="str">
        <f aca="false">IF($B35="","",IFERROR(INDEX(정비현황!$M$6:$M$365,MATCH("R"&amp;30,교체대상!$L$6:$L$365,0)),""))</f>
        <v/>
      </c>
      <c r="J35" s="29" t="b">
        <f aca="false">IF(정비현황!$A35="",FALSE(),OR(정비현황!$M35="교체",정비현황!$M35="임박"))</f>
        <v>0</v>
      </c>
      <c r="K35" s="6" t="str">
        <f aca="false">IF($J35=FALSE(),"",COUNTIF($J$6:$J35,TRUE()))</f>
        <v/>
      </c>
      <c r="L35" s="6" t="str">
        <f aca="false">IF($K35="","","R"&amp;$K35)</f>
        <v/>
      </c>
    </row>
    <row r="36" customFormat="false" ht="15" hidden="false" customHeight="true" outlineLevel="0" collapsed="false">
      <c r="A36" s="28" t="str">
        <f aca="false">IF($B36="","",31)</f>
        <v/>
      </c>
      <c r="B36" s="23" t="str">
        <f aca="false">IFERROR(INDEX(정비현황!$A$6:$A$365,MATCH("R"&amp;31,교체대상!$L$6:$L$365,0)),"")</f>
        <v/>
      </c>
      <c r="C36" s="23" t="str">
        <f aca="false">IF($B36="","",IFERROR(INDEX(정비현황!$B$6:$B$365,MATCH("R"&amp;31,교체대상!$L$6:$L$365,0)),""))</f>
        <v/>
      </c>
      <c r="D36" s="23" t="str">
        <f aca="false">IF($B36="","",IFERROR(INDEX(정비현황!$C$6:$C$365,MATCH("R"&amp;31,교체대상!$L$6:$L$365,0)),""))</f>
        <v/>
      </c>
      <c r="E36" s="24" t="str">
        <f aca="false">IF($B36="","",IFERROR(INDEX(정비현황!$J$6:$J$365,MATCH("R"&amp;31,교체대상!$L$6:$L$365,0)),""))</f>
        <v/>
      </c>
      <c r="F36" s="26" t="str">
        <f aca="false">IF($B36="","",IFERROR(INDEX(정비현황!$K$6:$K$365,MATCH("R"&amp;31,교체대상!$L$6:$L$365,0)),""))</f>
        <v/>
      </c>
      <c r="G36" s="28" t="str">
        <f aca="false">IF($B36="","",IFERROR(INDEX(정비현황!$L$6:$L$365,MATCH("R"&amp;31,교체대상!$L$6:$L$365,0)),""))</f>
        <v/>
      </c>
      <c r="H36" s="28" t="str">
        <f aca="false">IF($B36="","",IFERROR(INDEX(정비현황!$M$6:$M$365,MATCH("R"&amp;31,교체대상!$L$6:$L$365,0)),""))</f>
        <v/>
      </c>
      <c r="J36" s="29" t="b">
        <f aca="false">IF(정비현황!$A36="",FALSE(),OR(정비현황!$M36="교체",정비현황!$M36="임박"))</f>
        <v>0</v>
      </c>
      <c r="K36" s="6" t="str">
        <f aca="false">IF($J36=FALSE(),"",COUNTIF($J$6:$J36,TRUE()))</f>
        <v/>
      </c>
      <c r="L36" s="6" t="str">
        <f aca="false">IF($K36="","","R"&amp;$K36)</f>
        <v/>
      </c>
    </row>
    <row r="37" customFormat="false" ht="15" hidden="false" customHeight="true" outlineLevel="0" collapsed="false">
      <c r="A37" s="28" t="str">
        <f aca="false">IF($B37="","",32)</f>
        <v/>
      </c>
      <c r="B37" s="23" t="str">
        <f aca="false">IFERROR(INDEX(정비현황!$A$6:$A$365,MATCH("R"&amp;32,교체대상!$L$6:$L$365,0)),"")</f>
        <v/>
      </c>
      <c r="C37" s="23" t="str">
        <f aca="false">IF($B37="","",IFERROR(INDEX(정비현황!$B$6:$B$365,MATCH("R"&amp;32,교체대상!$L$6:$L$365,0)),""))</f>
        <v/>
      </c>
      <c r="D37" s="23" t="str">
        <f aca="false">IF($B37="","",IFERROR(INDEX(정비현황!$C$6:$C$365,MATCH("R"&amp;32,교체대상!$L$6:$L$365,0)),""))</f>
        <v/>
      </c>
      <c r="E37" s="24" t="str">
        <f aca="false">IF($B37="","",IFERROR(INDEX(정비현황!$J$6:$J$365,MATCH("R"&amp;32,교체대상!$L$6:$L$365,0)),""))</f>
        <v/>
      </c>
      <c r="F37" s="26" t="str">
        <f aca="false">IF($B37="","",IFERROR(INDEX(정비현황!$K$6:$K$365,MATCH("R"&amp;32,교체대상!$L$6:$L$365,0)),""))</f>
        <v/>
      </c>
      <c r="G37" s="28" t="str">
        <f aca="false">IF($B37="","",IFERROR(INDEX(정비현황!$L$6:$L$365,MATCH("R"&amp;32,교체대상!$L$6:$L$365,0)),""))</f>
        <v/>
      </c>
      <c r="H37" s="28" t="str">
        <f aca="false">IF($B37="","",IFERROR(INDEX(정비현황!$M$6:$M$365,MATCH("R"&amp;32,교체대상!$L$6:$L$365,0)),""))</f>
        <v/>
      </c>
      <c r="J37" s="29" t="b">
        <f aca="false">IF(정비현황!$A37="",FALSE(),OR(정비현황!$M37="교체",정비현황!$M37="임박"))</f>
        <v>0</v>
      </c>
      <c r="K37" s="6" t="str">
        <f aca="false">IF($J37=FALSE(),"",COUNTIF($J$6:$J37,TRUE()))</f>
        <v/>
      </c>
      <c r="L37" s="6" t="str">
        <f aca="false">IF($K37="","","R"&amp;$K37)</f>
        <v/>
      </c>
    </row>
    <row r="38" customFormat="false" ht="15" hidden="false" customHeight="true" outlineLevel="0" collapsed="false">
      <c r="A38" s="28" t="str">
        <f aca="false">IF($B38="","",33)</f>
        <v/>
      </c>
      <c r="B38" s="23" t="str">
        <f aca="false">IFERROR(INDEX(정비현황!$A$6:$A$365,MATCH("R"&amp;33,교체대상!$L$6:$L$365,0)),"")</f>
        <v/>
      </c>
      <c r="C38" s="23" t="str">
        <f aca="false">IF($B38="","",IFERROR(INDEX(정비현황!$B$6:$B$365,MATCH("R"&amp;33,교체대상!$L$6:$L$365,0)),""))</f>
        <v/>
      </c>
      <c r="D38" s="23" t="str">
        <f aca="false">IF($B38="","",IFERROR(INDEX(정비현황!$C$6:$C$365,MATCH("R"&amp;33,교체대상!$L$6:$L$365,0)),""))</f>
        <v/>
      </c>
      <c r="E38" s="24" t="str">
        <f aca="false">IF($B38="","",IFERROR(INDEX(정비현황!$J$6:$J$365,MATCH("R"&amp;33,교체대상!$L$6:$L$365,0)),""))</f>
        <v/>
      </c>
      <c r="F38" s="26" t="str">
        <f aca="false">IF($B38="","",IFERROR(INDEX(정비현황!$K$6:$K$365,MATCH("R"&amp;33,교체대상!$L$6:$L$365,0)),""))</f>
        <v/>
      </c>
      <c r="G38" s="28" t="str">
        <f aca="false">IF($B38="","",IFERROR(INDEX(정비현황!$L$6:$L$365,MATCH("R"&amp;33,교체대상!$L$6:$L$365,0)),""))</f>
        <v/>
      </c>
      <c r="H38" s="28" t="str">
        <f aca="false">IF($B38="","",IFERROR(INDEX(정비현황!$M$6:$M$365,MATCH("R"&amp;33,교체대상!$L$6:$L$365,0)),""))</f>
        <v/>
      </c>
      <c r="J38" s="29" t="b">
        <f aca="false">IF(정비현황!$A38="",FALSE(),OR(정비현황!$M38="교체",정비현황!$M38="임박"))</f>
        <v>0</v>
      </c>
      <c r="K38" s="6" t="str">
        <f aca="false">IF($J38=FALSE(),"",COUNTIF($J$6:$J38,TRUE()))</f>
        <v/>
      </c>
      <c r="L38" s="6" t="str">
        <f aca="false">IF($K38="","","R"&amp;$K38)</f>
        <v/>
      </c>
    </row>
    <row r="39" customFormat="false" ht="15" hidden="false" customHeight="true" outlineLevel="0" collapsed="false">
      <c r="A39" s="28" t="str">
        <f aca="false">IF($B39="","",34)</f>
        <v/>
      </c>
      <c r="B39" s="23" t="str">
        <f aca="false">IFERROR(INDEX(정비현황!$A$6:$A$365,MATCH("R"&amp;34,교체대상!$L$6:$L$365,0)),"")</f>
        <v/>
      </c>
      <c r="C39" s="23" t="str">
        <f aca="false">IF($B39="","",IFERROR(INDEX(정비현황!$B$6:$B$365,MATCH("R"&amp;34,교체대상!$L$6:$L$365,0)),""))</f>
        <v/>
      </c>
      <c r="D39" s="23" t="str">
        <f aca="false">IF($B39="","",IFERROR(INDEX(정비현황!$C$6:$C$365,MATCH("R"&amp;34,교체대상!$L$6:$L$365,0)),""))</f>
        <v/>
      </c>
      <c r="E39" s="24" t="str">
        <f aca="false">IF($B39="","",IFERROR(INDEX(정비현황!$J$6:$J$365,MATCH("R"&amp;34,교체대상!$L$6:$L$365,0)),""))</f>
        <v/>
      </c>
      <c r="F39" s="26" t="str">
        <f aca="false">IF($B39="","",IFERROR(INDEX(정비현황!$K$6:$K$365,MATCH("R"&amp;34,교체대상!$L$6:$L$365,0)),""))</f>
        <v/>
      </c>
      <c r="G39" s="28" t="str">
        <f aca="false">IF($B39="","",IFERROR(INDEX(정비현황!$L$6:$L$365,MATCH("R"&amp;34,교체대상!$L$6:$L$365,0)),""))</f>
        <v/>
      </c>
      <c r="H39" s="28" t="str">
        <f aca="false">IF($B39="","",IFERROR(INDEX(정비현황!$M$6:$M$365,MATCH("R"&amp;34,교체대상!$L$6:$L$365,0)),""))</f>
        <v/>
      </c>
      <c r="J39" s="29" t="b">
        <f aca="false">IF(정비현황!$A39="",FALSE(),OR(정비현황!$M39="교체",정비현황!$M39="임박"))</f>
        <v>0</v>
      </c>
      <c r="K39" s="6" t="str">
        <f aca="false">IF($J39=FALSE(),"",COUNTIF($J$6:$J39,TRUE()))</f>
        <v/>
      </c>
      <c r="L39" s="6" t="str">
        <f aca="false">IF($K39="","","R"&amp;$K39)</f>
        <v/>
      </c>
    </row>
    <row r="40" customFormat="false" ht="15" hidden="false" customHeight="true" outlineLevel="0" collapsed="false">
      <c r="A40" s="28" t="str">
        <f aca="false">IF($B40="","",35)</f>
        <v/>
      </c>
      <c r="B40" s="23" t="str">
        <f aca="false">IFERROR(INDEX(정비현황!$A$6:$A$365,MATCH("R"&amp;35,교체대상!$L$6:$L$365,0)),"")</f>
        <v/>
      </c>
      <c r="C40" s="23" t="str">
        <f aca="false">IF($B40="","",IFERROR(INDEX(정비현황!$B$6:$B$365,MATCH("R"&amp;35,교체대상!$L$6:$L$365,0)),""))</f>
        <v/>
      </c>
      <c r="D40" s="23" t="str">
        <f aca="false">IF($B40="","",IFERROR(INDEX(정비현황!$C$6:$C$365,MATCH("R"&amp;35,교체대상!$L$6:$L$365,0)),""))</f>
        <v/>
      </c>
      <c r="E40" s="24" t="str">
        <f aca="false">IF($B40="","",IFERROR(INDEX(정비현황!$J$6:$J$365,MATCH("R"&amp;35,교체대상!$L$6:$L$365,0)),""))</f>
        <v/>
      </c>
      <c r="F40" s="26" t="str">
        <f aca="false">IF($B40="","",IFERROR(INDEX(정비현황!$K$6:$K$365,MATCH("R"&amp;35,교체대상!$L$6:$L$365,0)),""))</f>
        <v/>
      </c>
      <c r="G40" s="28" t="str">
        <f aca="false">IF($B40="","",IFERROR(INDEX(정비현황!$L$6:$L$365,MATCH("R"&amp;35,교체대상!$L$6:$L$365,0)),""))</f>
        <v/>
      </c>
      <c r="H40" s="28" t="str">
        <f aca="false">IF($B40="","",IFERROR(INDEX(정비현황!$M$6:$M$365,MATCH("R"&amp;35,교체대상!$L$6:$L$365,0)),""))</f>
        <v/>
      </c>
      <c r="J40" s="29" t="b">
        <f aca="false">IF(정비현황!$A40="",FALSE(),OR(정비현황!$M40="교체",정비현황!$M40="임박"))</f>
        <v>0</v>
      </c>
      <c r="K40" s="6" t="str">
        <f aca="false">IF($J40=FALSE(),"",COUNTIF($J$6:$J40,TRUE()))</f>
        <v/>
      </c>
      <c r="L40" s="6" t="str">
        <f aca="false">IF($K40="","","R"&amp;$K40)</f>
        <v/>
      </c>
    </row>
    <row r="41" customFormat="false" ht="15" hidden="false" customHeight="true" outlineLevel="0" collapsed="false">
      <c r="A41" s="28" t="str">
        <f aca="false">IF($B41="","",36)</f>
        <v/>
      </c>
      <c r="B41" s="23" t="str">
        <f aca="false">IFERROR(INDEX(정비현황!$A$6:$A$365,MATCH("R"&amp;36,교체대상!$L$6:$L$365,0)),"")</f>
        <v/>
      </c>
      <c r="C41" s="23" t="str">
        <f aca="false">IF($B41="","",IFERROR(INDEX(정비현황!$B$6:$B$365,MATCH("R"&amp;36,교체대상!$L$6:$L$365,0)),""))</f>
        <v/>
      </c>
      <c r="D41" s="23" t="str">
        <f aca="false">IF($B41="","",IFERROR(INDEX(정비현황!$C$6:$C$365,MATCH("R"&amp;36,교체대상!$L$6:$L$365,0)),""))</f>
        <v/>
      </c>
      <c r="E41" s="24" t="str">
        <f aca="false">IF($B41="","",IFERROR(INDEX(정비현황!$J$6:$J$365,MATCH("R"&amp;36,교체대상!$L$6:$L$365,0)),""))</f>
        <v/>
      </c>
      <c r="F41" s="26" t="str">
        <f aca="false">IF($B41="","",IFERROR(INDEX(정비현황!$K$6:$K$365,MATCH("R"&amp;36,교체대상!$L$6:$L$365,0)),""))</f>
        <v/>
      </c>
      <c r="G41" s="28" t="str">
        <f aca="false">IF($B41="","",IFERROR(INDEX(정비현황!$L$6:$L$365,MATCH("R"&amp;36,교체대상!$L$6:$L$365,0)),""))</f>
        <v/>
      </c>
      <c r="H41" s="28" t="str">
        <f aca="false">IF($B41="","",IFERROR(INDEX(정비현황!$M$6:$M$365,MATCH("R"&amp;36,교체대상!$L$6:$L$365,0)),""))</f>
        <v/>
      </c>
      <c r="J41" s="29" t="b">
        <f aca="false">IF(정비현황!$A41="",FALSE(),OR(정비현황!$M41="교체",정비현황!$M41="임박"))</f>
        <v>0</v>
      </c>
      <c r="K41" s="6" t="str">
        <f aca="false">IF($J41=FALSE(),"",COUNTIF($J$6:$J41,TRUE()))</f>
        <v/>
      </c>
      <c r="L41" s="6" t="str">
        <f aca="false">IF($K41="","","R"&amp;$K41)</f>
        <v/>
      </c>
    </row>
    <row r="42" customFormat="false" ht="15" hidden="false" customHeight="true" outlineLevel="0" collapsed="false">
      <c r="A42" s="28" t="str">
        <f aca="false">IF($B42="","",37)</f>
        <v/>
      </c>
      <c r="B42" s="23" t="str">
        <f aca="false">IFERROR(INDEX(정비현황!$A$6:$A$365,MATCH("R"&amp;37,교체대상!$L$6:$L$365,0)),"")</f>
        <v/>
      </c>
      <c r="C42" s="23" t="str">
        <f aca="false">IF($B42="","",IFERROR(INDEX(정비현황!$B$6:$B$365,MATCH("R"&amp;37,교체대상!$L$6:$L$365,0)),""))</f>
        <v/>
      </c>
      <c r="D42" s="23" t="str">
        <f aca="false">IF($B42="","",IFERROR(INDEX(정비현황!$C$6:$C$365,MATCH("R"&amp;37,교체대상!$L$6:$L$365,0)),""))</f>
        <v/>
      </c>
      <c r="E42" s="24" t="str">
        <f aca="false">IF($B42="","",IFERROR(INDEX(정비현황!$J$6:$J$365,MATCH("R"&amp;37,교체대상!$L$6:$L$365,0)),""))</f>
        <v/>
      </c>
      <c r="F42" s="26" t="str">
        <f aca="false">IF($B42="","",IFERROR(INDEX(정비현황!$K$6:$K$365,MATCH("R"&amp;37,교체대상!$L$6:$L$365,0)),""))</f>
        <v/>
      </c>
      <c r="G42" s="28" t="str">
        <f aca="false">IF($B42="","",IFERROR(INDEX(정비현황!$L$6:$L$365,MATCH("R"&amp;37,교체대상!$L$6:$L$365,0)),""))</f>
        <v/>
      </c>
      <c r="H42" s="28" t="str">
        <f aca="false">IF($B42="","",IFERROR(INDEX(정비현황!$M$6:$M$365,MATCH("R"&amp;37,교체대상!$L$6:$L$365,0)),""))</f>
        <v/>
      </c>
      <c r="J42" s="29" t="b">
        <f aca="false">IF(정비현황!$A42="",FALSE(),OR(정비현황!$M42="교체",정비현황!$M42="임박"))</f>
        <v>0</v>
      </c>
      <c r="K42" s="6" t="str">
        <f aca="false">IF($J42=FALSE(),"",COUNTIF($J$6:$J42,TRUE()))</f>
        <v/>
      </c>
      <c r="L42" s="6" t="str">
        <f aca="false">IF($K42="","","R"&amp;$K42)</f>
        <v/>
      </c>
    </row>
    <row r="43" customFormat="false" ht="15" hidden="false" customHeight="true" outlineLevel="0" collapsed="false">
      <c r="A43" s="28" t="str">
        <f aca="false">IF($B43="","",38)</f>
        <v/>
      </c>
      <c r="B43" s="23" t="str">
        <f aca="false">IFERROR(INDEX(정비현황!$A$6:$A$365,MATCH("R"&amp;38,교체대상!$L$6:$L$365,0)),"")</f>
        <v/>
      </c>
      <c r="C43" s="23" t="str">
        <f aca="false">IF($B43="","",IFERROR(INDEX(정비현황!$B$6:$B$365,MATCH("R"&amp;38,교체대상!$L$6:$L$365,0)),""))</f>
        <v/>
      </c>
      <c r="D43" s="23" t="str">
        <f aca="false">IF($B43="","",IFERROR(INDEX(정비현황!$C$6:$C$365,MATCH("R"&amp;38,교체대상!$L$6:$L$365,0)),""))</f>
        <v/>
      </c>
      <c r="E43" s="24" t="str">
        <f aca="false">IF($B43="","",IFERROR(INDEX(정비현황!$J$6:$J$365,MATCH("R"&amp;38,교체대상!$L$6:$L$365,0)),""))</f>
        <v/>
      </c>
      <c r="F43" s="26" t="str">
        <f aca="false">IF($B43="","",IFERROR(INDEX(정비현황!$K$6:$K$365,MATCH("R"&amp;38,교체대상!$L$6:$L$365,0)),""))</f>
        <v/>
      </c>
      <c r="G43" s="28" t="str">
        <f aca="false">IF($B43="","",IFERROR(INDEX(정비현황!$L$6:$L$365,MATCH("R"&amp;38,교체대상!$L$6:$L$365,0)),""))</f>
        <v/>
      </c>
      <c r="H43" s="28" t="str">
        <f aca="false">IF($B43="","",IFERROR(INDEX(정비현황!$M$6:$M$365,MATCH("R"&amp;38,교체대상!$L$6:$L$365,0)),""))</f>
        <v/>
      </c>
      <c r="J43" s="29" t="b">
        <f aca="false">IF(정비현황!$A43="",FALSE(),OR(정비현황!$M43="교체",정비현황!$M43="임박"))</f>
        <v>0</v>
      </c>
      <c r="K43" s="6" t="str">
        <f aca="false">IF($J43=FALSE(),"",COUNTIF($J$6:$J43,TRUE()))</f>
        <v/>
      </c>
      <c r="L43" s="6" t="str">
        <f aca="false">IF($K43="","","R"&amp;$K43)</f>
        <v/>
      </c>
    </row>
    <row r="44" customFormat="false" ht="15" hidden="false" customHeight="true" outlineLevel="0" collapsed="false">
      <c r="A44" s="28" t="str">
        <f aca="false">IF($B44="","",39)</f>
        <v/>
      </c>
      <c r="B44" s="23" t="str">
        <f aca="false">IFERROR(INDEX(정비현황!$A$6:$A$365,MATCH("R"&amp;39,교체대상!$L$6:$L$365,0)),"")</f>
        <v/>
      </c>
      <c r="C44" s="23" t="str">
        <f aca="false">IF($B44="","",IFERROR(INDEX(정비현황!$B$6:$B$365,MATCH("R"&amp;39,교체대상!$L$6:$L$365,0)),""))</f>
        <v/>
      </c>
      <c r="D44" s="23" t="str">
        <f aca="false">IF($B44="","",IFERROR(INDEX(정비현황!$C$6:$C$365,MATCH("R"&amp;39,교체대상!$L$6:$L$365,0)),""))</f>
        <v/>
      </c>
      <c r="E44" s="24" t="str">
        <f aca="false">IF($B44="","",IFERROR(INDEX(정비현황!$J$6:$J$365,MATCH("R"&amp;39,교체대상!$L$6:$L$365,0)),""))</f>
        <v/>
      </c>
      <c r="F44" s="26" t="str">
        <f aca="false">IF($B44="","",IFERROR(INDEX(정비현황!$K$6:$K$365,MATCH("R"&amp;39,교체대상!$L$6:$L$365,0)),""))</f>
        <v/>
      </c>
      <c r="G44" s="28" t="str">
        <f aca="false">IF($B44="","",IFERROR(INDEX(정비현황!$L$6:$L$365,MATCH("R"&amp;39,교체대상!$L$6:$L$365,0)),""))</f>
        <v/>
      </c>
      <c r="H44" s="28" t="str">
        <f aca="false">IF($B44="","",IFERROR(INDEX(정비현황!$M$6:$M$365,MATCH("R"&amp;39,교체대상!$L$6:$L$365,0)),""))</f>
        <v/>
      </c>
      <c r="J44" s="29" t="b">
        <f aca="false">IF(정비현황!$A44="",FALSE(),OR(정비현황!$M44="교체",정비현황!$M44="임박"))</f>
        <v>0</v>
      </c>
      <c r="K44" s="6" t="str">
        <f aca="false">IF($J44=FALSE(),"",COUNTIF($J$6:$J44,TRUE()))</f>
        <v/>
      </c>
      <c r="L44" s="6" t="str">
        <f aca="false">IF($K44="","","R"&amp;$K44)</f>
        <v/>
      </c>
    </row>
    <row r="45" customFormat="false" ht="15" hidden="false" customHeight="true" outlineLevel="0" collapsed="false">
      <c r="A45" s="28" t="str">
        <f aca="false">IF($B45="","",40)</f>
        <v/>
      </c>
      <c r="B45" s="23" t="str">
        <f aca="false">IFERROR(INDEX(정비현황!$A$6:$A$365,MATCH("R"&amp;40,교체대상!$L$6:$L$365,0)),"")</f>
        <v/>
      </c>
      <c r="C45" s="23" t="str">
        <f aca="false">IF($B45="","",IFERROR(INDEX(정비현황!$B$6:$B$365,MATCH("R"&amp;40,교체대상!$L$6:$L$365,0)),""))</f>
        <v/>
      </c>
      <c r="D45" s="23" t="str">
        <f aca="false">IF($B45="","",IFERROR(INDEX(정비현황!$C$6:$C$365,MATCH("R"&amp;40,교체대상!$L$6:$L$365,0)),""))</f>
        <v/>
      </c>
      <c r="E45" s="24" t="str">
        <f aca="false">IF($B45="","",IFERROR(INDEX(정비현황!$J$6:$J$365,MATCH("R"&amp;40,교체대상!$L$6:$L$365,0)),""))</f>
        <v/>
      </c>
      <c r="F45" s="26" t="str">
        <f aca="false">IF($B45="","",IFERROR(INDEX(정비현황!$K$6:$K$365,MATCH("R"&amp;40,교체대상!$L$6:$L$365,0)),""))</f>
        <v/>
      </c>
      <c r="G45" s="28" t="str">
        <f aca="false">IF($B45="","",IFERROR(INDEX(정비현황!$L$6:$L$365,MATCH("R"&amp;40,교체대상!$L$6:$L$365,0)),""))</f>
        <v/>
      </c>
      <c r="H45" s="28" t="str">
        <f aca="false">IF($B45="","",IFERROR(INDEX(정비현황!$M$6:$M$365,MATCH("R"&amp;40,교체대상!$L$6:$L$365,0)),""))</f>
        <v/>
      </c>
      <c r="J45" s="29" t="b">
        <f aca="false">IF(정비현황!$A45="",FALSE(),OR(정비현황!$M45="교체",정비현황!$M45="임박"))</f>
        <v>0</v>
      </c>
      <c r="K45" s="6" t="str">
        <f aca="false">IF($J45=FALSE(),"",COUNTIF($J$6:$J45,TRUE()))</f>
        <v/>
      </c>
      <c r="L45" s="6" t="str">
        <f aca="false">IF($K45="","","R"&amp;$K45)</f>
        <v/>
      </c>
    </row>
    <row r="46" customFormat="false" ht="15" hidden="false" customHeight="true" outlineLevel="0" collapsed="false">
      <c r="A46" s="28" t="str">
        <f aca="false">IF($B46="","",41)</f>
        <v/>
      </c>
      <c r="B46" s="23" t="str">
        <f aca="false">IFERROR(INDEX(정비현황!$A$6:$A$365,MATCH("R"&amp;41,교체대상!$L$6:$L$365,0)),"")</f>
        <v/>
      </c>
      <c r="C46" s="23" t="str">
        <f aca="false">IF($B46="","",IFERROR(INDEX(정비현황!$B$6:$B$365,MATCH("R"&amp;41,교체대상!$L$6:$L$365,0)),""))</f>
        <v/>
      </c>
      <c r="D46" s="23" t="str">
        <f aca="false">IF($B46="","",IFERROR(INDEX(정비현황!$C$6:$C$365,MATCH("R"&amp;41,교체대상!$L$6:$L$365,0)),""))</f>
        <v/>
      </c>
      <c r="E46" s="24" t="str">
        <f aca="false">IF($B46="","",IFERROR(INDEX(정비현황!$J$6:$J$365,MATCH("R"&amp;41,교체대상!$L$6:$L$365,0)),""))</f>
        <v/>
      </c>
      <c r="F46" s="26" t="str">
        <f aca="false">IF($B46="","",IFERROR(INDEX(정비현황!$K$6:$K$365,MATCH("R"&amp;41,교체대상!$L$6:$L$365,0)),""))</f>
        <v/>
      </c>
      <c r="G46" s="28" t="str">
        <f aca="false">IF($B46="","",IFERROR(INDEX(정비현황!$L$6:$L$365,MATCH("R"&amp;41,교체대상!$L$6:$L$365,0)),""))</f>
        <v/>
      </c>
      <c r="H46" s="28" t="str">
        <f aca="false">IF($B46="","",IFERROR(INDEX(정비현황!$M$6:$M$365,MATCH("R"&amp;41,교체대상!$L$6:$L$365,0)),""))</f>
        <v/>
      </c>
      <c r="J46" s="29" t="b">
        <f aca="false">IF(정비현황!$A46="",FALSE(),OR(정비현황!$M46="교체",정비현황!$M46="임박"))</f>
        <v>0</v>
      </c>
      <c r="K46" s="6" t="str">
        <f aca="false">IF($J46=FALSE(),"",COUNTIF($J$6:$J46,TRUE()))</f>
        <v/>
      </c>
      <c r="L46" s="6" t="str">
        <f aca="false">IF($K46="","","R"&amp;$K46)</f>
        <v/>
      </c>
    </row>
    <row r="47" customFormat="false" ht="15" hidden="false" customHeight="true" outlineLevel="0" collapsed="false">
      <c r="A47" s="28" t="str">
        <f aca="false">IF($B47="","",42)</f>
        <v/>
      </c>
      <c r="B47" s="23" t="str">
        <f aca="false">IFERROR(INDEX(정비현황!$A$6:$A$365,MATCH("R"&amp;42,교체대상!$L$6:$L$365,0)),"")</f>
        <v/>
      </c>
      <c r="C47" s="23" t="str">
        <f aca="false">IF($B47="","",IFERROR(INDEX(정비현황!$B$6:$B$365,MATCH("R"&amp;42,교체대상!$L$6:$L$365,0)),""))</f>
        <v/>
      </c>
      <c r="D47" s="23" t="str">
        <f aca="false">IF($B47="","",IFERROR(INDEX(정비현황!$C$6:$C$365,MATCH("R"&amp;42,교체대상!$L$6:$L$365,0)),""))</f>
        <v/>
      </c>
      <c r="E47" s="24" t="str">
        <f aca="false">IF($B47="","",IFERROR(INDEX(정비현황!$J$6:$J$365,MATCH("R"&amp;42,교체대상!$L$6:$L$365,0)),""))</f>
        <v/>
      </c>
      <c r="F47" s="26" t="str">
        <f aca="false">IF($B47="","",IFERROR(INDEX(정비현황!$K$6:$K$365,MATCH("R"&amp;42,교체대상!$L$6:$L$365,0)),""))</f>
        <v/>
      </c>
      <c r="G47" s="28" t="str">
        <f aca="false">IF($B47="","",IFERROR(INDEX(정비현황!$L$6:$L$365,MATCH("R"&amp;42,교체대상!$L$6:$L$365,0)),""))</f>
        <v/>
      </c>
      <c r="H47" s="28" t="str">
        <f aca="false">IF($B47="","",IFERROR(INDEX(정비현황!$M$6:$M$365,MATCH("R"&amp;42,교체대상!$L$6:$L$365,0)),""))</f>
        <v/>
      </c>
      <c r="J47" s="29" t="b">
        <f aca="false">IF(정비현황!$A47="",FALSE(),OR(정비현황!$M47="교체",정비현황!$M47="임박"))</f>
        <v>0</v>
      </c>
      <c r="K47" s="6" t="str">
        <f aca="false">IF($J47=FALSE(),"",COUNTIF($J$6:$J47,TRUE()))</f>
        <v/>
      </c>
      <c r="L47" s="6" t="str">
        <f aca="false">IF($K47="","","R"&amp;$K47)</f>
        <v/>
      </c>
    </row>
    <row r="48" customFormat="false" ht="15" hidden="false" customHeight="true" outlineLevel="0" collapsed="false">
      <c r="A48" s="28" t="str">
        <f aca="false">IF($B48="","",43)</f>
        <v/>
      </c>
      <c r="B48" s="23" t="str">
        <f aca="false">IFERROR(INDEX(정비현황!$A$6:$A$365,MATCH("R"&amp;43,교체대상!$L$6:$L$365,0)),"")</f>
        <v/>
      </c>
      <c r="C48" s="23" t="str">
        <f aca="false">IF($B48="","",IFERROR(INDEX(정비현황!$B$6:$B$365,MATCH("R"&amp;43,교체대상!$L$6:$L$365,0)),""))</f>
        <v/>
      </c>
      <c r="D48" s="23" t="str">
        <f aca="false">IF($B48="","",IFERROR(INDEX(정비현황!$C$6:$C$365,MATCH("R"&amp;43,교체대상!$L$6:$L$365,0)),""))</f>
        <v/>
      </c>
      <c r="E48" s="24" t="str">
        <f aca="false">IF($B48="","",IFERROR(INDEX(정비현황!$J$6:$J$365,MATCH("R"&amp;43,교체대상!$L$6:$L$365,0)),""))</f>
        <v/>
      </c>
      <c r="F48" s="26" t="str">
        <f aca="false">IF($B48="","",IFERROR(INDEX(정비현황!$K$6:$K$365,MATCH("R"&amp;43,교체대상!$L$6:$L$365,0)),""))</f>
        <v/>
      </c>
      <c r="G48" s="28" t="str">
        <f aca="false">IF($B48="","",IFERROR(INDEX(정비현황!$L$6:$L$365,MATCH("R"&amp;43,교체대상!$L$6:$L$365,0)),""))</f>
        <v/>
      </c>
      <c r="H48" s="28" t="str">
        <f aca="false">IF($B48="","",IFERROR(INDEX(정비현황!$M$6:$M$365,MATCH("R"&amp;43,교체대상!$L$6:$L$365,0)),""))</f>
        <v/>
      </c>
      <c r="J48" s="29" t="b">
        <f aca="false">IF(정비현황!$A48="",FALSE(),OR(정비현황!$M48="교체",정비현황!$M48="임박"))</f>
        <v>0</v>
      </c>
      <c r="K48" s="6" t="str">
        <f aca="false">IF($J48=FALSE(),"",COUNTIF($J$6:$J48,TRUE()))</f>
        <v/>
      </c>
      <c r="L48" s="6" t="str">
        <f aca="false">IF($K48="","","R"&amp;$K48)</f>
        <v/>
      </c>
    </row>
    <row r="49" customFormat="false" ht="15" hidden="false" customHeight="true" outlineLevel="0" collapsed="false">
      <c r="A49" s="28" t="str">
        <f aca="false">IF($B49="","",44)</f>
        <v/>
      </c>
      <c r="B49" s="23" t="str">
        <f aca="false">IFERROR(INDEX(정비현황!$A$6:$A$365,MATCH("R"&amp;44,교체대상!$L$6:$L$365,0)),"")</f>
        <v/>
      </c>
      <c r="C49" s="23" t="str">
        <f aca="false">IF($B49="","",IFERROR(INDEX(정비현황!$B$6:$B$365,MATCH("R"&amp;44,교체대상!$L$6:$L$365,0)),""))</f>
        <v/>
      </c>
      <c r="D49" s="23" t="str">
        <f aca="false">IF($B49="","",IFERROR(INDEX(정비현황!$C$6:$C$365,MATCH("R"&amp;44,교체대상!$L$6:$L$365,0)),""))</f>
        <v/>
      </c>
      <c r="E49" s="24" t="str">
        <f aca="false">IF($B49="","",IFERROR(INDEX(정비현황!$J$6:$J$365,MATCH("R"&amp;44,교체대상!$L$6:$L$365,0)),""))</f>
        <v/>
      </c>
      <c r="F49" s="26" t="str">
        <f aca="false">IF($B49="","",IFERROR(INDEX(정비현황!$K$6:$K$365,MATCH("R"&amp;44,교체대상!$L$6:$L$365,0)),""))</f>
        <v/>
      </c>
      <c r="G49" s="28" t="str">
        <f aca="false">IF($B49="","",IFERROR(INDEX(정비현황!$L$6:$L$365,MATCH("R"&amp;44,교체대상!$L$6:$L$365,0)),""))</f>
        <v/>
      </c>
      <c r="H49" s="28" t="str">
        <f aca="false">IF($B49="","",IFERROR(INDEX(정비현황!$M$6:$M$365,MATCH("R"&amp;44,교체대상!$L$6:$L$365,0)),""))</f>
        <v/>
      </c>
      <c r="J49" s="29" t="b">
        <f aca="false">IF(정비현황!$A49="",FALSE(),OR(정비현황!$M49="교체",정비현황!$M49="임박"))</f>
        <v>0</v>
      </c>
      <c r="K49" s="6" t="str">
        <f aca="false">IF($J49=FALSE(),"",COUNTIF($J$6:$J49,TRUE()))</f>
        <v/>
      </c>
      <c r="L49" s="6" t="str">
        <f aca="false">IF($K49="","","R"&amp;$K49)</f>
        <v/>
      </c>
    </row>
    <row r="50" customFormat="false" ht="15" hidden="false" customHeight="true" outlineLevel="0" collapsed="false">
      <c r="A50" s="28" t="str">
        <f aca="false">IF($B50="","",45)</f>
        <v/>
      </c>
      <c r="B50" s="23" t="str">
        <f aca="false">IFERROR(INDEX(정비현황!$A$6:$A$365,MATCH("R"&amp;45,교체대상!$L$6:$L$365,0)),"")</f>
        <v/>
      </c>
      <c r="C50" s="23" t="str">
        <f aca="false">IF($B50="","",IFERROR(INDEX(정비현황!$B$6:$B$365,MATCH("R"&amp;45,교체대상!$L$6:$L$365,0)),""))</f>
        <v/>
      </c>
      <c r="D50" s="23" t="str">
        <f aca="false">IF($B50="","",IFERROR(INDEX(정비현황!$C$6:$C$365,MATCH("R"&amp;45,교체대상!$L$6:$L$365,0)),""))</f>
        <v/>
      </c>
      <c r="E50" s="24" t="str">
        <f aca="false">IF($B50="","",IFERROR(INDEX(정비현황!$J$6:$J$365,MATCH("R"&amp;45,교체대상!$L$6:$L$365,0)),""))</f>
        <v/>
      </c>
      <c r="F50" s="26" t="str">
        <f aca="false">IF($B50="","",IFERROR(INDEX(정비현황!$K$6:$K$365,MATCH("R"&amp;45,교체대상!$L$6:$L$365,0)),""))</f>
        <v/>
      </c>
      <c r="G50" s="28" t="str">
        <f aca="false">IF($B50="","",IFERROR(INDEX(정비현황!$L$6:$L$365,MATCH("R"&amp;45,교체대상!$L$6:$L$365,0)),""))</f>
        <v/>
      </c>
      <c r="H50" s="28" t="str">
        <f aca="false">IF($B50="","",IFERROR(INDEX(정비현황!$M$6:$M$365,MATCH("R"&amp;45,교체대상!$L$6:$L$365,0)),""))</f>
        <v/>
      </c>
      <c r="J50" s="29" t="b">
        <f aca="false">IF(정비현황!$A50="",FALSE(),OR(정비현황!$M50="교체",정비현황!$M50="임박"))</f>
        <v>0</v>
      </c>
      <c r="K50" s="6" t="str">
        <f aca="false">IF($J50=FALSE(),"",COUNTIF($J$6:$J50,TRUE()))</f>
        <v/>
      </c>
      <c r="L50" s="6" t="str">
        <f aca="false">IF($K50="","","R"&amp;$K50)</f>
        <v/>
      </c>
    </row>
    <row r="51" customFormat="false" ht="15" hidden="false" customHeight="true" outlineLevel="0" collapsed="false">
      <c r="A51" s="28" t="str">
        <f aca="false">IF($B51="","",46)</f>
        <v/>
      </c>
      <c r="B51" s="23" t="str">
        <f aca="false">IFERROR(INDEX(정비현황!$A$6:$A$365,MATCH("R"&amp;46,교체대상!$L$6:$L$365,0)),"")</f>
        <v/>
      </c>
      <c r="C51" s="23" t="str">
        <f aca="false">IF($B51="","",IFERROR(INDEX(정비현황!$B$6:$B$365,MATCH("R"&amp;46,교체대상!$L$6:$L$365,0)),""))</f>
        <v/>
      </c>
      <c r="D51" s="23" t="str">
        <f aca="false">IF($B51="","",IFERROR(INDEX(정비현황!$C$6:$C$365,MATCH("R"&amp;46,교체대상!$L$6:$L$365,0)),""))</f>
        <v/>
      </c>
      <c r="E51" s="24" t="str">
        <f aca="false">IF($B51="","",IFERROR(INDEX(정비현황!$J$6:$J$365,MATCH("R"&amp;46,교체대상!$L$6:$L$365,0)),""))</f>
        <v/>
      </c>
      <c r="F51" s="26" t="str">
        <f aca="false">IF($B51="","",IFERROR(INDEX(정비현황!$K$6:$K$365,MATCH("R"&amp;46,교체대상!$L$6:$L$365,0)),""))</f>
        <v/>
      </c>
      <c r="G51" s="28" t="str">
        <f aca="false">IF($B51="","",IFERROR(INDEX(정비현황!$L$6:$L$365,MATCH("R"&amp;46,교체대상!$L$6:$L$365,0)),""))</f>
        <v/>
      </c>
      <c r="H51" s="28" t="str">
        <f aca="false">IF($B51="","",IFERROR(INDEX(정비현황!$M$6:$M$365,MATCH("R"&amp;46,교체대상!$L$6:$L$365,0)),""))</f>
        <v/>
      </c>
      <c r="J51" s="29" t="b">
        <f aca="false">IF(정비현황!$A51="",FALSE(),OR(정비현황!$M51="교체",정비현황!$M51="임박"))</f>
        <v>0</v>
      </c>
      <c r="K51" s="6" t="str">
        <f aca="false">IF($J51=FALSE(),"",COUNTIF($J$6:$J51,TRUE()))</f>
        <v/>
      </c>
      <c r="L51" s="6" t="str">
        <f aca="false">IF($K51="","","R"&amp;$K51)</f>
        <v/>
      </c>
    </row>
    <row r="52" customFormat="false" ht="15" hidden="false" customHeight="true" outlineLevel="0" collapsed="false">
      <c r="A52" s="28" t="str">
        <f aca="false">IF($B52="","",47)</f>
        <v/>
      </c>
      <c r="B52" s="23" t="str">
        <f aca="false">IFERROR(INDEX(정비현황!$A$6:$A$365,MATCH("R"&amp;47,교체대상!$L$6:$L$365,0)),"")</f>
        <v/>
      </c>
      <c r="C52" s="23" t="str">
        <f aca="false">IF($B52="","",IFERROR(INDEX(정비현황!$B$6:$B$365,MATCH("R"&amp;47,교체대상!$L$6:$L$365,0)),""))</f>
        <v/>
      </c>
      <c r="D52" s="23" t="str">
        <f aca="false">IF($B52="","",IFERROR(INDEX(정비현황!$C$6:$C$365,MATCH("R"&amp;47,교체대상!$L$6:$L$365,0)),""))</f>
        <v/>
      </c>
      <c r="E52" s="24" t="str">
        <f aca="false">IF($B52="","",IFERROR(INDEX(정비현황!$J$6:$J$365,MATCH("R"&amp;47,교체대상!$L$6:$L$365,0)),""))</f>
        <v/>
      </c>
      <c r="F52" s="26" t="str">
        <f aca="false">IF($B52="","",IFERROR(INDEX(정비현황!$K$6:$K$365,MATCH("R"&amp;47,교체대상!$L$6:$L$365,0)),""))</f>
        <v/>
      </c>
      <c r="G52" s="28" t="str">
        <f aca="false">IF($B52="","",IFERROR(INDEX(정비현황!$L$6:$L$365,MATCH("R"&amp;47,교체대상!$L$6:$L$365,0)),""))</f>
        <v/>
      </c>
      <c r="H52" s="28" t="str">
        <f aca="false">IF($B52="","",IFERROR(INDEX(정비현황!$M$6:$M$365,MATCH("R"&amp;47,교체대상!$L$6:$L$365,0)),""))</f>
        <v/>
      </c>
      <c r="J52" s="29" t="b">
        <f aca="false">IF(정비현황!$A52="",FALSE(),OR(정비현황!$M52="교체",정비현황!$M52="임박"))</f>
        <v>0</v>
      </c>
      <c r="K52" s="6" t="str">
        <f aca="false">IF($J52=FALSE(),"",COUNTIF($J$6:$J52,TRUE()))</f>
        <v/>
      </c>
      <c r="L52" s="6" t="str">
        <f aca="false">IF($K52="","","R"&amp;$K52)</f>
        <v/>
      </c>
    </row>
    <row r="53" customFormat="false" ht="15" hidden="false" customHeight="true" outlineLevel="0" collapsed="false">
      <c r="A53" s="28" t="str">
        <f aca="false">IF($B53="","",48)</f>
        <v/>
      </c>
      <c r="B53" s="23" t="str">
        <f aca="false">IFERROR(INDEX(정비현황!$A$6:$A$365,MATCH("R"&amp;48,교체대상!$L$6:$L$365,0)),"")</f>
        <v/>
      </c>
      <c r="C53" s="23" t="str">
        <f aca="false">IF($B53="","",IFERROR(INDEX(정비현황!$B$6:$B$365,MATCH("R"&amp;48,교체대상!$L$6:$L$365,0)),""))</f>
        <v/>
      </c>
      <c r="D53" s="23" t="str">
        <f aca="false">IF($B53="","",IFERROR(INDEX(정비현황!$C$6:$C$365,MATCH("R"&amp;48,교체대상!$L$6:$L$365,0)),""))</f>
        <v/>
      </c>
      <c r="E53" s="24" t="str">
        <f aca="false">IF($B53="","",IFERROR(INDEX(정비현황!$J$6:$J$365,MATCH("R"&amp;48,교체대상!$L$6:$L$365,0)),""))</f>
        <v/>
      </c>
      <c r="F53" s="26" t="str">
        <f aca="false">IF($B53="","",IFERROR(INDEX(정비현황!$K$6:$K$365,MATCH("R"&amp;48,교체대상!$L$6:$L$365,0)),""))</f>
        <v/>
      </c>
      <c r="G53" s="28" t="str">
        <f aca="false">IF($B53="","",IFERROR(INDEX(정비현황!$L$6:$L$365,MATCH("R"&amp;48,교체대상!$L$6:$L$365,0)),""))</f>
        <v/>
      </c>
      <c r="H53" s="28" t="str">
        <f aca="false">IF($B53="","",IFERROR(INDEX(정비현황!$M$6:$M$365,MATCH("R"&amp;48,교체대상!$L$6:$L$365,0)),""))</f>
        <v/>
      </c>
      <c r="J53" s="29" t="b">
        <f aca="false">IF(정비현황!$A53="",FALSE(),OR(정비현황!$M53="교체",정비현황!$M53="임박"))</f>
        <v>0</v>
      </c>
      <c r="K53" s="6" t="str">
        <f aca="false">IF($J53=FALSE(),"",COUNTIF($J$6:$J53,TRUE()))</f>
        <v/>
      </c>
      <c r="L53" s="6" t="str">
        <f aca="false">IF($K53="","","R"&amp;$K53)</f>
        <v/>
      </c>
    </row>
    <row r="54" customFormat="false" ht="15" hidden="false" customHeight="true" outlineLevel="0" collapsed="false">
      <c r="A54" s="28" t="str">
        <f aca="false">IF($B54="","",49)</f>
        <v/>
      </c>
      <c r="B54" s="23" t="str">
        <f aca="false">IFERROR(INDEX(정비현황!$A$6:$A$365,MATCH("R"&amp;49,교체대상!$L$6:$L$365,0)),"")</f>
        <v/>
      </c>
      <c r="C54" s="23" t="str">
        <f aca="false">IF($B54="","",IFERROR(INDEX(정비현황!$B$6:$B$365,MATCH("R"&amp;49,교체대상!$L$6:$L$365,0)),""))</f>
        <v/>
      </c>
      <c r="D54" s="23" t="str">
        <f aca="false">IF($B54="","",IFERROR(INDEX(정비현황!$C$6:$C$365,MATCH("R"&amp;49,교체대상!$L$6:$L$365,0)),""))</f>
        <v/>
      </c>
      <c r="E54" s="24" t="str">
        <f aca="false">IF($B54="","",IFERROR(INDEX(정비현황!$J$6:$J$365,MATCH("R"&amp;49,교체대상!$L$6:$L$365,0)),""))</f>
        <v/>
      </c>
      <c r="F54" s="26" t="str">
        <f aca="false">IF($B54="","",IFERROR(INDEX(정비현황!$K$6:$K$365,MATCH("R"&amp;49,교체대상!$L$6:$L$365,0)),""))</f>
        <v/>
      </c>
      <c r="G54" s="28" t="str">
        <f aca="false">IF($B54="","",IFERROR(INDEX(정비현황!$L$6:$L$365,MATCH("R"&amp;49,교체대상!$L$6:$L$365,0)),""))</f>
        <v/>
      </c>
      <c r="H54" s="28" t="str">
        <f aca="false">IF($B54="","",IFERROR(INDEX(정비현황!$M$6:$M$365,MATCH("R"&amp;49,교체대상!$L$6:$L$365,0)),""))</f>
        <v/>
      </c>
      <c r="J54" s="29" t="b">
        <f aca="false">IF(정비현황!$A54="",FALSE(),OR(정비현황!$M54="교체",정비현황!$M54="임박"))</f>
        <v>0</v>
      </c>
      <c r="K54" s="6" t="str">
        <f aca="false">IF($J54=FALSE(),"",COUNTIF($J$6:$J54,TRUE()))</f>
        <v/>
      </c>
      <c r="L54" s="6" t="str">
        <f aca="false">IF($K54="","","R"&amp;$K54)</f>
        <v/>
      </c>
    </row>
    <row r="55" customFormat="false" ht="15" hidden="false" customHeight="true" outlineLevel="0" collapsed="false">
      <c r="A55" s="28" t="str">
        <f aca="false">IF($B55="","",50)</f>
        <v/>
      </c>
      <c r="B55" s="23" t="str">
        <f aca="false">IFERROR(INDEX(정비현황!$A$6:$A$365,MATCH("R"&amp;50,교체대상!$L$6:$L$365,0)),"")</f>
        <v/>
      </c>
      <c r="C55" s="23" t="str">
        <f aca="false">IF($B55="","",IFERROR(INDEX(정비현황!$B$6:$B$365,MATCH("R"&amp;50,교체대상!$L$6:$L$365,0)),""))</f>
        <v/>
      </c>
      <c r="D55" s="23" t="str">
        <f aca="false">IF($B55="","",IFERROR(INDEX(정비현황!$C$6:$C$365,MATCH("R"&amp;50,교체대상!$L$6:$L$365,0)),""))</f>
        <v/>
      </c>
      <c r="E55" s="24" t="str">
        <f aca="false">IF($B55="","",IFERROR(INDEX(정비현황!$J$6:$J$365,MATCH("R"&amp;50,교체대상!$L$6:$L$365,0)),""))</f>
        <v/>
      </c>
      <c r="F55" s="26" t="str">
        <f aca="false">IF($B55="","",IFERROR(INDEX(정비현황!$K$6:$K$365,MATCH("R"&amp;50,교체대상!$L$6:$L$365,0)),""))</f>
        <v/>
      </c>
      <c r="G55" s="28" t="str">
        <f aca="false">IF($B55="","",IFERROR(INDEX(정비현황!$L$6:$L$365,MATCH("R"&amp;50,교체대상!$L$6:$L$365,0)),""))</f>
        <v/>
      </c>
      <c r="H55" s="28" t="str">
        <f aca="false">IF($B55="","",IFERROR(INDEX(정비현황!$M$6:$M$365,MATCH("R"&amp;50,교체대상!$L$6:$L$365,0)),""))</f>
        <v/>
      </c>
      <c r="J55" s="29" t="b">
        <f aca="false">IF(정비현황!$A55="",FALSE(),OR(정비현황!$M55="교체",정비현황!$M55="임박"))</f>
        <v>0</v>
      </c>
      <c r="K55" s="6" t="str">
        <f aca="false">IF($J55=FALSE(),"",COUNTIF($J$6:$J55,TRUE()))</f>
        <v/>
      </c>
      <c r="L55" s="6" t="str">
        <f aca="false">IF($K55="","","R"&amp;$K55)</f>
        <v/>
      </c>
    </row>
    <row r="56" customFormat="false" ht="15" hidden="false" customHeight="true" outlineLevel="0" collapsed="false">
      <c r="A56" s="28" t="str">
        <f aca="false">IF($B56="","",51)</f>
        <v/>
      </c>
      <c r="B56" s="23" t="str">
        <f aca="false">IFERROR(INDEX(정비현황!$A$6:$A$365,MATCH("R"&amp;51,교체대상!$L$6:$L$365,0)),"")</f>
        <v/>
      </c>
      <c r="C56" s="23" t="str">
        <f aca="false">IF($B56="","",IFERROR(INDEX(정비현황!$B$6:$B$365,MATCH("R"&amp;51,교체대상!$L$6:$L$365,0)),""))</f>
        <v/>
      </c>
      <c r="D56" s="23" t="str">
        <f aca="false">IF($B56="","",IFERROR(INDEX(정비현황!$C$6:$C$365,MATCH("R"&amp;51,교체대상!$L$6:$L$365,0)),""))</f>
        <v/>
      </c>
      <c r="E56" s="24" t="str">
        <f aca="false">IF($B56="","",IFERROR(INDEX(정비현황!$J$6:$J$365,MATCH("R"&amp;51,교체대상!$L$6:$L$365,0)),""))</f>
        <v/>
      </c>
      <c r="F56" s="26" t="str">
        <f aca="false">IF($B56="","",IFERROR(INDEX(정비현황!$K$6:$K$365,MATCH("R"&amp;51,교체대상!$L$6:$L$365,0)),""))</f>
        <v/>
      </c>
      <c r="G56" s="28" t="str">
        <f aca="false">IF($B56="","",IFERROR(INDEX(정비현황!$L$6:$L$365,MATCH("R"&amp;51,교체대상!$L$6:$L$365,0)),""))</f>
        <v/>
      </c>
      <c r="H56" s="28" t="str">
        <f aca="false">IF($B56="","",IFERROR(INDEX(정비현황!$M$6:$M$365,MATCH("R"&amp;51,교체대상!$L$6:$L$365,0)),""))</f>
        <v/>
      </c>
      <c r="J56" s="29" t="b">
        <f aca="false">IF(정비현황!$A56="",FALSE(),OR(정비현황!$M56="교체",정비현황!$M56="임박"))</f>
        <v>0</v>
      </c>
      <c r="K56" s="6" t="str">
        <f aca="false">IF($J56=FALSE(),"",COUNTIF($J$6:$J56,TRUE()))</f>
        <v/>
      </c>
      <c r="L56" s="6" t="str">
        <f aca="false">IF($K56="","","R"&amp;$K56)</f>
        <v/>
      </c>
    </row>
    <row r="57" customFormat="false" ht="15" hidden="false" customHeight="true" outlineLevel="0" collapsed="false">
      <c r="A57" s="28" t="str">
        <f aca="false">IF($B57="","",52)</f>
        <v/>
      </c>
      <c r="B57" s="23" t="str">
        <f aca="false">IFERROR(INDEX(정비현황!$A$6:$A$365,MATCH("R"&amp;52,교체대상!$L$6:$L$365,0)),"")</f>
        <v/>
      </c>
      <c r="C57" s="23" t="str">
        <f aca="false">IF($B57="","",IFERROR(INDEX(정비현황!$B$6:$B$365,MATCH("R"&amp;52,교체대상!$L$6:$L$365,0)),""))</f>
        <v/>
      </c>
      <c r="D57" s="23" t="str">
        <f aca="false">IF($B57="","",IFERROR(INDEX(정비현황!$C$6:$C$365,MATCH("R"&amp;52,교체대상!$L$6:$L$365,0)),""))</f>
        <v/>
      </c>
      <c r="E57" s="24" t="str">
        <f aca="false">IF($B57="","",IFERROR(INDEX(정비현황!$J$6:$J$365,MATCH("R"&amp;52,교체대상!$L$6:$L$365,0)),""))</f>
        <v/>
      </c>
      <c r="F57" s="26" t="str">
        <f aca="false">IF($B57="","",IFERROR(INDEX(정비현황!$K$6:$K$365,MATCH("R"&amp;52,교체대상!$L$6:$L$365,0)),""))</f>
        <v/>
      </c>
      <c r="G57" s="28" t="str">
        <f aca="false">IF($B57="","",IFERROR(INDEX(정비현황!$L$6:$L$365,MATCH("R"&amp;52,교체대상!$L$6:$L$365,0)),""))</f>
        <v/>
      </c>
      <c r="H57" s="28" t="str">
        <f aca="false">IF($B57="","",IFERROR(INDEX(정비현황!$M$6:$M$365,MATCH("R"&amp;52,교체대상!$L$6:$L$365,0)),""))</f>
        <v/>
      </c>
      <c r="J57" s="29" t="b">
        <f aca="false">IF(정비현황!$A57="",FALSE(),OR(정비현황!$M57="교체",정비현황!$M57="임박"))</f>
        <v>0</v>
      </c>
      <c r="K57" s="6" t="str">
        <f aca="false">IF($J57=FALSE(),"",COUNTIF($J$6:$J57,TRUE()))</f>
        <v/>
      </c>
      <c r="L57" s="6" t="str">
        <f aca="false">IF($K57="","","R"&amp;$K57)</f>
        <v/>
      </c>
    </row>
    <row r="58" customFormat="false" ht="15" hidden="false" customHeight="true" outlineLevel="0" collapsed="false">
      <c r="A58" s="28" t="str">
        <f aca="false">IF($B58="","",53)</f>
        <v/>
      </c>
      <c r="B58" s="23" t="str">
        <f aca="false">IFERROR(INDEX(정비현황!$A$6:$A$365,MATCH("R"&amp;53,교체대상!$L$6:$L$365,0)),"")</f>
        <v/>
      </c>
      <c r="C58" s="23" t="str">
        <f aca="false">IF($B58="","",IFERROR(INDEX(정비현황!$B$6:$B$365,MATCH("R"&amp;53,교체대상!$L$6:$L$365,0)),""))</f>
        <v/>
      </c>
      <c r="D58" s="23" t="str">
        <f aca="false">IF($B58="","",IFERROR(INDEX(정비현황!$C$6:$C$365,MATCH("R"&amp;53,교체대상!$L$6:$L$365,0)),""))</f>
        <v/>
      </c>
      <c r="E58" s="24" t="str">
        <f aca="false">IF($B58="","",IFERROR(INDEX(정비현황!$J$6:$J$365,MATCH("R"&amp;53,교체대상!$L$6:$L$365,0)),""))</f>
        <v/>
      </c>
      <c r="F58" s="26" t="str">
        <f aca="false">IF($B58="","",IFERROR(INDEX(정비현황!$K$6:$K$365,MATCH("R"&amp;53,교체대상!$L$6:$L$365,0)),""))</f>
        <v/>
      </c>
      <c r="G58" s="28" t="str">
        <f aca="false">IF($B58="","",IFERROR(INDEX(정비현황!$L$6:$L$365,MATCH("R"&amp;53,교체대상!$L$6:$L$365,0)),""))</f>
        <v/>
      </c>
      <c r="H58" s="28" t="str">
        <f aca="false">IF($B58="","",IFERROR(INDEX(정비현황!$M$6:$M$365,MATCH("R"&amp;53,교체대상!$L$6:$L$365,0)),""))</f>
        <v/>
      </c>
      <c r="J58" s="29" t="b">
        <f aca="false">IF(정비현황!$A58="",FALSE(),OR(정비현황!$M58="교체",정비현황!$M58="임박"))</f>
        <v>0</v>
      </c>
      <c r="K58" s="6" t="str">
        <f aca="false">IF($J58=FALSE(),"",COUNTIF($J$6:$J58,TRUE()))</f>
        <v/>
      </c>
      <c r="L58" s="6" t="str">
        <f aca="false">IF($K58="","","R"&amp;$K58)</f>
        <v/>
      </c>
    </row>
    <row r="59" customFormat="false" ht="15" hidden="false" customHeight="true" outlineLevel="0" collapsed="false">
      <c r="A59" s="28" t="str">
        <f aca="false">IF($B59="","",54)</f>
        <v/>
      </c>
      <c r="B59" s="23" t="str">
        <f aca="false">IFERROR(INDEX(정비현황!$A$6:$A$365,MATCH("R"&amp;54,교체대상!$L$6:$L$365,0)),"")</f>
        <v/>
      </c>
      <c r="C59" s="23" t="str">
        <f aca="false">IF($B59="","",IFERROR(INDEX(정비현황!$B$6:$B$365,MATCH("R"&amp;54,교체대상!$L$6:$L$365,0)),""))</f>
        <v/>
      </c>
      <c r="D59" s="23" t="str">
        <f aca="false">IF($B59="","",IFERROR(INDEX(정비현황!$C$6:$C$365,MATCH("R"&amp;54,교체대상!$L$6:$L$365,0)),""))</f>
        <v/>
      </c>
      <c r="E59" s="24" t="str">
        <f aca="false">IF($B59="","",IFERROR(INDEX(정비현황!$J$6:$J$365,MATCH("R"&amp;54,교체대상!$L$6:$L$365,0)),""))</f>
        <v/>
      </c>
      <c r="F59" s="26" t="str">
        <f aca="false">IF($B59="","",IFERROR(INDEX(정비현황!$K$6:$K$365,MATCH("R"&amp;54,교체대상!$L$6:$L$365,0)),""))</f>
        <v/>
      </c>
      <c r="G59" s="28" t="str">
        <f aca="false">IF($B59="","",IFERROR(INDEX(정비현황!$L$6:$L$365,MATCH("R"&amp;54,교체대상!$L$6:$L$365,0)),""))</f>
        <v/>
      </c>
      <c r="H59" s="28" t="str">
        <f aca="false">IF($B59="","",IFERROR(INDEX(정비현황!$M$6:$M$365,MATCH("R"&amp;54,교체대상!$L$6:$L$365,0)),""))</f>
        <v/>
      </c>
      <c r="J59" s="29" t="b">
        <f aca="false">IF(정비현황!$A59="",FALSE(),OR(정비현황!$M59="교체",정비현황!$M59="임박"))</f>
        <v>0</v>
      </c>
      <c r="K59" s="6" t="str">
        <f aca="false">IF($J59=FALSE(),"",COUNTIF($J$6:$J59,TRUE()))</f>
        <v/>
      </c>
      <c r="L59" s="6" t="str">
        <f aca="false">IF($K59="","","R"&amp;$K59)</f>
        <v/>
      </c>
    </row>
    <row r="60" customFormat="false" ht="15" hidden="false" customHeight="true" outlineLevel="0" collapsed="false">
      <c r="A60" s="28" t="str">
        <f aca="false">IF($B60="","",55)</f>
        <v/>
      </c>
      <c r="B60" s="23" t="str">
        <f aca="false">IFERROR(INDEX(정비현황!$A$6:$A$365,MATCH("R"&amp;55,교체대상!$L$6:$L$365,0)),"")</f>
        <v/>
      </c>
      <c r="C60" s="23" t="str">
        <f aca="false">IF($B60="","",IFERROR(INDEX(정비현황!$B$6:$B$365,MATCH("R"&amp;55,교체대상!$L$6:$L$365,0)),""))</f>
        <v/>
      </c>
      <c r="D60" s="23" t="str">
        <f aca="false">IF($B60="","",IFERROR(INDEX(정비현황!$C$6:$C$365,MATCH("R"&amp;55,교체대상!$L$6:$L$365,0)),""))</f>
        <v/>
      </c>
      <c r="E60" s="24" t="str">
        <f aca="false">IF($B60="","",IFERROR(INDEX(정비현황!$J$6:$J$365,MATCH("R"&amp;55,교체대상!$L$6:$L$365,0)),""))</f>
        <v/>
      </c>
      <c r="F60" s="26" t="str">
        <f aca="false">IF($B60="","",IFERROR(INDEX(정비현황!$K$6:$K$365,MATCH("R"&amp;55,교체대상!$L$6:$L$365,0)),""))</f>
        <v/>
      </c>
      <c r="G60" s="28" t="str">
        <f aca="false">IF($B60="","",IFERROR(INDEX(정비현황!$L$6:$L$365,MATCH("R"&amp;55,교체대상!$L$6:$L$365,0)),""))</f>
        <v/>
      </c>
      <c r="H60" s="28" t="str">
        <f aca="false">IF($B60="","",IFERROR(INDEX(정비현황!$M$6:$M$365,MATCH("R"&amp;55,교체대상!$L$6:$L$365,0)),""))</f>
        <v/>
      </c>
      <c r="J60" s="29" t="b">
        <f aca="false">IF(정비현황!$A60="",FALSE(),OR(정비현황!$M60="교체",정비현황!$M60="임박"))</f>
        <v>0</v>
      </c>
      <c r="K60" s="6" t="str">
        <f aca="false">IF($J60=FALSE(),"",COUNTIF($J$6:$J60,TRUE()))</f>
        <v/>
      </c>
      <c r="L60" s="6" t="str">
        <f aca="false">IF($K60="","","R"&amp;$K60)</f>
        <v/>
      </c>
    </row>
    <row r="61" customFormat="false" ht="15" hidden="false" customHeight="true" outlineLevel="0" collapsed="false">
      <c r="A61" s="28" t="str">
        <f aca="false">IF($B61="","",56)</f>
        <v/>
      </c>
      <c r="B61" s="23" t="str">
        <f aca="false">IFERROR(INDEX(정비현황!$A$6:$A$365,MATCH("R"&amp;56,교체대상!$L$6:$L$365,0)),"")</f>
        <v/>
      </c>
      <c r="C61" s="23" t="str">
        <f aca="false">IF($B61="","",IFERROR(INDEX(정비현황!$B$6:$B$365,MATCH("R"&amp;56,교체대상!$L$6:$L$365,0)),""))</f>
        <v/>
      </c>
      <c r="D61" s="23" t="str">
        <f aca="false">IF($B61="","",IFERROR(INDEX(정비현황!$C$6:$C$365,MATCH("R"&amp;56,교체대상!$L$6:$L$365,0)),""))</f>
        <v/>
      </c>
      <c r="E61" s="24" t="str">
        <f aca="false">IF($B61="","",IFERROR(INDEX(정비현황!$J$6:$J$365,MATCH("R"&amp;56,교체대상!$L$6:$L$365,0)),""))</f>
        <v/>
      </c>
      <c r="F61" s="26" t="str">
        <f aca="false">IF($B61="","",IFERROR(INDEX(정비현황!$K$6:$K$365,MATCH("R"&amp;56,교체대상!$L$6:$L$365,0)),""))</f>
        <v/>
      </c>
      <c r="G61" s="28" t="str">
        <f aca="false">IF($B61="","",IFERROR(INDEX(정비현황!$L$6:$L$365,MATCH("R"&amp;56,교체대상!$L$6:$L$365,0)),""))</f>
        <v/>
      </c>
      <c r="H61" s="28" t="str">
        <f aca="false">IF($B61="","",IFERROR(INDEX(정비현황!$M$6:$M$365,MATCH("R"&amp;56,교체대상!$L$6:$L$365,0)),""))</f>
        <v/>
      </c>
      <c r="J61" s="29" t="b">
        <f aca="false">IF(정비현황!$A61="",FALSE(),OR(정비현황!$M61="교체",정비현황!$M61="임박"))</f>
        <v>0</v>
      </c>
      <c r="K61" s="6" t="str">
        <f aca="false">IF($J61=FALSE(),"",COUNTIF($J$6:$J61,TRUE()))</f>
        <v/>
      </c>
      <c r="L61" s="6" t="str">
        <f aca="false">IF($K61="","","R"&amp;$K61)</f>
        <v/>
      </c>
    </row>
    <row r="62" customFormat="false" ht="15" hidden="false" customHeight="true" outlineLevel="0" collapsed="false">
      <c r="A62" s="28" t="str">
        <f aca="false">IF($B62="","",57)</f>
        <v/>
      </c>
      <c r="B62" s="23" t="str">
        <f aca="false">IFERROR(INDEX(정비현황!$A$6:$A$365,MATCH("R"&amp;57,교체대상!$L$6:$L$365,0)),"")</f>
        <v/>
      </c>
      <c r="C62" s="23" t="str">
        <f aca="false">IF($B62="","",IFERROR(INDEX(정비현황!$B$6:$B$365,MATCH("R"&amp;57,교체대상!$L$6:$L$365,0)),""))</f>
        <v/>
      </c>
      <c r="D62" s="23" t="str">
        <f aca="false">IF($B62="","",IFERROR(INDEX(정비현황!$C$6:$C$365,MATCH("R"&amp;57,교체대상!$L$6:$L$365,0)),""))</f>
        <v/>
      </c>
      <c r="E62" s="24" t="str">
        <f aca="false">IF($B62="","",IFERROR(INDEX(정비현황!$J$6:$J$365,MATCH("R"&amp;57,교체대상!$L$6:$L$365,0)),""))</f>
        <v/>
      </c>
      <c r="F62" s="26" t="str">
        <f aca="false">IF($B62="","",IFERROR(INDEX(정비현황!$K$6:$K$365,MATCH("R"&amp;57,교체대상!$L$6:$L$365,0)),""))</f>
        <v/>
      </c>
      <c r="G62" s="28" t="str">
        <f aca="false">IF($B62="","",IFERROR(INDEX(정비현황!$L$6:$L$365,MATCH("R"&amp;57,교체대상!$L$6:$L$365,0)),""))</f>
        <v/>
      </c>
      <c r="H62" s="28" t="str">
        <f aca="false">IF($B62="","",IFERROR(INDEX(정비현황!$M$6:$M$365,MATCH("R"&amp;57,교체대상!$L$6:$L$365,0)),""))</f>
        <v/>
      </c>
      <c r="J62" s="29" t="b">
        <f aca="false">IF(정비현황!$A62="",FALSE(),OR(정비현황!$M62="교체",정비현황!$M62="임박"))</f>
        <v>0</v>
      </c>
      <c r="K62" s="6" t="str">
        <f aca="false">IF($J62=FALSE(),"",COUNTIF($J$6:$J62,TRUE()))</f>
        <v/>
      </c>
      <c r="L62" s="6" t="str">
        <f aca="false">IF($K62="","","R"&amp;$K62)</f>
        <v/>
      </c>
    </row>
    <row r="63" customFormat="false" ht="15" hidden="false" customHeight="true" outlineLevel="0" collapsed="false">
      <c r="A63" s="28" t="str">
        <f aca="false">IF($B63="","",58)</f>
        <v/>
      </c>
      <c r="B63" s="23" t="str">
        <f aca="false">IFERROR(INDEX(정비현황!$A$6:$A$365,MATCH("R"&amp;58,교체대상!$L$6:$L$365,0)),"")</f>
        <v/>
      </c>
      <c r="C63" s="23" t="str">
        <f aca="false">IF($B63="","",IFERROR(INDEX(정비현황!$B$6:$B$365,MATCH("R"&amp;58,교체대상!$L$6:$L$365,0)),""))</f>
        <v/>
      </c>
      <c r="D63" s="23" t="str">
        <f aca="false">IF($B63="","",IFERROR(INDEX(정비현황!$C$6:$C$365,MATCH("R"&amp;58,교체대상!$L$6:$L$365,0)),""))</f>
        <v/>
      </c>
      <c r="E63" s="24" t="str">
        <f aca="false">IF($B63="","",IFERROR(INDEX(정비현황!$J$6:$J$365,MATCH("R"&amp;58,교체대상!$L$6:$L$365,0)),""))</f>
        <v/>
      </c>
      <c r="F63" s="26" t="str">
        <f aca="false">IF($B63="","",IFERROR(INDEX(정비현황!$K$6:$K$365,MATCH("R"&amp;58,교체대상!$L$6:$L$365,0)),""))</f>
        <v/>
      </c>
      <c r="G63" s="28" t="str">
        <f aca="false">IF($B63="","",IFERROR(INDEX(정비현황!$L$6:$L$365,MATCH("R"&amp;58,교체대상!$L$6:$L$365,0)),""))</f>
        <v/>
      </c>
      <c r="H63" s="28" t="str">
        <f aca="false">IF($B63="","",IFERROR(INDEX(정비현황!$M$6:$M$365,MATCH("R"&amp;58,교체대상!$L$6:$L$365,0)),""))</f>
        <v/>
      </c>
      <c r="J63" s="29" t="b">
        <f aca="false">IF(정비현황!$A63="",FALSE(),OR(정비현황!$M63="교체",정비현황!$M63="임박"))</f>
        <v>0</v>
      </c>
      <c r="K63" s="6" t="str">
        <f aca="false">IF($J63=FALSE(),"",COUNTIF($J$6:$J63,TRUE()))</f>
        <v/>
      </c>
      <c r="L63" s="6" t="str">
        <f aca="false">IF($K63="","","R"&amp;$K63)</f>
        <v/>
      </c>
    </row>
    <row r="64" customFormat="false" ht="15" hidden="false" customHeight="true" outlineLevel="0" collapsed="false">
      <c r="A64" s="28" t="str">
        <f aca="false">IF($B64="","",59)</f>
        <v/>
      </c>
      <c r="B64" s="23" t="str">
        <f aca="false">IFERROR(INDEX(정비현황!$A$6:$A$365,MATCH("R"&amp;59,교체대상!$L$6:$L$365,0)),"")</f>
        <v/>
      </c>
      <c r="C64" s="23" t="str">
        <f aca="false">IF($B64="","",IFERROR(INDEX(정비현황!$B$6:$B$365,MATCH("R"&amp;59,교체대상!$L$6:$L$365,0)),""))</f>
        <v/>
      </c>
      <c r="D64" s="23" t="str">
        <f aca="false">IF($B64="","",IFERROR(INDEX(정비현황!$C$6:$C$365,MATCH("R"&amp;59,교체대상!$L$6:$L$365,0)),""))</f>
        <v/>
      </c>
      <c r="E64" s="24" t="str">
        <f aca="false">IF($B64="","",IFERROR(INDEX(정비현황!$J$6:$J$365,MATCH("R"&amp;59,교체대상!$L$6:$L$365,0)),""))</f>
        <v/>
      </c>
      <c r="F64" s="26" t="str">
        <f aca="false">IF($B64="","",IFERROR(INDEX(정비현황!$K$6:$K$365,MATCH("R"&amp;59,교체대상!$L$6:$L$365,0)),""))</f>
        <v/>
      </c>
      <c r="G64" s="28" t="str">
        <f aca="false">IF($B64="","",IFERROR(INDEX(정비현황!$L$6:$L$365,MATCH("R"&amp;59,교체대상!$L$6:$L$365,0)),""))</f>
        <v/>
      </c>
      <c r="H64" s="28" t="str">
        <f aca="false">IF($B64="","",IFERROR(INDEX(정비현황!$M$6:$M$365,MATCH("R"&amp;59,교체대상!$L$6:$L$365,0)),""))</f>
        <v/>
      </c>
      <c r="J64" s="29" t="b">
        <f aca="false">IF(정비현황!$A64="",FALSE(),OR(정비현황!$M64="교체",정비현황!$M64="임박"))</f>
        <v>0</v>
      </c>
      <c r="K64" s="6" t="str">
        <f aca="false">IF($J64=FALSE(),"",COUNTIF($J$6:$J64,TRUE()))</f>
        <v/>
      </c>
      <c r="L64" s="6" t="str">
        <f aca="false">IF($K64="","","R"&amp;$K64)</f>
        <v/>
      </c>
    </row>
    <row r="65" customFormat="false" ht="15" hidden="false" customHeight="true" outlineLevel="0" collapsed="false">
      <c r="A65" s="28" t="str">
        <f aca="false">IF($B65="","",60)</f>
        <v/>
      </c>
      <c r="B65" s="23" t="str">
        <f aca="false">IFERROR(INDEX(정비현황!$A$6:$A$365,MATCH("R"&amp;60,교체대상!$L$6:$L$365,0)),"")</f>
        <v/>
      </c>
      <c r="C65" s="23" t="str">
        <f aca="false">IF($B65="","",IFERROR(INDEX(정비현황!$B$6:$B$365,MATCH("R"&amp;60,교체대상!$L$6:$L$365,0)),""))</f>
        <v/>
      </c>
      <c r="D65" s="23" t="str">
        <f aca="false">IF($B65="","",IFERROR(INDEX(정비현황!$C$6:$C$365,MATCH("R"&amp;60,교체대상!$L$6:$L$365,0)),""))</f>
        <v/>
      </c>
      <c r="E65" s="24" t="str">
        <f aca="false">IF($B65="","",IFERROR(INDEX(정비현황!$J$6:$J$365,MATCH("R"&amp;60,교체대상!$L$6:$L$365,0)),""))</f>
        <v/>
      </c>
      <c r="F65" s="26" t="str">
        <f aca="false">IF($B65="","",IFERROR(INDEX(정비현황!$K$6:$K$365,MATCH("R"&amp;60,교체대상!$L$6:$L$365,0)),""))</f>
        <v/>
      </c>
      <c r="G65" s="28" t="str">
        <f aca="false">IF($B65="","",IFERROR(INDEX(정비현황!$L$6:$L$365,MATCH("R"&amp;60,교체대상!$L$6:$L$365,0)),""))</f>
        <v/>
      </c>
      <c r="H65" s="28" t="str">
        <f aca="false">IF($B65="","",IFERROR(INDEX(정비현황!$M$6:$M$365,MATCH("R"&amp;60,교체대상!$L$6:$L$365,0)),""))</f>
        <v/>
      </c>
      <c r="J65" s="29" t="b">
        <f aca="false">IF(정비현황!$A65="",FALSE(),OR(정비현황!$M65="교체",정비현황!$M65="임박"))</f>
        <v>0</v>
      </c>
      <c r="K65" s="6" t="str">
        <f aca="false">IF($J65=FALSE(),"",COUNTIF($J$6:$J65,TRUE()))</f>
        <v/>
      </c>
      <c r="L65" s="6" t="str">
        <f aca="false">IF($K65="","","R"&amp;$K65)</f>
        <v/>
      </c>
    </row>
    <row r="66" customFormat="false" ht="15" hidden="false" customHeight="true" outlineLevel="0" collapsed="false">
      <c r="A66" s="28" t="str">
        <f aca="false">IF($B66="","",61)</f>
        <v/>
      </c>
      <c r="B66" s="23" t="str">
        <f aca="false">IFERROR(INDEX(정비현황!$A$6:$A$365,MATCH("R"&amp;61,교체대상!$L$6:$L$365,0)),"")</f>
        <v/>
      </c>
      <c r="C66" s="23" t="str">
        <f aca="false">IF($B66="","",IFERROR(INDEX(정비현황!$B$6:$B$365,MATCH("R"&amp;61,교체대상!$L$6:$L$365,0)),""))</f>
        <v/>
      </c>
      <c r="D66" s="23" t="str">
        <f aca="false">IF($B66="","",IFERROR(INDEX(정비현황!$C$6:$C$365,MATCH("R"&amp;61,교체대상!$L$6:$L$365,0)),""))</f>
        <v/>
      </c>
      <c r="E66" s="24" t="str">
        <f aca="false">IF($B66="","",IFERROR(INDEX(정비현황!$J$6:$J$365,MATCH("R"&amp;61,교체대상!$L$6:$L$365,0)),""))</f>
        <v/>
      </c>
      <c r="F66" s="26" t="str">
        <f aca="false">IF($B66="","",IFERROR(INDEX(정비현황!$K$6:$K$365,MATCH("R"&amp;61,교체대상!$L$6:$L$365,0)),""))</f>
        <v/>
      </c>
      <c r="G66" s="28" t="str">
        <f aca="false">IF($B66="","",IFERROR(INDEX(정비현황!$L$6:$L$365,MATCH("R"&amp;61,교체대상!$L$6:$L$365,0)),""))</f>
        <v/>
      </c>
      <c r="H66" s="28" t="str">
        <f aca="false">IF($B66="","",IFERROR(INDEX(정비현황!$M$6:$M$365,MATCH("R"&amp;61,교체대상!$L$6:$L$365,0)),""))</f>
        <v/>
      </c>
      <c r="J66" s="29" t="b">
        <f aca="false">IF(정비현황!$A66="",FALSE(),OR(정비현황!$M66="교체",정비현황!$M66="임박"))</f>
        <v>0</v>
      </c>
      <c r="K66" s="6" t="str">
        <f aca="false">IF($J66=FALSE(),"",COUNTIF($J$6:$J66,TRUE()))</f>
        <v/>
      </c>
      <c r="L66" s="6" t="str">
        <f aca="false">IF($K66="","","R"&amp;$K66)</f>
        <v/>
      </c>
    </row>
    <row r="67" customFormat="false" ht="15" hidden="false" customHeight="true" outlineLevel="0" collapsed="false">
      <c r="A67" s="28" t="str">
        <f aca="false">IF($B67="","",62)</f>
        <v/>
      </c>
      <c r="B67" s="23" t="str">
        <f aca="false">IFERROR(INDEX(정비현황!$A$6:$A$365,MATCH("R"&amp;62,교체대상!$L$6:$L$365,0)),"")</f>
        <v/>
      </c>
      <c r="C67" s="23" t="str">
        <f aca="false">IF($B67="","",IFERROR(INDEX(정비현황!$B$6:$B$365,MATCH("R"&amp;62,교체대상!$L$6:$L$365,0)),""))</f>
        <v/>
      </c>
      <c r="D67" s="23" t="str">
        <f aca="false">IF($B67="","",IFERROR(INDEX(정비현황!$C$6:$C$365,MATCH("R"&amp;62,교체대상!$L$6:$L$365,0)),""))</f>
        <v/>
      </c>
      <c r="E67" s="24" t="str">
        <f aca="false">IF($B67="","",IFERROR(INDEX(정비현황!$J$6:$J$365,MATCH("R"&amp;62,교체대상!$L$6:$L$365,0)),""))</f>
        <v/>
      </c>
      <c r="F67" s="26" t="str">
        <f aca="false">IF($B67="","",IFERROR(INDEX(정비현황!$K$6:$K$365,MATCH("R"&amp;62,교체대상!$L$6:$L$365,0)),""))</f>
        <v/>
      </c>
      <c r="G67" s="28" t="str">
        <f aca="false">IF($B67="","",IFERROR(INDEX(정비현황!$L$6:$L$365,MATCH("R"&amp;62,교체대상!$L$6:$L$365,0)),""))</f>
        <v/>
      </c>
      <c r="H67" s="28" t="str">
        <f aca="false">IF($B67="","",IFERROR(INDEX(정비현황!$M$6:$M$365,MATCH("R"&amp;62,교체대상!$L$6:$L$365,0)),""))</f>
        <v/>
      </c>
      <c r="J67" s="29" t="b">
        <f aca="false">IF(정비현황!$A67="",FALSE(),OR(정비현황!$M67="교체",정비현황!$M67="임박"))</f>
        <v>0</v>
      </c>
      <c r="K67" s="6" t="str">
        <f aca="false">IF($J67=FALSE(),"",COUNTIF($J$6:$J67,TRUE()))</f>
        <v/>
      </c>
      <c r="L67" s="6" t="str">
        <f aca="false">IF($K67="","","R"&amp;$K67)</f>
        <v/>
      </c>
    </row>
    <row r="68" customFormat="false" ht="15" hidden="false" customHeight="true" outlineLevel="0" collapsed="false">
      <c r="A68" s="28" t="str">
        <f aca="false">IF($B68="","",63)</f>
        <v/>
      </c>
      <c r="B68" s="23" t="str">
        <f aca="false">IFERROR(INDEX(정비현황!$A$6:$A$365,MATCH("R"&amp;63,교체대상!$L$6:$L$365,0)),"")</f>
        <v/>
      </c>
      <c r="C68" s="23" t="str">
        <f aca="false">IF($B68="","",IFERROR(INDEX(정비현황!$B$6:$B$365,MATCH("R"&amp;63,교체대상!$L$6:$L$365,0)),""))</f>
        <v/>
      </c>
      <c r="D68" s="23" t="str">
        <f aca="false">IF($B68="","",IFERROR(INDEX(정비현황!$C$6:$C$365,MATCH("R"&amp;63,교체대상!$L$6:$L$365,0)),""))</f>
        <v/>
      </c>
      <c r="E68" s="24" t="str">
        <f aca="false">IF($B68="","",IFERROR(INDEX(정비현황!$J$6:$J$365,MATCH("R"&amp;63,교체대상!$L$6:$L$365,0)),""))</f>
        <v/>
      </c>
      <c r="F68" s="26" t="str">
        <f aca="false">IF($B68="","",IFERROR(INDEX(정비현황!$K$6:$K$365,MATCH("R"&amp;63,교체대상!$L$6:$L$365,0)),""))</f>
        <v/>
      </c>
      <c r="G68" s="28" t="str">
        <f aca="false">IF($B68="","",IFERROR(INDEX(정비현황!$L$6:$L$365,MATCH("R"&amp;63,교체대상!$L$6:$L$365,0)),""))</f>
        <v/>
      </c>
      <c r="H68" s="28" t="str">
        <f aca="false">IF($B68="","",IFERROR(INDEX(정비현황!$M$6:$M$365,MATCH("R"&amp;63,교체대상!$L$6:$L$365,0)),""))</f>
        <v/>
      </c>
      <c r="J68" s="29" t="b">
        <f aca="false">IF(정비현황!$A68="",FALSE(),OR(정비현황!$M68="교체",정비현황!$M68="임박"))</f>
        <v>0</v>
      </c>
      <c r="K68" s="6" t="str">
        <f aca="false">IF($J68=FALSE(),"",COUNTIF($J$6:$J68,TRUE()))</f>
        <v/>
      </c>
      <c r="L68" s="6" t="str">
        <f aca="false">IF($K68="","","R"&amp;$K68)</f>
        <v/>
      </c>
    </row>
    <row r="69" customFormat="false" ht="15" hidden="false" customHeight="true" outlineLevel="0" collapsed="false">
      <c r="A69" s="28" t="str">
        <f aca="false">IF($B69="","",64)</f>
        <v/>
      </c>
      <c r="B69" s="23" t="str">
        <f aca="false">IFERROR(INDEX(정비현황!$A$6:$A$365,MATCH("R"&amp;64,교체대상!$L$6:$L$365,0)),"")</f>
        <v/>
      </c>
      <c r="C69" s="23" t="str">
        <f aca="false">IF($B69="","",IFERROR(INDEX(정비현황!$B$6:$B$365,MATCH("R"&amp;64,교체대상!$L$6:$L$365,0)),""))</f>
        <v/>
      </c>
      <c r="D69" s="23" t="str">
        <f aca="false">IF($B69="","",IFERROR(INDEX(정비현황!$C$6:$C$365,MATCH("R"&amp;64,교체대상!$L$6:$L$365,0)),""))</f>
        <v/>
      </c>
      <c r="E69" s="24" t="str">
        <f aca="false">IF($B69="","",IFERROR(INDEX(정비현황!$J$6:$J$365,MATCH("R"&amp;64,교체대상!$L$6:$L$365,0)),""))</f>
        <v/>
      </c>
      <c r="F69" s="26" t="str">
        <f aca="false">IF($B69="","",IFERROR(INDEX(정비현황!$K$6:$K$365,MATCH("R"&amp;64,교체대상!$L$6:$L$365,0)),""))</f>
        <v/>
      </c>
      <c r="G69" s="28" t="str">
        <f aca="false">IF($B69="","",IFERROR(INDEX(정비현황!$L$6:$L$365,MATCH("R"&amp;64,교체대상!$L$6:$L$365,0)),""))</f>
        <v/>
      </c>
      <c r="H69" s="28" t="str">
        <f aca="false">IF($B69="","",IFERROR(INDEX(정비현황!$M$6:$M$365,MATCH("R"&amp;64,교체대상!$L$6:$L$365,0)),""))</f>
        <v/>
      </c>
      <c r="J69" s="29" t="b">
        <f aca="false">IF(정비현황!$A69="",FALSE(),OR(정비현황!$M69="교체",정비현황!$M69="임박"))</f>
        <v>0</v>
      </c>
      <c r="K69" s="6" t="str">
        <f aca="false">IF($J69=FALSE(),"",COUNTIF($J$6:$J69,TRUE()))</f>
        <v/>
      </c>
      <c r="L69" s="6" t="str">
        <f aca="false">IF($K69="","","R"&amp;$K69)</f>
        <v/>
      </c>
    </row>
    <row r="70" customFormat="false" ht="15" hidden="false" customHeight="true" outlineLevel="0" collapsed="false">
      <c r="A70" s="28" t="str">
        <f aca="false">IF($B70="","",65)</f>
        <v/>
      </c>
      <c r="B70" s="23" t="str">
        <f aca="false">IFERROR(INDEX(정비현황!$A$6:$A$365,MATCH("R"&amp;65,교체대상!$L$6:$L$365,0)),"")</f>
        <v/>
      </c>
      <c r="C70" s="23" t="str">
        <f aca="false">IF($B70="","",IFERROR(INDEX(정비현황!$B$6:$B$365,MATCH("R"&amp;65,교체대상!$L$6:$L$365,0)),""))</f>
        <v/>
      </c>
      <c r="D70" s="23" t="str">
        <f aca="false">IF($B70="","",IFERROR(INDEX(정비현황!$C$6:$C$365,MATCH("R"&amp;65,교체대상!$L$6:$L$365,0)),""))</f>
        <v/>
      </c>
      <c r="E70" s="24" t="str">
        <f aca="false">IF($B70="","",IFERROR(INDEX(정비현황!$J$6:$J$365,MATCH("R"&amp;65,교체대상!$L$6:$L$365,0)),""))</f>
        <v/>
      </c>
      <c r="F70" s="26" t="str">
        <f aca="false">IF($B70="","",IFERROR(INDEX(정비현황!$K$6:$K$365,MATCH("R"&amp;65,교체대상!$L$6:$L$365,0)),""))</f>
        <v/>
      </c>
      <c r="G70" s="28" t="str">
        <f aca="false">IF($B70="","",IFERROR(INDEX(정비현황!$L$6:$L$365,MATCH("R"&amp;65,교체대상!$L$6:$L$365,0)),""))</f>
        <v/>
      </c>
      <c r="H70" s="28" t="str">
        <f aca="false">IF($B70="","",IFERROR(INDEX(정비현황!$M$6:$M$365,MATCH("R"&amp;65,교체대상!$L$6:$L$365,0)),""))</f>
        <v/>
      </c>
      <c r="J70" s="29" t="b">
        <f aca="false">IF(정비현황!$A70="",FALSE(),OR(정비현황!$M70="교체",정비현황!$M70="임박"))</f>
        <v>0</v>
      </c>
      <c r="K70" s="6" t="str">
        <f aca="false">IF($J70=FALSE(),"",COUNTIF($J$6:$J70,TRUE()))</f>
        <v/>
      </c>
      <c r="L70" s="6" t="str">
        <f aca="false">IF($K70="","","R"&amp;$K70)</f>
        <v/>
      </c>
    </row>
    <row r="71" customFormat="false" ht="15" hidden="false" customHeight="true" outlineLevel="0" collapsed="false">
      <c r="A71" s="28" t="str">
        <f aca="false">IF($B71="","",66)</f>
        <v/>
      </c>
      <c r="B71" s="23" t="str">
        <f aca="false">IFERROR(INDEX(정비현황!$A$6:$A$365,MATCH("R"&amp;66,교체대상!$L$6:$L$365,0)),"")</f>
        <v/>
      </c>
      <c r="C71" s="23" t="str">
        <f aca="false">IF($B71="","",IFERROR(INDEX(정비현황!$B$6:$B$365,MATCH("R"&amp;66,교체대상!$L$6:$L$365,0)),""))</f>
        <v/>
      </c>
      <c r="D71" s="23" t="str">
        <f aca="false">IF($B71="","",IFERROR(INDEX(정비현황!$C$6:$C$365,MATCH("R"&amp;66,교체대상!$L$6:$L$365,0)),""))</f>
        <v/>
      </c>
      <c r="E71" s="24" t="str">
        <f aca="false">IF($B71="","",IFERROR(INDEX(정비현황!$J$6:$J$365,MATCH("R"&amp;66,교체대상!$L$6:$L$365,0)),""))</f>
        <v/>
      </c>
      <c r="F71" s="26" t="str">
        <f aca="false">IF($B71="","",IFERROR(INDEX(정비현황!$K$6:$K$365,MATCH("R"&amp;66,교체대상!$L$6:$L$365,0)),""))</f>
        <v/>
      </c>
      <c r="G71" s="28" t="str">
        <f aca="false">IF($B71="","",IFERROR(INDEX(정비현황!$L$6:$L$365,MATCH("R"&amp;66,교체대상!$L$6:$L$365,0)),""))</f>
        <v/>
      </c>
      <c r="H71" s="28" t="str">
        <f aca="false">IF($B71="","",IFERROR(INDEX(정비현황!$M$6:$M$365,MATCH("R"&amp;66,교체대상!$L$6:$L$365,0)),""))</f>
        <v/>
      </c>
      <c r="J71" s="29" t="b">
        <f aca="false">IF(정비현황!$A71="",FALSE(),OR(정비현황!$M71="교체",정비현황!$M71="임박"))</f>
        <v>0</v>
      </c>
      <c r="K71" s="6" t="str">
        <f aca="false">IF($J71=FALSE(),"",COUNTIF($J$6:$J71,TRUE()))</f>
        <v/>
      </c>
      <c r="L71" s="6" t="str">
        <f aca="false">IF($K71="","","R"&amp;$K71)</f>
        <v/>
      </c>
    </row>
    <row r="72" customFormat="false" ht="15" hidden="false" customHeight="true" outlineLevel="0" collapsed="false">
      <c r="A72" s="28" t="str">
        <f aca="false">IF($B72="","",67)</f>
        <v/>
      </c>
      <c r="B72" s="23" t="str">
        <f aca="false">IFERROR(INDEX(정비현황!$A$6:$A$365,MATCH("R"&amp;67,교체대상!$L$6:$L$365,0)),"")</f>
        <v/>
      </c>
      <c r="C72" s="23" t="str">
        <f aca="false">IF($B72="","",IFERROR(INDEX(정비현황!$B$6:$B$365,MATCH("R"&amp;67,교체대상!$L$6:$L$365,0)),""))</f>
        <v/>
      </c>
      <c r="D72" s="23" t="str">
        <f aca="false">IF($B72="","",IFERROR(INDEX(정비현황!$C$6:$C$365,MATCH("R"&amp;67,교체대상!$L$6:$L$365,0)),""))</f>
        <v/>
      </c>
      <c r="E72" s="24" t="str">
        <f aca="false">IF($B72="","",IFERROR(INDEX(정비현황!$J$6:$J$365,MATCH("R"&amp;67,교체대상!$L$6:$L$365,0)),""))</f>
        <v/>
      </c>
      <c r="F72" s="26" t="str">
        <f aca="false">IF($B72="","",IFERROR(INDEX(정비현황!$K$6:$K$365,MATCH("R"&amp;67,교체대상!$L$6:$L$365,0)),""))</f>
        <v/>
      </c>
      <c r="G72" s="28" t="str">
        <f aca="false">IF($B72="","",IFERROR(INDEX(정비현황!$L$6:$L$365,MATCH("R"&amp;67,교체대상!$L$6:$L$365,0)),""))</f>
        <v/>
      </c>
      <c r="H72" s="28" t="str">
        <f aca="false">IF($B72="","",IFERROR(INDEX(정비현황!$M$6:$M$365,MATCH("R"&amp;67,교체대상!$L$6:$L$365,0)),""))</f>
        <v/>
      </c>
      <c r="J72" s="29" t="b">
        <f aca="false">IF(정비현황!$A72="",FALSE(),OR(정비현황!$M72="교체",정비현황!$M72="임박"))</f>
        <v>0</v>
      </c>
      <c r="K72" s="6" t="str">
        <f aca="false">IF($J72=FALSE(),"",COUNTIF($J$6:$J72,TRUE()))</f>
        <v/>
      </c>
      <c r="L72" s="6" t="str">
        <f aca="false">IF($K72="","","R"&amp;$K72)</f>
        <v/>
      </c>
    </row>
    <row r="73" customFormat="false" ht="15" hidden="false" customHeight="true" outlineLevel="0" collapsed="false">
      <c r="A73" s="28" t="str">
        <f aca="false">IF($B73="","",68)</f>
        <v/>
      </c>
      <c r="B73" s="23" t="str">
        <f aca="false">IFERROR(INDEX(정비현황!$A$6:$A$365,MATCH("R"&amp;68,교체대상!$L$6:$L$365,0)),"")</f>
        <v/>
      </c>
      <c r="C73" s="23" t="str">
        <f aca="false">IF($B73="","",IFERROR(INDEX(정비현황!$B$6:$B$365,MATCH("R"&amp;68,교체대상!$L$6:$L$365,0)),""))</f>
        <v/>
      </c>
      <c r="D73" s="23" t="str">
        <f aca="false">IF($B73="","",IFERROR(INDEX(정비현황!$C$6:$C$365,MATCH("R"&amp;68,교체대상!$L$6:$L$365,0)),""))</f>
        <v/>
      </c>
      <c r="E73" s="24" t="str">
        <f aca="false">IF($B73="","",IFERROR(INDEX(정비현황!$J$6:$J$365,MATCH("R"&amp;68,교체대상!$L$6:$L$365,0)),""))</f>
        <v/>
      </c>
      <c r="F73" s="26" t="str">
        <f aca="false">IF($B73="","",IFERROR(INDEX(정비현황!$K$6:$K$365,MATCH("R"&amp;68,교체대상!$L$6:$L$365,0)),""))</f>
        <v/>
      </c>
      <c r="G73" s="28" t="str">
        <f aca="false">IF($B73="","",IFERROR(INDEX(정비현황!$L$6:$L$365,MATCH("R"&amp;68,교체대상!$L$6:$L$365,0)),""))</f>
        <v/>
      </c>
      <c r="H73" s="28" t="str">
        <f aca="false">IF($B73="","",IFERROR(INDEX(정비현황!$M$6:$M$365,MATCH("R"&amp;68,교체대상!$L$6:$L$365,0)),""))</f>
        <v/>
      </c>
      <c r="J73" s="29" t="b">
        <f aca="false">IF(정비현황!$A73="",FALSE(),OR(정비현황!$M73="교체",정비현황!$M73="임박"))</f>
        <v>0</v>
      </c>
      <c r="K73" s="6" t="str">
        <f aca="false">IF($J73=FALSE(),"",COUNTIF($J$6:$J73,TRUE()))</f>
        <v/>
      </c>
      <c r="L73" s="6" t="str">
        <f aca="false">IF($K73="","","R"&amp;$K73)</f>
        <v/>
      </c>
    </row>
    <row r="74" customFormat="false" ht="15" hidden="false" customHeight="true" outlineLevel="0" collapsed="false">
      <c r="A74" s="28" t="str">
        <f aca="false">IF($B74="","",69)</f>
        <v/>
      </c>
      <c r="B74" s="23" t="str">
        <f aca="false">IFERROR(INDEX(정비현황!$A$6:$A$365,MATCH("R"&amp;69,교체대상!$L$6:$L$365,0)),"")</f>
        <v/>
      </c>
      <c r="C74" s="23" t="str">
        <f aca="false">IF($B74="","",IFERROR(INDEX(정비현황!$B$6:$B$365,MATCH("R"&amp;69,교체대상!$L$6:$L$365,0)),""))</f>
        <v/>
      </c>
      <c r="D74" s="23" t="str">
        <f aca="false">IF($B74="","",IFERROR(INDEX(정비현황!$C$6:$C$365,MATCH("R"&amp;69,교체대상!$L$6:$L$365,0)),""))</f>
        <v/>
      </c>
      <c r="E74" s="24" t="str">
        <f aca="false">IF($B74="","",IFERROR(INDEX(정비현황!$J$6:$J$365,MATCH("R"&amp;69,교체대상!$L$6:$L$365,0)),""))</f>
        <v/>
      </c>
      <c r="F74" s="26" t="str">
        <f aca="false">IF($B74="","",IFERROR(INDEX(정비현황!$K$6:$K$365,MATCH("R"&amp;69,교체대상!$L$6:$L$365,0)),""))</f>
        <v/>
      </c>
      <c r="G74" s="28" t="str">
        <f aca="false">IF($B74="","",IFERROR(INDEX(정비현황!$L$6:$L$365,MATCH("R"&amp;69,교체대상!$L$6:$L$365,0)),""))</f>
        <v/>
      </c>
      <c r="H74" s="28" t="str">
        <f aca="false">IF($B74="","",IFERROR(INDEX(정비현황!$M$6:$M$365,MATCH("R"&amp;69,교체대상!$L$6:$L$365,0)),""))</f>
        <v/>
      </c>
      <c r="J74" s="29" t="b">
        <f aca="false">IF(정비현황!$A74="",FALSE(),OR(정비현황!$M74="교체",정비현황!$M74="임박"))</f>
        <v>0</v>
      </c>
      <c r="K74" s="6" t="str">
        <f aca="false">IF($J74=FALSE(),"",COUNTIF($J$6:$J74,TRUE()))</f>
        <v/>
      </c>
      <c r="L74" s="6" t="str">
        <f aca="false">IF($K74="","","R"&amp;$K74)</f>
        <v/>
      </c>
    </row>
    <row r="75" customFormat="false" ht="15" hidden="false" customHeight="true" outlineLevel="0" collapsed="false">
      <c r="A75" s="28" t="str">
        <f aca="false">IF($B75="","",70)</f>
        <v/>
      </c>
      <c r="B75" s="23" t="str">
        <f aca="false">IFERROR(INDEX(정비현황!$A$6:$A$365,MATCH("R"&amp;70,교체대상!$L$6:$L$365,0)),"")</f>
        <v/>
      </c>
      <c r="C75" s="23" t="str">
        <f aca="false">IF($B75="","",IFERROR(INDEX(정비현황!$B$6:$B$365,MATCH("R"&amp;70,교체대상!$L$6:$L$365,0)),""))</f>
        <v/>
      </c>
      <c r="D75" s="23" t="str">
        <f aca="false">IF($B75="","",IFERROR(INDEX(정비현황!$C$6:$C$365,MATCH("R"&amp;70,교체대상!$L$6:$L$365,0)),""))</f>
        <v/>
      </c>
      <c r="E75" s="24" t="str">
        <f aca="false">IF($B75="","",IFERROR(INDEX(정비현황!$J$6:$J$365,MATCH("R"&amp;70,교체대상!$L$6:$L$365,0)),""))</f>
        <v/>
      </c>
      <c r="F75" s="26" t="str">
        <f aca="false">IF($B75="","",IFERROR(INDEX(정비현황!$K$6:$K$365,MATCH("R"&amp;70,교체대상!$L$6:$L$365,0)),""))</f>
        <v/>
      </c>
      <c r="G75" s="28" t="str">
        <f aca="false">IF($B75="","",IFERROR(INDEX(정비현황!$L$6:$L$365,MATCH("R"&amp;70,교체대상!$L$6:$L$365,0)),""))</f>
        <v/>
      </c>
      <c r="H75" s="28" t="str">
        <f aca="false">IF($B75="","",IFERROR(INDEX(정비현황!$M$6:$M$365,MATCH("R"&amp;70,교체대상!$L$6:$L$365,0)),""))</f>
        <v/>
      </c>
      <c r="J75" s="29" t="b">
        <f aca="false">IF(정비현황!$A75="",FALSE(),OR(정비현황!$M75="교체",정비현황!$M75="임박"))</f>
        <v>0</v>
      </c>
      <c r="K75" s="6" t="str">
        <f aca="false">IF($J75=FALSE(),"",COUNTIF($J$6:$J75,TRUE()))</f>
        <v/>
      </c>
      <c r="L75" s="6" t="str">
        <f aca="false">IF($K75="","","R"&amp;$K75)</f>
        <v/>
      </c>
    </row>
    <row r="76" customFormat="false" ht="15" hidden="false" customHeight="true" outlineLevel="0" collapsed="false">
      <c r="A76" s="28" t="str">
        <f aca="false">IF($B76="","",71)</f>
        <v/>
      </c>
      <c r="B76" s="23" t="str">
        <f aca="false">IFERROR(INDEX(정비현황!$A$6:$A$365,MATCH("R"&amp;71,교체대상!$L$6:$L$365,0)),"")</f>
        <v/>
      </c>
      <c r="C76" s="23" t="str">
        <f aca="false">IF($B76="","",IFERROR(INDEX(정비현황!$B$6:$B$365,MATCH("R"&amp;71,교체대상!$L$6:$L$365,0)),""))</f>
        <v/>
      </c>
      <c r="D76" s="23" t="str">
        <f aca="false">IF($B76="","",IFERROR(INDEX(정비현황!$C$6:$C$365,MATCH("R"&amp;71,교체대상!$L$6:$L$365,0)),""))</f>
        <v/>
      </c>
      <c r="E76" s="24" t="str">
        <f aca="false">IF($B76="","",IFERROR(INDEX(정비현황!$J$6:$J$365,MATCH("R"&amp;71,교체대상!$L$6:$L$365,0)),""))</f>
        <v/>
      </c>
      <c r="F76" s="26" t="str">
        <f aca="false">IF($B76="","",IFERROR(INDEX(정비현황!$K$6:$K$365,MATCH("R"&amp;71,교체대상!$L$6:$L$365,0)),""))</f>
        <v/>
      </c>
      <c r="G76" s="28" t="str">
        <f aca="false">IF($B76="","",IFERROR(INDEX(정비현황!$L$6:$L$365,MATCH("R"&amp;71,교체대상!$L$6:$L$365,0)),""))</f>
        <v/>
      </c>
      <c r="H76" s="28" t="str">
        <f aca="false">IF($B76="","",IFERROR(INDEX(정비현황!$M$6:$M$365,MATCH("R"&amp;71,교체대상!$L$6:$L$365,0)),""))</f>
        <v/>
      </c>
      <c r="J76" s="29" t="b">
        <f aca="false">IF(정비현황!$A76="",FALSE(),OR(정비현황!$M76="교체",정비현황!$M76="임박"))</f>
        <v>0</v>
      </c>
      <c r="K76" s="6" t="str">
        <f aca="false">IF($J76=FALSE(),"",COUNTIF($J$6:$J76,TRUE()))</f>
        <v/>
      </c>
      <c r="L76" s="6" t="str">
        <f aca="false">IF($K76="","","R"&amp;$K76)</f>
        <v/>
      </c>
    </row>
    <row r="77" customFormat="false" ht="15" hidden="false" customHeight="true" outlineLevel="0" collapsed="false">
      <c r="A77" s="28" t="str">
        <f aca="false">IF($B77="","",72)</f>
        <v/>
      </c>
      <c r="B77" s="23" t="str">
        <f aca="false">IFERROR(INDEX(정비현황!$A$6:$A$365,MATCH("R"&amp;72,교체대상!$L$6:$L$365,0)),"")</f>
        <v/>
      </c>
      <c r="C77" s="23" t="str">
        <f aca="false">IF($B77="","",IFERROR(INDEX(정비현황!$B$6:$B$365,MATCH("R"&amp;72,교체대상!$L$6:$L$365,0)),""))</f>
        <v/>
      </c>
      <c r="D77" s="23" t="str">
        <f aca="false">IF($B77="","",IFERROR(INDEX(정비현황!$C$6:$C$365,MATCH("R"&amp;72,교체대상!$L$6:$L$365,0)),""))</f>
        <v/>
      </c>
      <c r="E77" s="24" t="str">
        <f aca="false">IF($B77="","",IFERROR(INDEX(정비현황!$J$6:$J$365,MATCH("R"&amp;72,교체대상!$L$6:$L$365,0)),""))</f>
        <v/>
      </c>
      <c r="F77" s="26" t="str">
        <f aca="false">IF($B77="","",IFERROR(INDEX(정비현황!$K$6:$K$365,MATCH("R"&amp;72,교체대상!$L$6:$L$365,0)),""))</f>
        <v/>
      </c>
      <c r="G77" s="28" t="str">
        <f aca="false">IF($B77="","",IFERROR(INDEX(정비현황!$L$6:$L$365,MATCH("R"&amp;72,교체대상!$L$6:$L$365,0)),""))</f>
        <v/>
      </c>
      <c r="H77" s="28" t="str">
        <f aca="false">IF($B77="","",IFERROR(INDEX(정비현황!$M$6:$M$365,MATCH("R"&amp;72,교체대상!$L$6:$L$365,0)),""))</f>
        <v/>
      </c>
      <c r="J77" s="29" t="b">
        <f aca="false">IF(정비현황!$A77="",FALSE(),OR(정비현황!$M77="교체",정비현황!$M77="임박"))</f>
        <v>0</v>
      </c>
      <c r="K77" s="6" t="str">
        <f aca="false">IF($J77=FALSE(),"",COUNTIF($J$6:$J77,TRUE()))</f>
        <v/>
      </c>
      <c r="L77" s="6" t="str">
        <f aca="false">IF($K77="","","R"&amp;$K77)</f>
        <v/>
      </c>
    </row>
    <row r="78" customFormat="false" ht="15" hidden="false" customHeight="true" outlineLevel="0" collapsed="false">
      <c r="A78" s="28" t="str">
        <f aca="false">IF($B78="","",73)</f>
        <v/>
      </c>
      <c r="B78" s="23" t="str">
        <f aca="false">IFERROR(INDEX(정비현황!$A$6:$A$365,MATCH("R"&amp;73,교체대상!$L$6:$L$365,0)),"")</f>
        <v/>
      </c>
      <c r="C78" s="23" t="str">
        <f aca="false">IF($B78="","",IFERROR(INDEX(정비현황!$B$6:$B$365,MATCH("R"&amp;73,교체대상!$L$6:$L$365,0)),""))</f>
        <v/>
      </c>
      <c r="D78" s="23" t="str">
        <f aca="false">IF($B78="","",IFERROR(INDEX(정비현황!$C$6:$C$365,MATCH("R"&amp;73,교체대상!$L$6:$L$365,0)),""))</f>
        <v/>
      </c>
      <c r="E78" s="24" t="str">
        <f aca="false">IF($B78="","",IFERROR(INDEX(정비현황!$J$6:$J$365,MATCH("R"&amp;73,교체대상!$L$6:$L$365,0)),""))</f>
        <v/>
      </c>
      <c r="F78" s="26" t="str">
        <f aca="false">IF($B78="","",IFERROR(INDEX(정비현황!$K$6:$K$365,MATCH("R"&amp;73,교체대상!$L$6:$L$365,0)),""))</f>
        <v/>
      </c>
      <c r="G78" s="28" t="str">
        <f aca="false">IF($B78="","",IFERROR(INDEX(정비현황!$L$6:$L$365,MATCH("R"&amp;73,교체대상!$L$6:$L$365,0)),""))</f>
        <v/>
      </c>
      <c r="H78" s="28" t="str">
        <f aca="false">IF($B78="","",IFERROR(INDEX(정비현황!$M$6:$M$365,MATCH("R"&amp;73,교체대상!$L$6:$L$365,0)),""))</f>
        <v/>
      </c>
      <c r="J78" s="29" t="b">
        <f aca="false">IF(정비현황!$A78="",FALSE(),OR(정비현황!$M78="교체",정비현황!$M78="임박"))</f>
        <v>0</v>
      </c>
      <c r="K78" s="6" t="str">
        <f aca="false">IF($J78=FALSE(),"",COUNTIF($J$6:$J78,TRUE()))</f>
        <v/>
      </c>
      <c r="L78" s="6" t="str">
        <f aca="false">IF($K78="","","R"&amp;$K78)</f>
        <v/>
      </c>
    </row>
    <row r="79" customFormat="false" ht="15" hidden="false" customHeight="true" outlineLevel="0" collapsed="false">
      <c r="A79" s="28" t="str">
        <f aca="false">IF($B79="","",74)</f>
        <v/>
      </c>
      <c r="B79" s="23" t="str">
        <f aca="false">IFERROR(INDEX(정비현황!$A$6:$A$365,MATCH("R"&amp;74,교체대상!$L$6:$L$365,0)),"")</f>
        <v/>
      </c>
      <c r="C79" s="23" t="str">
        <f aca="false">IF($B79="","",IFERROR(INDEX(정비현황!$B$6:$B$365,MATCH("R"&amp;74,교체대상!$L$6:$L$365,0)),""))</f>
        <v/>
      </c>
      <c r="D79" s="23" t="str">
        <f aca="false">IF($B79="","",IFERROR(INDEX(정비현황!$C$6:$C$365,MATCH("R"&amp;74,교체대상!$L$6:$L$365,0)),""))</f>
        <v/>
      </c>
      <c r="E79" s="24" t="str">
        <f aca="false">IF($B79="","",IFERROR(INDEX(정비현황!$J$6:$J$365,MATCH("R"&amp;74,교체대상!$L$6:$L$365,0)),""))</f>
        <v/>
      </c>
      <c r="F79" s="26" t="str">
        <f aca="false">IF($B79="","",IFERROR(INDEX(정비현황!$K$6:$K$365,MATCH("R"&amp;74,교체대상!$L$6:$L$365,0)),""))</f>
        <v/>
      </c>
      <c r="G79" s="28" t="str">
        <f aca="false">IF($B79="","",IFERROR(INDEX(정비현황!$L$6:$L$365,MATCH("R"&amp;74,교체대상!$L$6:$L$365,0)),""))</f>
        <v/>
      </c>
      <c r="H79" s="28" t="str">
        <f aca="false">IF($B79="","",IFERROR(INDEX(정비현황!$M$6:$M$365,MATCH("R"&amp;74,교체대상!$L$6:$L$365,0)),""))</f>
        <v/>
      </c>
      <c r="J79" s="29" t="b">
        <f aca="false">IF(정비현황!$A79="",FALSE(),OR(정비현황!$M79="교체",정비현황!$M79="임박"))</f>
        <v>0</v>
      </c>
      <c r="K79" s="6" t="str">
        <f aca="false">IF($J79=FALSE(),"",COUNTIF($J$6:$J79,TRUE()))</f>
        <v/>
      </c>
      <c r="L79" s="6" t="str">
        <f aca="false">IF($K79="","","R"&amp;$K79)</f>
        <v/>
      </c>
    </row>
    <row r="80" customFormat="false" ht="15" hidden="false" customHeight="true" outlineLevel="0" collapsed="false">
      <c r="A80" s="28" t="str">
        <f aca="false">IF($B80="","",75)</f>
        <v/>
      </c>
      <c r="B80" s="23" t="str">
        <f aca="false">IFERROR(INDEX(정비현황!$A$6:$A$365,MATCH("R"&amp;75,교체대상!$L$6:$L$365,0)),"")</f>
        <v/>
      </c>
      <c r="C80" s="23" t="str">
        <f aca="false">IF($B80="","",IFERROR(INDEX(정비현황!$B$6:$B$365,MATCH("R"&amp;75,교체대상!$L$6:$L$365,0)),""))</f>
        <v/>
      </c>
      <c r="D80" s="23" t="str">
        <f aca="false">IF($B80="","",IFERROR(INDEX(정비현황!$C$6:$C$365,MATCH("R"&amp;75,교체대상!$L$6:$L$365,0)),""))</f>
        <v/>
      </c>
      <c r="E80" s="24" t="str">
        <f aca="false">IF($B80="","",IFERROR(INDEX(정비현황!$J$6:$J$365,MATCH("R"&amp;75,교체대상!$L$6:$L$365,0)),""))</f>
        <v/>
      </c>
      <c r="F80" s="26" t="str">
        <f aca="false">IF($B80="","",IFERROR(INDEX(정비현황!$K$6:$K$365,MATCH("R"&amp;75,교체대상!$L$6:$L$365,0)),""))</f>
        <v/>
      </c>
      <c r="G80" s="28" t="str">
        <f aca="false">IF($B80="","",IFERROR(INDEX(정비현황!$L$6:$L$365,MATCH("R"&amp;75,교체대상!$L$6:$L$365,0)),""))</f>
        <v/>
      </c>
      <c r="H80" s="28" t="str">
        <f aca="false">IF($B80="","",IFERROR(INDEX(정비현황!$M$6:$M$365,MATCH("R"&amp;75,교체대상!$L$6:$L$365,0)),""))</f>
        <v/>
      </c>
      <c r="J80" s="29" t="b">
        <f aca="false">IF(정비현황!$A80="",FALSE(),OR(정비현황!$M80="교체",정비현황!$M80="임박"))</f>
        <v>0</v>
      </c>
      <c r="K80" s="6" t="str">
        <f aca="false">IF($J80=FALSE(),"",COUNTIF($J$6:$J80,TRUE()))</f>
        <v/>
      </c>
      <c r="L80" s="6" t="str">
        <f aca="false">IF($K80="","","R"&amp;$K80)</f>
        <v/>
      </c>
    </row>
    <row r="81" customFormat="false" ht="15" hidden="false" customHeight="true" outlineLevel="0" collapsed="false">
      <c r="A81" s="28" t="str">
        <f aca="false">IF($B81="","",76)</f>
        <v/>
      </c>
      <c r="B81" s="23" t="str">
        <f aca="false">IFERROR(INDEX(정비현황!$A$6:$A$365,MATCH("R"&amp;76,교체대상!$L$6:$L$365,0)),"")</f>
        <v/>
      </c>
      <c r="C81" s="23" t="str">
        <f aca="false">IF($B81="","",IFERROR(INDEX(정비현황!$B$6:$B$365,MATCH("R"&amp;76,교체대상!$L$6:$L$365,0)),""))</f>
        <v/>
      </c>
      <c r="D81" s="23" t="str">
        <f aca="false">IF($B81="","",IFERROR(INDEX(정비현황!$C$6:$C$365,MATCH("R"&amp;76,교체대상!$L$6:$L$365,0)),""))</f>
        <v/>
      </c>
      <c r="E81" s="24" t="str">
        <f aca="false">IF($B81="","",IFERROR(INDEX(정비현황!$J$6:$J$365,MATCH("R"&amp;76,교체대상!$L$6:$L$365,0)),""))</f>
        <v/>
      </c>
      <c r="F81" s="26" t="str">
        <f aca="false">IF($B81="","",IFERROR(INDEX(정비현황!$K$6:$K$365,MATCH("R"&amp;76,교체대상!$L$6:$L$365,0)),""))</f>
        <v/>
      </c>
      <c r="G81" s="28" t="str">
        <f aca="false">IF($B81="","",IFERROR(INDEX(정비현황!$L$6:$L$365,MATCH("R"&amp;76,교체대상!$L$6:$L$365,0)),""))</f>
        <v/>
      </c>
      <c r="H81" s="28" t="str">
        <f aca="false">IF($B81="","",IFERROR(INDEX(정비현황!$M$6:$M$365,MATCH("R"&amp;76,교체대상!$L$6:$L$365,0)),""))</f>
        <v/>
      </c>
      <c r="J81" s="29" t="b">
        <f aca="false">IF(정비현황!$A81="",FALSE(),OR(정비현황!$M81="교체",정비현황!$M81="임박"))</f>
        <v>0</v>
      </c>
      <c r="K81" s="6" t="str">
        <f aca="false">IF($J81=FALSE(),"",COUNTIF($J$6:$J81,TRUE()))</f>
        <v/>
      </c>
      <c r="L81" s="6" t="str">
        <f aca="false">IF($K81="","","R"&amp;$K81)</f>
        <v/>
      </c>
    </row>
    <row r="82" customFormat="false" ht="15" hidden="false" customHeight="true" outlineLevel="0" collapsed="false">
      <c r="A82" s="28" t="str">
        <f aca="false">IF($B82="","",77)</f>
        <v/>
      </c>
      <c r="B82" s="23" t="str">
        <f aca="false">IFERROR(INDEX(정비현황!$A$6:$A$365,MATCH("R"&amp;77,교체대상!$L$6:$L$365,0)),"")</f>
        <v/>
      </c>
      <c r="C82" s="23" t="str">
        <f aca="false">IF($B82="","",IFERROR(INDEX(정비현황!$B$6:$B$365,MATCH("R"&amp;77,교체대상!$L$6:$L$365,0)),""))</f>
        <v/>
      </c>
      <c r="D82" s="23" t="str">
        <f aca="false">IF($B82="","",IFERROR(INDEX(정비현황!$C$6:$C$365,MATCH("R"&amp;77,교체대상!$L$6:$L$365,0)),""))</f>
        <v/>
      </c>
      <c r="E82" s="24" t="str">
        <f aca="false">IF($B82="","",IFERROR(INDEX(정비현황!$J$6:$J$365,MATCH("R"&amp;77,교체대상!$L$6:$L$365,0)),""))</f>
        <v/>
      </c>
      <c r="F82" s="26" t="str">
        <f aca="false">IF($B82="","",IFERROR(INDEX(정비현황!$K$6:$K$365,MATCH("R"&amp;77,교체대상!$L$6:$L$365,0)),""))</f>
        <v/>
      </c>
      <c r="G82" s="28" t="str">
        <f aca="false">IF($B82="","",IFERROR(INDEX(정비현황!$L$6:$L$365,MATCH("R"&amp;77,교체대상!$L$6:$L$365,0)),""))</f>
        <v/>
      </c>
      <c r="H82" s="28" t="str">
        <f aca="false">IF($B82="","",IFERROR(INDEX(정비현황!$M$6:$M$365,MATCH("R"&amp;77,교체대상!$L$6:$L$365,0)),""))</f>
        <v/>
      </c>
      <c r="J82" s="29" t="b">
        <f aca="false">IF(정비현황!$A82="",FALSE(),OR(정비현황!$M82="교체",정비현황!$M82="임박"))</f>
        <v>0</v>
      </c>
      <c r="K82" s="6" t="str">
        <f aca="false">IF($J82=FALSE(),"",COUNTIF($J$6:$J82,TRUE()))</f>
        <v/>
      </c>
      <c r="L82" s="6" t="str">
        <f aca="false">IF($K82="","","R"&amp;$K82)</f>
        <v/>
      </c>
    </row>
    <row r="83" customFormat="false" ht="15" hidden="false" customHeight="true" outlineLevel="0" collapsed="false">
      <c r="A83" s="28" t="str">
        <f aca="false">IF($B83="","",78)</f>
        <v/>
      </c>
      <c r="B83" s="23" t="str">
        <f aca="false">IFERROR(INDEX(정비현황!$A$6:$A$365,MATCH("R"&amp;78,교체대상!$L$6:$L$365,0)),"")</f>
        <v/>
      </c>
      <c r="C83" s="23" t="str">
        <f aca="false">IF($B83="","",IFERROR(INDEX(정비현황!$B$6:$B$365,MATCH("R"&amp;78,교체대상!$L$6:$L$365,0)),""))</f>
        <v/>
      </c>
      <c r="D83" s="23" t="str">
        <f aca="false">IF($B83="","",IFERROR(INDEX(정비현황!$C$6:$C$365,MATCH("R"&amp;78,교체대상!$L$6:$L$365,0)),""))</f>
        <v/>
      </c>
      <c r="E83" s="24" t="str">
        <f aca="false">IF($B83="","",IFERROR(INDEX(정비현황!$J$6:$J$365,MATCH("R"&amp;78,교체대상!$L$6:$L$365,0)),""))</f>
        <v/>
      </c>
      <c r="F83" s="26" t="str">
        <f aca="false">IF($B83="","",IFERROR(INDEX(정비현황!$K$6:$K$365,MATCH("R"&amp;78,교체대상!$L$6:$L$365,0)),""))</f>
        <v/>
      </c>
      <c r="G83" s="28" t="str">
        <f aca="false">IF($B83="","",IFERROR(INDEX(정비현황!$L$6:$L$365,MATCH("R"&amp;78,교체대상!$L$6:$L$365,0)),""))</f>
        <v/>
      </c>
      <c r="H83" s="28" t="str">
        <f aca="false">IF($B83="","",IFERROR(INDEX(정비현황!$M$6:$M$365,MATCH("R"&amp;78,교체대상!$L$6:$L$365,0)),""))</f>
        <v/>
      </c>
      <c r="J83" s="29" t="b">
        <f aca="false">IF(정비현황!$A83="",FALSE(),OR(정비현황!$M83="교체",정비현황!$M83="임박"))</f>
        <v>0</v>
      </c>
      <c r="K83" s="6" t="str">
        <f aca="false">IF($J83=FALSE(),"",COUNTIF($J$6:$J83,TRUE()))</f>
        <v/>
      </c>
      <c r="L83" s="6" t="str">
        <f aca="false">IF($K83="","","R"&amp;$K83)</f>
        <v/>
      </c>
    </row>
    <row r="84" customFormat="false" ht="15" hidden="false" customHeight="true" outlineLevel="0" collapsed="false">
      <c r="A84" s="28" t="str">
        <f aca="false">IF($B84="","",79)</f>
        <v/>
      </c>
      <c r="B84" s="23" t="str">
        <f aca="false">IFERROR(INDEX(정비현황!$A$6:$A$365,MATCH("R"&amp;79,교체대상!$L$6:$L$365,0)),"")</f>
        <v/>
      </c>
      <c r="C84" s="23" t="str">
        <f aca="false">IF($B84="","",IFERROR(INDEX(정비현황!$B$6:$B$365,MATCH("R"&amp;79,교체대상!$L$6:$L$365,0)),""))</f>
        <v/>
      </c>
      <c r="D84" s="23" t="str">
        <f aca="false">IF($B84="","",IFERROR(INDEX(정비현황!$C$6:$C$365,MATCH("R"&amp;79,교체대상!$L$6:$L$365,0)),""))</f>
        <v/>
      </c>
      <c r="E84" s="24" t="str">
        <f aca="false">IF($B84="","",IFERROR(INDEX(정비현황!$J$6:$J$365,MATCH("R"&amp;79,교체대상!$L$6:$L$365,0)),""))</f>
        <v/>
      </c>
      <c r="F84" s="26" t="str">
        <f aca="false">IF($B84="","",IFERROR(INDEX(정비현황!$K$6:$K$365,MATCH("R"&amp;79,교체대상!$L$6:$L$365,0)),""))</f>
        <v/>
      </c>
      <c r="G84" s="28" t="str">
        <f aca="false">IF($B84="","",IFERROR(INDEX(정비현황!$L$6:$L$365,MATCH("R"&amp;79,교체대상!$L$6:$L$365,0)),""))</f>
        <v/>
      </c>
      <c r="H84" s="28" t="str">
        <f aca="false">IF($B84="","",IFERROR(INDEX(정비현황!$M$6:$M$365,MATCH("R"&amp;79,교체대상!$L$6:$L$365,0)),""))</f>
        <v/>
      </c>
      <c r="J84" s="29" t="b">
        <f aca="false">IF(정비현황!$A84="",FALSE(),OR(정비현황!$M84="교체",정비현황!$M84="임박"))</f>
        <v>0</v>
      </c>
      <c r="K84" s="6" t="str">
        <f aca="false">IF($J84=FALSE(),"",COUNTIF($J$6:$J84,TRUE()))</f>
        <v/>
      </c>
      <c r="L84" s="6" t="str">
        <f aca="false">IF($K84="","","R"&amp;$K84)</f>
        <v/>
      </c>
    </row>
    <row r="85" customFormat="false" ht="15" hidden="false" customHeight="true" outlineLevel="0" collapsed="false">
      <c r="A85" s="28" t="str">
        <f aca="false">IF($B85="","",80)</f>
        <v/>
      </c>
      <c r="B85" s="23" t="str">
        <f aca="false">IFERROR(INDEX(정비현황!$A$6:$A$365,MATCH("R"&amp;80,교체대상!$L$6:$L$365,0)),"")</f>
        <v/>
      </c>
      <c r="C85" s="23" t="str">
        <f aca="false">IF($B85="","",IFERROR(INDEX(정비현황!$B$6:$B$365,MATCH("R"&amp;80,교체대상!$L$6:$L$365,0)),""))</f>
        <v/>
      </c>
      <c r="D85" s="23" t="str">
        <f aca="false">IF($B85="","",IFERROR(INDEX(정비현황!$C$6:$C$365,MATCH("R"&amp;80,교체대상!$L$6:$L$365,0)),""))</f>
        <v/>
      </c>
      <c r="E85" s="24" t="str">
        <f aca="false">IF($B85="","",IFERROR(INDEX(정비현황!$J$6:$J$365,MATCH("R"&amp;80,교체대상!$L$6:$L$365,0)),""))</f>
        <v/>
      </c>
      <c r="F85" s="26" t="str">
        <f aca="false">IF($B85="","",IFERROR(INDEX(정비현황!$K$6:$K$365,MATCH("R"&amp;80,교체대상!$L$6:$L$365,0)),""))</f>
        <v/>
      </c>
      <c r="G85" s="28" t="str">
        <f aca="false">IF($B85="","",IFERROR(INDEX(정비현황!$L$6:$L$365,MATCH("R"&amp;80,교체대상!$L$6:$L$365,0)),""))</f>
        <v/>
      </c>
      <c r="H85" s="28" t="str">
        <f aca="false">IF($B85="","",IFERROR(INDEX(정비현황!$M$6:$M$365,MATCH("R"&amp;80,교체대상!$L$6:$L$365,0)),""))</f>
        <v/>
      </c>
      <c r="J85" s="29" t="b">
        <f aca="false">IF(정비현황!$A85="",FALSE(),OR(정비현황!$M85="교체",정비현황!$M85="임박"))</f>
        <v>0</v>
      </c>
      <c r="K85" s="6" t="str">
        <f aca="false">IF($J85=FALSE(),"",COUNTIF($J$6:$J85,TRUE()))</f>
        <v/>
      </c>
      <c r="L85" s="6" t="str">
        <f aca="false">IF($K85="","","R"&amp;$K85)</f>
        <v/>
      </c>
    </row>
    <row r="86" customFormat="false" ht="15" hidden="false" customHeight="true" outlineLevel="0" collapsed="false">
      <c r="A86" s="28" t="str">
        <f aca="false">IF($B86="","",81)</f>
        <v/>
      </c>
      <c r="B86" s="23" t="str">
        <f aca="false">IFERROR(INDEX(정비현황!$A$6:$A$365,MATCH("R"&amp;81,교체대상!$L$6:$L$365,0)),"")</f>
        <v/>
      </c>
      <c r="C86" s="23" t="str">
        <f aca="false">IF($B86="","",IFERROR(INDEX(정비현황!$B$6:$B$365,MATCH("R"&amp;81,교체대상!$L$6:$L$365,0)),""))</f>
        <v/>
      </c>
      <c r="D86" s="23" t="str">
        <f aca="false">IF($B86="","",IFERROR(INDEX(정비현황!$C$6:$C$365,MATCH("R"&amp;81,교체대상!$L$6:$L$365,0)),""))</f>
        <v/>
      </c>
      <c r="E86" s="24" t="str">
        <f aca="false">IF($B86="","",IFERROR(INDEX(정비현황!$J$6:$J$365,MATCH("R"&amp;81,교체대상!$L$6:$L$365,0)),""))</f>
        <v/>
      </c>
      <c r="F86" s="26" t="str">
        <f aca="false">IF($B86="","",IFERROR(INDEX(정비현황!$K$6:$K$365,MATCH("R"&amp;81,교체대상!$L$6:$L$365,0)),""))</f>
        <v/>
      </c>
      <c r="G86" s="28" t="str">
        <f aca="false">IF($B86="","",IFERROR(INDEX(정비현황!$L$6:$L$365,MATCH("R"&amp;81,교체대상!$L$6:$L$365,0)),""))</f>
        <v/>
      </c>
      <c r="H86" s="28" t="str">
        <f aca="false">IF($B86="","",IFERROR(INDEX(정비현황!$M$6:$M$365,MATCH("R"&amp;81,교체대상!$L$6:$L$365,0)),""))</f>
        <v/>
      </c>
      <c r="J86" s="29" t="b">
        <f aca="false">IF(정비현황!$A86="",FALSE(),OR(정비현황!$M86="교체",정비현황!$M86="임박"))</f>
        <v>0</v>
      </c>
      <c r="K86" s="6" t="str">
        <f aca="false">IF($J86=FALSE(),"",COUNTIF($J$6:$J86,TRUE()))</f>
        <v/>
      </c>
      <c r="L86" s="6" t="str">
        <f aca="false">IF($K86="","","R"&amp;$K86)</f>
        <v/>
      </c>
    </row>
    <row r="87" customFormat="false" ht="15" hidden="false" customHeight="true" outlineLevel="0" collapsed="false">
      <c r="A87" s="28" t="str">
        <f aca="false">IF($B87="","",82)</f>
        <v/>
      </c>
      <c r="B87" s="23" t="str">
        <f aca="false">IFERROR(INDEX(정비현황!$A$6:$A$365,MATCH("R"&amp;82,교체대상!$L$6:$L$365,0)),"")</f>
        <v/>
      </c>
      <c r="C87" s="23" t="str">
        <f aca="false">IF($B87="","",IFERROR(INDEX(정비현황!$B$6:$B$365,MATCH("R"&amp;82,교체대상!$L$6:$L$365,0)),""))</f>
        <v/>
      </c>
      <c r="D87" s="23" t="str">
        <f aca="false">IF($B87="","",IFERROR(INDEX(정비현황!$C$6:$C$365,MATCH("R"&amp;82,교체대상!$L$6:$L$365,0)),""))</f>
        <v/>
      </c>
      <c r="E87" s="24" t="str">
        <f aca="false">IF($B87="","",IFERROR(INDEX(정비현황!$J$6:$J$365,MATCH("R"&amp;82,교체대상!$L$6:$L$365,0)),""))</f>
        <v/>
      </c>
      <c r="F87" s="26" t="str">
        <f aca="false">IF($B87="","",IFERROR(INDEX(정비현황!$K$6:$K$365,MATCH("R"&amp;82,교체대상!$L$6:$L$365,0)),""))</f>
        <v/>
      </c>
      <c r="G87" s="28" t="str">
        <f aca="false">IF($B87="","",IFERROR(INDEX(정비현황!$L$6:$L$365,MATCH("R"&amp;82,교체대상!$L$6:$L$365,0)),""))</f>
        <v/>
      </c>
      <c r="H87" s="28" t="str">
        <f aca="false">IF($B87="","",IFERROR(INDEX(정비현황!$M$6:$M$365,MATCH("R"&amp;82,교체대상!$L$6:$L$365,0)),""))</f>
        <v/>
      </c>
      <c r="J87" s="29" t="b">
        <f aca="false">IF(정비현황!$A87="",FALSE(),OR(정비현황!$M87="교체",정비현황!$M87="임박"))</f>
        <v>0</v>
      </c>
      <c r="K87" s="6" t="str">
        <f aca="false">IF($J87=FALSE(),"",COUNTIF($J$6:$J87,TRUE()))</f>
        <v/>
      </c>
      <c r="L87" s="6" t="str">
        <f aca="false">IF($K87="","","R"&amp;$K87)</f>
        <v/>
      </c>
    </row>
    <row r="88" customFormat="false" ht="15" hidden="false" customHeight="true" outlineLevel="0" collapsed="false">
      <c r="A88" s="28" t="str">
        <f aca="false">IF($B88="","",83)</f>
        <v/>
      </c>
      <c r="B88" s="23" t="str">
        <f aca="false">IFERROR(INDEX(정비현황!$A$6:$A$365,MATCH("R"&amp;83,교체대상!$L$6:$L$365,0)),"")</f>
        <v/>
      </c>
      <c r="C88" s="23" t="str">
        <f aca="false">IF($B88="","",IFERROR(INDEX(정비현황!$B$6:$B$365,MATCH("R"&amp;83,교체대상!$L$6:$L$365,0)),""))</f>
        <v/>
      </c>
      <c r="D88" s="23" t="str">
        <f aca="false">IF($B88="","",IFERROR(INDEX(정비현황!$C$6:$C$365,MATCH("R"&amp;83,교체대상!$L$6:$L$365,0)),""))</f>
        <v/>
      </c>
      <c r="E88" s="24" t="str">
        <f aca="false">IF($B88="","",IFERROR(INDEX(정비현황!$J$6:$J$365,MATCH("R"&amp;83,교체대상!$L$6:$L$365,0)),""))</f>
        <v/>
      </c>
      <c r="F88" s="26" t="str">
        <f aca="false">IF($B88="","",IFERROR(INDEX(정비현황!$K$6:$K$365,MATCH("R"&amp;83,교체대상!$L$6:$L$365,0)),""))</f>
        <v/>
      </c>
      <c r="G88" s="28" t="str">
        <f aca="false">IF($B88="","",IFERROR(INDEX(정비현황!$L$6:$L$365,MATCH("R"&amp;83,교체대상!$L$6:$L$365,0)),""))</f>
        <v/>
      </c>
      <c r="H88" s="28" t="str">
        <f aca="false">IF($B88="","",IFERROR(INDEX(정비현황!$M$6:$M$365,MATCH("R"&amp;83,교체대상!$L$6:$L$365,0)),""))</f>
        <v/>
      </c>
      <c r="J88" s="29" t="b">
        <f aca="false">IF(정비현황!$A88="",FALSE(),OR(정비현황!$M88="교체",정비현황!$M88="임박"))</f>
        <v>0</v>
      </c>
      <c r="K88" s="6" t="str">
        <f aca="false">IF($J88=FALSE(),"",COUNTIF($J$6:$J88,TRUE()))</f>
        <v/>
      </c>
      <c r="L88" s="6" t="str">
        <f aca="false">IF($K88="","","R"&amp;$K88)</f>
        <v/>
      </c>
    </row>
    <row r="89" customFormat="false" ht="15" hidden="false" customHeight="true" outlineLevel="0" collapsed="false">
      <c r="A89" s="28" t="str">
        <f aca="false">IF($B89="","",84)</f>
        <v/>
      </c>
      <c r="B89" s="23" t="str">
        <f aca="false">IFERROR(INDEX(정비현황!$A$6:$A$365,MATCH("R"&amp;84,교체대상!$L$6:$L$365,0)),"")</f>
        <v/>
      </c>
      <c r="C89" s="23" t="str">
        <f aca="false">IF($B89="","",IFERROR(INDEX(정비현황!$B$6:$B$365,MATCH("R"&amp;84,교체대상!$L$6:$L$365,0)),""))</f>
        <v/>
      </c>
      <c r="D89" s="23" t="str">
        <f aca="false">IF($B89="","",IFERROR(INDEX(정비현황!$C$6:$C$365,MATCH("R"&amp;84,교체대상!$L$6:$L$365,0)),""))</f>
        <v/>
      </c>
      <c r="E89" s="24" t="str">
        <f aca="false">IF($B89="","",IFERROR(INDEX(정비현황!$J$6:$J$365,MATCH("R"&amp;84,교체대상!$L$6:$L$365,0)),""))</f>
        <v/>
      </c>
      <c r="F89" s="26" t="str">
        <f aca="false">IF($B89="","",IFERROR(INDEX(정비현황!$K$6:$K$365,MATCH("R"&amp;84,교체대상!$L$6:$L$365,0)),""))</f>
        <v/>
      </c>
      <c r="G89" s="28" t="str">
        <f aca="false">IF($B89="","",IFERROR(INDEX(정비현황!$L$6:$L$365,MATCH("R"&amp;84,교체대상!$L$6:$L$365,0)),""))</f>
        <v/>
      </c>
      <c r="H89" s="28" t="str">
        <f aca="false">IF($B89="","",IFERROR(INDEX(정비현황!$M$6:$M$365,MATCH("R"&amp;84,교체대상!$L$6:$L$365,0)),""))</f>
        <v/>
      </c>
      <c r="J89" s="29" t="b">
        <f aca="false">IF(정비현황!$A89="",FALSE(),OR(정비현황!$M89="교체",정비현황!$M89="임박"))</f>
        <v>0</v>
      </c>
      <c r="K89" s="6" t="str">
        <f aca="false">IF($J89=FALSE(),"",COUNTIF($J$6:$J89,TRUE()))</f>
        <v/>
      </c>
      <c r="L89" s="6" t="str">
        <f aca="false">IF($K89="","","R"&amp;$K89)</f>
        <v/>
      </c>
    </row>
    <row r="90" customFormat="false" ht="15" hidden="false" customHeight="true" outlineLevel="0" collapsed="false">
      <c r="A90" s="28" t="str">
        <f aca="false">IF($B90="","",85)</f>
        <v/>
      </c>
      <c r="B90" s="23" t="str">
        <f aca="false">IFERROR(INDEX(정비현황!$A$6:$A$365,MATCH("R"&amp;85,교체대상!$L$6:$L$365,0)),"")</f>
        <v/>
      </c>
      <c r="C90" s="23" t="str">
        <f aca="false">IF($B90="","",IFERROR(INDEX(정비현황!$B$6:$B$365,MATCH("R"&amp;85,교체대상!$L$6:$L$365,0)),""))</f>
        <v/>
      </c>
      <c r="D90" s="23" t="str">
        <f aca="false">IF($B90="","",IFERROR(INDEX(정비현황!$C$6:$C$365,MATCH("R"&amp;85,교체대상!$L$6:$L$365,0)),""))</f>
        <v/>
      </c>
      <c r="E90" s="24" t="str">
        <f aca="false">IF($B90="","",IFERROR(INDEX(정비현황!$J$6:$J$365,MATCH("R"&amp;85,교체대상!$L$6:$L$365,0)),""))</f>
        <v/>
      </c>
      <c r="F90" s="26" t="str">
        <f aca="false">IF($B90="","",IFERROR(INDEX(정비현황!$K$6:$K$365,MATCH("R"&amp;85,교체대상!$L$6:$L$365,0)),""))</f>
        <v/>
      </c>
      <c r="G90" s="28" t="str">
        <f aca="false">IF($B90="","",IFERROR(INDEX(정비현황!$L$6:$L$365,MATCH("R"&amp;85,교체대상!$L$6:$L$365,0)),""))</f>
        <v/>
      </c>
      <c r="H90" s="28" t="str">
        <f aca="false">IF($B90="","",IFERROR(INDEX(정비현황!$M$6:$M$365,MATCH("R"&amp;85,교체대상!$L$6:$L$365,0)),""))</f>
        <v/>
      </c>
      <c r="J90" s="29" t="b">
        <f aca="false">IF(정비현황!$A90="",FALSE(),OR(정비현황!$M90="교체",정비현황!$M90="임박"))</f>
        <v>0</v>
      </c>
      <c r="K90" s="6" t="str">
        <f aca="false">IF($J90=FALSE(),"",COUNTIF($J$6:$J90,TRUE()))</f>
        <v/>
      </c>
      <c r="L90" s="6" t="str">
        <f aca="false">IF($K90="","","R"&amp;$K90)</f>
        <v/>
      </c>
    </row>
    <row r="91" customFormat="false" ht="15" hidden="false" customHeight="true" outlineLevel="0" collapsed="false">
      <c r="A91" s="28" t="str">
        <f aca="false">IF($B91="","",86)</f>
        <v/>
      </c>
      <c r="B91" s="23" t="str">
        <f aca="false">IFERROR(INDEX(정비현황!$A$6:$A$365,MATCH("R"&amp;86,교체대상!$L$6:$L$365,0)),"")</f>
        <v/>
      </c>
      <c r="C91" s="23" t="str">
        <f aca="false">IF($B91="","",IFERROR(INDEX(정비현황!$B$6:$B$365,MATCH("R"&amp;86,교체대상!$L$6:$L$365,0)),""))</f>
        <v/>
      </c>
      <c r="D91" s="23" t="str">
        <f aca="false">IF($B91="","",IFERROR(INDEX(정비현황!$C$6:$C$365,MATCH("R"&amp;86,교체대상!$L$6:$L$365,0)),""))</f>
        <v/>
      </c>
      <c r="E91" s="24" t="str">
        <f aca="false">IF($B91="","",IFERROR(INDEX(정비현황!$J$6:$J$365,MATCH("R"&amp;86,교체대상!$L$6:$L$365,0)),""))</f>
        <v/>
      </c>
      <c r="F91" s="26" t="str">
        <f aca="false">IF($B91="","",IFERROR(INDEX(정비현황!$K$6:$K$365,MATCH("R"&amp;86,교체대상!$L$6:$L$365,0)),""))</f>
        <v/>
      </c>
      <c r="G91" s="28" t="str">
        <f aca="false">IF($B91="","",IFERROR(INDEX(정비현황!$L$6:$L$365,MATCH("R"&amp;86,교체대상!$L$6:$L$365,0)),""))</f>
        <v/>
      </c>
      <c r="H91" s="28" t="str">
        <f aca="false">IF($B91="","",IFERROR(INDEX(정비현황!$M$6:$M$365,MATCH("R"&amp;86,교체대상!$L$6:$L$365,0)),""))</f>
        <v/>
      </c>
      <c r="J91" s="29" t="b">
        <f aca="false">IF(정비현황!$A91="",FALSE(),OR(정비현황!$M91="교체",정비현황!$M91="임박"))</f>
        <v>0</v>
      </c>
      <c r="K91" s="6" t="str">
        <f aca="false">IF($J91=FALSE(),"",COUNTIF($J$6:$J91,TRUE()))</f>
        <v/>
      </c>
      <c r="L91" s="6" t="str">
        <f aca="false">IF($K91="","","R"&amp;$K91)</f>
        <v/>
      </c>
    </row>
    <row r="92" customFormat="false" ht="15" hidden="false" customHeight="true" outlineLevel="0" collapsed="false">
      <c r="A92" s="28" t="str">
        <f aca="false">IF($B92="","",87)</f>
        <v/>
      </c>
      <c r="B92" s="23" t="str">
        <f aca="false">IFERROR(INDEX(정비현황!$A$6:$A$365,MATCH("R"&amp;87,교체대상!$L$6:$L$365,0)),"")</f>
        <v/>
      </c>
      <c r="C92" s="23" t="str">
        <f aca="false">IF($B92="","",IFERROR(INDEX(정비현황!$B$6:$B$365,MATCH("R"&amp;87,교체대상!$L$6:$L$365,0)),""))</f>
        <v/>
      </c>
      <c r="D92" s="23" t="str">
        <f aca="false">IF($B92="","",IFERROR(INDEX(정비현황!$C$6:$C$365,MATCH("R"&amp;87,교체대상!$L$6:$L$365,0)),""))</f>
        <v/>
      </c>
      <c r="E92" s="24" t="str">
        <f aca="false">IF($B92="","",IFERROR(INDEX(정비현황!$J$6:$J$365,MATCH("R"&amp;87,교체대상!$L$6:$L$365,0)),""))</f>
        <v/>
      </c>
      <c r="F92" s="26" t="str">
        <f aca="false">IF($B92="","",IFERROR(INDEX(정비현황!$K$6:$K$365,MATCH("R"&amp;87,교체대상!$L$6:$L$365,0)),""))</f>
        <v/>
      </c>
      <c r="G92" s="28" t="str">
        <f aca="false">IF($B92="","",IFERROR(INDEX(정비현황!$L$6:$L$365,MATCH("R"&amp;87,교체대상!$L$6:$L$365,0)),""))</f>
        <v/>
      </c>
      <c r="H92" s="28" t="str">
        <f aca="false">IF($B92="","",IFERROR(INDEX(정비현황!$M$6:$M$365,MATCH("R"&amp;87,교체대상!$L$6:$L$365,0)),""))</f>
        <v/>
      </c>
      <c r="J92" s="29" t="b">
        <f aca="false">IF(정비현황!$A92="",FALSE(),OR(정비현황!$M92="교체",정비현황!$M92="임박"))</f>
        <v>0</v>
      </c>
      <c r="K92" s="6" t="str">
        <f aca="false">IF($J92=FALSE(),"",COUNTIF($J$6:$J92,TRUE()))</f>
        <v/>
      </c>
      <c r="L92" s="6" t="str">
        <f aca="false">IF($K92="","","R"&amp;$K92)</f>
        <v/>
      </c>
    </row>
    <row r="93" customFormat="false" ht="15" hidden="false" customHeight="true" outlineLevel="0" collapsed="false">
      <c r="A93" s="28" t="str">
        <f aca="false">IF($B93="","",88)</f>
        <v/>
      </c>
      <c r="B93" s="23" t="str">
        <f aca="false">IFERROR(INDEX(정비현황!$A$6:$A$365,MATCH("R"&amp;88,교체대상!$L$6:$L$365,0)),"")</f>
        <v/>
      </c>
      <c r="C93" s="23" t="str">
        <f aca="false">IF($B93="","",IFERROR(INDEX(정비현황!$B$6:$B$365,MATCH("R"&amp;88,교체대상!$L$6:$L$365,0)),""))</f>
        <v/>
      </c>
      <c r="D93" s="23" t="str">
        <f aca="false">IF($B93="","",IFERROR(INDEX(정비현황!$C$6:$C$365,MATCH("R"&amp;88,교체대상!$L$6:$L$365,0)),""))</f>
        <v/>
      </c>
      <c r="E93" s="24" t="str">
        <f aca="false">IF($B93="","",IFERROR(INDEX(정비현황!$J$6:$J$365,MATCH("R"&amp;88,교체대상!$L$6:$L$365,0)),""))</f>
        <v/>
      </c>
      <c r="F93" s="26" t="str">
        <f aca="false">IF($B93="","",IFERROR(INDEX(정비현황!$K$6:$K$365,MATCH("R"&amp;88,교체대상!$L$6:$L$365,0)),""))</f>
        <v/>
      </c>
      <c r="G93" s="28" t="str">
        <f aca="false">IF($B93="","",IFERROR(INDEX(정비현황!$L$6:$L$365,MATCH("R"&amp;88,교체대상!$L$6:$L$365,0)),""))</f>
        <v/>
      </c>
      <c r="H93" s="28" t="str">
        <f aca="false">IF($B93="","",IFERROR(INDEX(정비현황!$M$6:$M$365,MATCH("R"&amp;88,교체대상!$L$6:$L$365,0)),""))</f>
        <v/>
      </c>
      <c r="J93" s="29" t="b">
        <f aca="false">IF(정비현황!$A93="",FALSE(),OR(정비현황!$M93="교체",정비현황!$M93="임박"))</f>
        <v>0</v>
      </c>
      <c r="K93" s="6" t="str">
        <f aca="false">IF($J93=FALSE(),"",COUNTIF($J$6:$J93,TRUE()))</f>
        <v/>
      </c>
      <c r="L93" s="6" t="str">
        <f aca="false">IF($K93="","","R"&amp;$K93)</f>
        <v/>
      </c>
    </row>
    <row r="94" customFormat="false" ht="15" hidden="false" customHeight="true" outlineLevel="0" collapsed="false">
      <c r="A94" s="28" t="str">
        <f aca="false">IF($B94="","",89)</f>
        <v/>
      </c>
      <c r="B94" s="23" t="str">
        <f aca="false">IFERROR(INDEX(정비현황!$A$6:$A$365,MATCH("R"&amp;89,교체대상!$L$6:$L$365,0)),"")</f>
        <v/>
      </c>
      <c r="C94" s="23" t="str">
        <f aca="false">IF($B94="","",IFERROR(INDEX(정비현황!$B$6:$B$365,MATCH("R"&amp;89,교체대상!$L$6:$L$365,0)),""))</f>
        <v/>
      </c>
      <c r="D94" s="23" t="str">
        <f aca="false">IF($B94="","",IFERROR(INDEX(정비현황!$C$6:$C$365,MATCH("R"&amp;89,교체대상!$L$6:$L$365,0)),""))</f>
        <v/>
      </c>
      <c r="E94" s="24" t="str">
        <f aca="false">IF($B94="","",IFERROR(INDEX(정비현황!$J$6:$J$365,MATCH("R"&amp;89,교체대상!$L$6:$L$365,0)),""))</f>
        <v/>
      </c>
      <c r="F94" s="26" t="str">
        <f aca="false">IF($B94="","",IFERROR(INDEX(정비현황!$K$6:$K$365,MATCH("R"&amp;89,교체대상!$L$6:$L$365,0)),""))</f>
        <v/>
      </c>
      <c r="G94" s="28" t="str">
        <f aca="false">IF($B94="","",IFERROR(INDEX(정비현황!$L$6:$L$365,MATCH("R"&amp;89,교체대상!$L$6:$L$365,0)),""))</f>
        <v/>
      </c>
      <c r="H94" s="28" t="str">
        <f aca="false">IF($B94="","",IFERROR(INDEX(정비현황!$M$6:$M$365,MATCH("R"&amp;89,교체대상!$L$6:$L$365,0)),""))</f>
        <v/>
      </c>
      <c r="J94" s="29" t="b">
        <f aca="false">IF(정비현황!$A94="",FALSE(),OR(정비현황!$M94="교체",정비현황!$M94="임박"))</f>
        <v>0</v>
      </c>
      <c r="K94" s="6" t="str">
        <f aca="false">IF($J94=FALSE(),"",COUNTIF($J$6:$J94,TRUE()))</f>
        <v/>
      </c>
      <c r="L94" s="6" t="str">
        <f aca="false">IF($K94="","","R"&amp;$K94)</f>
        <v/>
      </c>
    </row>
    <row r="95" customFormat="false" ht="15" hidden="false" customHeight="true" outlineLevel="0" collapsed="false">
      <c r="A95" s="28" t="str">
        <f aca="false">IF($B95="","",90)</f>
        <v/>
      </c>
      <c r="B95" s="23" t="str">
        <f aca="false">IFERROR(INDEX(정비현황!$A$6:$A$365,MATCH("R"&amp;90,교체대상!$L$6:$L$365,0)),"")</f>
        <v/>
      </c>
      <c r="C95" s="23" t="str">
        <f aca="false">IF($B95="","",IFERROR(INDEX(정비현황!$B$6:$B$365,MATCH("R"&amp;90,교체대상!$L$6:$L$365,0)),""))</f>
        <v/>
      </c>
      <c r="D95" s="23" t="str">
        <f aca="false">IF($B95="","",IFERROR(INDEX(정비현황!$C$6:$C$365,MATCH("R"&amp;90,교체대상!$L$6:$L$365,0)),""))</f>
        <v/>
      </c>
      <c r="E95" s="24" t="str">
        <f aca="false">IF($B95="","",IFERROR(INDEX(정비현황!$J$6:$J$365,MATCH("R"&amp;90,교체대상!$L$6:$L$365,0)),""))</f>
        <v/>
      </c>
      <c r="F95" s="26" t="str">
        <f aca="false">IF($B95="","",IFERROR(INDEX(정비현황!$K$6:$K$365,MATCH("R"&amp;90,교체대상!$L$6:$L$365,0)),""))</f>
        <v/>
      </c>
      <c r="G95" s="28" t="str">
        <f aca="false">IF($B95="","",IFERROR(INDEX(정비현황!$L$6:$L$365,MATCH("R"&amp;90,교체대상!$L$6:$L$365,0)),""))</f>
        <v/>
      </c>
      <c r="H95" s="28" t="str">
        <f aca="false">IF($B95="","",IFERROR(INDEX(정비현황!$M$6:$M$365,MATCH("R"&amp;90,교체대상!$L$6:$L$365,0)),""))</f>
        <v/>
      </c>
      <c r="J95" s="29" t="b">
        <f aca="false">IF(정비현황!$A95="",FALSE(),OR(정비현황!$M95="교체",정비현황!$M95="임박"))</f>
        <v>0</v>
      </c>
      <c r="K95" s="6" t="str">
        <f aca="false">IF($J95=FALSE(),"",COUNTIF($J$6:$J95,TRUE()))</f>
        <v/>
      </c>
      <c r="L95" s="6" t="str">
        <f aca="false">IF($K95="","","R"&amp;$K95)</f>
        <v/>
      </c>
    </row>
    <row r="96" customFormat="false" ht="15" hidden="false" customHeight="true" outlineLevel="0" collapsed="false">
      <c r="A96" s="28" t="str">
        <f aca="false">IF($B96="","",91)</f>
        <v/>
      </c>
      <c r="B96" s="23" t="str">
        <f aca="false">IFERROR(INDEX(정비현황!$A$6:$A$365,MATCH("R"&amp;91,교체대상!$L$6:$L$365,0)),"")</f>
        <v/>
      </c>
      <c r="C96" s="23" t="str">
        <f aca="false">IF($B96="","",IFERROR(INDEX(정비현황!$B$6:$B$365,MATCH("R"&amp;91,교체대상!$L$6:$L$365,0)),""))</f>
        <v/>
      </c>
      <c r="D96" s="23" t="str">
        <f aca="false">IF($B96="","",IFERROR(INDEX(정비현황!$C$6:$C$365,MATCH("R"&amp;91,교체대상!$L$6:$L$365,0)),""))</f>
        <v/>
      </c>
      <c r="E96" s="24" t="str">
        <f aca="false">IF($B96="","",IFERROR(INDEX(정비현황!$J$6:$J$365,MATCH("R"&amp;91,교체대상!$L$6:$L$365,0)),""))</f>
        <v/>
      </c>
      <c r="F96" s="26" t="str">
        <f aca="false">IF($B96="","",IFERROR(INDEX(정비현황!$K$6:$K$365,MATCH("R"&amp;91,교체대상!$L$6:$L$365,0)),""))</f>
        <v/>
      </c>
      <c r="G96" s="28" t="str">
        <f aca="false">IF($B96="","",IFERROR(INDEX(정비현황!$L$6:$L$365,MATCH("R"&amp;91,교체대상!$L$6:$L$365,0)),""))</f>
        <v/>
      </c>
      <c r="H96" s="28" t="str">
        <f aca="false">IF($B96="","",IFERROR(INDEX(정비현황!$M$6:$M$365,MATCH("R"&amp;91,교체대상!$L$6:$L$365,0)),""))</f>
        <v/>
      </c>
      <c r="J96" s="29" t="b">
        <f aca="false">IF(정비현황!$A96="",FALSE(),OR(정비현황!$M96="교체",정비현황!$M96="임박"))</f>
        <v>0</v>
      </c>
      <c r="K96" s="6" t="str">
        <f aca="false">IF($J96=FALSE(),"",COUNTIF($J$6:$J96,TRUE()))</f>
        <v/>
      </c>
      <c r="L96" s="6" t="str">
        <f aca="false">IF($K96="","","R"&amp;$K96)</f>
        <v/>
      </c>
    </row>
    <row r="97" customFormat="false" ht="15" hidden="false" customHeight="true" outlineLevel="0" collapsed="false">
      <c r="A97" s="28" t="str">
        <f aca="false">IF($B97="","",92)</f>
        <v/>
      </c>
      <c r="B97" s="23" t="str">
        <f aca="false">IFERROR(INDEX(정비현황!$A$6:$A$365,MATCH("R"&amp;92,교체대상!$L$6:$L$365,0)),"")</f>
        <v/>
      </c>
      <c r="C97" s="23" t="str">
        <f aca="false">IF($B97="","",IFERROR(INDEX(정비현황!$B$6:$B$365,MATCH("R"&amp;92,교체대상!$L$6:$L$365,0)),""))</f>
        <v/>
      </c>
      <c r="D97" s="23" t="str">
        <f aca="false">IF($B97="","",IFERROR(INDEX(정비현황!$C$6:$C$365,MATCH("R"&amp;92,교체대상!$L$6:$L$365,0)),""))</f>
        <v/>
      </c>
      <c r="E97" s="24" t="str">
        <f aca="false">IF($B97="","",IFERROR(INDEX(정비현황!$J$6:$J$365,MATCH("R"&amp;92,교체대상!$L$6:$L$365,0)),""))</f>
        <v/>
      </c>
      <c r="F97" s="26" t="str">
        <f aca="false">IF($B97="","",IFERROR(INDEX(정비현황!$K$6:$K$365,MATCH("R"&amp;92,교체대상!$L$6:$L$365,0)),""))</f>
        <v/>
      </c>
      <c r="G97" s="28" t="str">
        <f aca="false">IF($B97="","",IFERROR(INDEX(정비현황!$L$6:$L$365,MATCH("R"&amp;92,교체대상!$L$6:$L$365,0)),""))</f>
        <v/>
      </c>
      <c r="H97" s="28" t="str">
        <f aca="false">IF($B97="","",IFERROR(INDEX(정비현황!$M$6:$M$365,MATCH("R"&amp;92,교체대상!$L$6:$L$365,0)),""))</f>
        <v/>
      </c>
      <c r="J97" s="29" t="b">
        <f aca="false">IF(정비현황!$A97="",FALSE(),OR(정비현황!$M97="교체",정비현황!$M97="임박"))</f>
        <v>0</v>
      </c>
      <c r="K97" s="6" t="str">
        <f aca="false">IF($J97=FALSE(),"",COUNTIF($J$6:$J97,TRUE()))</f>
        <v/>
      </c>
      <c r="L97" s="6" t="str">
        <f aca="false">IF($K97="","","R"&amp;$K97)</f>
        <v/>
      </c>
    </row>
    <row r="98" customFormat="false" ht="15" hidden="false" customHeight="true" outlineLevel="0" collapsed="false">
      <c r="A98" s="28" t="str">
        <f aca="false">IF($B98="","",93)</f>
        <v/>
      </c>
      <c r="B98" s="23" t="str">
        <f aca="false">IFERROR(INDEX(정비현황!$A$6:$A$365,MATCH("R"&amp;93,교체대상!$L$6:$L$365,0)),"")</f>
        <v/>
      </c>
      <c r="C98" s="23" t="str">
        <f aca="false">IF($B98="","",IFERROR(INDEX(정비현황!$B$6:$B$365,MATCH("R"&amp;93,교체대상!$L$6:$L$365,0)),""))</f>
        <v/>
      </c>
      <c r="D98" s="23" t="str">
        <f aca="false">IF($B98="","",IFERROR(INDEX(정비현황!$C$6:$C$365,MATCH("R"&amp;93,교체대상!$L$6:$L$365,0)),""))</f>
        <v/>
      </c>
      <c r="E98" s="24" t="str">
        <f aca="false">IF($B98="","",IFERROR(INDEX(정비현황!$J$6:$J$365,MATCH("R"&amp;93,교체대상!$L$6:$L$365,0)),""))</f>
        <v/>
      </c>
      <c r="F98" s="26" t="str">
        <f aca="false">IF($B98="","",IFERROR(INDEX(정비현황!$K$6:$K$365,MATCH("R"&amp;93,교체대상!$L$6:$L$365,0)),""))</f>
        <v/>
      </c>
      <c r="G98" s="28" t="str">
        <f aca="false">IF($B98="","",IFERROR(INDEX(정비현황!$L$6:$L$365,MATCH("R"&amp;93,교체대상!$L$6:$L$365,0)),""))</f>
        <v/>
      </c>
      <c r="H98" s="28" t="str">
        <f aca="false">IF($B98="","",IFERROR(INDEX(정비현황!$M$6:$M$365,MATCH("R"&amp;93,교체대상!$L$6:$L$365,0)),""))</f>
        <v/>
      </c>
      <c r="J98" s="29" t="b">
        <f aca="false">IF(정비현황!$A98="",FALSE(),OR(정비현황!$M98="교체",정비현황!$M98="임박"))</f>
        <v>0</v>
      </c>
      <c r="K98" s="6" t="str">
        <f aca="false">IF($J98=FALSE(),"",COUNTIF($J$6:$J98,TRUE()))</f>
        <v/>
      </c>
      <c r="L98" s="6" t="str">
        <f aca="false">IF($K98="","","R"&amp;$K98)</f>
        <v/>
      </c>
    </row>
    <row r="99" customFormat="false" ht="15" hidden="false" customHeight="true" outlineLevel="0" collapsed="false">
      <c r="A99" s="28" t="str">
        <f aca="false">IF($B99="","",94)</f>
        <v/>
      </c>
      <c r="B99" s="23" t="str">
        <f aca="false">IFERROR(INDEX(정비현황!$A$6:$A$365,MATCH("R"&amp;94,교체대상!$L$6:$L$365,0)),"")</f>
        <v/>
      </c>
      <c r="C99" s="23" t="str">
        <f aca="false">IF($B99="","",IFERROR(INDEX(정비현황!$B$6:$B$365,MATCH("R"&amp;94,교체대상!$L$6:$L$365,0)),""))</f>
        <v/>
      </c>
      <c r="D99" s="23" t="str">
        <f aca="false">IF($B99="","",IFERROR(INDEX(정비현황!$C$6:$C$365,MATCH("R"&amp;94,교체대상!$L$6:$L$365,0)),""))</f>
        <v/>
      </c>
      <c r="E99" s="24" t="str">
        <f aca="false">IF($B99="","",IFERROR(INDEX(정비현황!$J$6:$J$365,MATCH("R"&amp;94,교체대상!$L$6:$L$365,0)),""))</f>
        <v/>
      </c>
      <c r="F99" s="26" t="str">
        <f aca="false">IF($B99="","",IFERROR(INDEX(정비현황!$K$6:$K$365,MATCH("R"&amp;94,교체대상!$L$6:$L$365,0)),""))</f>
        <v/>
      </c>
      <c r="G99" s="28" t="str">
        <f aca="false">IF($B99="","",IFERROR(INDEX(정비현황!$L$6:$L$365,MATCH("R"&amp;94,교체대상!$L$6:$L$365,0)),""))</f>
        <v/>
      </c>
      <c r="H99" s="28" t="str">
        <f aca="false">IF($B99="","",IFERROR(INDEX(정비현황!$M$6:$M$365,MATCH("R"&amp;94,교체대상!$L$6:$L$365,0)),""))</f>
        <v/>
      </c>
      <c r="J99" s="29" t="b">
        <f aca="false">IF(정비현황!$A99="",FALSE(),OR(정비현황!$M99="교체",정비현황!$M99="임박"))</f>
        <v>0</v>
      </c>
      <c r="K99" s="6" t="str">
        <f aca="false">IF($J99=FALSE(),"",COUNTIF($J$6:$J99,TRUE()))</f>
        <v/>
      </c>
      <c r="L99" s="6" t="str">
        <f aca="false">IF($K99="","","R"&amp;$K99)</f>
        <v/>
      </c>
    </row>
    <row r="100" customFormat="false" ht="15" hidden="false" customHeight="true" outlineLevel="0" collapsed="false">
      <c r="A100" s="28" t="str">
        <f aca="false">IF($B100="","",95)</f>
        <v/>
      </c>
      <c r="B100" s="23" t="str">
        <f aca="false">IFERROR(INDEX(정비현황!$A$6:$A$365,MATCH("R"&amp;95,교체대상!$L$6:$L$365,0)),"")</f>
        <v/>
      </c>
      <c r="C100" s="23" t="str">
        <f aca="false">IF($B100="","",IFERROR(INDEX(정비현황!$B$6:$B$365,MATCH("R"&amp;95,교체대상!$L$6:$L$365,0)),""))</f>
        <v/>
      </c>
      <c r="D100" s="23" t="str">
        <f aca="false">IF($B100="","",IFERROR(INDEX(정비현황!$C$6:$C$365,MATCH("R"&amp;95,교체대상!$L$6:$L$365,0)),""))</f>
        <v/>
      </c>
      <c r="E100" s="24" t="str">
        <f aca="false">IF($B100="","",IFERROR(INDEX(정비현황!$J$6:$J$365,MATCH("R"&amp;95,교체대상!$L$6:$L$365,0)),""))</f>
        <v/>
      </c>
      <c r="F100" s="26" t="str">
        <f aca="false">IF($B100="","",IFERROR(INDEX(정비현황!$K$6:$K$365,MATCH("R"&amp;95,교체대상!$L$6:$L$365,0)),""))</f>
        <v/>
      </c>
      <c r="G100" s="28" t="str">
        <f aca="false">IF($B100="","",IFERROR(INDEX(정비현황!$L$6:$L$365,MATCH("R"&amp;95,교체대상!$L$6:$L$365,0)),""))</f>
        <v/>
      </c>
      <c r="H100" s="28" t="str">
        <f aca="false">IF($B100="","",IFERROR(INDEX(정비현황!$M$6:$M$365,MATCH("R"&amp;95,교체대상!$L$6:$L$365,0)),""))</f>
        <v/>
      </c>
      <c r="J100" s="29" t="b">
        <f aca="false">IF(정비현황!$A100="",FALSE(),OR(정비현황!$M100="교체",정비현황!$M100="임박"))</f>
        <v>0</v>
      </c>
      <c r="K100" s="6" t="str">
        <f aca="false">IF($J100=FALSE(),"",COUNTIF($J$6:$J100,TRUE()))</f>
        <v/>
      </c>
      <c r="L100" s="6" t="str">
        <f aca="false">IF($K100="","","R"&amp;$K100)</f>
        <v/>
      </c>
    </row>
    <row r="101" customFormat="false" ht="15" hidden="false" customHeight="true" outlineLevel="0" collapsed="false">
      <c r="A101" s="28" t="str">
        <f aca="false">IF($B101="","",96)</f>
        <v/>
      </c>
      <c r="B101" s="23" t="str">
        <f aca="false">IFERROR(INDEX(정비현황!$A$6:$A$365,MATCH("R"&amp;96,교체대상!$L$6:$L$365,0)),"")</f>
        <v/>
      </c>
      <c r="C101" s="23" t="str">
        <f aca="false">IF($B101="","",IFERROR(INDEX(정비현황!$B$6:$B$365,MATCH("R"&amp;96,교체대상!$L$6:$L$365,0)),""))</f>
        <v/>
      </c>
      <c r="D101" s="23" t="str">
        <f aca="false">IF($B101="","",IFERROR(INDEX(정비현황!$C$6:$C$365,MATCH("R"&amp;96,교체대상!$L$6:$L$365,0)),""))</f>
        <v/>
      </c>
      <c r="E101" s="24" t="str">
        <f aca="false">IF($B101="","",IFERROR(INDEX(정비현황!$J$6:$J$365,MATCH("R"&amp;96,교체대상!$L$6:$L$365,0)),""))</f>
        <v/>
      </c>
      <c r="F101" s="26" t="str">
        <f aca="false">IF($B101="","",IFERROR(INDEX(정비현황!$K$6:$K$365,MATCH("R"&amp;96,교체대상!$L$6:$L$365,0)),""))</f>
        <v/>
      </c>
      <c r="G101" s="28" t="str">
        <f aca="false">IF($B101="","",IFERROR(INDEX(정비현황!$L$6:$L$365,MATCH("R"&amp;96,교체대상!$L$6:$L$365,0)),""))</f>
        <v/>
      </c>
      <c r="H101" s="28" t="str">
        <f aca="false">IF($B101="","",IFERROR(INDEX(정비현황!$M$6:$M$365,MATCH("R"&amp;96,교체대상!$L$6:$L$365,0)),""))</f>
        <v/>
      </c>
      <c r="J101" s="29" t="b">
        <f aca="false">IF(정비현황!$A101="",FALSE(),OR(정비현황!$M101="교체",정비현황!$M101="임박"))</f>
        <v>0</v>
      </c>
      <c r="K101" s="6" t="str">
        <f aca="false">IF($J101=FALSE(),"",COUNTIF($J$6:$J101,TRUE()))</f>
        <v/>
      </c>
      <c r="L101" s="6" t="str">
        <f aca="false">IF($K101="","","R"&amp;$K101)</f>
        <v/>
      </c>
    </row>
    <row r="102" customFormat="false" ht="15" hidden="false" customHeight="true" outlineLevel="0" collapsed="false">
      <c r="A102" s="28" t="str">
        <f aca="false">IF($B102="","",97)</f>
        <v/>
      </c>
      <c r="B102" s="23" t="str">
        <f aca="false">IFERROR(INDEX(정비현황!$A$6:$A$365,MATCH("R"&amp;97,교체대상!$L$6:$L$365,0)),"")</f>
        <v/>
      </c>
      <c r="C102" s="23" t="str">
        <f aca="false">IF($B102="","",IFERROR(INDEX(정비현황!$B$6:$B$365,MATCH("R"&amp;97,교체대상!$L$6:$L$365,0)),""))</f>
        <v/>
      </c>
      <c r="D102" s="23" t="str">
        <f aca="false">IF($B102="","",IFERROR(INDEX(정비현황!$C$6:$C$365,MATCH("R"&amp;97,교체대상!$L$6:$L$365,0)),""))</f>
        <v/>
      </c>
      <c r="E102" s="24" t="str">
        <f aca="false">IF($B102="","",IFERROR(INDEX(정비현황!$J$6:$J$365,MATCH("R"&amp;97,교체대상!$L$6:$L$365,0)),""))</f>
        <v/>
      </c>
      <c r="F102" s="26" t="str">
        <f aca="false">IF($B102="","",IFERROR(INDEX(정비현황!$K$6:$K$365,MATCH("R"&amp;97,교체대상!$L$6:$L$365,0)),""))</f>
        <v/>
      </c>
      <c r="G102" s="28" t="str">
        <f aca="false">IF($B102="","",IFERROR(INDEX(정비현황!$L$6:$L$365,MATCH("R"&amp;97,교체대상!$L$6:$L$365,0)),""))</f>
        <v/>
      </c>
      <c r="H102" s="28" t="str">
        <f aca="false">IF($B102="","",IFERROR(INDEX(정비현황!$M$6:$M$365,MATCH("R"&amp;97,교체대상!$L$6:$L$365,0)),""))</f>
        <v/>
      </c>
      <c r="J102" s="29" t="b">
        <f aca="false">IF(정비현황!$A102="",FALSE(),OR(정비현황!$M102="교체",정비현황!$M102="임박"))</f>
        <v>0</v>
      </c>
      <c r="K102" s="6" t="str">
        <f aca="false">IF($J102=FALSE(),"",COUNTIF($J$6:$J102,TRUE()))</f>
        <v/>
      </c>
      <c r="L102" s="6" t="str">
        <f aca="false">IF($K102="","","R"&amp;$K102)</f>
        <v/>
      </c>
    </row>
    <row r="103" customFormat="false" ht="15" hidden="false" customHeight="true" outlineLevel="0" collapsed="false">
      <c r="A103" s="28" t="str">
        <f aca="false">IF($B103="","",98)</f>
        <v/>
      </c>
      <c r="B103" s="23" t="str">
        <f aca="false">IFERROR(INDEX(정비현황!$A$6:$A$365,MATCH("R"&amp;98,교체대상!$L$6:$L$365,0)),"")</f>
        <v/>
      </c>
      <c r="C103" s="23" t="str">
        <f aca="false">IF($B103="","",IFERROR(INDEX(정비현황!$B$6:$B$365,MATCH("R"&amp;98,교체대상!$L$6:$L$365,0)),""))</f>
        <v/>
      </c>
      <c r="D103" s="23" t="str">
        <f aca="false">IF($B103="","",IFERROR(INDEX(정비현황!$C$6:$C$365,MATCH("R"&amp;98,교체대상!$L$6:$L$365,0)),""))</f>
        <v/>
      </c>
      <c r="E103" s="24" t="str">
        <f aca="false">IF($B103="","",IFERROR(INDEX(정비현황!$J$6:$J$365,MATCH("R"&amp;98,교체대상!$L$6:$L$365,0)),""))</f>
        <v/>
      </c>
      <c r="F103" s="26" t="str">
        <f aca="false">IF($B103="","",IFERROR(INDEX(정비현황!$K$6:$K$365,MATCH("R"&amp;98,교체대상!$L$6:$L$365,0)),""))</f>
        <v/>
      </c>
      <c r="G103" s="28" t="str">
        <f aca="false">IF($B103="","",IFERROR(INDEX(정비현황!$L$6:$L$365,MATCH("R"&amp;98,교체대상!$L$6:$L$365,0)),""))</f>
        <v/>
      </c>
      <c r="H103" s="28" t="str">
        <f aca="false">IF($B103="","",IFERROR(INDEX(정비현황!$M$6:$M$365,MATCH("R"&amp;98,교체대상!$L$6:$L$365,0)),""))</f>
        <v/>
      </c>
      <c r="J103" s="29" t="b">
        <f aca="false">IF(정비현황!$A103="",FALSE(),OR(정비현황!$M103="교체",정비현황!$M103="임박"))</f>
        <v>0</v>
      </c>
      <c r="K103" s="6" t="str">
        <f aca="false">IF($J103=FALSE(),"",COUNTIF($J$6:$J103,TRUE()))</f>
        <v/>
      </c>
      <c r="L103" s="6" t="str">
        <f aca="false">IF($K103="","","R"&amp;$K103)</f>
        <v/>
      </c>
    </row>
    <row r="104" customFormat="false" ht="15" hidden="false" customHeight="true" outlineLevel="0" collapsed="false">
      <c r="A104" s="28" t="str">
        <f aca="false">IF($B104="","",99)</f>
        <v/>
      </c>
      <c r="B104" s="23" t="str">
        <f aca="false">IFERROR(INDEX(정비현황!$A$6:$A$365,MATCH("R"&amp;99,교체대상!$L$6:$L$365,0)),"")</f>
        <v/>
      </c>
      <c r="C104" s="23" t="str">
        <f aca="false">IF($B104="","",IFERROR(INDEX(정비현황!$B$6:$B$365,MATCH("R"&amp;99,교체대상!$L$6:$L$365,0)),""))</f>
        <v/>
      </c>
      <c r="D104" s="23" t="str">
        <f aca="false">IF($B104="","",IFERROR(INDEX(정비현황!$C$6:$C$365,MATCH("R"&amp;99,교체대상!$L$6:$L$365,0)),""))</f>
        <v/>
      </c>
      <c r="E104" s="24" t="str">
        <f aca="false">IF($B104="","",IFERROR(INDEX(정비현황!$J$6:$J$365,MATCH("R"&amp;99,교체대상!$L$6:$L$365,0)),""))</f>
        <v/>
      </c>
      <c r="F104" s="26" t="str">
        <f aca="false">IF($B104="","",IFERROR(INDEX(정비현황!$K$6:$K$365,MATCH("R"&amp;99,교체대상!$L$6:$L$365,0)),""))</f>
        <v/>
      </c>
      <c r="G104" s="28" t="str">
        <f aca="false">IF($B104="","",IFERROR(INDEX(정비현황!$L$6:$L$365,MATCH("R"&amp;99,교체대상!$L$6:$L$365,0)),""))</f>
        <v/>
      </c>
      <c r="H104" s="28" t="str">
        <f aca="false">IF($B104="","",IFERROR(INDEX(정비현황!$M$6:$M$365,MATCH("R"&amp;99,교체대상!$L$6:$L$365,0)),""))</f>
        <v/>
      </c>
      <c r="J104" s="29" t="b">
        <f aca="false">IF(정비현황!$A104="",FALSE(),OR(정비현황!$M104="교체",정비현황!$M104="임박"))</f>
        <v>0</v>
      </c>
      <c r="K104" s="6" t="str">
        <f aca="false">IF($J104=FALSE(),"",COUNTIF($J$6:$J104,TRUE()))</f>
        <v/>
      </c>
      <c r="L104" s="6" t="str">
        <f aca="false">IF($K104="","","R"&amp;$K104)</f>
        <v/>
      </c>
    </row>
    <row r="105" customFormat="false" ht="15" hidden="false" customHeight="true" outlineLevel="0" collapsed="false">
      <c r="A105" s="28" t="str">
        <f aca="false">IF($B105="","",100)</f>
        <v/>
      </c>
      <c r="B105" s="23" t="str">
        <f aca="false">IFERROR(INDEX(정비현황!$A$6:$A$365,MATCH("R"&amp;100,교체대상!$L$6:$L$365,0)),"")</f>
        <v/>
      </c>
      <c r="C105" s="23" t="str">
        <f aca="false">IF($B105="","",IFERROR(INDEX(정비현황!$B$6:$B$365,MATCH("R"&amp;100,교체대상!$L$6:$L$365,0)),""))</f>
        <v/>
      </c>
      <c r="D105" s="23" t="str">
        <f aca="false">IF($B105="","",IFERROR(INDEX(정비현황!$C$6:$C$365,MATCH("R"&amp;100,교체대상!$L$6:$L$365,0)),""))</f>
        <v/>
      </c>
      <c r="E105" s="24" t="str">
        <f aca="false">IF($B105="","",IFERROR(INDEX(정비현황!$J$6:$J$365,MATCH("R"&amp;100,교체대상!$L$6:$L$365,0)),""))</f>
        <v/>
      </c>
      <c r="F105" s="26" t="str">
        <f aca="false">IF($B105="","",IFERROR(INDEX(정비현황!$K$6:$K$365,MATCH("R"&amp;100,교체대상!$L$6:$L$365,0)),""))</f>
        <v/>
      </c>
      <c r="G105" s="28" t="str">
        <f aca="false">IF($B105="","",IFERROR(INDEX(정비현황!$L$6:$L$365,MATCH("R"&amp;100,교체대상!$L$6:$L$365,0)),""))</f>
        <v/>
      </c>
      <c r="H105" s="28" t="str">
        <f aca="false">IF($B105="","",IFERROR(INDEX(정비현황!$M$6:$M$365,MATCH("R"&amp;100,교체대상!$L$6:$L$365,0)),""))</f>
        <v/>
      </c>
      <c r="J105" s="29" t="b">
        <f aca="false">IF(정비현황!$A105="",FALSE(),OR(정비현황!$M105="교체",정비현황!$M105="임박"))</f>
        <v>0</v>
      </c>
      <c r="K105" s="6" t="str">
        <f aca="false">IF($J105=FALSE(),"",COUNTIF($J$6:$J105,TRUE()))</f>
        <v/>
      </c>
      <c r="L105" s="6" t="str">
        <f aca="false">IF($K105="","","R"&amp;$K105)</f>
        <v/>
      </c>
    </row>
    <row r="106" customFormat="false" ht="15" hidden="false" customHeight="true" outlineLevel="0" collapsed="false">
      <c r="A106" s="28" t="str">
        <f aca="false">IF($B106="","",101)</f>
        <v/>
      </c>
      <c r="B106" s="23" t="str">
        <f aca="false">IFERROR(INDEX(정비현황!$A$6:$A$365,MATCH("R"&amp;101,교체대상!$L$6:$L$365,0)),"")</f>
        <v/>
      </c>
      <c r="C106" s="23" t="str">
        <f aca="false">IF($B106="","",IFERROR(INDEX(정비현황!$B$6:$B$365,MATCH("R"&amp;101,교체대상!$L$6:$L$365,0)),""))</f>
        <v/>
      </c>
      <c r="D106" s="23" t="str">
        <f aca="false">IF($B106="","",IFERROR(INDEX(정비현황!$C$6:$C$365,MATCH("R"&amp;101,교체대상!$L$6:$L$365,0)),""))</f>
        <v/>
      </c>
      <c r="E106" s="24" t="str">
        <f aca="false">IF($B106="","",IFERROR(INDEX(정비현황!$J$6:$J$365,MATCH("R"&amp;101,교체대상!$L$6:$L$365,0)),""))</f>
        <v/>
      </c>
      <c r="F106" s="26" t="str">
        <f aca="false">IF($B106="","",IFERROR(INDEX(정비현황!$K$6:$K$365,MATCH("R"&amp;101,교체대상!$L$6:$L$365,0)),""))</f>
        <v/>
      </c>
      <c r="G106" s="28" t="str">
        <f aca="false">IF($B106="","",IFERROR(INDEX(정비현황!$L$6:$L$365,MATCH("R"&amp;101,교체대상!$L$6:$L$365,0)),""))</f>
        <v/>
      </c>
      <c r="H106" s="28" t="str">
        <f aca="false">IF($B106="","",IFERROR(INDEX(정비현황!$M$6:$M$365,MATCH("R"&amp;101,교체대상!$L$6:$L$365,0)),""))</f>
        <v/>
      </c>
      <c r="J106" s="29" t="b">
        <f aca="false">IF(정비현황!$A106="",FALSE(),OR(정비현황!$M106="교체",정비현황!$M106="임박"))</f>
        <v>0</v>
      </c>
      <c r="K106" s="6" t="str">
        <f aca="false">IF($J106=FALSE(),"",COUNTIF($J$6:$J106,TRUE()))</f>
        <v/>
      </c>
      <c r="L106" s="6" t="str">
        <f aca="false">IF($K106="","","R"&amp;$K106)</f>
        <v/>
      </c>
    </row>
    <row r="107" customFormat="false" ht="15" hidden="false" customHeight="true" outlineLevel="0" collapsed="false">
      <c r="A107" s="28" t="str">
        <f aca="false">IF($B107="","",102)</f>
        <v/>
      </c>
      <c r="B107" s="23" t="str">
        <f aca="false">IFERROR(INDEX(정비현황!$A$6:$A$365,MATCH("R"&amp;102,교체대상!$L$6:$L$365,0)),"")</f>
        <v/>
      </c>
      <c r="C107" s="23" t="str">
        <f aca="false">IF($B107="","",IFERROR(INDEX(정비현황!$B$6:$B$365,MATCH("R"&amp;102,교체대상!$L$6:$L$365,0)),""))</f>
        <v/>
      </c>
      <c r="D107" s="23" t="str">
        <f aca="false">IF($B107="","",IFERROR(INDEX(정비현황!$C$6:$C$365,MATCH("R"&amp;102,교체대상!$L$6:$L$365,0)),""))</f>
        <v/>
      </c>
      <c r="E107" s="24" t="str">
        <f aca="false">IF($B107="","",IFERROR(INDEX(정비현황!$J$6:$J$365,MATCH("R"&amp;102,교체대상!$L$6:$L$365,0)),""))</f>
        <v/>
      </c>
      <c r="F107" s="26" t="str">
        <f aca="false">IF($B107="","",IFERROR(INDEX(정비현황!$K$6:$K$365,MATCH("R"&amp;102,교체대상!$L$6:$L$365,0)),""))</f>
        <v/>
      </c>
      <c r="G107" s="28" t="str">
        <f aca="false">IF($B107="","",IFERROR(INDEX(정비현황!$L$6:$L$365,MATCH("R"&amp;102,교체대상!$L$6:$L$365,0)),""))</f>
        <v/>
      </c>
      <c r="H107" s="28" t="str">
        <f aca="false">IF($B107="","",IFERROR(INDEX(정비현황!$M$6:$M$365,MATCH("R"&amp;102,교체대상!$L$6:$L$365,0)),""))</f>
        <v/>
      </c>
      <c r="J107" s="29" t="b">
        <f aca="false">IF(정비현황!$A107="",FALSE(),OR(정비현황!$M107="교체",정비현황!$M107="임박"))</f>
        <v>0</v>
      </c>
      <c r="K107" s="6" t="str">
        <f aca="false">IF($J107=FALSE(),"",COUNTIF($J$6:$J107,TRUE()))</f>
        <v/>
      </c>
      <c r="L107" s="6" t="str">
        <f aca="false">IF($K107="","","R"&amp;$K107)</f>
        <v/>
      </c>
    </row>
    <row r="108" customFormat="false" ht="15" hidden="false" customHeight="true" outlineLevel="0" collapsed="false">
      <c r="A108" s="28" t="str">
        <f aca="false">IF($B108="","",103)</f>
        <v/>
      </c>
      <c r="B108" s="23" t="str">
        <f aca="false">IFERROR(INDEX(정비현황!$A$6:$A$365,MATCH("R"&amp;103,교체대상!$L$6:$L$365,0)),"")</f>
        <v/>
      </c>
      <c r="C108" s="23" t="str">
        <f aca="false">IF($B108="","",IFERROR(INDEX(정비현황!$B$6:$B$365,MATCH("R"&amp;103,교체대상!$L$6:$L$365,0)),""))</f>
        <v/>
      </c>
      <c r="D108" s="23" t="str">
        <f aca="false">IF($B108="","",IFERROR(INDEX(정비현황!$C$6:$C$365,MATCH("R"&amp;103,교체대상!$L$6:$L$365,0)),""))</f>
        <v/>
      </c>
      <c r="E108" s="24" t="str">
        <f aca="false">IF($B108="","",IFERROR(INDEX(정비현황!$J$6:$J$365,MATCH("R"&amp;103,교체대상!$L$6:$L$365,0)),""))</f>
        <v/>
      </c>
      <c r="F108" s="26" t="str">
        <f aca="false">IF($B108="","",IFERROR(INDEX(정비현황!$K$6:$K$365,MATCH("R"&amp;103,교체대상!$L$6:$L$365,0)),""))</f>
        <v/>
      </c>
      <c r="G108" s="28" t="str">
        <f aca="false">IF($B108="","",IFERROR(INDEX(정비현황!$L$6:$L$365,MATCH("R"&amp;103,교체대상!$L$6:$L$365,0)),""))</f>
        <v/>
      </c>
      <c r="H108" s="28" t="str">
        <f aca="false">IF($B108="","",IFERROR(INDEX(정비현황!$M$6:$M$365,MATCH("R"&amp;103,교체대상!$L$6:$L$365,0)),""))</f>
        <v/>
      </c>
      <c r="J108" s="29" t="b">
        <f aca="false">IF(정비현황!$A108="",FALSE(),OR(정비현황!$M108="교체",정비현황!$M108="임박"))</f>
        <v>0</v>
      </c>
      <c r="K108" s="6" t="str">
        <f aca="false">IF($J108=FALSE(),"",COUNTIF($J$6:$J108,TRUE()))</f>
        <v/>
      </c>
      <c r="L108" s="6" t="str">
        <f aca="false">IF($K108="","","R"&amp;$K108)</f>
        <v/>
      </c>
    </row>
    <row r="109" customFormat="false" ht="15" hidden="false" customHeight="true" outlineLevel="0" collapsed="false">
      <c r="A109" s="28" t="str">
        <f aca="false">IF($B109="","",104)</f>
        <v/>
      </c>
      <c r="B109" s="23" t="str">
        <f aca="false">IFERROR(INDEX(정비현황!$A$6:$A$365,MATCH("R"&amp;104,교체대상!$L$6:$L$365,0)),"")</f>
        <v/>
      </c>
      <c r="C109" s="23" t="str">
        <f aca="false">IF($B109="","",IFERROR(INDEX(정비현황!$B$6:$B$365,MATCH("R"&amp;104,교체대상!$L$6:$L$365,0)),""))</f>
        <v/>
      </c>
      <c r="D109" s="23" t="str">
        <f aca="false">IF($B109="","",IFERROR(INDEX(정비현황!$C$6:$C$365,MATCH("R"&amp;104,교체대상!$L$6:$L$365,0)),""))</f>
        <v/>
      </c>
      <c r="E109" s="24" t="str">
        <f aca="false">IF($B109="","",IFERROR(INDEX(정비현황!$J$6:$J$365,MATCH("R"&amp;104,교체대상!$L$6:$L$365,0)),""))</f>
        <v/>
      </c>
      <c r="F109" s="26" t="str">
        <f aca="false">IF($B109="","",IFERROR(INDEX(정비현황!$K$6:$K$365,MATCH("R"&amp;104,교체대상!$L$6:$L$365,0)),""))</f>
        <v/>
      </c>
      <c r="G109" s="28" t="str">
        <f aca="false">IF($B109="","",IFERROR(INDEX(정비현황!$L$6:$L$365,MATCH("R"&amp;104,교체대상!$L$6:$L$365,0)),""))</f>
        <v/>
      </c>
      <c r="H109" s="28" t="str">
        <f aca="false">IF($B109="","",IFERROR(INDEX(정비현황!$M$6:$M$365,MATCH("R"&amp;104,교체대상!$L$6:$L$365,0)),""))</f>
        <v/>
      </c>
      <c r="J109" s="29" t="b">
        <f aca="false">IF(정비현황!$A109="",FALSE(),OR(정비현황!$M109="교체",정비현황!$M109="임박"))</f>
        <v>0</v>
      </c>
      <c r="K109" s="6" t="str">
        <f aca="false">IF($J109=FALSE(),"",COUNTIF($J$6:$J109,TRUE()))</f>
        <v/>
      </c>
      <c r="L109" s="6" t="str">
        <f aca="false">IF($K109="","","R"&amp;$K109)</f>
        <v/>
      </c>
    </row>
    <row r="110" customFormat="false" ht="15" hidden="false" customHeight="true" outlineLevel="0" collapsed="false">
      <c r="A110" s="28" t="str">
        <f aca="false">IF($B110="","",105)</f>
        <v/>
      </c>
      <c r="B110" s="23" t="str">
        <f aca="false">IFERROR(INDEX(정비현황!$A$6:$A$365,MATCH("R"&amp;105,교체대상!$L$6:$L$365,0)),"")</f>
        <v/>
      </c>
      <c r="C110" s="23" t="str">
        <f aca="false">IF($B110="","",IFERROR(INDEX(정비현황!$B$6:$B$365,MATCH("R"&amp;105,교체대상!$L$6:$L$365,0)),""))</f>
        <v/>
      </c>
      <c r="D110" s="23" t="str">
        <f aca="false">IF($B110="","",IFERROR(INDEX(정비현황!$C$6:$C$365,MATCH("R"&amp;105,교체대상!$L$6:$L$365,0)),""))</f>
        <v/>
      </c>
      <c r="E110" s="24" t="str">
        <f aca="false">IF($B110="","",IFERROR(INDEX(정비현황!$J$6:$J$365,MATCH("R"&amp;105,교체대상!$L$6:$L$365,0)),""))</f>
        <v/>
      </c>
      <c r="F110" s="26" t="str">
        <f aca="false">IF($B110="","",IFERROR(INDEX(정비현황!$K$6:$K$365,MATCH("R"&amp;105,교체대상!$L$6:$L$365,0)),""))</f>
        <v/>
      </c>
      <c r="G110" s="28" t="str">
        <f aca="false">IF($B110="","",IFERROR(INDEX(정비현황!$L$6:$L$365,MATCH("R"&amp;105,교체대상!$L$6:$L$365,0)),""))</f>
        <v/>
      </c>
      <c r="H110" s="28" t="str">
        <f aca="false">IF($B110="","",IFERROR(INDEX(정비현황!$M$6:$M$365,MATCH("R"&amp;105,교체대상!$L$6:$L$365,0)),""))</f>
        <v/>
      </c>
      <c r="J110" s="29" t="b">
        <f aca="false">IF(정비현황!$A110="",FALSE(),OR(정비현황!$M110="교체",정비현황!$M110="임박"))</f>
        <v>0</v>
      </c>
      <c r="K110" s="6" t="str">
        <f aca="false">IF($J110=FALSE(),"",COUNTIF($J$6:$J110,TRUE()))</f>
        <v/>
      </c>
      <c r="L110" s="6" t="str">
        <f aca="false">IF($K110="","","R"&amp;$K110)</f>
        <v/>
      </c>
    </row>
    <row r="111" customFormat="false" ht="15" hidden="false" customHeight="true" outlineLevel="0" collapsed="false">
      <c r="A111" s="28" t="str">
        <f aca="false">IF($B111="","",106)</f>
        <v/>
      </c>
      <c r="B111" s="23" t="str">
        <f aca="false">IFERROR(INDEX(정비현황!$A$6:$A$365,MATCH("R"&amp;106,교체대상!$L$6:$L$365,0)),"")</f>
        <v/>
      </c>
      <c r="C111" s="23" t="str">
        <f aca="false">IF($B111="","",IFERROR(INDEX(정비현황!$B$6:$B$365,MATCH("R"&amp;106,교체대상!$L$6:$L$365,0)),""))</f>
        <v/>
      </c>
      <c r="D111" s="23" t="str">
        <f aca="false">IF($B111="","",IFERROR(INDEX(정비현황!$C$6:$C$365,MATCH("R"&amp;106,교체대상!$L$6:$L$365,0)),""))</f>
        <v/>
      </c>
      <c r="E111" s="24" t="str">
        <f aca="false">IF($B111="","",IFERROR(INDEX(정비현황!$J$6:$J$365,MATCH("R"&amp;106,교체대상!$L$6:$L$365,0)),""))</f>
        <v/>
      </c>
      <c r="F111" s="26" t="str">
        <f aca="false">IF($B111="","",IFERROR(INDEX(정비현황!$K$6:$K$365,MATCH("R"&amp;106,교체대상!$L$6:$L$365,0)),""))</f>
        <v/>
      </c>
      <c r="G111" s="28" t="str">
        <f aca="false">IF($B111="","",IFERROR(INDEX(정비현황!$L$6:$L$365,MATCH("R"&amp;106,교체대상!$L$6:$L$365,0)),""))</f>
        <v/>
      </c>
      <c r="H111" s="28" t="str">
        <f aca="false">IF($B111="","",IFERROR(INDEX(정비현황!$M$6:$M$365,MATCH("R"&amp;106,교체대상!$L$6:$L$365,0)),""))</f>
        <v/>
      </c>
      <c r="J111" s="29" t="b">
        <f aca="false">IF(정비현황!$A111="",FALSE(),OR(정비현황!$M111="교체",정비현황!$M111="임박"))</f>
        <v>0</v>
      </c>
      <c r="K111" s="6" t="str">
        <f aca="false">IF($J111=FALSE(),"",COUNTIF($J$6:$J111,TRUE()))</f>
        <v/>
      </c>
      <c r="L111" s="6" t="str">
        <f aca="false">IF($K111="","","R"&amp;$K111)</f>
        <v/>
      </c>
    </row>
    <row r="112" customFormat="false" ht="15" hidden="false" customHeight="true" outlineLevel="0" collapsed="false">
      <c r="A112" s="28" t="str">
        <f aca="false">IF($B112="","",107)</f>
        <v/>
      </c>
      <c r="B112" s="23" t="str">
        <f aca="false">IFERROR(INDEX(정비현황!$A$6:$A$365,MATCH("R"&amp;107,교체대상!$L$6:$L$365,0)),"")</f>
        <v/>
      </c>
      <c r="C112" s="23" t="str">
        <f aca="false">IF($B112="","",IFERROR(INDEX(정비현황!$B$6:$B$365,MATCH("R"&amp;107,교체대상!$L$6:$L$365,0)),""))</f>
        <v/>
      </c>
      <c r="D112" s="23" t="str">
        <f aca="false">IF($B112="","",IFERROR(INDEX(정비현황!$C$6:$C$365,MATCH("R"&amp;107,교체대상!$L$6:$L$365,0)),""))</f>
        <v/>
      </c>
      <c r="E112" s="24" t="str">
        <f aca="false">IF($B112="","",IFERROR(INDEX(정비현황!$J$6:$J$365,MATCH("R"&amp;107,교체대상!$L$6:$L$365,0)),""))</f>
        <v/>
      </c>
      <c r="F112" s="26" t="str">
        <f aca="false">IF($B112="","",IFERROR(INDEX(정비현황!$K$6:$K$365,MATCH("R"&amp;107,교체대상!$L$6:$L$365,0)),""))</f>
        <v/>
      </c>
      <c r="G112" s="28" t="str">
        <f aca="false">IF($B112="","",IFERROR(INDEX(정비현황!$L$6:$L$365,MATCH("R"&amp;107,교체대상!$L$6:$L$365,0)),""))</f>
        <v/>
      </c>
      <c r="H112" s="28" t="str">
        <f aca="false">IF($B112="","",IFERROR(INDEX(정비현황!$M$6:$M$365,MATCH("R"&amp;107,교체대상!$L$6:$L$365,0)),""))</f>
        <v/>
      </c>
      <c r="J112" s="29" t="b">
        <f aca="false">IF(정비현황!$A112="",FALSE(),OR(정비현황!$M112="교체",정비현황!$M112="임박"))</f>
        <v>0</v>
      </c>
      <c r="K112" s="6" t="str">
        <f aca="false">IF($J112=FALSE(),"",COUNTIF($J$6:$J112,TRUE()))</f>
        <v/>
      </c>
      <c r="L112" s="6" t="str">
        <f aca="false">IF($K112="","","R"&amp;$K112)</f>
        <v/>
      </c>
    </row>
    <row r="113" customFormat="false" ht="15" hidden="false" customHeight="true" outlineLevel="0" collapsed="false">
      <c r="A113" s="28" t="str">
        <f aca="false">IF($B113="","",108)</f>
        <v/>
      </c>
      <c r="B113" s="23" t="str">
        <f aca="false">IFERROR(INDEX(정비현황!$A$6:$A$365,MATCH("R"&amp;108,교체대상!$L$6:$L$365,0)),"")</f>
        <v/>
      </c>
      <c r="C113" s="23" t="str">
        <f aca="false">IF($B113="","",IFERROR(INDEX(정비현황!$B$6:$B$365,MATCH("R"&amp;108,교체대상!$L$6:$L$365,0)),""))</f>
        <v/>
      </c>
      <c r="D113" s="23" t="str">
        <f aca="false">IF($B113="","",IFERROR(INDEX(정비현황!$C$6:$C$365,MATCH("R"&amp;108,교체대상!$L$6:$L$365,0)),""))</f>
        <v/>
      </c>
      <c r="E113" s="24" t="str">
        <f aca="false">IF($B113="","",IFERROR(INDEX(정비현황!$J$6:$J$365,MATCH("R"&amp;108,교체대상!$L$6:$L$365,0)),""))</f>
        <v/>
      </c>
      <c r="F113" s="26" t="str">
        <f aca="false">IF($B113="","",IFERROR(INDEX(정비현황!$K$6:$K$365,MATCH("R"&amp;108,교체대상!$L$6:$L$365,0)),""))</f>
        <v/>
      </c>
      <c r="G113" s="28" t="str">
        <f aca="false">IF($B113="","",IFERROR(INDEX(정비현황!$L$6:$L$365,MATCH("R"&amp;108,교체대상!$L$6:$L$365,0)),""))</f>
        <v/>
      </c>
      <c r="H113" s="28" t="str">
        <f aca="false">IF($B113="","",IFERROR(INDEX(정비현황!$M$6:$M$365,MATCH("R"&amp;108,교체대상!$L$6:$L$365,0)),""))</f>
        <v/>
      </c>
      <c r="J113" s="29" t="b">
        <f aca="false">IF(정비현황!$A113="",FALSE(),OR(정비현황!$M113="교체",정비현황!$M113="임박"))</f>
        <v>0</v>
      </c>
      <c r="K113" s="6" t="str">
        <f aca="false">IF($J113=FALSE(),"",COUNTIF($J$6:$J113,TRUE()))</f>
        <v/>
      </c>
      <c r="L113" s="6" t="str">
        <f aca="false">IF($K113="","","R"&amp;$K113)</f>
        <v/>
      </c>
    </row>
    <row r="114" customFormat="false" ht="15" hidden="false" customHeight="true" outlineLevel="0" collapsed="false">
      <c r="A114" s="28" t="str">
        <f aca="false">IF($B114="","",109)</f>
        <v/>
      </c>
      <c r="B114" s="23" t="str">
        <f aca="false">IFERROR(INDEX(정비현황!$A$6:$A$365,MATCH("R"&amp;109,교체대상!$L$6:$L$365,0)),"")</f>
        <v/>
      </c>
      <c r="C114" s="23" t="str">
        <f aca="false">IF($B114="","",IFERROR(INDEX(정비현황!$B$6:$B$365,MATCH("R"&amp;109,교체대상!$L$6:$L$365,0)),""))</f>
        <v/>
      </c>
      <c r="D114" s="23" t="str">
        <f aca="false">IF($B114="","",IFERROR(INDEX(정비현황!$C$6:$C$365,MATCH("R"&amp;109,교체대상!$L$6:$L$365,0)),""))</f>
        <v/>
      </c>
      <c r="E114" s="24" t="str">
        <f aca="false">IF($B114="","",IFERROR(INDEX(정비현황!$J$6:$J$365,MATCH("R"&amp;109,교체대상!$L$6:$L$365,0)),""))</f>
        <v/>
      </c>
      <c r="F114" s="26" t="str">
        <f aca="false">IF($B114="","",IFERROR(INDEX(정비현황!$K$6:$K$365,MATCH("R"&amp;109,교체대상!$L$6:$L$365,0)),""))</f>
        <v/>
      </c>
      <c r="G114" s="28" t="str">
        <f aca="false">IF($B114="","",IFERROR(INDEX(정비현황!$L$6:$L$365,MATCH("R"&amp;109,교체대상!$L$6:$L$365,0)),""))</f>
        <v/>
      </c>
      <c r="H114" s="28" t="str">
        <f aca="false">IF($B114="","",IFERROR(INDEX(정비현황!$M$6:$M$365,MATCH("R"&amp;109,교체대상!$L$6:$L$365,0)),""))</f>
        <v/>
      </c>
      <c r="J114" s="29" t="b">
        <f aca="false">IF(정비현황!$A114="",FALSE(),OR(정비현황!$M114="교체",정비현황!$M114="임박"))</f>
        <v>0</v>
      </c>
      <c r="K114" s="6" t="str">
        <f aca="false">IF($J114=FALSE(),"",COUNTIF($J$6:$J114,TRUE()))</f>
        <v/>
      </c>
      <c r="L114" s="6" t="str">
        <f aca="false">IF($K114="","","R"&amp;$K114)</f>
        <v/>
      </c>
    </row>
    <row r="115" customFormat="false" ht="15" hidden="false" customHeight="true" outlineLevel="0" collapsed="false">
      <c r="A115" s="28" t="str">
        <f aca="false">IF($B115="","",110)</f>
        <v/>
      </c>
      <c r="B115" s="23" t="str">
        <f aca="false">IFERROR(INDEX(정비현황!$A$6:$A$365,MATCH("R"&amp;110,교체대상!$L$6:$L$365,0)),"")</f>
        <v/>
      </c>
      <c r="C115" s="23" t="str">
        <f aca="false">IF($B115="","",IFERROR(INDEX(정비현황!$B$6:$B$365,MATCH("R"&amp;110,교체대상!$L$6:$L$365,0)),""))</f>
        <v/>
      </c>
      <c r="D115" s="23" t="str">
        <f aca="false">IF($B115="","",IFERROR(INDEX(정비현황!$C$6:$C$365,MATCH("R"&amp;110,교체대상!$L$6:$L$365,0)),""))</f>
        <v/>
      </c>
      <c r="E115" s="24" t="str">
        <f aca="false">IF($B115="","",IFERROR(INDEX(정비현황!$J$6:$J$365,MATCH("R"&amp;110,교체대상!$L$6:$L$365,0)),""))</f>
        <v/>
      </c>
      <c r="F115" s="26" t="str">
        <f aca="false">IF($B115="","",IFERROR(INDEX(정비현황!$K$6:$K$365,MATCH("R"&amp;110,교체대상!$L$6:$L$365,0)),""))</f>
        <v/>
      </c>
      <c r="G115" s="28" t="str">
        <f aca="false">IF($B115="","",IFERROR(INDEX(정비현황!$L$6:$L$365,MATCH("R"&amp;110,교체대상!$L$6:$L$365,0)),""))</f>
        <v/>
      </c>
      <c r="H115" s="28" t="str">
        <f aca="false">IF($B115="","",IFERROR(INDEX(정비현황!$M$6:$M$365,MATCH("R"&amp;110,교체대상!$L$6:$L$365,0)),""))</f>
        <v/>
      </c>
      <c r="J115" s="29" t="b">
        <f aca="false">IF(정비현황!$A115="",FALSE(),OR(정비현황!$M115="교체",정비현황!$M115="임박"))</f>
        <v>0</v>
      </c>
      <c r="K115" s="6" t="str">
        <f aca="false">IF($J115=FALSE(),"",COUNTIF($J$6:$J115,TRUE()))</f>
        <v/>
      </c>
      <c r="L115" s="6" t="str">
        <f aca="false">IF($K115="","","R"&amp;$K115)</f>
        <v/>
      </c>
    </row>
    <row r="116" customFormat="false" ht="15" hidden="false" customHeight="true" outlineLevel="0" collapsed="false">
      <c r="A116" s="28" t="str">
        <f aca="false">IF($B116="","",111)</f>
        <v/>
      </c>
      <c r="B116" s="23" t="str">
        <f aca="false">IFERROR(INDEX(정비현황!$A$6:$A$365,MATCH("R"&amp;111,교체대상!$L$6:$L$365,0)),"")</f>
        <v/>
      </c>
      <c r="C116" s="23" t="str">
        <f aca="false">IF($B116="","",IFERROR(INDEX(정비현황!$B$6:$B$365,MATCH("R"&amp;111,교체대상!$L$6:$L$365,0)),""))</f>
        <v/>
      </c>
      <c r="D116" s="23" t="str">
        <f aca="false">IF($B116="","",IFERROR(INDEX(정비현황!$C$6:$C$365,MATCH("R"&amp;111,교체대상!$L$6:$L$365,0)),""))</f>
        <v/>
      </c>
      <c r="E116" s="24" t="str">
        <f aca="false">IF($B116="","",IFERROR(INDEX(정비현황!$J$6:$J$365,MATCH("R"&amp;111,교체대상!$L$6:$L$365,0)),""))</f>
        <v/>
      </c>
      <c r="F116" s="26" t="str">
        <f aca="false">IF($B116="","",IFERROR(INDEX(정비현황!$K$6:$K$365,MATCH("R"&amp;111,교체대상!$L$6:$L$365,0)),""))</f>
        <v/>
      </c>
      <c r="G116" s="28" t="str">
        <f aca="false">IF($B116="","",IFERROR(INDEX(정비현황!$L$6:$L$365,MATCH("R"&amp;111,교체대상!$L$6:$L$365,0)),""))</f>
        <v/>
      </c>
      <c r="H116" s="28" t="str">
        <f aca="false">IF($B116="","",IFERROR(INDEX(정비현황!$M$6:$M$365,MATCH("R"&amp;111,교체대상!$L$6:$L$365,0)),""))</f>
        <v/>
      </c>
      <c r="J116" s="29" t="b">
        <f aca="false">IF(정비현황!$A116="",FALSE(),OR(정비현황!$M116="교체",정비현황!$M116="임박"))</f>
        <v>0</v>
      </c>
      <c r="K116" s="6" t="str">
        <f aca="false">IF($J116=FALSE(),"",COUNTIF($J$6:$J116,TRUE()))</f>
        <v/>
      </c>
      <c r="L116" s="6" t="str">
        <f aca="false">IF($K116="","","R"&amp;$K116)</f>
        <v/>
      </c>
    </row>
    <row r="117" customFormat="false" ht="15" hidden="false" customHeight="true" outlineLevel="0" collapsed="false">
      <c r="A117" s="28" t="str">
        <f aca="false">IF($B117="","",112)</f>
        <v/>
      </c>
      <c r="B117" s="23" t="str">
        <f aca="false">IFERROR(INDEX(정비현황!$A$6:$A$365,MATCH("R"&amp;112,교체대상!$L$6:$L$365,0)),"")</f>
        <v/>
      </c>
      <c r="C117" s="23" t="str">
        <f aca="false">IF($B117="","",IFERROR(INDEX(정비현황!$B$6:$B$365,MATCH("R"&amp;112,교체대상!$L$6:$L$365,0)),""))</f>
        <v/>
      </c>
      <c r="D117" s="23" t="str">
        <f aca="false">IF($B117="","",IFERROR(INDEX(정비현황!$C$6:$C$365,MATCH("R"&amp;112,교체대상!$L$6:$L$365,0)),""))</f>
        <v/>
      </c>
      <c r="E117" s="24" t="str">
        <f aca="false">IF($B117="","",IFERROR(INDEX(정비현황!$J$6:$J$365,MATCH("R"&amp;112,교체대상!$L$6:$L$365,0)),""))</f>
        <v/>
      </c>
      <c r="F117" s="26" t="str">
        <f aca="false">IF($B117="","",IFERROR(INDEX(정비현황!$K$6:$K$365,MATCH("R"&amp;112,교체대상!$L$6:$L$365,0)),""))</f>
        <v/>
      </c>
      <c r="G117" s="28" t="str">
        <f aca="false">IF($B117="","",IFERROR(INDEX(정비현황!$L$6:$L$365,MATCH("R"&amp;112,교체대상!$L$6:$L$365,0)),""))</f>
        <v/>
      </c>
      <c r="H117" s="28" t="str">
        <f aca="false">IF($B117="","",IFERROR(INDEX(정비현황!$M$6:$M$365,MATCH("R"&amp;112,교체대상!$L$6:$L$365,0)),""))</f>
        <v/>
      </c>
      <c r="J117" s="29" t="b">
        <f aca="false">IF(정비현황!$A117="",FALSE(),OR(정비현황!$M117="교체",정비현황!$M117="임박"))</f>
        <v>0</v>
      </c>
      <c r="K117" s="6" t="str">
        <f aca="false">IF($J117=FALSE(),"",COUNTIF($J$6:$J117,TRUE()))</f>
        <v/>
      </c>
      <c r="L117" s="6" t="str">
        <f aca="false">IF($K117="","","R"&amp;$K117)</f>
        <v/>
      </c>
    </row>
    <row r="118" customFormat="false" ht="15" hidden="false" customHeight="true" outlineLevel="0" collapsed="false">
      <c r="A118" s="28" t="str">
        <f aca="false">IF($B118="","",113)</f>
        <v/>
      </c>
      <c r="B118" s="23" t="str">
        <f aca="false">IFERROR(INDEX(정비현황!$A$6:$A$365,MATCH("R"&amp;113,교체대상!$L$6:$L$365,0)),"")</f>
        <v/>
      </c>
      <c r="C118" s="23" t="str">
        <f aca="false">IF($B118="","",IFERROR(INDEX(정비현황!$B$6:$B$365,MATCH("R"&amp;113,교체대상!$L$6:$L$365,0)),""))</f>
        <v/>
      </c>
      <c r="D118" s="23" t="str">
        <f aca="false">IF($B118="","",IFERROR(INDEX(정비현황!$C$6:$C$365,MATCH("R"&amp;113,교체대상!$L$6:$L$365,0)),""))</f>
        <v/>
      </c>
      <c r="E118" s="24" t="str">
        <f aca="false">IF($B118="","",IFERROR(INDEX(정비현황!$J$6:$J$365,MATCH("R"&amp;113,교체대상!$L$6:$L$365,0)),""))</f>
        <v/>
      </c>
      <c r="F118" s="26" t="str">
        <f aca="false">IF($B118="","",IFERROR(INDEX(정비현황!$K$6:$K$365,MATCH("R"&amp;113,교체대상!$L$6:$L$365,0)),""))</f>
        <v/>
      </c>
      <c r="G118" s="28" t="str">
        <f aca="false">IF($B118="","",IFERROR(INDEX(정비현황!$L$6:$L$365,MATCH("R"&amp;113,교체대상!$L$6:$L$365,0)),""))</f>
        <v/>
      </c>
      <c r="H118" s="28" t="str">
        <f aca="false">IF($B118="","",IFERROR(INDEX(정비현황!$M$6:$M$365,MATCH("R"&amp;113,교체대상!$L$6:$L$365,0)),""))</f>
        <v/>
      </c>
      <c r="J118" s="29" t="b">
        <f aca="false">IF(정비현황!$A118="",FALSE(),OR(정비현황!$M118="교체",정비현황!$M118="임박"))</f>
        <v>0</v>
      </c>
      <c r="K118" s="6" t="str">
        <f aca="false">IF($J118=FALSE(),"",COUNTIF($J$6:$J118,TRUE()))</f>
        <v/>
      </c>
      <c r="L118" s="6" t="str">
        <f aca="false">IF($K118="","","R"&amp;$K118)</f>
        <v/>
      </c>
    </row>
    <row r="119" customFormat="false" ht="15" hidden="false" customHeight="true" outlineLevel="0" collapsed="false">
      <c r="A119" s="28" t="str">
        <f aca="false">IF($B119="","",114)</f>
        <v/>
      </c>
      <c r="B119" s="23" t="str">
        <f aca="false">IFERROR(INDEX(정비현황!$A$6:$A$365,MATCH("R"&amp;114,교체대상!$L$6:$L$365,0)),"")</f>
        <v/>
      </c>
      <c r="C119" s="23" t="str">
        <f aca="false">IF($B119="","",IFERROR(INDEX(정비현황!$B$6:$B$365,MATCH("R"&amp;114,교체대상!$L$6:$L$365,0)),""))</f>
        <v/>
      </c>
      <c r="D119" s="23" t="str">
        <f aca="false">IF($B119="","",IFERROR(INDEX(정비현황!$C$6:$C$365,MATCH("R"&amp;114,교체대상!$L$6:$L$365,0)),""))</f>
        <v/>
      </c>
      <c r="E119" s="24" t="str">
        <f aca="false">IF($B119="","",IFERROR(INDEX(정비현황!$J$6:$J$365,MATCH("R"&amp;114,교체대상!$L$6:$L$365,0)),""))</f>
        <v/>
      </c>
      <c r="F119" s="26" t="str">
        <f aca="false">IF($B119="","",IFERROR(INDEX(정비현황!$K$6:$K$365,MATCH("R"&amp;114,교체대상!$L$6:$L$365,0)),""))</f>
        <v/>
      </c>
      <c r="G119" s="28" t="str">
        <f aca="false">IF($B119="","",IFERROR(INDEX(정비현황!$L$6:$L$365,MATCH("R"&amp;114,교체대상!$L$6:$L$365,0)),""))</f>
        <v/>
      </c>
      <c r="H119" s="28" t="str">
        <f aca="false">IF($B119="","",IFERROR(INDEX(정비현황!$M$6:$M$365,MATCH("R"&amp;114,교체대상!$L$6:$L$365,0)),""))</f>
        <v/>
      </c>
      <c r="J119" s="29" t="b">
        <f aca="false">IF(정비현황!$A119="",FALSE(),OR(정비현황!$M119="교체",정비현황!$M119="임박"))</f>
        <v>0</v>
      </c>
      <c r="K119" s="6" t="str">
        <f aca="false">IF($J119=FALSE(),"",COUNTIF($J$6:$J119,TRUE()))</f>
        <v/>
      </c>
      <c r="L119" s="6" t="str">
        <f aca="false">IF($K119="","","R"&amp;$K119)</f>
        <v/>
      </c>
    </row>
    <row r="120" customFormat="false" ht="15" hidden="false" customHeight="true" outlineLevel="0" collapsed="false">
      <c r="A120" s="28" t="str">
        <f aca="false">IF($B120="","",115)</f>
        <v/>
      </c>
      <c r="B120" s="23" t="str">
        <f aca="false">IFERROR(INDEX(정비현황!$A$6:$A$365,MATCH("R"&amp;115,교체대상!$L$6:$L$365,0)),"")</f>
        <v/>
      </c>
      <c r="C120" s="23" t="str">
        <f aca="false">IF($B120="","",IFERROR(INDEX(정비현황!$B$6:$B$365,MATCH("R"&amp;115,교체대상!$L$6:$L$365,0)),""))</f>
        <v/>
      </c>
      <c r="D120" s="23" t="str">
        <f aca="false">IF($B120="","",IFERROR(INDEX(정비현황!$C$6:$C$365,MATCH("R"&amp;115,교체대상!$L$6:$L$365,0)),""))</f>
        <v/>
      </c>
      <c r="E120" s="24" t="str">
        <f aca="false">IF($B120="","",IFERROR(INDEX(정비현황!$J$6:$J$365,MATCH("R"&amp;115,교체대상!$L$6:$L$365,0)),""))</f>
        <v/>
      </c>
      <c r="F120" s="26" t="str">
        <f aca="false">IF($B120="","",IFERROR(INDEX(정비현황!$K$6:$K$365,MATCH("R"&amp;115,교체대상!$L$6:$L$365,0)),""))</f>
        <v/>
      </c>
      <c r="G120" s="28" t="str">
        <f aca="false">IF($B120="","",IFERROR(INDEX(정비현황!$L$6:$L$365,MATCH("R"&amp;115,교체대상!$L$6:$L$365,0)),""))</f>
        <v/>
      </c>
      <c r="H120" s="28" t="str">
        <f aca="false">IF($B120="","",IFERROR(INDEX(정비현황!$M$6:$M$365,MATCH("R"&amp;115,교체대상!$L$6:$L$365,0)),""))</f>
        <v/>
      </c>
      <c r="J120" s="29" t="b">
        <f aca="false">IF(정비현황!$A120="",FALSE(),OR(정비현황!$M120="교체",정비현황!$M120="임박"))</f>
        <v>0</v>
      </c>
      <c r="K120" s="6" t="str">
        <f aca="false">IF($J120=FALSE(),"",COUNTIF($J$6:$J120,TRUE()))</f>
        <v/>
      </c>
      <c r="L120" s="6" t="str">
        <f aca="false">IF($K120="","","R"&amp;$K120)</f>
        <v/>
      </c>
    </row>
    <row r="121" customFormat="false" ht="15" hidden="false" customHeight="true" outlineLevel="0" collapsed="false">
      <c r="A121" s="28" t="str">
        <f aca="false">IF($B121="","",116)</f>
        <v/>
      </c>
      <c r="B121" s="23" t="str">
        <f aca="false">IFERROR(INDEX(정비현황!$A$6:$A$365,MATCH("R"&amp;116,교체대상!$L$6:$L$365,0)),"")</f>
        <v/>
      </c>
      <c r="C121" s="23" t="str">
        <f aca="false">IF($B121="","",IFERROR(INDEX(정비현황!$B$6:$B$365,MATCH("R"&amp;116,교체대상!$L$6:$L$365,0)),""))</f>
        <v/>
      </c>
      <c r="D121" s="23" t="str">
        <f aca="false">IF($B121="","",IFERROR(INDEX(정비현황!$C$6:$C$365,MATCH("R"&amp;116,교체대상!$L$6:$L$365,0)),""))</f>
        <v/>
      </c>
      <c r="E121" s="24" t="str">
        <f aca="false">IF($B121="","",IFERROR(INDEX(정비현황!$J$6:$J$365,MATCH("R"&amp;116,교체대상!$L$6:$L$365,0)),""))</f>
        <v/>
      </c>
      <c r="F121" s="26" t="str">
        <f aca="false">IF($B121="","",IFERROR(INDEX(정비현황!$K$6:$K$365,MATCH("R"&amp;116,교체대상!$L$6:$L$365,0)),""))</f>
        <v/>
      </c>
      <c r="G121" s="28" t="str">
        <f aca="false">IF($B121="","",IFERROR(INDEX(정비현황!$L$6:$L$365,MATCH("R"&amp;116,교체대상!$L$6:$L$365,0)),""))</f>
        <v/>
      </c>
      <c r="H121" s="28" t="str">
        <f aca="false">IF($B121="","",IFERROR(INDEX(정비현황!$M$6:$M$365,MATCH("R"&amp;116,교체대상!$L$6:$L$365,0)),""))</f>
        <v/>
      </c>
      <c r="J121" s="29" t="b">
        <f aca="false">IF(정비현황!$A121="",FALSE(),OR(정비현황!$M121="교체",정비현황!$M121="임박"))</f>
        <v>0</v>
      </c>
      <c r="K121" s="6" t="str">
        <f aca="false">IF($J121=FALSE(),"",COUNTIF($J$6:$J121,TRUE()))</f>
        <v/>
      </c>
      <c r="L121" s="6" t="str">
        <f aca="false">IF($K121="","","R"&amp;$K121)</f>
        <v/>
      </c>
    </row>
    <row r="122" customFormat="false" ht="15" hidden="false" customHeight="true" outlineLevel="0" collapsed="false">
      <c r="A122" s="28" t="str">
        <f aca="false">IF($B122="","",117)</f>
        <v/>
      </c>
      <c r="B122" s="23" t="str">
        <f aca="false">IFERROR(INDEX(정비현황!$A$6:$A$365,MATCH("R"&amp;117,교체대상!$L$6:$L$365,0)),"")</f>
        <v/>
      </c>
      <c r="C122" s="23" t="str">
        <f aca="false">IF($B122="","",IFERROR(INDEX(정비현황!$B$6:$B$365,MATCH("R"&amp;117,교체대상!$L$6:$L$365,0)),""))</f>
        <v/>
      </c>
      <c r="D122" s="23" t="str">
        <f aca="false">IF($B122="","",IFERROR(INDEX(정비현황!$C$6:$C$365,MATCH("R"&amp;117,교체대상!$L$6:$L$365,0)),""))</f>
        <v/>
      </c>
      <c r="E122" s="24" t="str">
        <f aca="false">IF($B122="","",IFERROR(INDEX(정비현황!$J$6:$J$365,MATCH("R"&amp;117,교체대상!$L$6:$L$365,0)),""))</f>
        <v/>
      </c>
      <c r="F122" s="26" t="str">
        <f aca="false">IF($B122="","",IFERROR(INDEX(정비현황!$K$6:$K$365,MATCH("R"&amp;117,교체대상!$L$6:$L$365,0)),""))</f>
        <v/>
      </c>
      <c r="G122" s="28" t="str">
        <f aca="false">IF($B122="","",IFERROR(INDEX(정비현황!$L$6:$L$365,MATCH("R"&amp;117,교체대상!$L$6:$L$365,0)),""))</f>
        <v/>
      </c>
      <c r="H122" s="28" t="str">
        <f aca="false">IF($B122="","",IFERROR(INDEX(정비현황!$M$6:$M$365,MATCH("R"&amp;117,교체대상!$L$6:$L$365,0)),""))</f>
        <v/>
      </c>
      <c r="J122" s="29" t="b">
        <f aca="false">IF(정비현황!$A122="",FALSE(),OR(정비현황!$M122="교체",정비현황!$M122="임박"))</f>
        <v>0</v>
      </c>
      <c r="K122" s="6" t="str">
        <f aca="false">IF($J122=FALSE(),"",COUNTIF($J$6:$J122,TRUE()))</f>
        <v/>
      </c>
      <c r="L122" s="6" t="str">
        <f aca="false">IF($K122="","","R"&amp;$K122)</f>
        <v/>
      </c>
    </row>
    <row r="123" customFormat="false" ht="15" hidden="false" customHeight="true" outlineLevel="0" collapsed="false">
      <c r="A123" s="28" t="str">
        <f aca="false">IF($B123="","",118)</f>
        <v/>
      </c>
      <c r="B123" s="23" t="str">
        <f aca="false">IFERROR(INDEX(정비현황!$A$6:$A$365,MATCH("R"&amp;118,교체대상!$L$6:$L$365,0)),"")</f>
        <v/>
      </c>
      <c r="C123" s="23" t="str">
        <f aca="false">IF($B123="","",IFERROR(INDEX(정비현황!$B$6:$B$365,MATCH("R"&amp;118,교체대상!$L$6:$L$365,0)),""))</f>
        <v/>
      </c>
      <c r="D123" s="23" t="str">
        <f aca="false">IF($B123="","",IFERROR(INDEX(정비현황!$C$6:$C$365,MATCH("R"&amp;118,교체대상!$L$6:$L$365,0)),""))</f>
        <v/>
      </c>
      <c r="E123" s="24" t="str">
        <f aca="false">IF($B123="","",IFERROR(INDEX(정비현황!$J$6:$J$365,MATCH("R"&amp;118,교체대상!$L$6:$L$365,0)),""))</f>
        <v/>
      </c>
      <c r="F123" s="26" t="str">
        <f aca="false">IF($B123="","",IFERROR(INDEX(정비현황!$K$6:$K$365,MATCH("R"&amp;118,교체대상!$L$6:$L$365,0)),""))</f>
        <v/>
      </c>
      <c r="G123" s="28" t="str">
        <f aca="false">IF($B123="","",IFERROR(INDEX(정비현황!$L$6:$L$365,MATCH("R"&amp;118,교체대상!$L$6:$L$365,0)),""))</f>
        <v/>
      </c>
      <c r="H123" s="28" t="str">
        <f aca="false">IF($B123="","",IFERROR(INDEX(정비현황!$M$6:$M$365,MATCH("R"&amp;118,교체대상!$L$6:$L$365,0)),""))</f>
        <v/>
      </c>
      <c r="J123" s="29" t="b">
        <f aca="false">IF(정비현황!$A123="",FALSE(),OR(정비현황!$M123="교체",정비현황!$M123="임박"))</f>
        <v>0</v>
      </c>
      <c r="K123" s="6" t="str">
        <f aca="false">IF($J123=FALSE(),"",COUNTIF($J$6:$J123,TRUE()))</f>
        <v/>
      </c>
      <c r="L123" s="6" t="str">
        <f aca="false">IF($K123="","","R"&amp;$K123)</f>
        <v/>
      </c>
    </row>
    <row r="124" customFormat="false" ht="15" hidden="false" customHeight="true" outlineLevel="0" collapsed="false">
      <c r="A124" s="28" t="str">
        <f aca="false">IF($B124="","",119)</f>
        <v/>
      </c>
      <c r="B124" s="23" t="str">
        <f aca="false">IFERROR(INDEX(정비현황!$A$6:$A$365,MATCH("R"&amp;119,교체대상!$L$6:$L$365,0)),"")</f>
        <v/>
      </c>
      <c r="C124" s="23" t="str">
        <f aca="false">IF($B124="","",IFERROR(INDEX(정비현황!$B$6:$B$365,MATCH("R"&amp;119,교체대상!$L$6:$L$365,0)),""))</f>
        <v/>
      </c>
      <c r="D124" s="23" t="str">
        <f aca="false">IF($B124="","",IFERROR(INDEX(정비현황!$C$6:$C$365,MATCH("R"&amp;119,교체대상!$L$6:$L$365,0)),""))</f>
        <v/>
      </c>
      <c r="E124" s="24" t="str">
        <f aca="false">IF($B124="","",IFERROR(INDEX(정비현황!$J$6:$J$365,MATCH("R"&amp;119,교체대상!$L$6:$L$365,0)),""))</f>
        <v/>
      </c>
      <c r="F124" s="26" t="str">
        <f aca="false">IF($B124="","",IFERROR(INDEX(정비현황!$K$6:$K$365,MATCH("R"&amp;119,교체대상!$L$6:$L$365,0)),""))</f>
        <v/>
      </c>
      <c r="G124" s="28" t="str">
        <f aca="false">IF($B124="","",IFERROR(INDEX(정비현황!$L$6:$L$365,MATCH("R"&amp;119,교체대상!$L$6:$L$365,0)),""))</f>
        <v/>
      </c>
      <c r="H124" s="28" t="str">
        <f aca="false">IF($B124="","",IFERROR(INDEX(정비현황!$M$6:$M$365,MATCH("R"&amp;119,교체대상!$L$6:$L$365,0)),""))</f>
        <v/>
      </c>
      <c r="J124" s="29" t="b">
        <f aca="false">IF(정비현황!$A124="",FALSE(),OR(정비현황!$M124="교체",정비현황!$M124="임박"))</f>
        <v>0</v>
      </c>
      <c r="K124" s="6" t="str">
        <f aca="false">IF($J124=FALSE(),"",COUNTIF($J$6:$J124,TRUE()))</f>
        <v/>
      </c>
      <c r="L124" s="6" t="str">
        <f aca="false">IF($K124="","","R"&amp;$K124)</f>
        <v/>
      </c>
    </row>
    <row r="125" customFormat="false" ht="15" hidden="false" customHeight="true" outlineLevel="0" collapsed="false">
      <c r="A125" s="28" t="str">
        <f aca="false">IF($B125="","",120)</f>
        <v/>
      </c>
      <c r="B125" s="23" t="str">
        <f aca="false">IFERROR(INDEX(정비현황!$A$6:$A$365,MATCH("R"&amp;120,교체대상!$L$6:$L$365,0)),"")</f>
        <v/>
      </c>
      <c r="C125" s="23" t="str">
        <f aca="false">IF($B125="","",IFERROR(INDEX(정비현황!$B$6:$B$365,MATCH("R"&amp;120,교체대상!$L$6:$L$365,0)),""))</f>
        <v/>
      </c>
      <c r="D125" s="23" t="str">
        <f aca="false">IF($B125="","",IFERROR(INDEX(정비현황!$C$6:$C$365,MATCH("R"&amp;120,교체대상!$L$6:$L$365,0)),""))</f>
        <v/>
      </c>
      <c r="E125" s="24" t="str">
        <f aca="false">IF($B125="","",IFERROR(INDEX(정비현황!$J$6:$J$365,MATCH("R"&amp;120,교체대상!$L$6:$L$365,0)),""))</f>
        <v/>
      </c>
      <c r="F125" s="26" t="str">
        <f aca="false">IF($B125="","",IFERROR(INDEX(정비현황!$K$6:$K$365,MATCH("R"&amp;120,교체대상!$L$6:$L$365,0)),""))</f>
        <v/>
      </c>
      <c r="G125" s="28" t="str">
        <f aca="false">IF($B125="","",IFERROR(INDEX(정비현황!$L$6:$L$365,MATCH("R"&amp;120,교체대상!$L$6:$L$365,0)),""))</f>
        <v/>
      </c>
      <c r="H125" s="28" t="str">
        <f aca="false">IF($B125="","",IFERROR(INDEX(정비현황!$M$6:$M$365,MATCH("R"&amp;120,교체대상!$L$6:$L$365,0)),""))</f>
        <v/>
      </c>
      <c r="J125" s="29" t="b">
        <f aca="false">IF(정비현황!$A125="",FALSE(),OR(정비현황!$M125="교체",정비현황!$M125="임박"))</f>
        <v>0</v>
      </c>
      <c r="K125" s="6" t="str">
        <f aca="false">IF($J125=FALSE(),"",COUNTIF($J$6:$J125,TRUE()))</f>
        <v/>
      </c>
      <c r="L125" s="6" t="str">
        <f aca="false">IF($K125="","","R"&amp;$K125)</f>
        <v/>
      </c>
    </row>
    <row r="126" customFormat="false" ht="15" hidden="false" customHeight="true" outlineLevel="0" collapsed="false">
      <c r="J126" s="29" t="b">
        <f aca="false">IF(정비현황!$A126="",FALSE(),OR(정비현황!$M126="교체",정비현황!$M126="임박"))</f>
        <v>0</v>
      </c>
      <c r="K126" s="6" t="str">
        <f aca="false">IF($J126=FALSE(),"",COUNTIF($J$6:$J126,TRUE()))</f>
        <v/>
      </c>
      <c r="L126" s="6" t="str">
        <f aca="false">IF($K126="","","R"&amp;$K126)</f>
        <v/>
      </c>
    </row>
    <row r="127" customFormat="false" ht="15" hidden="false" customHeight="true" outlineLevel="0" collapsed="false">
      <c r="J127" s="29" t="b">
        <f aca="false">IF(정비현황!$A127="",FALSE(),OR(정비현황!$M127="교체",정비현황!$M127="임박"))</f>
        <v>0</v>
      </c>
      <c r="K127" s="6" t="str">
        <f aca="false">IF($J127=FALSE(),"",COUNTIF($J$6:$J127,TRUE()))</f>
        <v/>
      </c>
      <c r="L127" s="6" t="str">
        <f aca="false">IF($K127="","","R"&amp;$K127)</f>
        <v/>
      </c>
    </row>
    <row r="128" customFormat="false" ht="15" hidden="false" customHeight="true" outlineLevel="0" collapsed="false">
      <c r="J128" s="29" t="b">
        <f aca="false">IF(정비현황!$A128="",FALSE(),OR(정비현황!$M128="교체",정비현황!$M128="임박"))</f>
        <v>0</v>
      </c>
      <c r="K128" s="6" t="str">
        <f aca="false">IF($J128=FALSE(),"",COUNTIF($J$6:$J128,TRUE()))</f>
        <v/>
      </c>
      <c r="L128" s="6" t="str">
        <f aca="false">IF($K128="","","R"&amp;$K128)</f>
        <v/>
      </c>
    </row>
    <row r="129" customFormat="false" ht="15" hidden="false" customHeight="true" outlineLevel="0" collapsed="false">
      <c r="J129" s="29" t="b">
        <f aca="false">IF(정비현황!$A129="",FALSE(),OR(정비현황!$M129="교체",정비현황!$M129="임박"))</f>
        <v>0</v>
      </c>
      <c r="K129" s="6" t="str">
        <f aca="false">IF($J129=FALSE(),"",COUNTIF($J$6:$J129,TRUE()))</f>
        <v/>
      </c>
      <c r="L129" s="6" t="str">
        <f aca="false">IF($K129="","","R"&amp;$K129)</f>
        <v/>
      </c>
    </row>
    <row r="130" customFormat="false" ht="15" hidden="false" customHeight="true" outlineLevel="0" collapsed="false">
      <c r="J130" s="29" t="b">
        <f aca="false">IF(정비현황!$A130="",FALSE(),OR(정비현황!$M130="교체",정비현황!$M130="임박"))</f>
        <v>0</v>
      </c>
      <c r="K130" s="6" t="str">
        <f aca="false">IF($J130=FALSE(),"",COUNTIF($J$6:$J130,TRUE()))</f>
        <v/>
      </c>
      <c r="L130" s="6" t="str">
        <f aca="false">IF($K130="","","R"&amp;$K130)</f>
        <v/>
      </c>
    </row>
    <row r="131" customFormat="false" ht="15" hidden="false" customHeight="true" outlineLevel="0" collapsed="false">
      <c r="J131" s="29" t="b">
        <f aca="false">IF(정비현황!$A131="",FALSE(),OR(정비현황!$M131="교체",정비현황!$M131="임박"))</f>
        <v>0</v>
      </c>
      <c r="K131" s="6" t="str">
        <f aca="false">IF($J131=FALSE(),"",COUNTIF($J$6:$J131,TRUE()))</f>
        <v/>
      </c>
      <c r="L131" s="6" t="str">
        <f aca="false">IF($K131="","","R"&amp;$K131)</f>
        <v/>
      </c>
    </row>
    <row r="132" customFormat="false" ht="15" hidden="false" customHeight="true" outlineLevel="0" collapsed="false">
      <c r="J132" s="29" t="b">
        <f aca="false">IF(정비현황!$A132="",FALSE(),OR(정비현황!$M132="교체",정비현황!$M132="임박"))</f>
        <v>0</v>
      </c>
      <c r="K132" s="6" t="str">
        <f aca="false">IF($J132=FALSE(),"",COUNTIF($J$6:$J132,TRUE()))</f>
        <v/>
      </c>
      <c r="L132" s="6" t="str">
        <f aca="false">IF($K132="","","R"&amp;$K132)</f>
        <v/>
      </c>
    </row>
    <row r="133" customFormat="false" ht="15" hidden="false" customHeight="true" outlineLevel="0" collapsed="false">
      <c r="J133" s="29" t="b">
        <f aca="false">IF(정비현황!$A133="",FALSE(),OR(정비현황!$M133="교체",정비현황!$M133="임박"))</f>
        <v>0</v>
      </c>
      <c r="K133" s="6" t="str">
        <f aca="false">IF($J133=FALSE(),"",COUNTIF($J$6:$J133,TRUE()))</f>
        <v/>
      </c>
      <c r="L133" s="6" t="str">
        <f aca="false">IF($K133="","","R"&amp;$K133)</f>
        <v/>
      </c>
    </row>
    <row r="134" customFormat="false" ht="15" hidden="false" customHeight="true" outlineLevel="0" collapsed="false">
      <c r="J134" s="29" t="b">
        <f aca="false">IF(정비현황!$A134="",FALSE(),OR(정비현황!$M134="교체",정비현황!$M134="임박"))</f>
        <v>0</v>
      </c>
      <c r="K134" s="6" t="str">
        <f aca="false">IF($J134=FALSE(),"",COUNTIF($J$6:$J134,TRUE()))</f>
        <v/>
      </c>
      <c r="L134" s="6" t="str">
        <f aca="false">IF($K134="","","R"&amp;$K134)</f>
        <v/>
      </c>
    </row>
    <row r="135" customFormat="false" ht="15" hidden="false" customHeight="true" outlineLevel="0" collapsed="false">
      <c r="J135" s="29" t="b">
        <f aca="false">IF(정비현황!$A135="",FALSE(),OR(정비현황!$M135="교체",정비현황!$M135="임박"))</f>
        <v>0</v>
      </c>
      <c r="K135" s="6" t="str">
        <f aca="false">IF($J135=FALSE(),"",COUNTIF($J$6:$J135,TRUE()))</f>
        <v/>
      </c>
      <c r="L135" s="6" t="str">
        <f aca="false">IF($K135="","","R"&amp;$K135)</f>
        <v/>
      </c>
    </row>
    <row r="136" customFormat="false" ht="15" hidden="false" customHeight="true" outlineLevel="0" collapsed="false">
      <c r="J136" s="29" t="b">
        <f aca="false">IF(정비현황!$A136="",FALSE(),OR(정비현황!$M136="교체",정비현황!$M136="임박"))</f>
        <v>0</v>
      </c>
      <c r="K136" s="6" t="str">
        <f aca="false">IF($J136=FALSE(),"",COUNTIF($J$6:$J136,TRUE()))</f>
        <v/>
      </c>
      <c r="L136" s="6" t="str">
        <f aca="false">IF($K136="","","R"&amp;$K136)</f>
        <v/>
      </c>
    </row>
    <row r="137" customFormat="false" ht="15" hidden="false" customHeight="true" outlineLevel="0" collapsed="false">
      <c r="J137" s="29" t="b">
        <f aca="false">IF(정비현황!$A137="",FALSE(),OR(정비현황!$M137="교체",정비현황!$M137="임박"))</f>
        <v>0</v>
      </c>
      <c r="K137" s="6" t="str">
        <f aca="false">IF($J137=FALSE(),"",COUNTIF($J$6:$J137,TRUE()))</f>
        <v/>
      </c>
      <c r="L137" s="6" t="str">
        <f aca="false">IF($K137="","","R"&amp;$K137)</f>
        <v/>
      </c>
    </row>
    <row r="138" customFormat="false" ht="15" hidden="false" customHeight="true" outlineLevel="0" collapsed="false">
      <c r="J138" s="29" t="b">
        <f aca="false">IF(정비현황!$A138="",FALSE(),OR(정비현황!$M138="교체",정비현황!$M138="임박"))</f>
        <v>0</v>
      </c>
      <c r="K138" s="6" t="str">
        <f aca="false">IF($J138=FALSE(),"",COUNTIF($J$6:$J138,TRUE()))</f>
        <v/>
      </c>
      <c r="L138" s="6" t="str">
        <f aca="false">IF($K138="","","R"&amp;$K138)</f>
        <v/>
      </c>
    </row>
    <row r="139" customFormat="false" ht="15" hidden="false" customHeight="true" outlineLevel="0" collapsed="false">
      <c r="J139" s="29" t="b">
        <f aca="false">IF(정비현황!$A139="",FALSE(),OR(정비현황!$M139="교체",정비현황!$M139="임박"))</f>
        <v>0</v>
      </c>
      <c r="K139" s="6" t="str">
        <f aca="false">IF($J139=FALSE(),"",COUNTIF($J$6:$J139,TRUE()))</f>
        <v/>
      </c>
      <c r="L139" s="6" t="str">
        <f aca="false">IF($K139="","","R"&amp;$K139)</f>
        <v/>
      </c>
    </row>
    <row r="140" customFormat="false" ht="15" hidden="false" customHeight="true" outlineLevel="0" collapsed="false">
      <c r="J140" s="29" t="b">
        <f aca="false">IF(정비현황!$A140="",FALSE(),OR(정비현황!$M140="교체",정비현황!$M140="임박"))</f>
        <v>0</v>
      </c>
      <c r="K140" s="6" t="str">
        <f aca="false">IF($J140=FALSE(),"",COUNTIF($J$6:$J140,TRUE()))</f>
        <v/>
      </c>
      <c r="L140" s="6" t="str">
        <f aca="false">IF($K140="","","R"&amp;$K140)</f>
        <v/>
      </c>
    </row>
    <row r="141" customFormat="false" ht="15" hidden="false" customHeight="true" outlineLevel="0" collapsed="false">
      <c r="J141" s="29" t="b">
        <f aca="false">IF(정비현황!$A141="",FALSE(),OR(정비현황!$M141="교체",정비현황!$M141="임박"))</f>
        <v>0</v>
      </c>
      <c r="K141" s="6" t="str">
        <f aca="false">IF($J141=FALSE(),"",COUNTIF($J$6:$J141,TRUE()))</f>
        <v/>
      </c>
      <c r="L141" s="6" t="str">
        <f aca="false">IF($K141="","","R"&amp;$K141)</f>
        <v/>
      </c>
    </row>
    <row r="142" customFormat="false" ht="15" hidden="false" customHeight="true" outlineLevel="0" collapsed="false">
      <c r="J142" s="29" t="b">
        <f aca="false">IF(정비현황!$A142="",FALSE(),OR(정비현황!$M142="교체",정비현황!$M142="임박"))</f>
        <v>0</v>
      </c>
      <c r="K142" s="6" t="str">
        <f aca="false">IF($J142=FALSE(),"",COUNTIF($J$6:$J142,TRUE()))</f>
        <v/>
      </c>
      <c r="L142" s="6" t="str">
        <f aca="false">IF($K142="","","R"&amp;$K142)</f>
        <v/>
      </c>
    </row>
    <row r="143" customFormat="false" ht="15" hidden="false" customHeight="true" outlineLevel="0" collapsed="false">
      <c r="J143" s="29" t="b">
        <f aca="false">IF(정비현황!$A143="",FALSE(),OR(정비현황!$M143="교체",정비현황!$M143="임박"))</f>
        <v>0</v>
      </c>
      <c r="K143" s="6" t="str">
        <f aca="false">IF($J143=FALSE(),"",COUNTIF($J$6:$J143,TRUE()))</f>
        <v/>
      </c>
      <c r="L143" s="6" t="str">
        <f aca="false">IF($K143="","","R"&amp;$K143)</f>
        <v/>
      </c>
    </row>
    <row r="144" customFormat="false" ht="15" hidden="false" customHeight="true" outlineLevel="0" collapsed="false">
      <c r="J144" s="29" t="b">
        <f aca="false">IF(정비현황!$A144="",FALSE(),OR(정비현황!$M144="교체",정비현황!$M144="임박"))</f>
        <v>0</v>
      </c>
      <c r="K144" s="6" t="str">
        <f aca="false">IF($J144=FALSE(),"",COUNTIF($J$6:$J144,TRUE()))</f>
        <v/>
      </c>
      <c r="L144" s="6" t="str">
        <f aca="false">IF($K144="","","R"&amp;$K144)</f>
        <v/>
      </c>
    </row>
    <row r="145" customFormat="false" ht="15" hidden="false" customHeight="true" outlineLevel="0" collapsed="false">
      <c r="J145" s="29" t="b">
        <f aca="false">IF(정비현황!$A145="",FALSE(),OR(정비현황!$M145="교체",정비현황!$M145="임박"))</f>
        <v>0</v>
      </c>
      <c r="K145" s="6" t="str">
        <f aca="false">IF($J145=FALSE(),"",COUNTIF($J$6:$J145,TRUE()))</f>
        <v/>
      </c>
      <c r="L145" s="6" t="str">
        <f aca="false">IF($K145="","","R"&amp;$K145)</f>
        <v/>
      </c>
    </row>
    <row r="146" customFormat="false" ht="15" hidden="false" customHeight="true" outlineLevel="0" collapsed="false">
      <c r="J146" s="29" t="b">
        <f aca="false">IF(정비현황!$A146="",FALSE(),OR(정비현황!$M146="교체",정비현황!$M146="임박"))</f>
        <v>0</v>
      </c>
      <c r="K146" s="6" t="str">
        <f aca="false">IF($J146=FALSE(),"",COUNTIF($J$6:$J146,TRUE()))</f>
        <v/>
      </c>
      <c r="L146" s="6" t="str">
        <f aca="false">IF($K146="","","R"&amp;$K146)</f>
        <v/>
      </c>
    </row>
    <row r="147" customFormat="false" ht="15" hidden="false" customHeight="true" outlineLevel="0" collapsed="false">
      <c r="J147" s="29" t="b">
        <f aca="false">IF(정비현황!$A147="",FALSE(),OR(정비현황!$M147="교체",정비현황!$M147="임박"))</f>
        <v>0</v>
      </c>
      <c r="K147" s="6" t="str">
        <f aca="false">IF($J147=FALSE(),"",COUNTIF($J$6:$J147,TRUE()))</f>
        <v/>
      </c>
      <c r="L147" s="6" t="str">
        <f aca="false">IF($K147="","","R"&amp;$K147)</f>
        <v/>
      </c>
    </row>
    <row r="148" customFormat="false" ht="15" hidden="false" customHeight="true" outlineLevel="0" collapsed="false">
      <c r="J148" s="29" t="b">
        <f aca="false">IF(정비현황!$A148="",FALSE(),OR(정비현황!$M148="교체",정비현황!$M148="임박"))</f>
        <v>0</v>
      </c>
      <c r="K148" s="6" t="str">
        <f aca="false">IF($J148=FALSE(),"",COUNTIF($J$6:$J148,TRUE()))</f>
        <v/>
      </c>
      <c r="L148" s="6" t="str">
        <f aca="false">IF($K148="","","R"&amp;$K148)</f>
        <v/>
      </c>
    </row>
    <row r="149" customFormat="false" ht="15" hidden="false" customHeight="true" outlineLevel="0" collapsed="false">
      <c r="J149" s="29" t="b">
        <f aca="false">IF(정비현황!$A149="",FALSE(),OR(정비현황!$M149="교체",정비현황!$M149="임박"))</f>
        <v>0</v>
      </c>
      <c r="K149" s="6" t="str">
        <f aca="false">IF($J149=FALSE(),"",COUNTIF($J$6:$J149,TRUE()))</f>
        <v/>
      </c>
      <c r="L149" s="6" t="str">
        <f aca="false">IF($K149="","","R"&amp;$K149)</f>
        <v/>
      </c>
    </row>
    <row r="150" customFormat="false" ht="15" hidden="false" customHeight="true" outlineLevel="0" collapsed="false">
      <c r="J150" s="29" t="b">
        <f aca="false">IF(정비현황!$A150="",FALSE(),OR(정비현황!$M150="교체",정비현황!$M150="임박"))</f>
        <v>0</v>
      </c>
      <c r="K150" s="6" t="str">
        <f aca="false">IF($J150=FALSE(),"",COUNTIF($J$6:$J150,TRUE()))</f>
        <v/>
      </c>
      <c r="L150" s="6" t="str">
        <f aca="false">IF($K150="","","R"&amp;$K150)</f>
        <v/>
      </c>
    </row>
    <row r="151" customFormat="false" ht="15" hidden="false" customHeight="true" outlineLevel="0" collapsed="false">
      <c r="J151" s="29" t="b">
        <f aca="false">IF(정비현황!$A151="",FALSE(),OR(정비현황!$M151="교체",정비현황!$M151="임박"))</f>
        <v>0</v>
      </c>
      <c r="K151" s="6" t="str">
        <f aca="false">IF($J151=FALSE(),"",COUNTIF($J$6:$J151,TRUE()))</f>
        <v/>
      </c>
      <c r="L151" s="6" t="str">
        <f aca="false">IF($K151="","","R"&amp;$K151)</f>
        <v/>
      </c>
    </row>
    <row r="152" customFormat="false" ht="15" hidden="false" customHeight="true" outlineLevel="0" collapsed="false">
      <c r="J152" s="29" t="b">
        <f aca="false">IF(정비현황!$A152="",FALSE(),OR(정비현황!$M152="교체",정비현황!$M152="임박"))</f>
        <v>0</v>
      </c>
      <c r="K152" s="6" t="str">
        <f aca="false">IF($J152=FALSE(),"",COUNTIF($J$6:$J152,TRUE()))</f>
        <v/>
      </c>
      <c r="L152" s="6" t="str">
        <f aca="false">IF($K152="","","R"&amp;$K152)</f>
        <v/>
      </c>
    </row>
    <row r="153" customFormat="false" ht="15" hidden="false" customHeight="true" outlineLevel="0" collapsed="false">
      <c r="J153" s="29" t="b">
        <f aca="false">IF(정비현황!$A153="",FALSE(),OR(정비현황!$M153="교체",정비현황!$M153="임박"))</f>
        <v>0</v>
      </c>
      <c r="K153" s="6" t="str">
        <f aca="false">IF($J153=FALSE(),"",COUNTIF($J$6:$J153,TRUE()))</f>
        <v/>
      </c>
      <c r="L153" s="6" t="str">
        <f aca="false">IF($K153="","","R"&amp;$K153)</f>
        <v/>
      </c>
    </row>
    <row r="154" customFormat="false" ht="15" hidden="false" customHeight="true" outlineLevel="0" collapsed="false">
      <c r="J154" s="29" t="b">
        <f aca="false">IF(정비현황!$A154="",FALSE(),OR(정비현황!$M154="교체",정비현황!$M154="임박"))</f>
        <v>0</v>
      </c>
      <c r="K154" s="6" t="str">
        <f aca="false">IF($J154=FALSE(),"",COUNTIF($J$6:$J154,TRUE()))</f>
        <v/>
      </c>
      <c r="L154" s="6" t="str">
        <f aca="false">IF($K154="","","R"&amp;$K154)</f>
        <v/>
      </c>
    </row>
    <row r="155" customFormat="false" ht="15" hidden="false" customHeight="true" outlineLevel="0" collapsed="false">
      <c r="J155" s="29" t="b">
        <f aca="false">IF(정비현황!$A155="",FALSE(),OR(정비현황!$M155="교체",정비현황!$M155="임박"))</f>
        <v>0</v>
      </c>
      <c r="K155" s="6" t="str">
        <f aca="false">IF($J155=FALSE(),"",COUNTIF($J$6:$J155,TRUE()))</f>
        <v/>
      </c>
      <c r="L155" s="6" t="str">
        <f aca="false">IF($K155="","","R"&amp;$K155)</f>
        <v/>
      </c>
    </row>
    <row r="156" customFormat="false" ht="15" hidden="false" customHeight="true" outlineLevel="0" collapsed="false">
      <c r="J156" s="29" t="b">
        <f aca="false">IF(정비현황!$A156="",FALSE(),OR(정비현황!$M156="교체",정비현황!$M156="임박"))</f>
        <v>0</v>
      </c>
      <c r="K156" s="6" t="str">
        <f aca="false">IF($J156=FALSE(),"",COUNTIF($J$6:$J156,TRUE()))</f>
        <v/>
      </c>
      <c r="L156" s="6" t="str">
        <f aca="false">IF($K156="","","R"&amp;$K156)</f>
        <v/>
      </c>
    </row>
    <row r="157" customFormat="false" ht="15" hidden="false" customHeight="true" outlineLevel="0" collapsed="false">
      <c r="J157" s="29" t="b">
        <f aca="false">IF(정비현황!$A157="",FALSE(),OR(정비현황!$M157="교체",정비현황!$M157="임박"))</f>
        <v>0</v>
      </c>
      <c r="K157" s="6" t="str">
        <f aca="false">IF($J157=FALSE(),"",COUNTIF($J$6:$J157,TRUE()))</f>
        <v/>
      </c>
      <c r="L157" s="6" t="str">
        <f aca="false">IF($K157="","","R"&amp;$K157)</f>
        <v/>
      </c>
    </row>
    <row r="158" customFormat="false" ht="15" hidden="false" customHeight="true" outlineLevel="0" collapsed="false">
      <c r="J158" s="29" t="b">
        <f aca="false">IF(정비현황!$A158="",FALSE(),OR(정비현황!$M158="교체",정비현황!$M158="임박"))</f>
        <v>0</v>
      </c>
      <c r="K158" s="6" t="str">
        <f aca="false">IF($J158=FALSE(),"",COUNTIF($J$6:$J158,TRUE()))</f>
        <v/>
      </c>
      <c r="L158" s="6" t="str">
        <f aca="false">IF($K158="","","R"&amp;$K158)</f>
        <v/>
      </c>
    </row>
    <row r="159" customFormat="false" ht="15" hidden="false" customHeight="true" outlineLevel="0" collapsed="false">
      <c r="J159" s="29" t="b">
        <f aca="false">IF(정비현황!$A159="",FALSE(),OR(정비현황!$M159="교체",정비현황!$M159="임박"))</f>
        <v>0</v>
      </c>
      <c r="K159" s="6" t="str">
        <f aca="false">IF($J159=FALSE(),"",COUNTIF($J$6:$J159,TRUE()))</f>
        <v/>
      </c>
      <c r="L159" s="6" t="str">
        <f aca="false">IF($K159="","","R"&amp;$K159)</f>
        <v/>
      </c>
    </row>
    <row r="160" customFormat="false" ht="15" hidden="false" customHeight="true" outlineLevel="0" collapsed="false">
      <c r="J160" s="29" t="b">
        <f aca="false">IF(정비현황!$A160="",FALSE(),OR(정비현황!$M160="교체",정비현황!$M160="임박"))</f>
        <v>0</v>
      </c>
      <c r="K160" s="6" t="str">
        <f aca="false">IF($J160=FALSE(),"",COUNTIF($J$6:$J160,TRUE()))</f>
        <v/>
      </c>
      <c r="L160" s="6" t="str">
        <f aca="false">IF($K160="","","R"&amp;$K160)</f>
        <v/>
      </c>
    </row>
    <row r="161" customFormat="false" ht="15" hidden="false" customHeight="true" outlineLevel="0" collapsed="false">
      <c r="J161" s="29" t="b">
        <f aca="false">IF(정비현황!$A161="",FALSE(),OR(정비현황!$M161="교체",정비현황!$M161="임박"))</f>
        <v>0</v>
      </c>
      <c r="K161" s="6" t="str">
        <f aca="false">IF($J161=FALSE(),"",COUNTIF($J$6:$J161,TRUE()))</f>
        <v/>
      </c>
      <c r="L161" s="6" t="str">
        <f aca="false">IF($K161="","","R"&amp;$K161)</f>
        <v/>
      </c>
    </row>
    <row r="162" customFormat="false" ht="15" hidden="false" customHeight="true" outlineLevel="0" collapsed="false">
      <c r="J162" s="29" t="b">
        <f aca="false">IF(정비현황!$A162="",FALSE(),OR(정비현황!$M162="교체",정비현황!$M162="임박"))</f>
        <v>0</v>
      </c>
      <c r="K162" s="6" t="str">
        <f aca="false">IF($J162=FALSE(),"",COUNTIF($J$6:$J162,TRUE()))</f>
        <v/>
      </c>
      <c r="L162" s="6" t="str">
        <f aca="false">IF($K162="","","R"&amp;$K162)</f>
        <v/>
      </c>
    </row>
    <row r="163" customFormat="false" ht="15" hidden="false" customHeight="true" outlineLevel="0" collapsed="false">
      <c r="J163" s="29" t="b">
        <f aca="false">IF(정비현황!$A163="",FALSE(),OR(정비현황!$M163="교체",정비현황!$M163="임박"))</f>
        <v>0</v>
      </c>
      <c r="K163" s="6" t="str">
        <f aca="false">IF($J163=FALSE(),"",COUNTIF($J$6:$J163,TRUE()))</f>
        <v/>
      </c>
      <c r="L163" s="6" t="str">
        <f aca="false">IF($K163="","","R"&amp;$K163)</f>
        <v/>
      </c>
    </row>
    <row r="164" customFormat="false" ht="15" hidden="false" customHeight="true" outlineLevel="0" collapsed="false">
      <c r="J164" s="29" t="b">
        <f aca="false">IF(정비현황!$A164="",FALSE(),OR(정비현황!$M164="교체",정비현황!$M164="임박"))</f>
        <v>0</v>
      </c>
      <c r="K164" s="6" t="str">
        <f aca="false">IF($J164=FALSE(),"",COUNTIF($J$6:$J164,TRUE()))</f>
        <v/>
      </c>
      <c r="L164" s="6" t="str">
        <f aca="false">IF($K164="","","R"&amp;$K164)</f>
        <v/>
      </c>
    </row>
    <row r="165" customFormat="false" ht="15" hidden="false" customHeight="true" outlineLevel="0" collapsed="false">
      <c r="J165" s="29" t="b">
        <f aca="false">IF(정비현황!$A165="",FALSE(),OR(정비현황!$M165="교체",정비현황!$M165="임박"))</f>
        <v>0</v>
      </c>
      <c r="K165" s="6" t="str">
        <f aca="false">IF($J165=FALSE(),"",COUNTIF($J$6:$J165,TRUE()))</f>
        <v/>
      </c>
      <c r="L165" s="6" t="str">
        <f aca="false">IF($K165="","","R"&amp;$K165)</f>
        <v/>
      </c>
    </row>
    <row r="166" customFormat="false" ht="15" hidden="false" customHeight="true" outlineLevel="0" collapsed="false">
      <c r="J166" s="29" t="b">
        <f aca="false">IF(정비현황!$A166="",FALSE(),OR(정비현황!$M166="교체",정비현황!$M166="임박"))</f>
        <v>0</v>
      </c>
      <c r="K166" s="6" t="str">
        <f aca="false">IF($J166=FALSE(),"",COUNTIF($J$6:$J166,TRUE()))</f>
        <v/>
      </c>
      <c r="L166" s="6" t="str">
        <f aca="false">IF($K166="","","R"&amp;$K166)</f>
        <v/>
      </c>
    </row>
    <row r="167" customFormat="false" ht="15" hidden="false" customHeight="true" outlineLevel="0" collapsed="false">
      <c r="J167" s="29" t="b">
        <f aca="false">IF(정비현황!$A167="",FALSE(),OR(정비현황!$M167="교체",정비현황!$M167="임박"))</f>
        <v>0</v>
      </c>
      <c r="K167" s="6" t="str">
        <f aca="false">IF($J167=FALSE(),"",COUNTIF($J$6:$J167,TRUE()))</f>
        <v/>
      </c>
      <c r="L167" s="6" t="str">
        <f aca="false">IF($K167="","","R"&amp;$K167)</f>
        <v/>
      </c>
    </row>
    <row r="168" customFormat="false" ht="15" hidden="false" customHeight="true" outlineLevel="0" collapsed="false">
      <c r="J168" s="29" t="b">
        <f aca="false">IF(정비현황!$A168="",FALSE(),OR(정비현황!$M168="교체",정비현황!$M168="임박"))</f>
        <v>0</v>
      </c>
      <c r="K168" s="6" t="str">
        <f aca="false">IF($J168=FALSE(),"",COUNTIF($J$6:$J168,TRUE()))</f>
        <v/>
      </c>
      <c r="L168" s="6" t="str">
        <f aca="false">IF($K168="","","R"&amp;$K168)</f>
        <v/>
      </c>
    </row>
    <row r="169" customFormat="false" ht="15" hidden="false" customHeight="true" outlineLevel="0" collapsed="false">
      <c r="J169" s="29" t="b">
        <f aca="false">IF(정비현황!$A169="",FALSE(),OR(정비현황!$M169="교체",정비현황!$M169="임박"))</f>
        <v>0</v>
      </c>
      <c r="K169" s="6" t="str">
        <f aca="false">IF($J169=FALSE(),"",COUNTIF($J$6:$J169,TRUE()))</f>
        <v/>
      </c>
      <c r="L169" s="6" t="str">
        <f aca="false">IF($K169="","","R"&amp;$K169)</f>
        <v/>
      </c>
    </row>
    <row r="170" customFormat="false" ht="15" hidden="false" customHeight="true" outlineLevel="0" collapsed="false">
      <c r="J170" s="29" t="b">
        <f aca="false">IF(정비현황!$A170="",FALSE(),OR(정비현황!$M170="교체",정비현황!$M170="임박"))</f>
        <v>0</v>
      </c>
      <c r="K170" s="6" t="str">
        <f aca="false">IF($J170=FALSE(),"",COUNTIF($J$6:$J170,TRUE()))</f>
        <v/>
      </c>
      <c r="L170" s="6" t="str">
        <f aca="false">IF($K170="","","R"&amp;$K170)</f>
        <v/>
      </c>
    </row>
    <row r="171" customFormat="false" ht="15" hidden="false" customHeight="true" outlineLevel="0" collapsed="false">
      <c r="J171" s="29" t="b">
        <f aca="false">IF(정비현황!$A171="",FALSE(),OR(정비현황!$M171="교체",정비현황!$M171="임박"))</f>
        <v>0</v>
      </c>
      <c r="K171" s="6" t="str">
        <f aca="false">IF($J171=FALSE(),"",COUNTIF($J$6:$J171,TRUE()))</f>
        <v/>
      </c>
      <c r="L171" s="6" t="str">
        <f aca="false">IF($K171="","","R"&amp;$K171)</f>
        <v/>
      </c>
    </row>
    <row r="172" customFormat="false" ht="15" hidden="false" customHeight="true" outlineLevel="0" collapsed="false">
      <c r="J172" s="29" t="b">
        <f aca="false">IF(정비현황!$A172="",FALSE(),OR(정비현황!$M172="교체",정비현황!$M172="임박"))</f>
        <v>0</v>
      </c>
      <c r="K172" s="6" t="str">
        <f aca="false">IF($J172=FALSE(),"",COUNTIF($J$6:$J172,TRUE()))</f>
        <v/>
      </c>
      <c r="L172" s="6" t="str">
        <f aca="false">IF($K172="","","R"&amp;$K172)</f>
        <v/>
      </c>
    </row>
    <row r="173" customFormat="false" ht="15" hidden="false" customHeight="true" outlineLevel="0" collapsed="false">
      <c r="J173" s="29" t="b">
        <f aca="false">IF(정비현황!$A173="",FALSE(),OR(정비현황!$M173="교체",정비현황!$M173="임박"))</f>
        <v>0</v>
      </c>
      <c r="K173" s="6" t="str">
        <f aca="false">IF($J173=FALSE(),"",COUNTIF($J$6:$J173,TRUE()))</f>
        <v/>
      </c>
      <c r="L173" s="6" t="str">
        <f aca="false">IF($K173="","","R"&amp;$K173)</f>
        <v/>
      </c>
    </row>
    <row r="174" customFormat="false" ht="15" hidden="false" customHeight="true" outlineLevel="0" collapsed="false">
      <c r="J174" s="29" t="b">
        <f aca="false">IF(정비현황!$A174="",FALSE(),OR(정비현황!$M174="교체",정비현황!$M174="임박"))</f>
        <v>0</v>
      </c>
      <c r="K174" s="6" t="str">
        <f aca="false">IF($J174=FALSE(),"",COUNTIF($J$6:$J174,TRUE()))</f>
        <v/>
      </c>
      <c r="L174" s="6" t="str">
        <f aca="false">IF($K174="","","R"&amp;$K174)</f>
        <v/>
      </c>
    </row>
    <row r="175" customFormat="false" ht="15" hidden="false" customHeight="true" outlineLevel="0" collapsed="false">
      <c r="J175" s="29" t="b">
        <f aca="false">IF(정비현황!$A175="",FALSE(),OR(정비현황!$M175="교체",정비현황!$M175="임박"))</f>
        <v>0</v>
      </c>
      <c r="K175" s="6" t="str">
        <f aca="false">IF($J175=FALSE(),"",COUNTIF($J$6:$J175,TRUE()))</f>
        <v/>
      </c>
      <c r="L175" s="6" t="str">
        <f aca="false">IF($K175="","","R"&amp;$K175)</f>
        <v/>
      </c>
    </row>
    <row r="176" customFormat="false" ht="15" hidden="false" customHeight="true" outlineLevel="0" collapsed="false">
      <c r="J176" s="29" t="b">
        <f aca="false">IF(정비현황!$A176="",FALSE(),OR(정비현황!$M176="교체",정비현황!$M176="임박"))</f>
        <v>0</v>
      </c>
      <c r="K176" s="6" t="str">
        <f aca="false">IF($J176=FALSE(),"",COUNTIF($J$6:$J176,TRUE()))</f>
        <v/>
      </c>
      <c r="L176" s="6" t="str">
        <f aca="false">IF($K176="","","R"&amp;$K176)</f>
        <v/>
      </c>
    </row>
    <row r="177" customFormat="false" ht="15" hidden="false" customHeight="true" outlineLevel="0" collapsed="false">
      <c r="J177" s="29" t="b">
        <f aca="false">IF(정비현황!$A177="",FALSE(),OR(정비현황!$M177="교체",정비현황!$M177="임박"))</f>
        <v>0</v>
      </c>
      <c r="K177" s="6" t="str">
        <f aca="false">IF($J177=FALSE(),"",COUNTIF($J$6:$J177,TRUE()))</f>
        <v/>
      </c>
      <c r="L177" s="6" t="str">
        <f aca="false">IF($K177="","","R"&amp;$K177)</f>
        <v/>
      </c>
    </row>
    <row r="178" customFormat="false" ht="15" hidden="false" customHeight="true" outlineLevel="0" collapsed="false">
      <c r="J178" s="29" t="b">
        <f aca="false">IF(정비현황!$A178="",FALSE(),OR(정비현황!$M178="교체",정비현황!$M178="임박"))</f>
        <v>0</v>
      </c>
      <c r="K178" s="6" t="str">
        <f aca="false">IF($J178=FALSE(),"",COUNTIF($J$6:$J178,TRUE()))</f>
        <v/>
      </c>
      <c r="L178" s="6" t="str">
        <f aca="false">IF($K178="","","R"&amp;$K178)</f>
        <v/>
      </c>
    </row>
    <row r="179" customFormat="false" ht="15" hidden="false" customHeight="true" outlineLevel="0" collapsed="false">
      <c r="J179" s="29" t="b">
        <f aca="false">IF(정비현황!$A179="",FALSE(),OR(정비현황!$M179="교체",정비현황!$M179="임박"))</f>
        <v>0</v>
      </c>
      <c r="K179" s="6" t="str">
        <f aca="false">IF($J179=FALSE(),"",COUNTIF($J$6:$J179,TRUE()))</f>
        <v/>
      </c>
      <c r="L179" s="6" t="str">
        <f aca="false">IF($K179="","","R"&amp;$K179)</f>
        <v/>
      </c>
    </row>
    <row r="180" customFormat="false" ht="15" hidden="false" customHeight="true" outlineLevel="0" collapsed="false">
      <c r="J180" s="29" t="b">
        <f aca="false">IF(정비현황!$A180="",FALSE(),OR(정비현황!$M180="교체",정비현황!$M180="임박"))</f>
        <v>0</v>
      </c>
      <c r="K180" s="6" t="str">
        <f aca="false">IF($J180=FALSE(),"",COUNTIF($J$6:$J180,TRUE()))</f>
        <v/>
      </c>
      <c r="L180" s="6" t="str">
        <f aca="false">IF($K180="","","R"&amp;$K180)</f>
        <v/>
      </c>
    </row>
    <row r="181" customFormat="false" ht="15" hidden="false" customHeight="true" outlineLevel="0" collapsed="false">
      <c r="J181" s="29" t="b">
        <f aca="false">IF(정비현황!$A181="",FALSE(),OR(정비현황!$M181="교체",정비현황!$M181="임박"))</f>
        <v>0</v>
      </c>
      <c r="K181" s="6" t="str">
        <f aca="false">IF($J181=FALSE(),"",COUNTIF($J$6:$J181,TRUE()))</f>
        <v/>
      </c>
      <c r="L181" s="6" t="str">
        <f aca="false">IF($K181="","","R"&amp;$K181)</f>
        <v/>
      </c>
    </row>
    <row r="182" customFormat="false" ht="15" hidden="false" customHeight="true" outlineLevel="0" collapsed="false">
      <c r="J182" s="29" t="b">
        <f aca="false">IF(정비현황!$A182="",FALSE(),OR(정비현황!$M182="교체",정비현황!$M182="임박"))</f>
        <v>0</v>
      </c>
      <c r="K182" s="6" t="str">
        <f aca="false">IF($J182=FALSE(),"",COUNTIF($J$6:$J182,TRUE()))</f>
        <v/>
      </c>
      <c r="L182" s="6" t="str">
        <f aca="false">IF($K182="","","R"&amp;$K182)</f>
        <v/>
      </c>
    </row>
    <row r="183" customFormat="false" ht="15" hidden="false" customHeight="true" outlineLevel="0" collapsed="false">
      <c r="J183" s="29" t="b">
        <f aca="false">IF(정비현황!$A183="",FALSE(),OR(정비현황!$M183="교체",정비현황!$M183="임박"))</f>
        <v>0</v>
      </c>
      <c r="K183" s="6" t="str">
        <f aca="false">IF($J183=FALSE(),"",COUNTIF($J$6:$J183,TRUE()))</f>
        <v/>
      </c>
      <c r="L183" s="6" t="str">
        <f aca="false">IF($K183="","","R"&amp;$K183)</f>
        <v/>
      </c>
    </row>
    <row r="184" customFormat="false" ht="15" hidden="false" customHeight="true" outlineLevel="0" collapsed="false">
      <c r="J184" s="29" t="b">
        <f aca="false">IF(정비현황!$A184="",FALSE(),OR(정비현황!$M184="교체",정비현황!$M184="임박"))</f>
        <v>0</v>
      </c>
      <c r="K184" s="6" t="str">
        <f aca="false">IF($J184=FALSE(),"",COUNTIF($J$6:$J184,TRUE()))</f>
        <v/>
      </c>
      <c r="L184" s="6" t="str">
        <f aca="false">IF($K184="","","R"&amp;$K184)</f>
        <v/>
      </c>
    </row>
    <row r="185" customFormat="false" ht="15" hidden="false" customHeight="true" outlineLevel="0" collapsed="false">
      <c r="J185" s="29" t="b">
        <f aca="false">IF(정비현황!$A185="",FALSE(),OR(정비현황!$M185="교체",정비현황!$M185="임박"))</f>
        <v>0</v>
      </c>
      <c r="K185" s="6" t="str">
        <f aca="false">IF($J185=FALSE(),"",COUNTIF($J$6:$J185,TRUE()))</f>
        <v/>
      </c>
      <c r="L185" s="6" t="str">
        <f aca="false">IF($K185="","","R"&amp;$K185)</f>
        <v/>
      </c>
    </row>
    <row r="186" customFormat="false" ht="15" hidden="false" customHeight="true" outlineLevel="0" collapsed="false">
      <c r="J186" s="29" t="b">
        <f aca="false">IF(정비현황!$A186="",FALSE(),OR(정비현황!$M186="교체",정비현황!$M186="임박"))</f>
        <v>0</v>
      </c>
      <c r="K186" s="6" t="str">
        <f aca="false">IF($J186=FALSE(),"",COUNTIF($J$6:$J186,TRUE()))</f>
        <v/>
      </c>
      <c r="L186" s="6" t="str">
        <f aca="false">IF($K186="","","R"&amp;$K186)</f>
        <v/>
      </c>
    </row>
    <row r="187" customFormat="false" ht="15" hidden="false" customHeight="true" outlineLevel="0" collapsed="false">
      <c r="J187" s="29" t="b">
        <f aca="false">IF(정비현황!$A187="",FALSE(),OR(정비현황!$M187="교체",정비현황!$M187="임박"))</f>
        <v>0</v>
      </c>
      <c r="K187" s="6" t="str">
        <f aca="false">IF($J187=FALSE(),"",COUNTIF($J$6:$J187,TRUE()))</f>
        <v/>
      </c>
      <c r="L187" s="6" t="str">
        <f aca="false">IF($K187="","","R"&amp;$K187)</f>
        <v/>
      </c>
    </row>
    <row r="188" customFormat="false" ht="15" hidden="false" customHeight="true" outlineLevel="0" collapsed="false">
      <c r="J188" s="29" t="b">
        <f aca="false">IF(정비현황!$A188="",FALSE(),OR(정비현황!$M188="교체",정비현황!$M188="임박"))</f>
        <v>0</v>
      </c>
      <c r="K188" s="6" t="str">
        <f aca="false">IF($J188=FALSE(),"",COUNTIF($J$6:$J188,TRUE()))</f>
        <v/>
      </c>
      <c r="L188" s="6" t="str">
        <f aca="false">IF($K188="","","R"&amp;$K188)</f>
        <v/>
      </c>
    </row>
    <row r="189" customFormat="false" ht="15" hidden="false" customHeight="true" outlineLevel="0" collapsed="false">
      <c r="J189" s="29" t="b">
        <f aca="false">IF(정비현황!$A189="",FALSE(),OR(정비현황!$M189="교체",정비현황!$M189="임박"))</f>
        <v>0</v>
      </c>
      <c r="K189" s="6" t="str">
        <f aca="false">IF($J189=FALSE(),"",COUNTIF($J$6:$J189,TRUE()))</f>
        <v/>
      </c>
      <c r="L189" s="6" t="str">
        <f aca="false">IF($K189="","","R"&amp;$K189)</f>
        <v/>
      </c>
    </row>
    <row r="190" customFormat="false" ht="15" hidden="false" customHeight="true" outlineLevel="0" collapsed="false">
      <c r="J190" s="29" t="b">
        <f aca="false">IF(정비현황!$A190="",FALSE(),OR(정비현황!$M190="교체",정비현황!$M190="임박"))</f>
        <v>0</v>
      </c>
      <c r="K190" s="6" t="str">
        <f aca="false">IF($J190=FALSE(),"",COUNTIF($J$6:$J190,TRUE()))</f>
        <v/>
      </c>
      <c r="L190" s="6" t="str">
        <f aca="false">IF($K190="","","R"&amp;$K190)</f>
        <v/>
      </c>
    </row>
    <row r="191" customFormat="false" ht="15" hidden="false" customHeight="true" outlineLevel="0" collapsed="false">
      <c r="J191" s="29" t="b">
        <f aca="false">IF(정비현황!$A191="",FALSE(),OR(정비현황!$M191="교체",정비현황!$M191="임박"))</f>
        <v>0</v>
      </c>
      <c r="K191" s="6" t="str">
        <f aca="false">IF($J191=FALSE(),"",COUNTIF($J$6:$J191,TRUE()))</f>
        <v/>
      </c>
      <c r="L191" s="6" t="str">
        <f aca="false">IF($K191="","","R"&amp;$K191)</f>
        <v/>
      </c>
    </row>
    <row r="192" customFormat="false" ht="15" hidden="false" customHeight="true" outlineLevel="0" collapsed="false">
      <c r="J192" s="29" t="b">
        <f aca="false">IF(정비현황!$A192="",FALSE(),OR(정비현황!$M192="교체",정비현황!$M192="임박"))</f>
        <v>0</v>
      </c>
      <c r="K192" s="6" t="str">
        <f aca="false">IF($J192=FALSE(),"",COUNTIF($J$6:$J192,TRUE()))</f>
        <v/>
      </c>
      <c r="L192" s="6" t="str">
        <f aca="false">IF($K192="","","R"&amp;$K192)</f>
        <v/>
      </c>
    </row>
    <row r="193" customFormat="false" ht="15" hidden="false" customHeight="true" outlineLevel="0" collapsed="false">
      <c r="J193" s="29" t="b">
        <f aca="false">IF(정비현황!$A193="",FALSE(),OR(정비현황!$M193="교체",정비현황!$M193="임박"))</f>
        <v>0</v>
      </c>
      <c r="K193" s="6" t="str">
        <f aca="false">IF($J193=FALSE(),"",COUNTIF($J$6:$J193,TRUE()))</f>
        <v/>
      </c>
      <c r="L193" s="6" t="str">
        <f aca="false">IF($K193="","","R"&amp;$K193)</f>
        <v/>
      </c>
    </row>
    <row r="194" customFormat="false" ht="15" hidden="false" customHeight="true" outlineLevel="0" collapsed="false">
      <c r="J194" s="29" t="b">
        <f aca="false">IF(정비현황!$A194="",FALSE(),OR(정비현황!$M194="교체",정비현황!$M194="임박"))</f>
        <v>0</v>
      </c>
      <c r="K194" s="6" t="str">
        <f aca="false">IF($J194=FALSE(),"",COUNTIF($J$6:$J194,TRUE()))</f>
        <v/>
      </c>
      <c r="L194" s="6" t="str">
        <f aca="false">IF($K194="","","R"&amp;$K194)</f>
        <v/>
      </c>
    </row>
    <row r="195" customFormat="false" ht="15" hidden="false" customHeight="true" outlineLevel="0" collapsed="false">
      <c r="J195" s="29" t="b">
        <f aca="false">IF(정비현황!$A195="",FALSE(),OR(정비현황!$M195="교체",정비현황!$M195="임박"))</f>
        <v>0</v>
      </c>
      <c r="K195" s="6" t="str">
        <f aca="false">IF($J195=FALSE(),"",COUNTIF($J$6:$J195,TRUE()))</f>
        <v/>
      </c>
      <c r="L195" s="6" t="str">
        <f aca="false">IF($K195="","","R"&amp;$K195)</f>
        <v/>
      </c>
    </row>
    <row r="196" customFormat="false" ht="15" hidden="false" customHeight="true" outlineLevel="0" collapsed="false">
      <c r="J196" s="29" t="b">
        <f aca="false">IF(정비현황!$A196="",FALSE(),OR(정비현황!$M196="교체",정비현황!$M196="임박"))</f>
        <v>0</v>
      </c>
      <c r="K196" s="6" t="str">
        <f aca="false">IF($J196=FALSE(),"",COUNTIF($J$6:$J196,TRUE()))</f>
        <v/>
      </c>
      <c r="L196" s="6" t="str">
        <f aca="false">IF($K196="","","R"&amp;$K196)</f>
        <v/>
      </c>
    </row>
    <row r="197" customFormat="false" ht="15" hidden="false" customHeight="true" outlineLevel="0" collapsed="false">
      <c r="J197" s="29" t="b">
        <f aca="false">IF(정비현황!$A197="",FALSE(),OR(정비현황!$M197="교체",정비현황!$M197="임박"))</f>
        <v>0</v>
      </c>
      <c r="K197" s="6" t="str">
        <f aca="false">IF($J197=FALSE(),"",COUNTIF($J$6:$J197,TRUE()))</f>
        <v/>
      </c>
      <c r="L197" s="6" t="str">
        <f aca="false">IF($K197="","","R"&amp;$K197)</f>
        <v/>
      </c>
    </row>
    <row r="198" customFormat="false" ht="15" hidden="false" customHeight="true" outlineLevel="0" collapsed="false">
      <c r="J198" s="29" t="b">
        <f aca="false">IF(정비현황!$A198="",FALSE(),OR(정비현황!$M198="교체",정비현황!$M198="임박"))</f>
        <v>0</v>
      </c>
      <c r="K198" s="6" t="str">
        <f aca="false">IF($J198=FALSE(),"",COUNTIF($J$6:$J198,TRUE()))</f>
        <v/>
      </c>
      <c r="L198" s="6" t="str">
        <f aca="false">IF($K198="","","R"&amp;$K198)</f>
        <v/>
      </c>
    </row>
    <row r="199" customFormat="false" ht="15" hidden="false" customHeight="true" outlineLevel="0" collapsed="false">
      <c r="J199" s="29" t="b">
        <f aca="false">IF(정비현황!$A199="",FALSE(),OR(정비현황!$M199="교체",정비현황!$M199="임박"))</f>
        <v>0</v>
      </c>
      <c r="K199" s="6" t="str">
        <f aca="false">IF($J199=FALSE(),"",COUNTIF($J$6:$J199,TRUE()))</f>
        <v/>
      </c>
      <c r="L199" s="6" t="str">
        <f aca="false">IF($K199="","","R"&amp;$K199)</f>
        <v/>
      </c>
    </row>
    <row r="200" customFormat="false" ht="15" hidden="false" customHeight="true" outlineLevel="0" collapsed="false">
      <c r="J200" s="29" t="b">
        <f aca="false">IF(정비현황!$A200="",FALSE(),OR(정비현황!$M200="교체",정비현황!$M200="임박"))</f>
        <v>0</v>
      </c>
      <c r="K200" s="6" t="str">
        <f aca="false">IF($J200=FALSE(),"",COUNTIF($J$6:$J200,TRUE()))</f>
        <v/>
      </c>
      <c r="L200" s="6" t="str">
        <f aca="false">IF($K200="","","R"&amp;$K200)</f>
        <v/>
      </c>
    </row>
    <row r="201" customFormat="false" ht="15" hidden="false" customHeight="true" outlineLevel="0" collapsed="false">
      <c r="J201" s="29" t="b">
        <f aca="false">IF(정비현황!$A201="",FALSE(),OR(정비현황!$M201="교체",정비현황!$M201="임박"))</f>
        <v>0</v>
      </c>
      <c r="K201" s="6" t="str">
        <f aca="false">IF($J201=FALSE(),"",COUNTIF($J$6:$J201,TRUE()))</f>
        <v/>
      </c>
      <c r="L201" s="6" t="str">
        <f aca="false">IF($K201="","","R"&amp;$K201)</f>
        <v/>
      </c>
    </row>
    <row r="202" customFormat="false" ht="15" hidden="false" customHeight="true" outlineLevel="0" collapsed="false">
      <c r="J202" s="29" t="b">
        <f aca="false">IF(정비현황!$A202="",FALSE(),OR(정비현황!$M202="교체",정비현황!$M202="임박"))</f>
        <v>0</v>
      </c>
      <c r="K202" s="6" t="str">
        <f aca="false">IF($J202=FALSE(),"",COUNTIF($J$6:$J202,TRUE()))</f>
        <v/>
      </c>
      <c r="L202" s="6" t="str">
        <f aca="false">IF($K202="","","R"&amp;$K202)</f>
        <v/>
      </c>
    </row>
    <row r="203" customFormat="false" ht="15" hidden="false" customHeight="true" outlineLevel="0" collapsed="false">
      <c r="J203" s="29" t="b">
        <f aca="false">IF(정비현황!$A203="",FALSE(),OR(정비현황!$M203="교체",정비현황!$M203="임박"))</f>
        <v>0</v>
      </c>
      <c r="K203" s="6" t="str">
        <f aca="false">IF($J203=FALSE(),"",COUNTIF($J$6:$J203,TRUE()))</f>
        <v/>
      </c>
      <c r="L203" s="6" t="str">
        <f aca="false">IF($K203="","","R"&amp;$K203)</f>
        <v/>
      </c>
    </row>
    <row r="204" customFormat="false" ht="15" hidden="false" customHeight="true" outlineLevel="0" collapsed="false">
      <c r="J204" s="29" t="b">
        <f aca="false">IF(정비현황!$A204="",FALSE(),OR(정비현황!$M204="교체",정비현황!$M204="임박"))</f>
        <v>0</v>
      </c>
      <c r="K204" s="6" t="str">
        <f aca="false">IF($J204=FALSE(),"",COUNTIF($J$6:$J204,TRUE()))</f>
        <v/>
      </c>
      <c r="L204" s="6" t="str">
        <f aca="false">IF($K204="","","R"&amp;$K204)</f>
        <v/>
      </c>
    </row>
    <row r="205" customFormat="false" ht="15" hidden="false" customHeight="true" outlineLevel="0" collapsed="false">
      <c r="J205" s="29" t="b">
        <f aca="false">IF(정비현황!$A205="",FALSE(),OR(정비현황!$M205="교체",정비현황!$M205="임박"))</f>
        <v>0</v>
      </c>
      <c r="K205" s="6" t="str">
        <f aca="false">IF($J205=FALSE(),"",COUNTIF($J$6:$J205,TRUE()))</f>
        <v/>
      </c>
      <c r="L205" s="6" t="str">
        <f aca="false">IF($K205="","","R"&amp;$K205)</f>
        <v/>
      </c>
    </row>
    <row r="206" customFormat="false" ht="15" hidden="false" customHeight="true" outlineLevel="0" collapsed="false">
      <c r="J206" s="29" t="b">
        <f aca="false">IF(정비현황!$A206="",FALSE(),OR(정비현황!$M206="교체",정비현황!$M206="임박"))</f>
        <v>0</v>
      </c>
      <c r="K206" s="6" t="str">
        <f aca="false">IF($J206=FALSE(),"",COUNTIF($J$6:$J206,TRUE()))</f>
        <v/>
      </c>
      <c r="L206" s="6" t="str">
        <f aca="false">IF($K206="","","R"&amp;$K206)</f>
        <v/>
      </c>
    </row>
    <row r="207" customFormat="false" ht="15" hidden="false" customHeight="true" outlineLevel="0" collapsed="false">
      <c r="J207" s="29" t="b">
        <f aca="false">IF(정비현황!$A207="",FALSE(),OR(정비현황!$M207="교체",정비현황!$M207="임박"))</f>
        <v>0</v>
      </c>
      <c r="K207" s="6" t="str">
        <f aca="false">IF($J207=FALSE(),"",COUNTIF($J$6:$J207,TRUE()))</f>
        <v/>
      </c>
      <c r="L207" s="6" t="str">
        <f aca="false">IF($K207="","","R"&amp;$K207)</f>
        <v/>
      </c>
    </row>
    <row r="208" customFormat="false" ht="15" hidden="false" customHeight="true" outlineLevel="0" collapsed="false">
      <c r="J208" s="29" t="b">
        <f aca="false">IF(정비현황!$A208="",FALSE(),OR(정비현황!$M208="교체",정비현황!$M208="임박"))</f>
        <v>0</v>
      </c>
      <c r="K208" s="6" t="str">
        <f aca="false">IF($J208=FALSE(),"",COUNTIF($J$6:$J208,TRUE()))</f>
        <v/>
      </c>
      <c r="L208" s="6" t="str">
        <f aca="false">IF($K208="","","R"&amp;$K208)</f>
        <v/>
      </c>
    </row>
    <row r="209" customFormat="false" ht="15" hidden="false" customHeight="true" outlineLevel="0" collapsed="false">
      <c r="J209" s="29" t="b">
        <f aca="false">IF(정비현황!$A209="",FALSE(),OR(정비현황!$M209="교체",정비현황!$M209="임박"))</f>
        <v>0</v>
      </c>
      <c r="K209" s="6" t="str">
        <f aca="false">IF($J209=FALSE(),"",COUNTIF($J$6:$J209,TRUE()))</f>
        <v/>
      </c>
      <c r="L209" s="6" t="str">
        <f aca="false">IF($K209="","","R"&amp;$K209)</f>
        <v/>
      </c>
    </row>
    <row r="210" customFormat="false" ht="15" hidden="false" customHeight="true" outlineLevel="0" collapsed="false">
      <c r="J210" s="29" t="b">
        <f aca="false">IF(정비현황!$A210="",FALSE(),OR(정비현황!$M210="교체",정비현황!$M210="임박"))</f>
        <v>0</v>
      </c>
      <c r="K210" s="6" t="str">
        <f aca="false">IF($J210=FALSE(),"",COUNTIF($J$6:$J210,TRUE()))</f>
        <v/>
      </c>
      <c r="L210" s="6" t="str">
        <f aca="false">IF($K210="","","R"&amp;$K210)</f>
        <v/>
      </c>
    </row>
    <row r="211" customFormat="false" ht="15" hidden="false" customHeight="true" outlineLevel="0" collapsed="false">
      <c r="J211" s="29" t="b">
        <f aca="false">IF(정비현황!$A211="",FALSE(),OR(정비현황!$M211="교체",정비현황!$M211="임박"))</f>
        <v>0</v>
      </c>
      <c r="K211" s="6" t="str">
        <f aca="false">IF($J211=FALSE(),"",COUNTIF($J$6:$J211,TRUE()))</f>
        <v/>
      </c>
      <c r="L211" s="6" t="str">
        <f aca="false">IF($K211="","","R"&amp;$K211)</f>
        <v/>
      </c>
    </row>
    <row r="212" customFormat="false" ht="15" hidden="false" customHeight="true" outlineLevel="0" collapsed="false">
      <c r="J212" s="29" t="b">
        <f aca="false">IF(정비현황!$A212="",FALSE(),OR(정비현황!$M212="교체",정비현황!$M212="임박"))</f>
        <v>0</v>
      </c>
      <c r="K212" s="6" t="str">
        <f aca="false">IF($J212=FALSE(),"",COUNTIF($J$6:$J212,TRUE()))</f>
        <v/>
      </c>
      <c r="L212" s="6" t="str">
        <f aca="false">IF($K212="","","R"&amp;$K212)</f>
        <v/>
      </c>
    </row>
    <row r="213" customFormat="false" ht="15" hidden="false" customHeight="true" outlineLevel="0" collapsed="false">
      <c r="J213" s="29" t="b">
        <f aca="false">IF(정비현황!$A213="",FALSE(),OR(정비현황!$M213="교체",정비현황!$M213="임박"))</f>
        <v>0</v>
      </c>
      <c r="K213" s="6" t="str">
        <f aca="false">IF($J213=FALSE(),"",COUNTIF($J$6:$J213,TRUE()))</f>
        <v/>
      </c>
      <c r="L213" s="6" t="str">
        <f aca="false">IF($K213="","","R"&amp;$K213)</f>
        <v/>
      </c>
    </row>
    <row r="214" customFormat="false" ht="15" hidden="false" customHeight="true" outlineLevel="0" collapsed="false">
      <c r="J214" s="29" t="b">
        <f aca="false">IF(정비현황!$A214="",FALSE(),OR(정비현황!$M214="교체",정비현황!$M214="임박"))</f>
        <v>0</v>
      </c>
      <c r="K214" s="6" t="str">
        <f aca="false">IF($J214=FALSE(),"",COUNTIF($J$6:$J214,TRUE()))</f>
        <v/>
      </c>
      <c r="L214" s="6" t="str">
        <f aca="false">IF($K214="","","R"&amp;$K214)</f>
        <v/>
      </c>
    </row>
    <row r="215" customFormat="false" ht="15" hidden="false" customHeight="true" outlineLevel="0" collapsed="false">
      <c r="J215" s="29" t="b">
        <f aca="false">IF(정비현황!$A215="",FALSE(),OR(정비현황!$M215="교체",정비현황!$M215="임박"))</f>
        <v>0</v>
      </c>
      <c r="K215" s="6" t="str">
        <f aca="false">IF($J215=FALSE(),"",COUNTIF($J$6:$J215,TRUE()))</f>
        <v/>
      </c>
      <c r="L215" s="6" t="str">
        <f aca="false">IF($K215="","","R"&amp;$K215)</f>
        <v/>
      </c>
    </row>
    <row r="216" customFormat="false" ht="15" hidden="false" customHeight="true" outlineLevel="0" collapsed="false">
      <c r="J216" s="29" t="b">
        <f aca="false">IF(정비현황!$A216="",FALSE(),OR(정비현황!$M216="교체",정비현황!$M216="임박"))</f>
        <v>0</v>
      </c>
      <c r="K216" s="6" t="str">
        <f aca="false">IF($J216=FALSE(),"",COUNTIF($J$6:$J216,TRUE()))</f>
        <v/>
      </c>
      <c r="L216" s="6" t="str">
        <f aca="false">IF($K216="","","R"&amp;$K216)</f>
        <v/>
      </c>
    </row>
    <row r="217" customFormat="false" ht="15" hidden="false" customHeight="true" outlineLevel="0" collapsed="false">
      <c r="J217" s="29" t="b">
        <f aca="false">IF(정비현황!$A217="",FALSE(),OR(정비현황!$M217="교체",정비현황!$M217="임박"))</f>
        <v>0</v>
      </c>
      <c r="K217" s="6" t="str">
        <f aca="false">IF($J217=FALSE(),"",COUNTIF($J$6:$J217,TRUE()))</f>
        <v/>
      </c>
      <c r="L217" s="6" t="str">
        <f aca="false">IF($K217="","","R"&amp;$K217)</f>
        <v/>
      </c>
    </row>
    <row r="218" customFormat="false" ht="15" hidden="false" customHeight="true" outlineLevel="0" collapsed="false">
      <c r="J218" s="29" t="b">
        <f aca="false">IF(정비현황!$A218="",FALSE(),OR(정비현황!$M218="교체",정비현황!$M218="임박"))</f>
        <v>0</v>
      </c>
      <c r="K218" s="6" t="str">
        <f aca="false">IF($J218=FALSE(),"",COUNTIF($J$6:$J218,TRUE()))</f>
        <v/>
      </c>
      <c r="L218" s="6" t="str">
        <f aca="false">IF($K218="","","R"&amp;$K218)</f>
        <v/>
      </c>
    </row>
    <row r="219" customFormat="false" ht="15" hidden="false" customHeight="true" outlineLevel="0" collapsed="false">
      <c r="J219" s="29" t="b">
        <f aca="false">IF(정비현황!$A219="",FALSE(),OR(정비현황!$M219="교체",정비현황!$M219="임박"))</f>
        <v>0</v>
      </c>
      <c r="K219" s="6" t="str">
        <f aca="false">IF($J219=FALSE(),"",COUNTIF($J$6:$J219,TRUE()))</f>
        <v/>
      </c>
      <c r="L219" s="6" t="str">
        <f aca="false">IF($K219="","","R"&amp;$K219)</f>
        <v/>
      </c>
    </row>
    <row r="220" customFormat="false" ht="15" hidden="false" customHeight="true" outlineLevel="0" collapsed="false">
      <c r="J220" s="29" t="b">
        <f aca="false">IF(정비현황!$A220="",FALSE(),OR(정비현황!$M220="교체",정비현황!$M220="임박"))</f>
        <v>0</v>
      </c>
      <c r="K220" s="6" t="str">
        <f aca="false">IF($J220=FALSE(),"",COUNTIF($J$6:$J220,TRUE()))</f>
        <v/>
      </c>
      <c r="L220" s="6" t="str">
        <f aca="false">IF($K220="","","R"&amp;$K220)</f>
        <v/>
      </c>
    </row>
    <row r="221" customFormat="false" ht="15" hidden="false" customHeight="true" outlineLevel="0" collapsed="false">
      <c r="J221" s="29" t="b">
        <f aca="false">IF(정비현황!$A221="",FALSE(),OR(정비현황!$M221="교체",정비현황!$M221="임박"))</f>
        <v>0</v>
      </c>
      <c r="K221" s="6" t="str">
        <f aca="false">IF($J221=FALSE(),"",COUNTIF($J$6:$J221,TRUE()))</f>
        <v/>
      </c>
      <c r="L221" s="6" t="str">
        <f aca="false">IF($K221="","","R"&amp;$K221)</f>
        <v/>
      </c>
    </row>
    <row r="222" customFormat="false" ht="15" hidden="false" customHeight="true" outlineLevel="0" collapsed="false">
      <c r="J222" s="29" t="b">
        <f aca="false">IF(정비현황!$A222="",FALSE(),OR(정비현황!$M222="교체",정비현황!$M222="임박"))</f>
        <v>0</v>
      </c>
      <c r="K222" s="6" t="str">
        <f aca="false">IF($J222=FALSE(),"",COUNTIF($J$6:$J222,TRUE()))</f>
        <v/>
      </c>
      <c r="L222" s="6" t="str">
        <f aca="false">IF($K222="","","R"&amp;$K222)</f>
        <v/>
      </c>
    </row>
    <row r="223" customFormat="false" ht="15" hidden="false" customHeight="true" outlineLevel="0" collapsed="false">
      <c r="J223" s="29" t="b">
        <f aca="false">IF(정비현황!$A223="",FALSE(),OR(정비현황!$M223="교체",정비현황!$M223="임박"))</f>
        <v>0</v>
      </c>
      <c r="K223" s="6" t="str">
        <f aca="false">IF($J223=FALSE(),"",COUNTIF($J$6:$J223,TRUE()))</f>
        <v/>
      </c>
      <c r="L223" s="6" t="str">
        <f aca="false">IF($K223="","","R"&amp;$K223)</f>
        <v/>
      </c>
    </row>
    <row r="224" customFormat="false" ht="15" hidden="false" customHeight="true" outlineLevel="0" collapsed="false">
      <c r="J224" s="29" t="b">
        <f aca="false">IF(정비현황!$A224="",FALSE(),OR(정비현황!$M224="교체",정비현황!$M224="임박"))</f>
        <v>0</v>
      </c>
      <c r="K224" s="6" t="str">
        <f aca="false">IF($J224=FALSE(),"",COUNTIF($J$6:$J224,TRUE()))</f>
        <v/>
      </c>
      <c r="L224" s="6" t="str">
        <f aca="false">IF($K224="","","R"&amp;$K224)</f>
        <v/>
      </c>
    </row>
    <row r="225" customFormat="false" ht="15" hidden="false" customHeight="true" outlineLevel="0" collapsed="false">
      <c r="J225" s="29" t="b">
        <f aca="false">IF(정비현황!$A225="",FALSE(),OR(정비현황!$M225="교체",정비현황!$M225="임박"))</f>
        <v>0</v>
      </c>
      <c r="K225" s="6" t="str">
        <f aca="false">IF($J225=FALSE(),"",COUNTIF($J$6:$J225,TRUE()))</f>
        <v/>
      </c>
      <c r="L225" s="6" t="str">
        <f aca="false">IF($K225="","","R"&amp;$K225)</f>
        <v/>
      </c>
    </row>
    <row r="226" customFormat="false" ht="15" hidden="false" customHeight="true" outlineLevel="0" collapsed="false">
      <c r="J226" s="29" t="b">
        <f aca="false">IF(정비현황!$A226="",FALSE(),OR(정비현황!$M226="교체",정비현황!$M226="임박"))</f>
        <v>0</v>
      </c>
      <c r="K226" s="6" t="str">
        <f aca="false">IF($J226=FALSE(),"",COUNTIF($J$6:$J226,TRUE()))</f>
        <v/>
      </c>
      <c r="L226" s="6" t="str">
        <f aca="false">IF($K226="","","R"&amp;$K226)</f>
        <v/>
      </c>
    </row>
    <row r="227" customFormat="false" ht="15" hidden="false" customHeight="true" outlineLevel="0" collapsed="false">
      <c r="J227" s="29" t="b">
        <f aca="false">IF(정비현황!$A227="",FALSE(),OR(정비현황!$M227="교체",정비현황!$M227="임박"))</f>
        <v>0</v>
      </c>
      <c r="K227" s="6" t="str">
        <f aca="false">IF($J227=FALSE(),"",COUNTIF($J$6:$J227,TRUE()))</f>
        <v/>
      </c>
      <c r="L227" s="6" t="str">
        <f aca="false">IF($K227="","","R"&amp;$K227)</f>
        <v/>
      </c>
    </row>
    <row r="228" customFormat="false" ht="15" hidden="false" customHeight="true" outlineLevel="0" collapsed="false">
      <c r="J228" s="29" t="b">
        <f aca="false">IF(정비현황!$A228="",FALSE(),OR(정비현황!$M228="교체",정비현황!$M228="임박"))</f>
        <v>0</v>
      </c>
      <c r="K228" s="6" t="str">
        <f aca="false">IF($J228=FALSE(),"",COUNTIF($J$6:$J228,TRUE()))</f>
        <v/>
      </c>
      <c r="L228" s="6" t="str">
        <f aca="false">IF($K228="","","R"&amp;$K228)</f>
        <v/>
      </c>
    </row>
    <row r="229" customFormat="false" ht="15" hidden="false" customHeight="true" outlineLevel="0" collapsed="false">
      <c r="J229" s="29" t="b">
        <f aca="false">IF(정비현황!$A229="",FALSE(),OR(정비현황!$M229="교체",정비현황!$M229="임박"))</f>
        <v>0</v>
      </c>
      <c r="K229" s="6" t="str">
        <f aca="false">IF($J229=FALSE(),"",COUNTIF($J$6:$J229,TRUE()))</f>
        <v/>
      </c>
      <c r="L229" s="6" t="str">
        <f aca="false">IF($K229="","","R"&amp;$K229)</f>
        <v/>
      </c>
    </row>
    <row r="230" customFormat="false" ht="15" hidden="false" customHeight="true" outlineLevel="0" collapsed="false">
      <c r="J230" s="29" t="b">
        <f aca="false">IF(정비현황!$A230="",FALSE(),OR(정비현황!$M230="교체",정비현황!$M230="임박"))</f>
        <v>0</v>
      </c>
      <c r="K230" s="6" t="str">
        <f aca="false">IF($J230=FALSE(),"",COUNTIF($J$6:$J230,TRUE()))</f>
        <v/>
      </c>
      <c r="L230" s="6" t="str">
        <f aca="false">IF($K230="","","R"&amp;$K230)</f>
        <v/>
      </c>
    </row>
    <row r="231" customFormat="false" ht="15" hidden="false" customHeight="true" outlineLevel="0" collapsed="false">
      <c r="J231" s="29" t="b">
        <f aca="false">IF(정비현황!$A231="",FALSE(),OR(정비현황!$M231="교체",정비현황!$M231="임박"))</f>
        <v>0</v>
      </c>
      <c r="K231" s="6" t="str">
        <f aca="false">IF($J231=FALSE(),"",COUNTIF($J$6:$J231,TRUE()))</f>
        <v/>
      </c>
      <c r="L231" s="6" t="str">
        <f aca="false">IF($K231="","","R"&amp;$K231)</f>
        <v/>
      </c>
    </row>
    <row r="232" customFormat="false" ht="15" hidden="false" customHeight="true" outlineLevel="0" collapsed="false">
      <c r="J232" s="29" t="b">
        <f aca="false">IF(정비현황!$A232="",FALSE(),OR(정비현황!$M232="교체",정비현황!$M232="임박"))</f>
        <v>0</v>
      </c>
      <c r="K232" s="6" t="str">
        <f aca="false">IF($J232=FALSE(),"",COUNTIF($J$6:$J232,TRUE()))</f>
        <v/>
      </c>
      <c r="L232" s="6" t="str">
        <f aca="false">IF($K232="","","R"&amp;$K232)</f>
        <v/>
      </c>
    </row>
    <row r="233" customFormat="false" ht="15" hidden="false" customHeight="true" outlineLevel="0" collapsed="false">
      <c r="J233" s="29" t="b">
        <f aca="false">IF(정비현황!$A233="",FALSE(),OR(정비현황!$M233="교체",정비현황!$M233="임박"))</f>
        <v>0</v>
      </c>
      <c r="K233" s="6" t="str">
        <f aca="false">IF($J233=FALSE(),"",COUNTIF($J$6:$J233,TRUE()))</f>
        <v/>
      </c>
      <c r="L233" s="6" t="str">
        <f aca="false">IF($K233="","","R"&amp;$K233)</f>
        <v/>
      </c>
    </row>
    <row r="234" customFormat="false" ht="15" hidden="false" customHeight="true" outlineLevel="0" collapsed="false">
      <c r="J234" s="29" t="b">
        <f aca="false">IF(정비현황!$A234="",FALSE(),OR(정비현황!$M234="교체",정비현황!$M234="임박"))</f>
        <v>0</v>
      </c>
      <c r="K234" s="6" t="str">
        <f aca="false">IF($J234=FALSE(),"",COUNTIF($J$6:$J234,TRUE()))</f>
        <v/>
      </c>
      <c r="L234" s="6" t="str">
        <f aca="false">IF($K234="","","R"&amp;$K234)</f>
        <v/>
      </c>
    </row>
    <row r="235" customFormat="false" ht="15" hidden="false" customHeight="true" outlineLevel="0" collapsed="false">
      <c r="J235" s="29" t="b">
        <f aca="false">IF(정비현황!$A235="",FALSE(),OR(정비현황!$M235="교체",정비현황!$M235="임박"))</f>
        <v>0</v>
      </c>
      <c r="K235" s="6" t="str">
        <f aca="false">IF($J235=FALSE(),"",COUNTIF($J$6:$J235,TRUE()))</f>
        <v/>
      </c>
      <c r="L235" s="6" t="str">
        <f aca="false">IF($K235="","","R"&amp;$K235)</f>
        <v/>
      </c>
    </row>
    <row r="236" customFormat="false" ht="15" hidden="false" customHeight="true" outlineLevel="0" collapsed="false">
      <c r="J236" s="29" t="b">
        <f aca="false">IF(정비현황!$A236="",FALSE(),OR(정비현황!$M236="교체",정비현황!$M236="임박"))</f>
        <v>0</v>
      </c>
      <c r="K236" s="6" t="str">
        <f aca="false">IF($J236=FALSE(),"",COUNTIF($J$6:$J236,TRUE()))</f>
        <v/>
      </c>
      <c r="L236" s="6" t="str">
        <f aca="false">IF($K236="","","R"&amp;$K236)</f>
        <v/>
      </c>
    </row>
    <row r="237" customFormat="false" ht="15" hidden="false" customHeight="true" outlineLevel="0" collapsed="false">
      <c r="J237" s="29" t="b">
        <f aca="false">IF(정비현황!$A237="",FALSE(),OR(정비현황!$M237="교체",정비현황!$M237="임박"))</f>
        <v>0</v>
      </c>
      <c r="K237" s="6" t="str">
        <f aca="false">IF($J237=FALSE(),"",COUNTIF($J$6:$J237,TRUE()))</f>
        <v/>
      </c>
      <c r="L237" s="6" t="str">
        <f aca="false">IF($K237="","","R"&amp;$K237)</f>
        <v/>
      </c>
    </row>
    <row r="238" customFormat="false" ht="15" hidden="false" customHeight="true" outlineLevel="0" collapsed="false">
      <c r="J238" s="29" t="b">
        <f aca="false">IF(정비현황!$A238="",FALSE(),OR(정비현황!$M238="교체",정비현황!$M238="임박"))</f>
        <v>0</v>
      </c>
      <c r="K238" s="6" t="str">
        <f aca="false">IF($J238=FALSE(),"",COUNTIF($J$6:$J238,TRUE()))</f>
        <v/>
      </c>
      <c r="L238" s="6" t="str">
        <f aca="false">IF($K238="","","R"&amp;$K238)</f>
        <v/>
      </c>
    </row>
    <row r="239" customFormat="false" ht="15" hidden="false" customHeight="true" outlineLevel="0" collapsed="false">
      <c r="J239" s="29" t="b">
        <f aca="false">IF(정비현황!$A239="",FALSE(),OR(정비현황!$M239="교체",정비현황!$M239="임박"))</f>
        <v>0</v>
      </c>
      <c r="K239" s="6" t="str">
        <f aca="false">IF($J239=FALSE(),"",COUNTIF($J$6:$J239,TRUE()))</f>
        <v/>
      </c>
      <c r="L239" s="6" t="str">
        <f aca="false">IF($K239="","","R"&amp;$K239)</f>
        <v/>
      </c>
    </row>
    <row r="240" customFormat="false" ht="15" hidden="false" customHeight="true" outlineLevel="0" collapsed="false">
      <c r="J240" s="29" t="b">
        <f aca="false">IF(정비현황!$A240="",FALSE(),OR(정비현황!$M240="교체",정비현황!$M240="임박"))</f>
        <v>0</v>
      </c>
      <c r="K240" s="6" t="str">
        <f aca="false">IF($J240=FALSE(),"",COUNTIF($J$6:$J240,TRUE()))</f>
        <v/>
      </c>
      <c r="L240" s="6" t="str">
        <f aca="false">IF($K240="","","R"&amp;$K240)</f>
        <v/>
      </c>
    </row>
    <row r="241" customFormat="false" ht="15" hidden="false" customHeight="true" outlineLevel="0" collapsed="false">
      <c r="J241" s="29" t="b">
        <f aca="false">IF(정비현황!$A241="",FALSE(),OR(정비현황!$M241="교체",정비현황!$M241="임박"))</f>
        <v>0</v>
      </c>
      <c r="K241" s="6" t="str">
        <f aca="false">IF($J241=FALSE(),"",COUNTIF($J$6:$J241,TRUE()))</f>
        <v/>
      </c>
      <c r="L241" s="6" t="str">
        <f aca="false">IF($K241="","","R"&amp;$K241)</f>
        <v/>
      </c>
    </row>
    <row r="242" customFormat="false" ht="15" hidden="false" customHeight="true" outlineLevel="0" collapsed="false">
      <c r="J242" s="29" t="b">
        <f aca="false">IF(정비현황!$A242="",FALSE(),OR(정비현황!$M242="교체",정비현황!$M242="임박"))</f>
        <v>0</v>
      </c>
      <c r="K242" s="6" t="str">
        <f aca="false">IF($J242=FALSE(),"",COUNTIF($J$6:$J242,TRUE()))</f>
        <v/>
      </c>
      <c r="L242" s="6" t="str">
        <f aca="false">IF($K242="","","R"&amp;$K242)</f>
        <v/>
      </c>
    </row>
    <row r="243" customFormat="false" ht="15" hidden="false" customHeight="true" outlineLevel="0" collapsed="false">
      <c r="J243" s="29" t="b">
        <f aca="false">IF(정비현황!$A243="",FALSE(),OR(정비현황!$M243="교체",정비현황!$M243="임박"))</f>
        <v>0</v>
      </c>
      <c r="K243" s="6" t="str">
        <f aca="false">IF($J243=FALSE(),"",COUNTIF($J$6:$J243,TRUE()))</f>
        <v/>
      </c>
      <c r="L243" s="6" t="str">
        <f aca="false">IF($K243="","","R"&amp;$K243)</f>
        <v/>
      </c>
    </row>
    <row r="244" customFormat="false" ht="15" hidden="false" customHeight="true" outlineLevel="0" collapsed="false">
      <c r="J244" s="29" t="b">
        <f aca="false">IF(정비현황!$A244="",FALSE(),OR(정비현황!$M244="교체",정비현황!$M244="임박"))</f>
        <v>0</v>
      </c>
      <c r="K244" s="6" t="str">
        <f aca="false">IF($J244=FALSE(),"",COUNTIF($J$6:$J244,TRUE()))</f>
        <v/>
      </c>
      <c r="L244" s="6" t="str">
        <f aca="false">IF($K244="","","R"&amp;$K244)</f>
        <v/>
      </c>
    </row>
    <row r="245" customFormat="false" ht="15" hidden="false" customHeight="true" outlineLevel="0" collapsed="false">
      <c r="J245" s="29" t="b">
        <f aca="false">IF(정비현황!$A245="",FALSE(),OR(정비현황!$M245="교체",정비현황!$M245="임박"))</f>
        <v>0</v>
      </c>
      <c r="K245" s="6" t="str">
        <f aca="false">IF($J245=FALSE(),"",COUNTIF($J$6:$J245,TRUE()))</f>
        <v/>
      </c>
      <c r="L245" s="6" t="str">
        <f aca="false">IF($K245="","","R"&amp;$K245)</f>
        <v/>
      </c>
    </row>
    <row r="246" customFormat="false" ht="15" hidden="false" customHeight="true" outlineLevel="0" collapsed="false">
      <c r="J246" s="29" t="b">
        <f aca="false">IF(정비현황!$A246="",FALSE(),OR(정비현황!$M246="교체",정비현황!$M246="임박"))</f>
        <v>0</v>
      </c>
      <c r="K246" s="6" t="str">
        <f aca="false">IF($J246=FALSE(),"",COUNTIF($J$6:$J246,TRUE()))</f>
        <v/>
      </c>
      <c r="L246" s="6" t="str">
        <f aca="false">IF($K246="","","R"&amp;$K246)</f>
        <v/>
      </c>
    </row>
    <row r="247" customFormat="false" ht="15" hidden="false" customHeight="true" outlineLevel="0" collapsed="false">
      <c r="J247" s="29" t="b">
        <f aca="false">IF(정비현황!$A247="",FALSE(),OR(정비현황!$M247="교체",정비현황!$M247="임박"))</f>
        <v>0</v>
      </c>
      <c r="K247" s="6" t="str">
        <f aca="false">IF($J247=FALSE(),"",COUNTIF($J$6:$J247,TRUE()))</f>
        <v/>
      </c>
      <c r="L247" s="6" t="str">
        <f aca="false">IF($K247="","","R"&amp;$K247)</f>
        <v/>
      </c>
    </row>
    <row r="248" customFormat="false" ht="15" hidden="false" customHeight="true" outlineLevel="0" collapsed="false">
      <c r="J248" s="29" t="b">
        <f aca="false">IF(정비현황!$A248="",FALSE(),OR(정비현황!$M248="교체",정비현황!$M248="임박"))</f>
        <v>0</v>
      </c>
      <c r="K248" s="6" t="str">
        <f aca="false">IF($J248=FALSE(),"",COUNTIF($J$6:$J248,TRUE()))</f>
        <v/>
      </c>
      <c r="L248" s="6" t="str">
        <f aca="false">IF($K248="","","R"&amp;$K248)</f>
        <v/>
      </c>
    </row>
    <row r="249" customFormat="false" ht="15" hidden="false" customHeight="true" outlineLevel="0" collapsed="false">
      <c r="J249" s="29" t="b">
        <f aca="false">IF(정비현황!$A249="",FALSE(),OR(정비현황!$M249="교체",정비현황!$M249="임박"))</f>
        <v>0</v>
      </c>
      <c r="K249" s="6" t="str">
        <f aca="false">IF($J249=FALSE(),"",COUNTIF($J$6:$J249,TRUE()))</f>
        <v/>
      </c>
      <c r="L249" s="6" t="str">
        <f aca="false">IF($K249="","","R"&amp;$K249)</f>
        <v/>
      </c>
    </row>
    <row r="250" customFormat="false" ht="15" hidden="false" customHeight="true" outlineLevel="0" collapsed="false">
      <c r="J250" s="29" t="b">
        <f aca="false">IF(정비현황!$A250="",FALSE(),OR(정비현황!$M250="교체",정비현황!$M250="임박"))</f>
        <v>0</v>
      </c>
      <c r="K250" s="6" t="str">
        <f aca="false">IF($J250=FALSE(),"",COUNTIF($J$6:$J250,TRUE()))</f>
        <v/>
      </c>
      <c r="L250" s="6" t="str">
        <f aca="false">IF($K250="","","R"&amp;$K250)</f>
        <v/>
      </c>
    </row>
    <row r="251" customFormat="false" ht="15" hidden="false" customHeight="true" outlineLevel="0" collapsed="false">
      <c r="J251" s="29" t="b">
        <f aca="false">IF(정비현황!$A251="",FALSE(),OR(정비현황!$M251="교체",정비현황!$M251="임박"))</f>
        <v>0</v>
      </c>
      <c r="K251" s="6" t="str">
        <f aca="false">IF($J251=FALSE(),"",COUNTIF($J$6:$J251,TRUE()))</f>
        <v/>
      </c>
      <c r="L251" s="6" t="str">
        <f aca="false">IF($K251="","","R"&amp;$K251)</f>
        <v/>
      </c>
    </row>
    <row r="252" customFormat="false" ht="15" hidden="false" customHeight="true" outlineLevel="0" collapsed="false">
      <c r="J252" s="29" t="b">
        <f aca="false">IF(정비현황!$A252="",FALSE(),OR(정비현황!$M252="교체",정비현황!$M252="임박"))</f>
        <v>0</v>
      </c>
      <c r="K252" s="6" t="str">
        <f aca="false">IF($J252=FALSE(),"",COUNTIF($J$6:$J252,TRUE()))</f>
        <v/>
      </c>
      <c r="L252" s="6" t="str">
        <f aca="false">IF($K252="","","R"&amp;$K252)</f>
        <v/>
      </c>
    </row>
    <row r="253" customFormat="false" ht="15" hidden="false" customHeight="true" outlineLevel="0" collapsed="false">
      <c r="J253" s="29" t="b">
        <f aca="false">IF(정비현황!$A253="",FALSE(),OR(정비현황!$M253="교체",정비현황!$M253="임박"))</f>
        <v>0</v>
      </c>
      <c r="K253" s="6" t="str">
        <f aca="false">IF($J253=FALSE(),"",COUNTIF($J$6:$J253,TRUE()))</f>
        <v/>
      </c>
      <c r="L253" s="6" t="str">
        <f aca="false">IF($K253="","","R"&amp;$K253)</f>
        <v/>
      </c>
    </row>
    <row r="254" customFormat="false" ht="15" hidden="false" customHeight="true" outlineLevel="0" collapsed="false">
      <c r="J254" s="29" t="b">
        <f aca="false">IF(정비현황!$A254="",FALSE(),OR(정비현황!$M254="교체",정비현황!$M254="임박"))</f>
        <v>0</v>
      </c>
      <c r="K254" s="6" t="str">
        <f aca="false">IF($J254=FALSE(),"",COUNTIF($J$6:$J254,TRUE()))</f>
        <v/>
      </c>
      <c r="L254" s="6" t="str">
        <f aca="false">IF($K254="","","R"&amp;$K254)</f>
        <v/>
      </c>
    </row>
    <row r="255" customFormat="false" ht="15" hidden="false" customHeight="true" outlineLevel="0" collapsed="false">
      <c r="J255" s="29" t="b">
        <f aca="false">IF(정비현황!$A255="",FALSE(),OR(정비현황!$M255="교체",정비현황!$M255="임박"))</f>
        <v>0</v>
      </c>
      <c r="K255" s="6" t="str">
        <f aca="false">IF($J255=FALSE(),"",COUNTIF($J$6:$J255,TRUE()))</f>
        <v/>
      </c>
      <c r="L255" s="6" t="str">
        <f aca="false">IF($K255="","","R"&amp;$K255)</f>
        <v/>
      </c>
    </row>
    <row r="256" customFormat="false" ht="15" hidden="false" customHeight="true" outlineLevel="0" collapsed="false">
      <c r="J256" s="29" t="b">
        <f aca="false">IF(정비현황!$A256="",FALSE(),OR(정비현황!$M256="교체",정비현황!$M256="임박"))</f>
        <v>0</v>
      </c>
      <c r="K256" s="6" t="str">
        <f aca="false">IF($J256=FALSE(),"",COUNTIF($J$6:$J256,TRUE()))</f>
        <v/>
      </c>
      <c r="L256" s="6" t="str">
        <f aca="false">IF($K256="","","R"&amp;$K256)</f>
        <v/>
      </c>
    </row>
    <row r="257" customFormat="false" ht="15" hidden="false" customHeight="true" outlineLevel="0" collapsed="false">
      <c r="J257" s="29" t="b">
        <f aca="false">IF(정비현황!$A257="",FALSE(),OR(정비현황!$M257="교체",정비현황!$M257="임박"))</f>
        <v>0</v>
      </c>
      <c r="K257" s="6" t="str">
        <f aca="false">IF($J257=FALSE(),"",COUNTIF($J$6:$J257,TRUE()))</f>
        <v/>
      </c>
      <c r="L257" s="6" t="str">
        <f aca="false">IF($K257="","","R"&amp;$K257)</f>
        <v/>
      </c>
    </row>
    <row r="258" customFormat="false" ht="15" hidden="false" customHeight="true" outlineLevel="0" collapsed="false">
      <c r="J258" s="29" t="b">
        <f aca="false">IF(정비현황!$A258="",FALSE(),OR(정비현황!$M258="교체",정비현황!$M258="임박"))</f>
        <v>0</v>
      </c>
      <c r="K258" s="6" t="str">
        <f aca="false">IF($J258=FALSE(),"",COUNTIF($J$6:$J258,TRUE()))</f>
        <v/>
      </c>
      <c r="L258" s="6" t="str">
        <f aca="false">IF($K258="","","R"&amp;$K258)</f>
        <v/>
      </c>
    </row>
    <row r="259" customFormat="false" ht="15" hidden="false" customHeight="true" outlineLevel="0" collapsed="false">
      <c r="J259" s="29" t="b">
        <f aca="false">IF(정비현황!$A259="",FALSE(),OR(정비현황!$M259="교체",정비현황!$M259="임박"))</f>
        <v>0</v>
      </c>
      <c r="K259" s="6" t="str">
        <f aca="false">IF($J259=FALSE(),"",COUNTIF($J$6:$J259,TRUE()))</f>
        <v/>
      </c>
      <c r="L259" s="6" t="str">
        <f aca="false">IF($K259="","","R"&amp;$K259)</f>
        <v/>
      </c>
    </row>
    <row r="260" customFormat="false" ht="15" hidden="false" customHeight="true" outlineLevel="0" collapsed="false">
      <c r="J260" s="29" t="b">
        <f aca="false">IF(정비현황!$A260="",FALSE(),OR(정비현황!$M260="교체",정비현황!$M260="임박"))</f>
        <v>0</v>
      </c>
      <c r="K260" s="6" t="str">
        <f aca="false">IF($J260=FALSE(),"",COUNTIF($J$6:$J260,TRUE()))</f>
        <v/>
      </c>
      <c r="L260" s="6" t="str">
        <f aca="false">IF($K260="","","R"&amp;$K260)</f>
        <v/>
      </c>
    </row>
    <row r="261" customFormat="false" ht="15" hidden="false" customHeight="true" outlineLevel="0" collapsed="false">
      <c r="J261" s="29" t="b">
        <f aca="false">IF(정비현황!$A261="",FALSE(),OR(정비현황!$M261="교체",정비현황!$M261="임박"))</f>
        <v>0</v>
      </c>
      <c r="K261" s="6" t="str">
        <f aca="false">IF($J261=FALSE(),"",COUNTIF($J$6:$J261,TRUE()))</f>
        <v/>
      </c>
      <c r="L261" s="6" t="str">
        <f aca="false">IF($K261="","","R"&amp;$K261)</f>
        <v/>
      </c>
    </row>
    <row r="262" customFormat="false" ht="15" hidden="false" customHeight="true" outlineLevel="0" collapsed="false">
      <c r="J262" s="29" t="b">
        <f aca="false">IF(정비현황!$A262="",FALSE(),OR(정비현황!$M262="교체",정비현황!$M262="임박"))</f>
        <v>0</v>
      </c>
      <c r="K262" s="6" t="str">
        <f aca="false">IF($J262=FALSE(),"",COUNTIF($J$6:$J262,TRUE()))</f>
        <v/>
      </c>
      <c r="L262" s="6" t="str">
        <f aca="false">IF($K262="","","R"&amp;$K262)</f>
        <v/>
      </c>
    </row>
    <row r="263" customFormat="false" ht="15" hidden="false" customHeight="true" outlineLevel="0" collapsed="false">
      <c r="J263" s="29" t="b">
        <f aca="false">IF(정비현황!$A263="",FALSE(),OR(정비현황!$M263="교체",정비현황!$M263="임박"))</f>
        <v>0</v>
      </c>
      <c r="K263" s="6" t="str">
        <f aca="false">IF($J263=FALSE(),"",COUNTIF($J$6:$J263,TRUE()))</f>
        <v/>
      </c>
      <c r="L263" s="6" t="str">
        <f aca="false">IF($K263="","","R"&amp;$K263)</f>
        <v/>
      </c>
    </row>
    <row r="264" customFormat="false" ht="15" hidden="false" customHeight="true" outlineLevel="0" collapsed="false">
      <c r="J264" s="29" t="b">
        <f aca="false">IF(정비현황!$A264="",FALSE(),OR(정비현황!$M264="교체",정비현황!$M264="임박"))</f>
        <v>0</v>
      </c>
      <c r="K264" s="6" t="str">
        <f aca="false">IF($J264=FALSE(),"",COUNTIF($J$6:$J264,TRUE()))</f>
        <v/>
      </c>
      <c r="L264" s="6" t="str">
        <f aca="false">IF($K264="","","R"&amp;$K264)</f>
        <v/>
      </c>
    </row>
    <row r="265" customFormat="false" ht="15" hidden="false" customHeight="true" outlineLevel="0" collapsed="false">
      <c r="J265" s="29" t="b">
        <f aca="false">IF(정비현황!$A265="",FALSE(),OR(정비현황!$M265="교체",정비현황!$M265="임박"))</f>
        <v>0</v>
      </c>
      <c r="K265" s="6" t="str">
        <f aca="false">IF($J265=FALSE(),"",COUNTIF($J$6:$J265,TRUE()))</f>
        <v/>
      </c>
      <c r="L265" s="6" t="str">
        <f aca="false">IF($K265="","","R"&amp;$K265)</f>
        <v/>
      </c>
    </row>
    <row r="266" customFormat="false" ht="15" hidden="false" customHeight="true" outlineLevel="0" collapsed="false">
      <c r="J266" s="29" t="b">
        <f aca="false">IF(정비현황!$A266="",FALSE(),OR(정비현황!$M266="교체",정비현황!$M266="임박"))</f>
        <v>0</v>
      </c>
      <c r="K266" s="6" t="str">
        <f aca="false">IF($J266=FALSE(),"",COUNTIF($J$6:$J266,TRUE()))</f>
        <v/>
      </c>
      <c r="L266" s="6" t="str">
        <f aca="false">IF($K266="","","R"&amp;$K266)</f>
        <v/>
      </c>
    </row>
    <row r="267" customFormat="false" ht="15" hidden="false" customHeight="true" outlineLevel="0" collapsed="false">
      <c r="J267" s="29" t="b">
        <f aca="false">IF(정비현황!$A267="",FALSE(),OR(정비현황!$M267="교체",정비현황!$M267="임박"))</f>
        <v>0</v>
      </c>
      <c r="K267" s="6" t="str">
        <f aca="false">IF($J267=FALSE(),"",COUNTIF($J$6:$J267,TRUE()))</f>
        <v/>
      </c>
      <c r="L267" s="6" t="str">
        <f aca="false">IF($K267="","","R"&amp;$K267)</f>
        <v/>
      </c>
    </row>
    <row r="268" customFormat="false" ht="15" hidden="false" customHeight="true" outlineLevel="0" collapsed="false">
      <c r="J268" s="29" t="b">
        <f aca="false">IF(정비현황!$A268="",FALSE(),OR(정비현황!$M268="교체",정비현황!$M268="임박"))</f>
        <v>0</v>
      </c>
      <c r="K268" s="6" t="str">
        <f aca="false">IF($J268=FALSE(),"",COUNTIF($J$6:$J268,TRUE()))</f>
        <v/>
      </c>
      <c r="L268" s="6" t="str">
        <f aca="false">IF($K268="","","R"&amp;$K268)</f>
        <v/>
      </c>
    </row>
    <row r="269" customFormat="false" ht="15" hidden="false" customHeight="true" outlineLevel="0" collapsed="false">
      <c r="J269" s="29" t="b">
        <f aca="false">IF(정비현황!$A269="",FALSE(),OR(정비현황!$M269="교체",정비현황!$M269="임박"))</f>
        <v>0</v>
      </c>
      <c r="K269" s="6" t="str">
        <f aca="false">IF($J269=FALSE(),"",COUNTIF($J$6:$J269,TRUE()))</f>
        <v/>
      </c>
      <c r="L269" s="6" t="str">
        <f aca="false">IF($K269="","","R"&amp;$K269)</f>
        <v/>
      </c>
    </row>
    <row r="270" customFormat="false" ht="15" hidden="false" customHeight="true" outlineLevel="0" collapsed="false">
      <c r="J270" s="29" t="b">
        <f aca="false">IF(정비현황!$A270="",FALSE(),OR(정비현황!$M270="교체",정비현황!$M270="임박"))</f>
        <v>0</v>
      </c>
      <c r="K270" s="6" t="str">
        <f aca="false">IF($J270=FALSE(),"",COUNTIF($J$6:$J270,TRUE()))</f>
        <v/>
      </c>
      <c r="L270" s="6" t="str">
        <f aca="false">IF($K270="","","R"&amp;$K270)</f>
        <v/>
      </c>
    </row>
    <row r="271" customFormat="false" ht="15" hidden="false" customHeight="true" outlineLevel="0" collapsed="false">
      <c r="J271" s="29" t="b">
        <f aca="false">IF(정비현황!$A271="",FALSE(),OR(정비현황!$M271="교체",정비현황!$M271="임박"))</f>
        <v>0</v>
      </c>
      <c r="K271" s="6" t="str">
        <f aca="false">IF($J271=FALSE(),"",COUNTIF($J$6:$J271,TRUE()))</f>
        <v/>
      </c>
      <c r="L271" s="6" t="str">
        <f aca="false">IF($K271="","","R"&amp;$K271)</f>
        <v/>
      </c>
    </row>
    <row r="272" customFormat="false" ht="15" hidden="false" customHeight="true" outlineLevel="0" collapsed="false">
      <c r="J272" s="29" t="b">
        <f aca="false">IF(정비현황!$A272="",FALSE(),OR(정비현황!$M272="교체",정비현황!$M272="임박"))</f>
        <v>0</v>
      </c>
      <c r="K272" s="6" t="str">
        <f aca="false">IF($J272=FALSE(),"",COUNTIF($J$6:$J272,TRUE()))</f>
        <v/>
      </c>
      <c r="L272" s="6" t="str">
        <f aca="false">IF($K272="","","R"&amp;$K272)</f>
        <v/>
      </c>
    </row>
    <row r="273" customFormat="false" ht="15" hidden="false" customHeight="true" outlineLevel="0" collapsed="false">
      <c r="J273" s="29" t="b">
        <f aca="false">IF(정비현황!$A273="",FALSE(),OR(정비현황!$M273="교체",정비현황!$M273="임박"))</f>
        <v>0</v>
      </c>
      <c r="K273" s="6" t="str">
        <f aca="false">IF($J273=FALSE(),"",COUNTIF($J$6:$J273,TRUE()))</f>
        <v/>
      </c>
      <c r="L273" s="6" t="str">
        <f aca="false">IF($K273="","","R"&amp;$K273)</f>
        <v/>
      </c>
    </row>
    <row r="274" customFormat="false" ht="15" hidden="false" customHeight="true" outlineLevel="0" collapsed="false">
      <c r="J274" s="29" t="b">
        <f aca="false">IF(정비현황!$A274="",FALSE(),OR(정비현황!$M274="교체",정비현황!$M274="임박"))</f>
        <v>0</v>
      </c>
      <c r="K274" s="6" t="str">
        <f aca="false">IF($J274=FALSE(),"",COUNTIF($J$6:$J274,TRUE()))</f>
        <v/>
      </c>
      <c r="L274" s="6" t="str">
        <f aca="false">IF($K274="","","R"&amp;$K274)</f>
        <v/>
      </c>
    </row>
    <row r="275" customFormat="false" ht="15" hidden="false" customHeight="true" outlineLevel="0" collapsed="false">
      <c r="J275" s="29" t="b">
        <f aca="false">IF(정비현황!$A275="",FALSE(),OR(정비현황!$M275="교체",정비현황!$M275="임박"))</f>
        <v>0</v>
      </c>
      <c r="K275" s="6" t="str">
        <f aca="false">IF($J275=FALSE(),"",COUNTIF($J$6:$J275,TRUE()))</f>
        <v/>
      </c>
      <c r="L275" s="6" t="str">
        <f aca="false">IF($K275="","","R"&amp;$K275)</f>
        <v/>
      </c>
    </row>
    <row r="276" customFormat="false" ht="15" hidden="false" customHeight="true" outlineLevel="0" collapsed="false">
      <c r="J276" s="29" t="b">
        <f aca="false">IF(정비현황!$A276="",FALSE(),OR(정비현황!$M276="교체",정비현황!$M276="임박"))</f>
        <v>0</v>
      </c>
      <c r="K276" s="6" t="str">
        <f aca="false">IF($J276=FALSE(),"",COUNTIF($J$6:$J276,TRUE()))</f>
        <v/>
      </c>
      <c r="L276" s="6" t="str">
        <f aca="false">IF($K276="","","R"&amp;$K276)</f>
        <v/>
      </c>
    </row>
    <row r="277" customFormat="false" ht="15" hidden="false" customHeight="true" outlineLevel="0" collapsed="false">
      <c r="J277" s="29" t="b">
        <f aca="false">IF(정비현황!$A277="",FALSE(),OR(정비현황!$M277="교체",정비현황!$M277="임박"))</f>
        <v>0</v>
      </c>
      <c r="K277" s="6" t="str">
        <f aca="false">IF($J277=FALSE(),"",COUNTIF($J$6:$J277,TRUE()))</f>
        <v/>
      </c>
      <c r="L277" s="6" t="str">
        <f aca="false">IF($K277="","","R"&amp;$K277)</f>
        <v/>
      </c>
    </row>
    <row r="278" customFormat="false" ht="15" hidden="false" customHeight="true" outlineLevel="0" collapsed="false">
      <c r="J278" s="29" t="b">
        <f aca="false">IF(정비현황!$A278="",FALSE(),OR(정비현황!$M278="교체",정비현황!$M278="임박"))</f>
        <v>0</v>
      </c>
      <c r="K278" s="6" t="str">
        <f aca="false">IF($J278=FALSE(),"",COUNTIF($J$6:$J278,TRUE()))</f>
        <v/>
      </c>
      <c r="L278" s="6" t="str">
        <f aca="false">IF($K278="","","R"&amp;$K278)</f>
        <v/>
      </c>
    </row>
    <row r="279" customFormat="false" ht="15" hidden="false" customHeight="true" outlineLevel="0" collapsed="false">
      <c r="J279" s="29" t="b">
        <f aca="false">IF(정비현황!$A279="",FALSE(),OR(정비현황!$M279="교체",정비현황!$M279="임박"))</f>
        <v>0</v>
      </c>
      <c r="K279" s="6" t="str">
        <f aca="false">IF($J279=FALSE(),"",COUNTIF($J$6:$J279,TRUE()))</f>
        <v/>
      </c>
      <c r="L279" s="6" t="str">
        <f aca="false">IF($K279="","","R"&amp;$K279)</f>
        <v/>
      </c>
    </row>
    <row r="280" customFormat="false" ht="15" hidden="false" customHeight="true" outlineLevel="0" collapsed="false">
      <c r="J280" s="29" t="b">
        <f aca="false">IF(정비현황!$A280="",FALSE(),OR(정비현황!$M280="교체",정비현황!$M280="임박"))</f>
        <v>0</v>
      </c>
      <c r="K280" s="6" t="str">
        <f aca="false">IF($J280=FALSE(),"",COUNTIF($J$6:$J280,TRUE()))</f>
        <v/>
      </c>
      <c r="L280" s="6" t="str">
        <f aca="false">IF($K280="","","R"&amp;$K280)</f>
        <v/>
      </c>
    </row>
    <row r="281" customFormat="false" ht="15" hidden="false" customHeight="true" outlineLevel="0" collapsed="false">
      <c r="J281" s="29" t="b">
        <f aca="false">IF(정비현황!$A281="",FALSE(),OR(정비현황!$M281="교체",정비현황!$M281="임박"))</f>
        <v>0</v>
      </c>
      <c r="K281" s="6" t="str">
        <f aca="false">IF($J281=FALSE(),"",COUNTIF($J$6:$J281,TRUE()))</f>
        <v/>
      </c>
      <c r="L281" s="6" t="str">
        <f aca="false">IF($K281="","","R"&amp;$K281)</f>
        <v/>
      </c>
    </row>
    <row r="282" customFormat="false" ht="15" hidden="false" customHeight="true" outlineLevel="0" collapsed="false">
      <c r="J282" s="29" t="b">
        <f aca="false">IF(정비현황!$A282="",FALSE(),OR(정비현황!$M282="교체",정비현황!$M282="임박"))</f>
        <v>0</v>
      </c>
      <c r="K282" s="6" t="str">
        <f aca="false">IF($J282=FALSE(),"",COUNTIF($J$6:$J282,TRUE()))</f>
        <v/>
      </c>
      <c r="L282" s="6" t="str">
        <f aca="false">IF($K282="","","R"&amp;$K282)</f>
        <v/>
      </c>
    </row>
    <row r="283" customFormat="false" ht="15" hidden="false" customHeight="true" outlineLevel="0" collapsed="false">
      <c r="J283" s="29" t="b">
        <f aca="false">IF(정비현황!$A283="",FALSE(),OR(정비현황!$M283="교체",정비현황!$M283="임박"))</f>
        <v>0</v>
      </c>
      <c r="K283" s="6" t="str">
        <f aca="false">IF($J283=FALSE(),"",COUNTIF($J$6:$J283,TRUE()))</f>
        <v/>
      </c>
      <c r="L283" s="6" t="str">
        <f aca="false">IF($K283="","","R"&amp;$K283)</f>
        <v/>
      </c>
    </row>
    <row r="284" customFormat="false" ht="15" hidden="false" customHeight="true" outlineLevel="0" collapsed="false">
      <c r="J284" s="29" t="b">
        <f aca="false">IF(정비현황!$A284="",FALSE(),OR(정비현황!$M284="교체",정비현황!$M284="임박"))</f>
        <v>0</v>
      </c>
      <c r="K284" s="6" t="str">
        <f aca="false">IF($J284=FALSE(),"",COUNTIF($J$6:$J284,TRUE()))</f>
        <v/>
      </c>
      <c r="L284" s="6" t="str">
        <f aca="false">IF($K284="","","R"&amp;$K284)</f>
        <v/>
      </c>
    </row>
    <row r="285" customFormat="false" ht="15" hidden="false" customHeight="true" outlineLevel="0" collapsed="false">
      <c r="J285" s="29" t="b">
        <f aca="false">IF(정비현황!$A285="",FALSE(),OR(정비현황!$M285="교체",정비현황!$M285="임박"))</f>
        <v>0</v>
      </c>
      <c r="K285" s="6" t="str">
        <f aca="false">IF($J285=FALSE(),"",COUNTIF($J$6:$J285,TRUE()))</f>
        <v/>
      </c>
      <c r="L285" s="6" t="str">
        <f aca="false">IF($K285="","","R"&amp;$K285)</f>
        <v/>
      </c>
    </row>
    <row r="286" customFormat="false" ht="15" hidden="false" customHeight="true" outlineLevel="0" collapsed="false">
      <c r="J286" s="29" t="b">
        <f aca="false">IF(정비현황!$A286="",FALSE(),OR(정비현황!$M286="교체",정비현황!$M286="임박"))</f>
        <v>0</v>
      </c>
      <c r="K286" s="6" t="str">
        <f aca="false">IF($J286=FALSE(),"",COUNTIF($J$6:$J286,TRUE()))</f>
        <v/>
      </c>
      <c r="L286" s="6" t="str">
        <f aca="false">IF($K286="","","R"&amp;$K286)</f>
        <v/>
      </c>
    </row>
    <row r="287" customFormat="false" ht="15" hidden="false" customHeight="true" outlineLevel="0" collapsed="false">
      <c r="J287" s="29" t="b">
        <f aca="false">IF(정비현황!$A287="",FALSE(),OR(정비현황!$M287="교체",정비현황!$M287="임박"))</f>
        <v>0</v>
      </c>
      <c r="K287" s="6" t="str">
        <f aca="false">IF($J287=FALSE(),"",COUNTIF($J$6:$J287,TRUE()))</f>
        <v/>
      </c>
      <c r="L287" s="6" t="str">
        <f aca="false">IF($K287="","","R"&amp;$K287)</f>
        <v/>
      </c>
    </row>
    <row r="288" customFormat="false" ht="15" hidden="false" customHeight="true" outlineLevel="0" collapsed="false">
      <c r="J288" s="29" t="b">
        <f aca="false">IF(정비현황!$A288="",FALSE(),OR(정비현황!$M288="교체",정비현황!$M288="임박"))</f>
        <v>0</v>
      </c>
      <c r="K288" s="6" t="str">
        <f aca="false">IF($J288=FALSE(),"",COUNTIF($J$6:$J288,TRUE()))</f>
        <v/>
      </c>
      <c r="L288" s="6" t="str">
        <f aca="false">IF($K288="","","R"&amp;$K288)</f>
        <v/>
      </c>
    </row>
    <row r="289" customFormat="false" ht="15" hidden="false" customHeight="true" outlineLevel="0" collapsed="false">
      <c r="J289" s="29" t="b">
        <f aca="false">IF(정비현황!$A289="",FALSE(),OR(정비현황!$M289="교체",정비현황!$M289="임박"))</f>
        <v>0</v>
      </c>
      <c r="K289" s="6" t="str">
        <f aca="false">IF($J289=FALSE(),"",COUNTIF($J$6:$J289,TRUE()))</f>
        <v/>
      </c>
      <c r="L289" s="6" t="str">
        <f aca="false">IF($K289="","","R"&amp;$K289)</f>
        <v/>
      </c>
    </row>
    <row r="290" customFormat="false" ht="15" hidden="false" customHeight="true" outlineLevel="0" collapsed="false">
      <c r="J290" s="29" t="b">
        <f aca="false">IF(정비현황!$A290="",FALSE(),OR(정비현황!$M290="교체",정비현황!$M290="임박"))</f>
        <v>0</v>
      </c>
      <c r="K290" s="6" t="str">
        <f aca="false">IF($J290=FALSE(),"",COUNTIF($J$6:$J290,TRUE()))</f>
        <v/>
      </c>
      <c r="L290" s="6" t="str">
        <f aca="false">IF($K290="","","R"&amp;$K290)</f>
        <v/>
      </c>
    </row>
    <row r="291" customFormat="false" ht="15" hidden="false" customHeight="true" outlineLevel="0" collapsed="false">
      <c r="J291" s="29" t="b">
        <f aca="false">IF(정비현황!$A291="",FALSE(),OR(정비현황!$M291="교체",정비현황!$M291="임박"))</f>
        <v>0</v>
      </c>
      <c r="K291" s="6" t="str">
        <f aca="false">IF($J291=FALSE(),"",COUNTIF($J$6:$J291,TRUE()))</f>
        <v/>
      </c>
      <c r="L291" s="6" t="str">
        <f aca="false">IF($K291="","","R"&amp;$K291)</f>
        <v/>
      </c>
    </row>
    <row r="292" customFormat="false" ht="15" hidden="false" customHeight="true" outlineLevel="0" collapsed="false">
      <c r="J292" s="29" t="b">
        <f aca="false">IF(정비현황!$A292="",FALSE(),OR(정비현황!$M292="교체",정비현황!$M292="임박"))</f>
        <v>0</v>
      </c>
      <c r="K292" s="6" t="str">
        <f aca="false">IF($J292=FALSE(),"",COUNTIF($J$6:$J292,TRUE()))</f>
        <v/>
      </c>
      <c r="L292" s="6" t="str">
        <f aca="false">IF($K292="","","R"&amp;$K292)</f>
        <v/>
      </c>
    </row>
    <row r="293" customFormat="false" ht="15" hidden="false" customHeight="true" outlineLevel="0" collapsed="false">
      <c r="J293" s="29" t="b">
        <f aca="false">IF(정비현황!$A293="",FALSE(),OR(정비현황!$M293="교체",정비현황!$M293="임박"))</f>
        <v>0</v>
      </c>
      <c r="K293" s="6" t="str">
        <f aca="false">IF($J293=FALSE(),"",COUNTIF($J$6:$J293,TRUE()))</f>
        <v/>
      </c>
      <c r="L293" s="6" t="str">
        <f aca="false">IF($K293="","","R"&amp;$K293)</f>
        <v/>
      </c>
    </row>
    <row r="294" customFormat="false" ht="15" hidden="false" customHeight="true" outlineLevel="0" collapsed="false">
      <c r="J294" s="29" t="b">
        <f aca="false">IF(정비현황!$A294="",FALSE(),OR(정비현황!$M294="교체",정비현황!$M294="임박"))</f>
        <v>0</v>
      </c>
      <c r="K294" s="6" t="str">
        <f aca="false">IF($J294=FALSE(),"",COUNTIF($J$6:$J294,TRUE()))</f>
        <v/>
      </c>
      <c r="L294" s="6" t="str">
        <f aca="false">IF($K294="","","R"&amp;$K294)</f>
        <v/>
      </c>
    </row>
    <row r="295" customFormat="false" ht="15" hidden="false" customHeight="true" outlineLevel="0" collapsed="false">
      <c r="J295" s="29" t="b">
        <f aca="false">IF(정비현황!$A295="",FALSE(),OR(정비현황!$M295="교체",정비현황!$M295="임박"))</f>
        <v>0</v>
      </c>
      <c r="K295" s="6" t="str">
        <f aca="false">IF($J295=FALSE(),"",COUNTIF($J$6:$J295,TRUE()))</f>
        <v/>
      </c>
      <c r="L295" s="6" t="str">
        <f aca="false">IF($K295="","","R"&amp;$K295)</f>
        <v/>
      </c>
    </row>
    <row r="296" customFormat="false" ht="15" hidden="false" customHeight="true" outlineLevel="0" collapsed="false">
      <c r="J296" s="29" t="b">
        <f aca="false">IF(정비현황!$A296="",FALSE(),OR(정비현황!$M296="교체",정비현황!$M296="임박"))</f>
        <v>0</v>
      </c>
      <c r="K296" s="6" t="str">
        <f aca="false">IF($J296=FALSE(),"",COUNTIF($J$6:$J296,TRUE()))</f>
        <v/>
      </c>
      <c r="L296" s="6" t="str">
        <f aca="false">IF($K296="","","R"&amp;$K296)</f>
        <v/>
      </c>
    </row>
    <row r="297" customFormat="false" ht="15" hidden="false" customHeight="true" outlineLevel="0" collapsed="false">
      <c r="J297" s="29" t="b">
        <f aca="false">IF(정비현황!$A297="",FALSE(),OR(정비현황!$M297="교체",정비현황!$M297="임박"))</f>
        <v>0</v>
      </c>
      <c r="K297" s="6" t="str">
        <f aca="false">IF($J297=FALSE(),"",COUNTIF($J$6:$J297,TRUE()))</f>
        <v/>
      </c>
      <c r="L297" s="6" t="str">
        <f aca="false">IF($K297="","","R"&amp;$K297)</f>
        <v/>
      </c>
    </row>
    <row r="298" customFormat="false" ht="15" hidden="false" customHeight="true" outlineLevel="0" collapsed="false">
      <c r="J298" s="29" t="b">
        <f aca="false">IF(정비현황!$A298="",FALSE(),OR(정비현황!$M298="교체",정비현황!$M298="임박"))</f>
        <v>0</v>
      </c>
      <c r="K298" s="6" t="str">
        <f aca="false">IF($J298=FALSE(),"",COUNTIF($J$6:$J298,TRUE()))</f>
        <v/>
      </c>
      <c r="L298" s="6" t="str">
        <f aca="false">IF($K298="","","R"&amp;$K298)</f>
        <v/>
      </c>
    </row>
    <row r="299" customFormat="false" ht="15" hidden="false" customHeight="true" outlineLevel="0" collapsed="false">
      <c r="J299" s="29" t="b">
        <f aca="false">IF(정비현황!$A299="",FALSE(),OR(정비현황!$M299="교체",정비현황!$M299="임박"))</f>
        <v>0</v>
      </c>
      <c r="K299" s="6" t="str">
        <f aca="false">IF($J299=FALSE(),"",COUNTIF($J$6:$J299,TRUE()))</f>
        <v/>
      </c>
      <c r="L299" s="6" t="str">
        <f aca="false">IF($K299="","","R"&amp;$K299)</f>
        <v/>
      </c>
    </row>
    <row r="300" customFormat="false" ht="15" hidden="false" customHeight="true" outlineLevel="0" collapsed="false">
      <c r="J300" s="29" t="b">
        <f aca="false">IF(정비현황!$A300="",FALSE(),OR(정비현황!$M300="교체",정비현황!$M300="임박"))</f>
        <v>0</v>
      </c>
      <c r="K300" s="6" t="str">
        <f aca="false">IF($J300=FALSE(),"",COUNTIF($J$6:$J300,TRUE()))</f>
        <v/>
      </c>
      <c r="L300" s="6" t="str">
        <f aca="false">IF($K300="","","R"&amp;$K300)</f>
        <v/>
      </c>
    </row>
    <row r="301" customFormat="false" ht="15" hidden="false" customHeight="true" outlineLevel="0" collapsed="false">
      <c r="J301" s="29" t="b">
        <f aca="false">IF(정비현황!$A301="",FALSE(),OR(정비현황!$M301="교체",정비현황!$M301="임박"))</f>
        <v>0</v>
      </c>
      <c r="K301" s="6" t="str">
        <f aca="false">IF($J301=FALSE(),"",COUNTIF($J$6:$J301,TRUE()))</f>
        <v/>
      </c>
      <c r="L301" s="6" t="str">
        <f aca="false">IF($K301="","","R"&amp;$K301)</f>
        <v/>
      </c>
    </row>
    <row r="302" customFormat="false" ht="15" hidden="false" customHeight="true" outlineLevel="0" collapsed="false">
      <c r="J302" s="29" t="b">
        <f aca="false">IF(정비현황!$A302="",FALSE(),OR(정비현황!$M302="교체",정비현황!$M302="임박"))</f>
        <v>0</v>
      </c>
      <c r="K302" s="6" t="str">
        <f aca="false">IF($J302=FALSE(),"",COUNTIF($J$6:$J302,TRUE()))</f>
        <v/>
      </c>
      <c r="L302" s="6" t="str">
        <f aca="false">IF($K302="","","R"&amp;$K302)</f>
        <v/>
      </c>
    </row>
    <row r="303" customFormat="false" ht="15" hidden="false" customHeight="true" outlineLevel="0" collapsed="false">
      <c r="J303" s="29" t="b">
        <f aca="false">IF(정비현황!$A303="",FALSE(),OR(정비현황!$M303="교체",정비현황!$M303="임박"))</f>
        <v>0</v>
      </c>
      <c r="K303" s="6" t="str">
        <f aca="false">IF($J303=FALSE(),"",COUNTIF($J$6:$J303,TRUE()))</f>
        <v/>
      </c>
      <c r="L303" s="6" t="str">
        <f aca="false">IF($K303="","","R"&amp;$K303)</f>
        <v/>
      </c>
    </row>
    <row r="304" customFormat="false" ht="15" hidden="false" customHeight="true" outlineLevel="0" collapsed="false">
      <c r="J304" s="29" t="b">
        <f aca="false">IF(정비현황!$A304="",FALSE(),OR(정비현황!$M304="교체",정비현황!$M304="임박"))</f>
        <v>0</v>
      </c>
      <c r="K304" s="6" t="str">
        <f aca="false">IF($J304=FALSE(),"",COUNTIF($J$6:$J304,TRUE()))</f>
        <v/>
      </c>
      <c r="L304" s="6" t="str">
        <f aca="false">IF($K304="","","R"&amp;$K304)</f>
        <v/>
      </c>
    </row>
    <row r="305" customFormat="false" ht="15" hidden="false" customHeight="true" outlineLevel="0" collapsed="false">
      <c r="J305" s="29" t="b">
        <f aca="false">IF(정비현황!$A305="",FALSE(),OR(정비현황!$M305="교체",정비현황!$M305="임박"))</f>
        <v>0</v>
      </c>
      <c r="K305" s="6" t="str">
        <f aca="false">IF($J305=FALSE(),"",COUNTIF($J$6:$J305,TRUE()))</f>
        <v/>
      </c>
      <c r="L305" s="6" t="str">
        <f aca="false">IF($K305="","","R"&amp;$K305)</f>
        <v/>
      </c>
    </row>
    <row r="306" customFormat="false" ht="15" hidden="false" customHeight="true" outlineLevel="0" collapsed="false">
      <c r="J306" s="29" t="b">
        <f aca="false">IF(정비현황!$A306="",FALSE(),OR(정비현황!$M306="교체",정비현황!$M306="임박"))</f>
        <v>0</v>
      </c>
      <c r="K306" s="6" t="str">
        <f aca="false">IF($J306=FALSE(),"",COUNTIF($J$6:$J306,TRUE()))</f>
        <v/>
      </c>
      <c r="L306" s="6" t="str">
        <f aca="false">IF($K306="","","R"&amp;$K306)</f>
        <v/>
      </c>
    </row>
    <row r="307" customFormat="false" ht="15" hidden="false" customHeight="true" outlineLevel="0" collapsed="false">
      <c r="J307" s="29" t="b">
        <f aca="false">IF(정비현황!$A307="",FALSE(),OR(정비현황!$M307="교체",정비현황!$M307="임박"))</f>
        <v>0</v>
      </c>
      <c r="K307" s="6" t="str">
        <f aca="false">IF($J307=FALSE(),"",COUNTIF($J$6:$J307,TRUE()))</f>
        <v/>
      </c>
      <c r="L307" s="6" t="str">
        <f aca="false">IF($K307="","","R"&amp;$K307)</f>
        <v/>
      </c>
    </row>
    <row r="308" customFormat="false" ht="15" hidden="false" customHeight="true" outlineLevel="0" collapsed="false">
      <c r="J308" s="29" t="b">
        <f aca="false">IF(정비현황!$A308="",FALSE(),OR(정비현황!$M308="교체",정비현황!$M308="임박"))</f>
        <v>0</v>
      </c>
      <c r="K308" s="6" t="str">
        <f aca="false">IF($J308=FALSE(),"",COUNTIF($J$6:$J308,TRUE()))</f>
        <v/>
      </c>
      <c r="L308" s="6" t="str">
        <f aca="false">IF($K308="","","R"&amp;$K308)</f>
        <v/>
      </c>
    </row>
    <row r="309" customFormat="false" ht="15" hidden="false" customHeight="true" outlineLevel="0" collapsed="false">
      <c r="J309" s="29" t="b">
        <f aca="false">IF(정비현황!$A309="",FALSE(),OR(정비현황!$M309="교체",정비현황!$M309="임박"))</f>
        <v>0</v>
      </c>
      <c r="K309" s="6" t="str">
        <f aca="false">IF($J309=FALSE(),"",COUNTIF($J$6:$J309,TRUE()))</f>
        <v/>
      </c>
      <c r="L309" s="6" t="str">
        <f aca="false">IF($K309="","","R"&amp;$K309)</f>
        <v/>
      </c>
    </row>
    <row r="310" customFormat="false" ht="15" hidden="false" customHeight="true" outlineLevel="0" collapsed="false">
      <c r="J310" s="29" t="b">
        <f aca="false">IF(정비현황!$A310="",FALSE(),OR(정비현황!$M310="교체",정비현황!$M310="임박"))</f>
        <v>0</v>
      </c>
      <c r="K310" s="6" t="str">
        <f aca="false">IF($J310=FALSE(),"",COUNTIF($J$6:$J310,TRUE()))</f>
        <v/>
      </c>
      <c r="L310" s="6" t="str">
        <f aca="false">IF($K310="","","R"&amp;$K310)</f>
        <v/>
      </c>
    </row>
    <row r="311" customFormat="false" ht="15" hidden="false" customHeight="true" outlineLevel="0" collapsed="false">
      <c r="J311" s="29" t="b">
        <f aca="false">IF(정비현황!$A311="",FALSE(),OR(정비현황!$M311="교체",정비현황!$M311="임박"))</f>
        <v>0</v>
      </c>
      <c r="K311" s="6" t="str">
        <f aca="false">IF($J311=FALSE(),"",COUNTIF($J$6:$J311,TRUE()))</f>
        <v/>
      </c>
      <c r="L311" s="6" t="str">
        <f aca="false">IF($K311="","","R"&amp;$K311)</f>
        <v/>
      </c>
    </row>
    <row r="312" customFormat="false" ht="15" hidden="false" customHeight="true" outlineLevel="0" collapsed="false">
      <c r="J312" s="29" t="b">
        <f aca="false">IF(정비현황!$A312="",FALSE(),OR(정비현황!$M312="교체",정비현황!$M312="임박"))</f>
        <v>0</v>
      </c>
      <c r="K312" s="6" t="str">
        <f aca="false">IF($J312=FALSE(),"",COUNTIF($J$6:$J312,TRUE()))</f>
        <v/>
      </c>
      <c r="L312" s="6" t="str">
        <f aca="false">IF($K312="","","R"&amp;$K312)</f>
        <v/>
      </c>
    </row>
    <row r="313" customFormat="false" ht="15" hidden="false" customHeight="true" outlineLevel="0" collapsed="false">
      <c r="J313" s="29" t="b">
        <f aca="false">IF(정비현황!$A313="",FALSE(),OR(정비현황!$M313="교체",정비현황!$M313="임박"))</f>
        <v>0</v>
      </c>
      <c r="K313" s="6" t="str">
        <f aca="false">IF($J313=FALSE(),"",COUNTIF($J$6:$J313,TRUE()))</f>
        <v/>
      </c>
      <c r="L313" s="6" t="str">
        <f aca="false">IF($K313="","","R"&amp;$K313)</f>
        <v/>
      </c>
    </row>
    <row r="314" customFormat="false" ht="15" hidden="false" customHeight="true" outlineLevel="0" collapsed="false">
      <c r="J314" s="29" t="b">
        <f aca="false">IF(정비현황!$A314="",FALSE(),OR(정비현황!$M314="교체",정비현황!$M314="임박"))</f>
        <v>0</v>
      </c>
      <c r="K314" s="6" t="str">
        <f aca="false">IF($J314=FALSE(),"",COUNTIF($J$6:$J314,TRUE()))</f>
        <v/>
      </c>
      <c r="L314" s="6" t="str">
        <f aca="false">IF($K314="","","R"&amp;$K314)</f>
        <v/>
      </c>
    </row>
    <row r="315" customFormat="false" ht="15" hidden="false" customHeight="true" outlineLevel="0" collapsed="false">
      <c r="J315" s="29" t="b">
        <f aca="false">IF(정비현황!$A315="",FALSE(),OR(정비현황!$M315="교체",정비현황!$M315="임박"))</f>
        <v>0</v>
      </c>
      <c r="K315" s="6" t="str">
        <f aca="false">IF($J315=FALSE(),"",COUNTIF($J$6:$J315,TRUE()))</f>
        <v/>
      </c>
      <c r="L315" s="6" t="str">
        <f aca="false">IF($K315="","","R"&amp;$K315)</f>
        <v/>
      </c>
    </row>
    <row r="316" customFormat="false" ht="15" hidden="false" customHeight="true" outlineLevel="0" collapsed="false">
      <c r="J316" s="29" t="b">
        <f aca="false">IF(정비현황!$A316="",FALSE(),OR(정비현황!$M316="교체",정비현황!$M316="임박"))</f>
        <v>0</v>
      </c>
      <c r="K316" s="6" t="str">
        <f aca="false">IF($J316=FALSE(),"",COUNTIF($J$6:$J316,TRUE()))</f>
        <v/>
      </c>
      <c r="L316" s="6" t="str">
        <f aca="false">IF($K316="","","R"&amp;$K316)</f>
        <v/>
      </c>
    </row>
    <row r="317" customFormat="false" ht="15" hidden="false" customHeight="true" outlineLevel="0" collapsed="false">
      <c r="J317" s="29" t="b">
        <f aca="false">IF(정비현황!$A317="",FALSE(),OR(정비현황!$M317="교체",정비현황!$M317="임박"))</f>
        <v>0</v>
      </c>
      <c r="K317" s="6" t="str">
        <f aca="false">IF($J317=FALSE(),"",COUNTIF($J$6:$J317,TRUE()))</f>
        <v/>
      </c>
      <c r="L317" s="6" t="str">
        <f aca="false">IF($K317="","","R"&amp;$K317)</f>
        <v/>
      </c>
    </row>
    <row r="318" customFormat="false" ht="15" hidden="false" customHeight="true" outlineLevel="0" collapsed="false">
      <c r="J318" s="29" t="b">
        <f aca="false">IF(정비현황!$A318="",FALSE(),OR(정비현황!$M318="교체",정비현황!$M318="임박"))</f>
        <v>0</v>
      </c>
      <c r="K318" s="6" t="str">
        <f aca="false">IF($J318=FALSE(),"",COUNTIF($J$6:$J318,TRUE()))</f>
        <v/>
      </c>
      <c r="L318" s="6" t="str">
        <f aca="false">IF($K318="","","R"&amp;$K318)</f>
        <v/>
      </c>
    </row>
    <row r="319" customFormat="false" ht="15" hidden="false" customHeight="true" outlineLevel="0" collapsed="false">
      <c r="J319" s="29" t="b">
        <f aca="false">IF(정비현황!$A319="",FALSE(),OR(정비현황!$M319="교체",정비현황!$M319="임박"))</f>
        <v>0</v>
      </c>
      <c r="K319" s="6" t="str">
        <f aca="false">IF($J319=FALSE(),"",COUNTIF($J$6:$J319,TRUE()))</f>
        <v/>
      </c>
      <c r="L319" s="6" t="str">
        <f aca="false">IF($K319="","","R"&amp;$K319)</f>
        <v/>
      </c>
    </row>
    <row r="320" customFormat="false" ht="15" hidden="false" customHeight="true" outlineLevel="0" collapsed="false">
      <c r="J320" s="29" t="b">
        <f aca="false">IF(정비현황!$A320="",FALSE(),OR(정비현황!$M320="교체",정비현황!$M320="임박"))</f>
        <v>0</v>
      </c>
      <c r="K320" s="6" t="str">
        <f aca="false">IF($J320=FALSE(),"",COUNTIF($J$6:$J320,TRUE()))</f>
        <v/>
      </c>
      <c r="L320" s="6" t="str">
        <f aca="false">IF($K320="","","R"&amp;$K320)</f>
        <v/>
      </c>
    </row>
    <row r="321" customFormat="false" ht="15" hidden="false" customHeight="true" outlineLevel="0" collapsed="false">
      <c r="J321" s="29" t="b">
        <f aca="false">IF(정비현황!$A321="",FALSE(),OR(정비현황!$M321="교체",정비현황!$M321="임박"))</f>
        <v>0</v>
      </c>
      <c r="K321" s="6" t="str">
        <f aca="false">IF($J321=FALSE(),"",COUNTIF($J$6:$J321,TRUE()))</f>
        <v/>
      </c>
      <c r="L321" s="6" t="str">
        <f aca="false">IF($K321="","","R"&amp;$K321)</f>
        <v/>
      </c>
    </row>
    <row r="322" customFormat="false" ht="15" hidden="false" customHeight="true" outlineLevel="0" collapsed="false">
      <c r="J322" s="29" t="b">
        <f aca="false">IF(정비현황!$A322="",FALSE(),OR(정비현황!$M322="교체",정비현황!$M322="임박"))</f>
        <v>0</v>
      </c>
      <c r="K322" s="6" t="str">
        <f aca="false">IF($J322=FALSE(),"",COUNTIF($J$6:$J322,TRUE()))</f>
        <v/>
      </c>
      <c r="L322" s="6" t="str">
        <f aca="false">IF($K322="","","R"&amp;$K322)</f>
        <v/>
      </c>
    </row>
    <row r="323" customFormat="false" ht="15" hidden="false" customHeight="true" outlineLevel="0" collapsed="false">
      <c r="J323" s="29" t="b">
        <f aca="false">IF(정비현황!$A323="",FALSE(),OR(정비현황!$M323="교체",정비현황!$M323="임박"))</f>
        <v>0</v>
      </c>
      <c r="K323" s="6" t="str">
        <f aca="false">IF($J323=FALSE(),"",COUNTIF($J$6:$J323,TRUE()))</f>
        <v/>
      </c>
      <c r="L323" s="6" t="str">
        <f aca="false">IF($K323="","","R"&amp;$K323)</f>
        <v/>
      </c>
    </row>
    <row r="324" customFormat="false" ht="15" hidden="false" customHeight="true" outlineLevel="0" collapsed="false">
      <c r="J324" s="29" t="b">
        <f aca="false">IF(정비현황!$A324="",FALSE(),OR(정비현황!$M324="교체",정비현황!$M324="임박"))</f>
        <v>0</v>
      </c>
      <c r="K324" s="6" t="str">
        <f aca="false">IF($J324=FALSE(),"",COUNTIF($J$6:$J324,TRUE()))</f>
        <v/>
      </c>
      <c r="L324" s="6" t="str">
        <f aca="false">IF($K324="","","R"&amp;$K324)</f>
        <v/>
      </c>
    </row>
    <row r="325" customFormat="false" ht="15" hidden="false" customHeight="true" outlineLevel="0" collapsed="false">
      <c r="J325" s="29" t="b">
        <f aca="false">IF(정비현황!$A325="",FALSE(),OR(정비현황!$M325="교체",정비현황!$M325="임박"))</f>
        <v>0</v>
      </c>
      <c r="K325" s="6" t="str">
        <f aca="false">IF($J325=FALSE(),"",COUNTIF($J$6:$J325,TRUE()))</f>
        <v/>
      </c>
      <c r="L325" s="6" t="str">
        <f aca="false">IF($K325="","","R"&amp;$K325)</f>
        <v/>
      </c>
    </row>
    <row r="326" customFormat="false" ht="15" hidden="false" customHeight="true" outlineLevel="0" collapsed="false">
      <c r="J326" s="29" t="b">
        <f aca="false">IF(정비현황!$A326="",FALSE(),OR(정비현황!$M326="교체",정비현황!$M326="임박"))</f>
        <v>0</v>
      </c>
      <c r="K326" s="6" t="str">
        <f aca="false">IF($J326=FALSE(),"",COUNTIF($J$6:$J326,TRUE()))</f>
        <v/>
      </c>
      <c r="L326" s="6" t="str">
        <f aca="false">IF($K326="","","R"&amp;$K326)</f>
        <v/>
      </c>
    </row>
    <row r="327" customFormat="false" ht="15" hidden="false" customHeight="true" outlineLevel="0" collapsed="false">
      <c r="J327" s="29" t="b">
        <f aca="false">IF(정비현황!$A327="",FALSE(),OR(정비현황!$M327="교체",정비현황!$M327="임박"))</f>
        <v>0</v>
      </c>
      <c r="K327" s="6" t="str">
        <f aca="false">IF($J327=FALSE(),"",COUNTIF($J$6:$J327,TRUE()))</f>
        <v/>
      </c>
      <c r="L327" s="6" t="str">
        <f aca="false">IF($K327="","","R"&amp;$K327)</f>
        <v/>
      </c>
    </row>
    <row r="328" customFormat="false" ht="15" hidden="false" customHeight="true" outlineLevel="0" collapsed="false">
      <c r="J328" s="29" t="b">
        <f aca="false">IF(정비현황!$A328="",FALSE(),OR(정비현황!$M328="교체",정비현황!$M328="임박"))</f>
        <v>0</v>
      </c>
      <c r="K328" s="6" t="str">
        <f aca="false">IF($J328=FALSE(),"",COUNTIF($J$6:$J328,TRUE()))</f>
        <v/>
      </c>
      <c r="L328" s="6" t="str">
        <f aca="false">IF($K328="","","R"&amp;$K328)</f>
        <v/>
      </c>
    </row>
    <row r="329" customFormat="false" ht="15" hidden="false" customHeight="true" outlineLevel="0" collapsed="false">
      <c r="J329" s="29" t="b">
        <f aca="false">IF(정비현황!$A329="",FALSE(),OR(정비현황!$M329="교체",정비현황!$M329="임박"))</f>
        <v>0</v>
      </c>
      <c r="K329" s="6" t="str">
        <f aca="false">IF($J329=FALSE(),"",COUNTIF($J$6:$J329,TRUE()))</f>
        <v/>
      </c>
      <c r="L329" s="6" t="str">
        <f aca="false">IF($K329="","","R"&amp;$K329)</f>
        <v/>
      </c>
    </row>
    <row r="330" customFormat="false" ht="15" hidden="false" customHeight="true" outlineLevel="0" collapsed="false">
      <c r="J330" s="29" t="b">
        <f aca="false">IF(정비현황!$A330="",FALSE(),OR(정비현황!$M330="교체",정비현황!$M330="임박"))</f>
        <v>0</v>
      </c>
      <c r="K330" s="6" t="str">
        <f aca="false">IF($J330=FALSE(),"",COUNTIF($J$6:$J330,TRUE()))</f>
        <v/>
      </c>
      <c r="L330" s="6" t="str">
        <f aca="false">IF($K330="","","R"&amp;$K330)</f>
        <v/>
      </c>
    </row>
    <row r="331" customFormat="false" ht="15" hidden="false" customHeight="true" outlineLevel="0" collapsed="false">
      <c r="J331" s="29" t="b">
        <f aca="false">IF(정비현황!$A331="",FALSE(),OR(정비현황!$M331="교체",정비현황!$M331="임박"))</f>
        <v>0</v>
      </c>
      <c r="K331" s="6" t="str">
        <f aca="false">IF($J331=FALSE(),"",COUNTIF($J$6:$J331,TRUE()))</f>
        <v/>
      </c>
      <c r="L331" s="6" t="str">
        <f aca="false">IF($K331="","","R"&amp;$K331)</f>
        <v/>
      </c>
    </row>
    <row r="332" customFormat="false" ht="15" hidden="false" customHeight="true" outlineLevel="0" collapsed="false">
      <c r="J332" s="29" t="b">
        <f aca="false">IF(정비현황!$A332="",FALSE(),OR(정비현황!$M332="교체",정비현황!$M332="임박"))</f>
        <v>0</v>
      </c>
      <c r="K332" s="6" t="str">
        <f aca="false">IF($J332=FALSE(),"",COUNTIF($J$6:$J332,TRUE()))</f>
        <v/>
      </c>
      <c r="L332" s="6" t="str">
        <f aca="false">IF($K332="","","R"&amp;$K332)</f>
        <v/>
      </c>
    </row>
    <row r="333" customFormat="false" ht="15" hidden="false" customHeight="true" outlineLevel="0" collapsed="false">
      <c r="J333" s="29" t="b">
        <f aca="false">IF(정비현황!$A333="",FALSE(),OR(정비현황!$M333="교체",정비현황!$M333="임박"))</f>
        <v>0</v>
      </c>
      <c r="K333" s="6" t="str">
        <f aca="false">IF($J333=FALSE(),"",COUNTIF($J$6:$J333,TRUE()))</f>
        <v/>
      </c>
      <c r="L333" s="6" t="str">
        <f aca="false">IF($K333="","","R"&amp;$K333)</f>
        <v/>
      </c>
    </row>
    <row r="334" customFormat="false" ht="15" hidden="false" customHeight="true" outlineLevel="0" collapsed="false">
      <c r="J334" s="29" t="b">
        <f aca="false">IF(정비현황!$A334="",FALSE(),OR(정비현황!$M334="교체",정비현황!$M334="임박"))</f>
        <v>0</v>
      </c>
      <c r="K334" s="6" t="str">
        <f aca="false">IF($J334=FALSE(),"",COUNTIF($J$6:$J334,TRUE()))</f>
        <v/>
      </c>
      <c r="L334" s="6" t="str">
        <f aca="false">IF($K334="","","R"&amp;$K334)</f>
        <v/>
      </c>
    </row>
    <row r="335" customFormat="false" ht="15" hidden="false" customHeight="true" outlineLevel="0" collapsed="false">
      <c r="J335" s="29" t="b">
        <f aca="false">IF(정비현황!$A335="",FALSE(),OR(정비현황!$M335="교체",정비현황!$M335="임박"))</f>
        <v>0</v>
      </c>
      <c r="K335" s="6" t="str">
        <f aca="false">IF($J335=FALSE(),"",COUNTIF($J$6:$J335,TRUE()))</f>
        <v/>
      </c>
      <c r="L335" s="6" t="str">
        <f aca="false">IF($K335="","","R"&amp;$K335)</f>
        <v/>
      </c>
    </row>
    <row r="336" customFormat="false" ht="15" hidden="false" customHeight="true" outlineLevel="0" collapsed="false">
      <c r="J336" s="29" t="b">
        <f aca="false">IF(정비현황!$A336="",FALSE(),OR(정비현황!$M336="교체",정비현황!$M336="임박"))</f>
        <v>0</v>
      </c>
      <c r="K336" s="6" t="str">
        <f aca="false">IF($J336=FALSE(),"",COUNTIF($J$6:$J336,TRUE()))</f>
        <v/>
      </c>
      <c r="L336" s="6" t="str">
        <f aca="false">IF($K336="","","R"&amp;$K336)</f>
        <v/>
      </c>
    </row>
    <row r="337" customFormat="false" ht="15" hidden="false" customHeight="true" outlineLevel="0" collapsed="false">
      <c r="J337" s="29" t="b">
        <f aca="false">IF(정비현황!$A337="",FALSE(),OR(정비현황!$M337="교체",정비현황!$M337="임박"))</f>
        <v>0</v>
      </c>
      <c r="K337" s="6" t="str">
        <f aca="false">IF($J337=FALSE(),"",COUNTIF($J$6:$J337,TRUE()))</f>
        <v/>
      </c>
      <c r="L337" s="6" t="str">
        <f aca="false">IF($K337="","","R"&amp;$K337)</f>
        <v/>
      </c>
    </row>
    <row r="338" customFormat="false" ht="15" hidden="false" customHeight="true" outlineLevel="0" collapsed="false">
      <c r="J338" s="29" t="b">
        <f aca="false">IF(정비현황!$A338="",FALSE(),OR(정비현황!$M338="교체",정비현황!$M338="임박"))</f>
        <v>0</v>
      </c>
      <c r="K338" s="6" t="str">
        <f aca="false">IF($J338=FALSE(),"",COUNTIF($J$6:$J338,TRUE()))</f>
        <v/>
      </c>
      <c r="L338" s="6" t="str">
        <f aca="false">IF($K338="","","R"&amp;$K338)</f>
        <v/>
      </c>
    </row>
    <row r="339" customFormat="false" ht="15" hidden="false" customHeight="true" outlineLevel="0" collapsed="false">
      <c r="J339" s="29" t="b">
        <f aca="false">IF(정비현황!$A339="",FALSE(),OR(정비현황!$M339="교체",정비현황!$M339="임박"))</f>
        <v>0</v>
      </c>
      <c r="K339" s="6" t="str">
        <f aca="false">IF($J339=FALSE(),"",COUNTIF($J$6:$J339,TRUE()))</f>
        <v/>
      </c>
      <c r="L339" s="6" t="str">
        <f aca="false">IF($K339="","","R"&amp;$K339)</f>
        <v/>
      </c>
    </row>
    <row r="340" customFormat="false" ht="15" hidden="false" customHeight="true" outlineLevel="0" collapsed="false">
      <c r="J340" s="29" t="b">
        <f aca="false">IF(정비현황!$A340="",FALSE(),OR(정비현황!$M340="교체",정비현황!$M340="임박"))</f>
        <v>0</v>
      </c>
      <c r="K340" s="6" t="str">
        <f aca="false">IF($J340=FALSE(),"",COUNTIF($J$6:$J340,TRUE()))</f>
        <v/>
      </c>
      <c r="L340" s="6" t="str">
        <f aca="false">IF($K340="","","R"&amp;$K340)</f>
        <v/>
      </c>
    </row>
    <row r="341" customFormat="false" ht="15" hidden="false" customHeight="true" outlineLevel="0" collapsed="false">
      <c r="J341" s="29" t="b">
        <f aca="false">IF(정비현황!$A341="",FALSE(),OR(정비현황!$M341="교체",정비현황!$M341="임박"))</f>
        <v>0</v>
      </c>
      <c r="K341" s="6" t="str">
        <f aca="false">IF($J341=FALSE(),"",COUNTIF($J$6:$J341,TRUE()))</f>
        <v/>
      </c>
      <c r="L341" s="6" t="str">
        <f aca="false">IF($K341="","","R"&amp;$K341)</f>
        <v/>
      </c>
    </row>
    <row r="342" customFormat="false" ht="15" hidden="false" customHeight="true" outlineLevel="0" collapsed="false">
      <c r="J342" s="29" t="b">
        <f aca="false">IF(정비현황!$A342="",FALSE(),OR(정비현황!$M342="교체",정비현황!$M342="임박"))</f>
        <v>0</v>
      </c>
      <c r="K342" s="6" t="str">
        <f aca="false">IF($J342=FALSE(),"",COUNTIF($J$6:$J342,TRUE()))</f>
        <v/>
      </c>
      <c r="L342" s="6" t="str">
        <f aca="false">IF($K342="","","R"&amp;$K342)</f>
        <v/>
      </c>
    </row>
    <row r="343" customFormat="false" ht="15" hidden="false" customHeight="true" outlineLevel="0" collapsed="false">
      <c r="J343" s="29" t="b">
        <f aca="false">IF(정비현황!$A343="",FALSE(),OR(정비현황!$M343="교체",정비현황!$M343="임박"))</f>
        <v>0</v>
      </c>
      <c r="K343" s="6" t="str">
        <f aca="false">IF($J343=FALSE(),"",COUNTIF($J$6:$J343,TRUE()))</f>
        <v/>
      </c>
      <c r="L343" s="6" t="str">
        <f aca="false">IF($K343="","","R"&amp;$K343)</f>
        <v/>
      </c>
    </row>
    <row r="344" customFormat="false" ht="15" hidden="false" customHeight="true" outlineLevel="0" collapsed="false">
      <c r="J344" s="29" t="b">
        <f aca="false">IF(정비현황!$A344="",FALSE(),OR(정비현황!$M344="교체",정비현황!$M344="임박"))</f>
        <v>0</v>
      </c>
      <c r="K344" s="6" t="str">
        <f aca="false">IF($J344=FALSE(),"",COUNTIF($J$6:$J344,TRUE()))</f>
        <v/>
      </c>
      <c r="L344" s="6" t="str">
        <f aca="false">IF($K344="","","R"&amp;$K344)</f>
        <v/>
      </c>
    </row>
    <row r="345" customFormat="false" ht="15" hidden="false" customHeight="true" outlineLevel="0" collapsed="false">
      <c r="J345" s="29" t="b">
        <f aca="false">IF(정비현황!$A345="",FALSE(),OR(정비현황!$M345="교체",정비현황!$M345="임박"))</f>
        <v>0</v>
      </c>
      <c r="K345" s="6" t="str">
        <f aca="false">IF($J345=FALSE(),"",COUNTIF($J$6:$J345,TRUE()))</f>
        <v/>
      </c>
      <c r="L345" s="6" t="str">
        <f aca="false">IF($K345="","","R"&amp;$K345)</f>
        <v/>
      </c>
    </row>
    <row r="346" customFormat="false" ht="15" hidden="false" customHeight="true" outlineLevel="0" collapsed="false">
      <c r="J346" s="29" t="b">
        <f aca="false">IF(정비현황!$A346="",FALSE(),OR(정비현황!$M346="교체",정비현황!$M346="임박"))</f>
        <v>0</v>
      </c>
      <c r="K346" s="6" t="str">
        <f aca="false">IF($J346=FALSE(),"",COUNTIF($J$6:$J346,TRUE()))</f>
        <v/>
      </c>
      <c r="L346" s="6" t="str">
        <f aca="false">IF($K346="","","R"&amp;$K346)</f>
        <v/>
      </c>
    </row>
    <row r="347" customFormat="false" ht="15" hidden="false" customHeight="true" outlineLevel="0" collapsed="false">
      <c r="J347" s="29" t="b">
        <f aca="false">IF(정비현황!$A347="",FALSE(),OR(정비현황!$M347="교체",정비현황!$M347="임박"))</f>
        <v>0</v>
      </c>
      <c r="K347" s="6" t="str">
        <f aca="false">IF($J347=FALSE(),"",COUNTIF($J$6:$J347,TRUE()))</f>
        <v/>
      </c>
      <c r="L347" s="6" t="str">
        <f aca="false">IF($K347="","","R"&amp;$K347)</f>
        <v/>
      </c>
    </row>
    <row r="348" customFormat="false" ht="15" hidden="false" customHeight="true" outlineLevel="0" collapsed="false">
      <c r="J348" s="29" t="b">
        <f aca="false">IF(정비현황!$A348="",FALSE(),OR(정비현황!$M348="교체",정비현황!$M348="임박"))</f>
        <v>0</v>
      </c>
      <c r="K348" s="6" t="str">
        <f aca="false">IF($J348=FALSE(),"",COUNTIF($J$6:$J348,TRUE()))</f>
        <v/>
      </c>
      <c r="L348" s="6" t="str">
        <f aca="false">IF($K348="","","R"&amp;$K348)</f>
        <v/>
      </c>
    </row>
    <row r="349" customFormat="false" ht="15" hidden="false" customHeight="true" outlineLevel="0" collapsed="false">
      <c r="J349" s="29" t="b">
        <f aca="false">IF(정비현황!$A349="",FALSE(),OR(정비현황!$M349="교체",정비현황!$M349="임박"))</f>
        <v>0</v>
      </c>
      <c r="K349" s="6" t="str">
        <f aca="false">IF($J349=FALSE(),"",COUNTIF($J$6:$J349,TRUE()))</f>
        <v/>
      </c>
      <c r="L349" s="6" t="str">
        <f aca="false">IF($K349="","","R"&amp;$K349)</f>
        <v/>
      </c>
    </row>
    <row r="350" customFormat="false" ht="15" hidden="false" customHeight="true" outlineLevel="0" collapsed="false">
      <c r="J350" s="29" t="b">
        <f aca="false">IF(정비현황!$A350="",FALSE(),OR(정비현황!$M350="교체",정비현황!$M350="임박"))</f>
        <v>0</v>
      </c>
      <c r="K350" s="6" t="str">
        <f aca="false">IF($J350=FALSE(),"",COUNTIF($J$6:$J350,TRUE()))</f>
        <v/>
      </c>
      <c r="L350" s="6" t="str">
        <f aca="false">IF($K350="","","R"&amp;$K350)</f>
        <v/>
      </c>
    </row>
    <row r="351" customFormat="false" ht="15" hidden="false" customHeight="true" outlineLevel="0" collapsed="false">
      <c r="J351" s="29" t="b">
        <f aca="false">IF(정비현황!$A351="",FALSE(),OR(정비현황!$M351="교체",정비현황!$M351="임박"))</f>
        <v>0</v>
      </c>
      <c r="K351" s="6" t="str">
        <f aca="false">IF($J351=FALSE(),"",COUNTIF($J$6:$J351,TRUE()))</f>
        <v/>
      </c>
      <c r="L351" s="6" t="str">
        <f aca="false">IF($K351="","","R"&amp;$K351)</f>
        <v/>
      </c>
    </row>
    <row r="352" customFormat="false" ht="15" hidden="false" customHeight="true" outlineLevel="0" collapsed="false">
      <c r="J352" s="29" t="b">
        <f aca="false">IF(정비현황!$A352="",FALSE(),OR(정비현황!$M352="교체",정비현황!$M352="임박"))</f>
        <v>0</v>
      </c>
      <c r="K352" s="6" t="str">
        <f aca="false">IF($J352=FALSE(),"",COUNTIF($J$6:$J352,TRUE()))</f>
        <v/>
      </c>
      <c r="L352" s="6" t="str">
        <f aca="false">IF($K352="","","R"&amp;$K352)</f>
        <v/>
      </c>
    </row>
    <row r="353" customFormat="false" ht="15" hidden="false" customHeight="true" outlineLevel="0" collapsed="false">
      <c r="J353" s="29" t="b">
        <f aca="false">IF(정비현황!$A353="",FALSE(),OR(정비현황!$M353="교체",정비현황!$M353="임박"))</f>
        <v>0</v>
      </c>
      <c r="K353" s="6" t="str">
        <f aca="false">IF($J353=FALSE(),"",COUNTIF($J$6:$J353,TRUE()))</f>
        <v/>
      </c>
      <c r="L353" s="6" t="str">
        <f aca="false">IF($K353="","","R"&amp;$K353)</f>
        <v/>
      </c>
    </row>
    <row r="354" customFormat="false" ht="15" hidden="false" customHeight="true" outlineLevel="0" collapsed="false">
      <c r="J354" s="29" t="b">
        <f aca="false">IF(정비현황!$A354="",FALSE(),OR(정비현황!$M354="교체",정비현황!$M354="임박"))</f>
        <v>0</v>
      </c>
      <c r="K354" s="6" t="str">
        <f aca="false">IF($J354=FALSE(),"",COUNTIF($J$6:$J354,TRUE()))</f>
        <v/>
      </c>
      <c r="L354" s="6" t="str">
        <f aca="false">IF($K354="","","R"&amp;$K354)</f>
        <v/>
      </c>
    </row>
    <row r="355" customFormat="false" ht="15" hidden="false" customHeight="true" outlineLevel="0" collapsed="false">
      <c r="J355" s="29" t="b">
        <f aca="false">IF(정비현황!$A355="",FALSE(),OR(정비현황!$M355="교체",정비현황!$M355="임박"))</f>
        <v>0</v>
      </c>
      <c r="K355" s="6" t="str">
        <f aca="false">IF($J355=FALSE(),"",COUNTIF($J$6:$J355,TRUE()))</f>
        <v/>
      </c>
      <c r="L355" s="6" t="str">
        <f aca="false">IF($K355="","","R"&amp;$K355)</f>
        <v/>
      </c>
    </row>
    <row r="356" customFormat="false" ht="15" hidden="false" customHeight="true" outlineLevel="0" collapsed="false">
      <c r="J356" s="29" t="b">
        <f aca="false">IF(정비현황!$A356="",FALSE(),OR(정비현황!$M356="교체",정비현황!$M356="임박"))</f>
        <v>0</v>
      </c>
      <c r="K356" s="6" t="str">
        <f aca="false">IF($J356=FALSE(),"",COUNTIF($J$6:$J356,TRUE()))</f>
        <v/>
      </c>
      <c r="L356" s="6" t="str">
        <f aca="false">IF($K356="","","R"&amp;$K356)</f>
        <v/>
      </c>
    </row>
    <row r="357" customFormat="false" ht="15" hidden="false" customHeight="true" outlineLevel="0" collapsed="false">
      <c r="J357" s="29" t="b">
        <f aca="false">IF(정비현황!$A357="",FALSE(),OR(정비현황!$M357="교체",정비현황!$M357="임박"))</f>
        <v>0</v>
      </c>
      <c r="K357" s="6" t="str">
        <f aca="false">IF($J357=FALSE(),"",COUNTIF($J$6:$J357,TRUE()))</f>
        <v/>
      </c>
      <c r="L357" s="6" t="str">
        <f aca="false">IF($K357="","","R"&amp;$K357)</f>
        <v/>
      </c>
    </row>
    <row r="358" customFormat="false" ht="15" hidden="false" customHeight="true" outlineLevel="0" collapsed="false">
      <c r="J358" s="29" t="b">
        <f aca="false">IF(정비현황!$A358="",FALSE(),OR(정비현황!$M358="교체",정비현황!$M358="임박"))</f>
        <v>0</v>
      </c>
      <c r="K358" s="6" t="str">
        <f aca="false">IF($J358=FALSE(),"",COUNTIF($J$6:$J358,TRUE()))</f>
        <v/>
      </c>
      <c r="L358" s="6" t="str">
        <f aca="false">IF($K358="","","R"&amp;$K358)</f>
        <v/>
      </c>
    </row>
    <row r="359" customFormat="false" ht="15" hidden="false" customHeight="true" outlineLevel="0" collapsed="false">
      <c r="J359" s="29" t="b">
        <f aca="false">IF(정비현황!$A359="",FALSE(),OR(정비현황!$M359="교체",정비현황!$M359="임박"))</f>
        <v>0</v>
      </c>
      <c r="K359" s="6" t="str">
        <f aca="false">IF($J359=FALSE(),"",COUNTIF($J$6:$J359,TRUE()))</f>
        <v/>
      </c>
      <c r="L359" s="6" t="str">
        <f aca="false">IF($K359="","","R"&amp;$K359)</f>
        <v/>
      </c>
    </row>
    <row r="360" customFormat="false" ht="15" hidden="false" customHeight="true" outlineLevel="0" collapsed="false">
      <c r="J360" s="29" t="b">
        <f aca="false">IF(정비현황!$A360="",FALSE(),OR(정비현황!$M360="교체",정비현황!$M360="임박"))</f>
        <v>0</v>
      </c>
      <c r="K360" s="6" t="str">
        <f aca="false">IF($J360=FALSE(),"",COUNTIF($J$6:$J360,TRUE()))</f>
        <v/>
      </c>
      <c r="L360" s="6" t="str">
        <f aca="false">IF($K360="","","R"&amp;$K360)</f>
        <v/>
      </c>
    </row>
    <row r="361" customFormat="false" ht="15" hidden="false" customHeight="true" outlineLevel="0" collapsed="false">
      <c r="J361" s="29" t="b">
        <f aca="false">IF(정비현황!$A361="",FALSE(),OR(정비현황!$M361="교체",정비현황!$M361="임박"))</f>
        <v>0</v>
      </c>
      <c r="K361" s="6" t="str">
        <f aca="false">IF($J361=FALSE(),"",COUNTIF($J$6:$J361,TRUE()))</f>
        <v/>
      </c>
      <c r="L361" s="6" t="str">
        <f aca="false">IF($K361="","","R"&amp;$K361)</f>
        <v/>
      </c>
    </row>
    <row r="362" customFormat="false" ht="15" hidden="false" customHeight="true" outlineLevel="0" collapsed="false">
      <c r="J362" s="29" t="b">
        <f aca="false">IF(정비현황!$A362="",FALSE(),OR(정비현황!$M362="교체",정비현황!$M362="임박"))</f>
        <v>0</v>
      </c>
      <c r="K362" s="6" t="str">
        <f aca="false">IF($J362=FALSE(),"",COUNTIF($J$6:$J362,TRUE()))</f>
        <v/>
      </c>
      <c r="L362" s="6" t="str">
        <f aca="false">IF($K362="","","R"&amp;$K362)</f>
        <v/>
      </c>
    </row>
    <row r="363" customFormat="false" ht="15" hidden="false" customHeight="true" outlineLevel="0" collapsed="false">
      <c r="J363" s="29" t="b">
        <f aca="false">IF(정비현황!$A363="",FALSE(),OR(정비현황!$M363="교체",정비현황!$M363="임박"))</f>
        <v>0</v>
      </c>
      <c r="K363" s="6" t="str">
        <f aca="false">IF($J363=FALSE(),"",COUNTIF($J$6:$J363,TRUE()))</f>
        <v/>
      </c>
      <c r="L363" s="6" t="str">
        <f aca="false">IF($K363="","","R"&amp;$K363)</f>
        <v/>
      </c>
    </row>
    <row r="364" customFormat="false" ht="15" hidden="false" customHeight="true" outlineLevel="0" collapsed="false">
      <c r="J364" s="29" t="b">
        <f aca="false">IF(정비현황!$A364="",FALSE(),OR(정비현황!$M364="교체",정비현황!$M364="임박"))</f>
        <v>0</v>
      </c>
      <c r="K364" s="6" t="str">
        <f aca="false">IF($J364=FALSE(),"",COUNTIF($J$6:$J364,TRUE()))</f>
        <v/>
      </c>
      <c r="L364" s="6" t="str">
        <f aca="false">IF($K364="","","R"&amp;$K364)</f>
        <v/>
      </c>
    </row>
    <row r="365" customFormat="false" ht="15" hidden="false" customHeight="true" outlineLevel="0" collapsed="false">
      <c r="J365" s="29" t="b">
        <f aca="false">IF(정비현황!$A365="",FALSE(),OR(정비현황!$M365="교체",정비현황!$M365="임박"))</f>
        <v>0</v>
      </c>
      <c r="K365" s="6" t="str">
        <f aca="false">IF($J365=FALSE(),"",COUNTIF($J$6:$J365,TRUE()))</f>
        <v/>
      </c>
      <c r="L365" s="6" t="str">
        <f aca="false">IF($K365="","","R"&amp;$K365)</f>
        <v/>
      </c>
    </row>
  </sheetData>
  <mergeCells count="1">
    <mergeCell ref="A1:H1"/>
  </mergeCells>
  <conditionalFormatting sqref="A6:H125">
    <cfRule type="expression" priority="2" aboveAverage="0" equalAverage="0" bottom="0" percent="0" rank="0" text="" dxfId="0">
      <formula>$H6="교체"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6" min="5" style="1" width="16"/>
    <col collapsed="false" customWidth="true" hidden="false" outlineLevel="0" max="7" min="7" style="1" width="13"/>
  </cols>
  <sheetData>
    <row r="1" customFormat="false" ht="25.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85</v>
      </c>
      <c r="B3" s="30" t="n">
        <v>2026</v>
      </c>
    </row>
    <row r="5" customFormat="false" ht="15" hidden="false" customHeight="true" outlineLevel="0" collapsed="false">
      <c r="A5" s="10" t="s">
        <v>26</v>
      </c>
      <c r="B5" s="10" t="s">
        <v>27</v>
      </c>
      <c r="C5" s="10" t="s">
        <v>86</v>
      </c>
      <c r="D5" s="10" t="s">
        <v>87</v>
      </c>
      <c r="E5" s="10" t="s">
        <v>88</v>
      </c>
      <c r="F5" s="10" t="s">
        <v>89</v>
      </c>
      <c r="G5" s="10" t="s">
        <v>90</v>
      </c>
    </row>
    <row r="6" customFormat="false" ht="15" hidden="false" customHeight="true" outlineLevel="0" collapsed="false">
      <c r="A6" s="23" t="str">
        <f aca="false">IF(차량목록!$A3="","",차량목록!$A3)</f>
        <v>12가3456</v>
      </c>
      <c r="B6" s="23" t="str">
        <f aca="false">IF($A6="","",차량목록!$B3)</f>
        <v>포터2</v>
      </c>
      <c r="C6" s="24" t="n">
        <f aca="false">IF($A6="","",차량목록!$E3)</f>
        <v>81800</v>
      </c>
      <c r="D6" s="28" t="n">
        <f aca="false">IF($A6="","",COUNTIFS(정비이력!$B$3:$B$1002,$A6,정비이력!$A$3:$A$1002,"&gt;="&amp;DATE($B$3,1,1),정비이력!$A$3:$A$1002,"&lt;="&amp;DATE($B$3,12,31)))</f>
        <v>2</v>
      </c>
      <c r="E6" s="24" t="n">
        <f aca="false">IF($A6="","",SUMIFS(정비이력!$G$3:$G$1002,정비이력!$B$3:$B$1002,$A6,정비이력!$A$3:$A$1002,"&gt;="&amp;DATE($B$3,1,1),정비이력!$A$3:$A$1002,"&lt;="&amp;DATE($B$3,12,31)))</f>
        <v>130000</v>
      </c>
      <c r="F6" s="24" t="n">
        <f aca="false">IF($A6="","",SUMIFS(정비이력!$G$3:$G$1002,정비이력!$B$3:$B$1002,$A6))</f>
        <v>130000</v>
      </c>
      <c r="G6" s="28" t="n">
        <f aca="false">IF($A6="","",SUMPRODUCT((정비현황!$A$6:$A$365=$A6)*(정비현황!$M$6:$M$365="교체")))</f>
        <v>0</v>
      </c>
    </row>
    <row r="7" customFormat="false" ht="15" hidden="false" customHeight="true" outlineLevel="0" collapsed="false">
      <c r="A7" s="23" t="str">
        <f aca="false">IF(차량목록!$A4="","",차량목록!$A4)</f>
        <v>34나5678</v>
      </c>
      <c r="B7" s="23" t="str">
        <f aca="false">IF($A7="","",차량목록!$B4)</f>
        <v>봉고3</v>
      </c>
      <c r="C7" s="24" t="n">
        <f aca="false">IF($A7="","",차량목록!$E4)</f>
        <v>42300</v>
      </c>
      <c r="D7" s="28" t="n">
        <f aca="false">IF($A7="","",COUNTIFS(정비이력!$B$3:$B$1002,$A7,정비이력!$A$3:$A$1002,"&gt;="&amp;DATE($B$3,1,1),정비이력!$A$3:$A$1002,"&lt;="&amp;DATE($B$3,12,31)))</f>
        <v>1</v>
      </c>
      <c r="E7" s="24" t="n">
        <f aca="false">IF($A7="","",SUMIFS(정비이력!$G$3:$G$1002,정비이력!$B$3:$B$1002,$A7,정비이력!$A$3:$A$1002,"&gt;="&amp;DATE($B$3,1,1),정비이력!$A$3:$A$1002,"&lt;="&amp;DATE($B$3,12,31)))</f>
        <v>85000</v>
      </c>
      <c r="F7" s="24" t="n">
        <f aca="false">IF($A7="","",SUMIFS(정비이력!$G$3:$G$1002,정비이력!$B$3:$B$1002,$A7))</f>
        <v>85000</v>
      </c>
      <c r="G7" s="28" t="n">
        <f aca="false">IF($A7="","",SUMPRODUCT((정비현황!$A$6:$A$365=$A7)*(정비현황!$M$6:$M$365="교체")))</f>
        <v>0</v>
      </c>
    </row>
    <row r="8" customFormat="false" ht="15" hidden="false" customHeight="true" outlineLevel="0" collapsed="false">
      <c r="A8" s="23" t="str">
        <f aca="false">IF(차량목록!$A5="","",차량목록!$A5)</f>
        <v>56다7890</v>
      </c>
      <c r="B8" s="23" t="str">
        <f aca="false">IF($A8="","",차량목록!$B5)</f>
        <v>스타렉스</v>
      </c>
      <c r="C8" s="24" t="n">
        <f aca="false">IF($A8="","",차량목록!$E5)</f>
        <v>125000</v>
      </c>
      <c r="D8" s="28" t="n">
        <f aca="false">IF($A8="","",COUNTIFS(정비이력!$B$3:$B$1002,$A8,정비이력!$A$3:$A$1002,"&gt;="&amp;DATE($B$3,1,1),정비이력!$A$3:$A$1002,"&lt;="&amp;DATE($B$3,12,31)))</f>
        <v>0</v>
      </c>
      <c r="E8" s="24" t="n">
        <f aca="false">IF($A8="","",SUMIFS(정비이력!$G$3:$G$1002,정비이력!$B$3:$B$1002,$A8,정비이력!$A$3:$A$1002,"&gt;="&amp;DATE($B$3,1,1),정비이력!$A$3:$A$1002,"&lt;="&amp;DATE($B$3,12,31)))</f>
        <v>0</v>
      </c>
      <c r="F8" s="24" t="n">
        <f aca="false">IF($A8="","",SUMIFS(정비이력!$G$3:$G$1002,정비이력!$B$3:$B$1002,$A8))</f>
        <v>620000</v>
      </c>
      <c r="G8" s="28" t="n">
        <f aca="false">IF($A8="","",SUMPRODUCT((정비현황!$A$6:$A$365=$A8)*(정비현황!$M$6:$M$365="교체")))</f>
        <v>0</v>
      </c>
    </row>
    <row r="9" customFormat="false" ht="15" hidden="false" customHeight="true" outlineLevel="0" collapsed="false">
      <c r="A9" s="23" t="str">
        <f aca="false">IF(차량목록!$A6="","",차량목록!$A6)</f>
        <v/>
      </c>
      <c r="B9" s="23" t="str">
        <f aca="false">IF($A9="","",차량목록!$B6)</f>
        <v/>
      </c>
      <c r="C9" s="24" t="str">
        <f aca="false">IF($A9="","",차량목록!$E6)</f>
        <v/>
      </c>
      <c r="D9" s="28" t="str">
        <f aca="false">IF($A9="","",COUNTIFS(정비이력!$B$3:$B$1002,$A9,정비이력!$A$3:$A$1002,"&gt;="&amp;DATE($B$3,1,1),정비이력!$A$3:$A$1002,"&lt;="&amp;DATE($B$3,12,31)))</f>
        <v/>
      </c>
      <c r="E9" s="24" t="str">
        <f aca="false">IF($A9="","",SUMIFS(정비이력!$G$3:$G$1002,정비이력!$B$3:$B$1002,$A9,정비이력!$A$3:$A$1002,"&gt;="&amp;DATE($B$3,1,1),정비이력!$A$3:$A$1002,"&lt;="&amp;DATE($B$3,12,31)))</f>
        <v/>
      </c>
      <c r="F9" s="24" t="str">
        <f aca="false">IF($A9="","",SUMIFS(정비이력!$G$3:$G$1002,정비이력!$B$3:$B$1002,$A9))</f>
        <v/>
      </c>
      <c r="G9" s="28" t="str">
        <f aca="false">IF($A9="","",SUMPRODUCT((정비현황!$A$6:$A$365=$A9)*(정비현황!$M$6:$M$365="교체")))</f>
        <v/>
      </c>
    </row>
    <row r="10" customFormat="false" ht="15" hidden="false" customHeight="true" outlineLevel="0" collapsed="false">
      <c r="A10" s="23" t="str">
        <f aca="false">IF(차량목록!$A7="","",차량목록!$A7)</f>
        <v/>
      </c>
      <c r="B10" s="23" t="str">
        <f aca="false">IF($A10="","",차량목록!$B7)</f>
        <v/>
      </c>
      <c r="C10" s="24" t="str">
        <f aca="false">IF($A10="","",차량목록!$E7)</f>
        <v/>
      </c>
      <c r="D10" s="28" t="str">
        <f aca="false">IF($A10="","",COUNTIFS(정비이력!$B$3:$B$1002,$A10,정비이력!$A$3:$A$1002,"&gt;="&amp;DATE($B$3,1,1),정비이력!$A$3:$A$1002,"&lt;="&amp;DATE($B$3,12,31)))</f>
        <v/>
      </c>
      <c r="E10" s="24" t="str">
        <f aca="false">IF($A10="","",SUMIFS(정비이력!$G$3:$G$1002,정비이력!$B$3:$B$1002,$A10,정비이력!$A$3:$A$1002,"&gt;="&amp;DATE($B$3,1,1),정비이력!$A$3:$A$1002,"&lt;="&amp;DATE($B$3,12,31)))</f>
        <v/>
      </c>
      <c r="F10" s="24" t="str">
        <f aca="false">IF($A10="","",SUMIFS(정비이력!$G$3:$G$1002,정비이력!$B$3:$B$1002,$A10))</f>
        <v/>
      </c>
      <c r="G10" s="28" t="str">
        <f aca="false">IF($A10="","",SUMPRODUCT((정비현황!$A$6:$A$365=$A10)*(정비현황!$M$6:$M$365="교체")))</f>
        <v/>
      </c>
    </row>
    <row r="11" customFormat="false" ht="15" hidden="false" customHeight="true" outlineLevel="0" collapsed="false">
      <c r="A11" s="23" t="str">
        <f aca="false">IF(차량목록!$A8="","",차량목록!$A8)</f>
        <v/>
      </c>
      <c r="B11" s="23" t="str">
        <f aca="false">IF($A11="","",차량목록!$B8)</f>
        <v/>
      </c>
      <c r="C11" s="24" t="str">
        <f aca="false">IF($A11="","",차량목록!$E8)</f>
        <v/>
      </c>
      <c r="D11" s="28" t="str">
        <f aca="false">IF($A11="","",COUNTIFS(정비이력!$B$3:$B$1002,$A11,정비이력!$A$3:$A$1002,"&gt;="&amp;DATE($B$3,1,1),정비이력!$A$3:$A$1002,"&lt;="&amp;DATE($B$3,12,31)))</f>
        <v/>
      </c>
      <c r="E11" s="24" t="str">
        <f aca="false">IF($A11="","",SUMIFS(정비이력!$G$3:$G$1002,정비이력!$B$3:$B$1002,$A11,정비이력!$A$3:$A$1002,"&gt;="&amp;DATE($B$3,1,1),정비이력!$A$3:$A$1002,"&lt;="&amp;DATE($B$3,12,31)))</f>
        <v/>
      </c>
      <c r="F11" s="24" t="str">
        <f aca="false">IF($A11="","",SUMIFS(정비이력!$G$3:$G$1002,정비이력!$B$3:$B$1002,$A11))</f>
        <v/>
      </c>
      <c r="G11" s="28" t="str">
        <f aca="false">IF($A11="","",SUMPRODUCT((정비현황!$A$6:$A$365=$A11)*(정비현황!$M$6:$M$365="교체")))</f>
        <v/>
      </c>
    </row>
    <row r="12" customFormat="false" ht="15" hidden="false" customHeight="true" outlineLevel="0" collapsed="false">
      <c r="A12" s="23" t="str">
        <f aca="false">IF(차량목록!$A9="","",차량목록!$A9)</f>
        <v/>
      </c>
      <c r="B12" s="23" t="str">
        <f aca="false">IF($A12="","",차량목록!$B9)</f>
        <v/>
      </c>
      <c r="C12" s="24" t="str">
        <f aca="false">IF($A12="","",차량목록!$E9)</f>
        <v/>
      </c>
      <c r="D12" s="28" t="str">
        <f aca="false">IF($A12="","",COUNTIFS(정비이력!$B$3:$B$1002,$A12,정비이력!$A$3:$A$1002,"&gt;="&amp;DATE($B$3,1,1),정비이력!$A$3:$A$1002,"&lt;="&amp;DATE($B$3,12,31)))</f>
        <v/>
      </c>
      <c r="E12" s="24" t="str">
        <f aca="false">IF($A12="","",SUMIFS(정비이력!$G$3:$G$1002,정비이력!$B$3:$B$1002,$A12,정비이력!$A$3:$A$1002,"&gt;="&amp;DATE($B$3,1,1),정비이력!$A$3:$A$1002,"&lt;="&amp;DATE($B$3,12,31)))</f>
        <v/>
      </c>
      <c r="F12" s="24" t="str">
        <f aca="false">IF($A12="","",SUMIFS(정비이력!$G$3:$G$1002,정비이력!$B$3:$B$1002,$A12))</f>
        <v/>
      </c>
      <c r="G12" s="28" t="str">
        <f aca="false">IF($A12="","",SUMPRODUCT((정비현황!$A$6:$A$365=$A12)*(정비현황!$M$6:$M$365="교체")))</f>
        <v/>
      </c>
    </row>
    <row r="13" customFormat="false" ht="15" hidden="false" customHeight="true" outlineLevel="0" collapsed="false">
      <c r="A13" s="23" t="str">
        <f aca="false">IF(차량목록!$A10="","",차량목록!$A10)</f>
        <v/>
      </c>
      <c r="B13" s="23" t="str">
        <f aca="false">IF($A13="","",차량목록!$B10)</f>
        <v/>
      </c>
      <c r="C13" s="24" t="str">
        <f aca="false">IF($A13="","",차량목록!$E10)</f>
        <v/>
      </c>
      <c r="D13" s="28" t="str">
        <f aca="false">IF($A13="","",COUNTIFS(정비이력!$B$3:$B$1002,$A13,정비이력!$A$3:$A$1002,"&gt;="&amp;DATE($B$3,1,1),정비이력!$A$3:$A$1002,"&lt;="&amp;DATE($B$3,12,31)))</f>
        <v/>
      </c>
      <c r="E13" s="24" t="str">
        <f aca="false">IF($A13="","",SUMIFS(정비이력!$G$3:$G$1002,정비이력!$B$3:$B$1002,$A13,정비이력!$A$3:$A$1002,"&gt;="&amp;DATE($B$3,1,1),정비이력!$A$3:$A$1002,"&lt;="&amp;DATE($B$3,12,31)))</f>
        <v/>
      </c>
      <c r="F13" s="24" t="str">
        <f aca="false">IF($A13="","",SUMIFS(정비이력!$G$3:$G$1002,정비이력!$B$3:$B$1002,$A13))</f>
        <v/>
      </c>
      <c r="G13" s="28" t="str">
        <f aca="false">IF($A13="","",SUMPRODUCT((정비현황!$A$6:$A$365=$A13)*(정비현황!$M$6:$M$365="교체")))</f>
        <v/>
      </c>
    </row>
    <row r="14" customFormat="false" ht="15" hidden="false" customHeight="true" outlineLevel="0" collapsed="false">
      <c r="A14" s="23" t="str">
        <f aca="false">IF(차량목록!$A11="","",차량목록!$A11)</f>
        <v/>
      </c>
      <c r="B14" s="23" t="str">
        <f aca="false">IF($A14="","",차량목록!$B11)</f>
        <v/>
      </c>
      <c r="C14" s="24" t="str">
        <f aca="false">IF($A14="","",차량목록!$E11)</f>
        <v/>
      </c>
      <c r="D14" s="28" t="str">
        <f aca="false">IF($A14="","",COUNTIFS(정비이력!$B$3:$B$1002,$A14,정비이력!$A$3:$A$1002,"&gt;="&amp;DATE($B$3,1,1),정비이력!$A$3:$A$1002,"&lt;="&amp;DATE($B$3,12,31)))</f>
        <v/>
      </c>
      <c r="E14" s="24" t="str">
        <f aca="false">IF($A14="","",SUMIFS(정비이력!$G$3:$G$1002,정비이력!$B$3:$B$1002,$A14,정비이력!$A$3:$A$1002,"&gt;="&amp;DATE($B$3,1,1),정비이력!$A$3:$A$1002,"&lt;="&amp;DATE($B$3,12,31)))</f>
        <v/>
      </c>
      <c r="F14" s="24" t="str">
        <f aca="false">IF($A14="","",SUMIFS(정비이력!$G$3:$G$1002,정비이력!$B$3:$B$1002,$A14))</f>
        <v/>
      </c>
      <c r="G14" s="28" t="str">
        <f aca="false">IF($A14="","",SUMPRODUCT((정비현황!$A$6:$A$365=$A14)*(정비현황!$M$6:$M$365="교체")))</f>
        <v/>
      </c>
    </row>
    <row r="15" customFormat="false" ht="15" hidden="false" customHeight="true" outlineLevel="0" collapsed="false">
      <c r="A15" s="23" t="str">
        <f aca="false">IF(차량목록!$A12="","",차량목록!$A12)</f>
        <v/>
      </c>
      <c r="B15" s="23" t="str">
        <f aca="false">IF($A15="","",차량목록!$B12)</f>
        <v/>
      </c>
      <c r="C15" s="24" t="str">
        <f aca="false">IF($A15="","",차량목록!$E12)</f>
        <v/>
      </c>
      <c r="D15" s="28" t="str">
        <f aca="false">IF($A15="","",COUNTIFS(정비이력!$B$3:$B$1002,$A15,정비이력!$A$3:$A$1002,"&gt;="&amp;DATE($B$3,1,1),정비이력!$A$3:$A$1002,"&lt;="&amp;DATE($B$3,12,31)))</f>
        <v/>
      </c>
      <c r="E15" s="24" t="str">
        <f aca="false">IF($A15="","",SUMIFS(정비이력!$G$3:$G$1002,정비이력!$B$3:$B$1002,$A15,정비이력!$A$3:$A$1002,"&gt;="&amp;DATE($B$3,1,1),정비이력!$A$3:$A$1002,"&lt;="&amp;DATE($B$3,12,31)))</f>
        <v/>
      </c>
      <c r="F15" s="24" t="str">
        <f aca="false">IF($A15="","",SUMIFS(정비이력!$G$3:$G$1002,정비이력!$B$3:$B$1002,$A15))</f>
        <v/>
      </c>
      <c r="G15" s="28" t="str">
        <f aca="false">IF($A15="","",SUMPRODUCT((정비현황!$A$6:$A$365=$A15)*(정비현황!$M$6:$M$365="교체")))</f>
        <v/>
      </c>
    </row>
    <row r="16" customFormat="false" ht="15" hidden="false" customHeight="true" outlineLevel="0" collapsed="false">
      <c r="A16" s="23" t="str">
        <f aca="false">IF(차량목록!$A13="","",차량목록!$A13)</f>
        <v/>
      </c>
      <c r="B16" s="23" t="str">
        <f aca="false">IF($A16="","",차량목록!$B13)</f>
        <v/>
      </c>
      <c r="C16" s="24" t="str">
        <f aca="false">IF($A16="","",차량목록!$E13)</f>
        <v/>
      </c>
      <c r="D16" s="28" t="str">
        <f aca="false">IF($A16="","",COUNTIFS(정비이력!$B$3:$B$1002,$A16,정비이력!$A$3:$A$1002,"&gt;="&amp;DATE($B$3,1,1),정비이력!$A$3:$A$1002,"&lt;="&amp;DATE($B$3,12,31)))</f>
        <v/>
      </c>
      <c r="E16" s="24" t="str">
        <f aca="false">IF($A16="","",SUMIFS(정비이력!$G$3:$G$1002,정비이력!$B$3:$B$1002,$A16,정비이력!$A$3:$A$1002,"&gt;="&amp;DATE($B$3,1,1),정비이력!$A$3:$A$1002,"&lt;="&amp;DATE($B$3,12,31)))</f>
        <v/>
      </c>
      <c r="F16" s="24" t="str">
        <f aca="false">IF($A16="","",SUMIFS(정비이력!$G$3:$G$1002,정비이력!$B$3:$B$1002,$A16))</f>
        <v/>
      </c>
      <c r="G16" s="28" t="str">
        <f aca="false">IF($A16="","",SUMPRODUCT((정비현황!$A$6:$A$365=$A16)*(정비현황!$M$6:$M$365="교체")))</f>
        <v/>
      </c>
    </row>
    <row r="17" customFormat="false" ht="15" hidden="false" customHeight="true" outlineLevel="0" collapsed="false">
      <c r="A17" s="23" t="str">
        <f aca="false">IF(차량목록!$A14="","",차량목록!$A14)</f>
        <v/>
      </c>
      <c r="B17" s="23" t="str">
        <f aca="false">IF($A17="","",차량목록!$B14)</f>
        <v/>
      </c>
      <c r="C17" s="24" t="str">
        <f aca="false">IF($A17="","",차량목록!$E14)</f>
        <v/>
      </c>
      <c r="D17" s="28" t="str">
        <f aca="false">IF($A17="","",COUNTIFS(정비이력!$B$3:$B$1002,$A17,정비이력!$A$3:$A$1002,"&gt;="&amp;DATE($B$3,1,1),정비이력!$A$3:$A$1002,"&lt;="&amp;DATE($B$3,12,31)))</f>
        <v/>
      </c>
      <c r="E17" s="24" t="str">
        <f aca="false">IF($A17="","",SUMIFS(정비이력!$G$3:$G$1002,정비이력!$B$3:$B$1002,$A17,정비이력!$A$3:$A$1002,"&gt;="&amp;DATE($B$3,1,1),정비이력!$A$3:$A$1002,"&lt;="&amp;DATE($B$3,12,31)))</f>
        <v/>
      </c>
      <c r="F17" s="24" t="str">
        <f aca="false">IF($A17="","",SUMIFS(정비이력!$G$3:$G$1002,정비이력!$B$3:$B$1002,$A17))</f>
        <v/>
      </c>
      <c r="G17" s="28" t="str">
        <f aca="false">IF($A17="","",SUMPRODUCT((정비현황!$A$6:$A$365=$A17)*(정비현황!$M$6:$M$365="교체")))</f>
        <v/>
      </c>
    </row>
    <row r="18" customFormat="false" ht="15" hidden="false" customHeight="true" outlineLevel="0" collapsed="false">
      <c r="A18" s="23" t="str">
        <f aca="false">IF(차량목록!$A15="","",차량목록!$A15)</f>
        <v/>
      </c>
      <c r="B18" s="23" t="str">
        <f aca="false">IF($A18="","",차량목록!$B15)</f>
        <v/>
      </c>
      <c r="C18" s="24" t="str">
        <f aca="false">IF($A18="","",차량목록!$E15)</f>
        <v/>
      </c>
      <c r="D18" s="28" t="str">
        <f aca="false">IF($A18="","",COUNTIFS(정비이력!$B$3:$B$1002,$A18,정비이력!$A$3:$A$1002,"&gt;="&amp;DATE($B$3,1,1),정비이력!$A$3:$A$1002,"&lt;="&amp;DATE($B$3,12,31)))</f>
        <v/>
      </c>
      <c r="E18" s="24" t="str">
        <f aca="false">IF($A18="","",SUMIFS(정비이력!$G$3:$G$1002,정비이력!$B$3:$B$1002,$A18,정비이력!$A$3:$A$1002,"&gt;="&amp;DATE($B$3,1,1),정비이력!$A$3:$A$1002,"&lt;="&amp;DATE($B$3,12,31)))</f>
        <v/>
      </c>
      <c r="F18" s="24" t="str">
        <f aca="false">IF($A18="","",SUMIFS(정비이력!$G$3:$G$1002,정비이력!$B$3:$B$1002,$A18))</f>
        <v/>
      </c>
      <c r="G18" s="28" t="str">
        <f aca="false">IF($A18="","",SUMPRODUCT((정비현황!$A$6:$A$365=$A18)*(정비현황!$M$6:$M$365="교체")))</f>
        <v/>
      </c>
    </row>
    <row r="19" customFormat="false" ht="15" hidden="false" customHeight="true" outlineLevel="0" collapsed="false">
      <c r="A19" s="23" t="str">
        <f aca="false">IF(차량목록!$A16="","",차량목록!$A16)</f>
        <v/>
      </c>
      <c r="B19" s="23" t="str">
        <f aca="false">IF($A19="","",차량목록!$B16)</f>
        <v/>
      </c>
      <c r="C19" s="24" t="str">
        <f aca="false">IF($A19="","",차량목록!$E16)</f>
        <v/>
      </c>
      <c r="D19" s="28" t="str">
        <f aca="false">IF($A19="","",COUNTIFS(정비이력!$B$3:$B$1002,$A19,정비이력!$A$3:$A$1002,"&gt;="&amp;DATE($B$3,1,1),정비이력!$A$3:$A$1002,"&lt;="&amp;DATE($B$3,12,31)))</f>
        <v/>
      </c>
      <c r="E19" s="24" t="str">
        <f aca="false">IF($A19="","",SUMIFS(정비이력!$G$3:$G$1002,정비이력!$B$3:$B$1002,$A19,정비이력!$A$3:$A$1002,"&gt;="&amp;DATE($B$3,1,1),정비이력!$A$3:$A$1002,"&lt;="&amp;DATE($B$3,12,31)))</f>
        <v/>
      </c>
      <c r="F19" s="24" t="str">
        <f aca="false">IF($A19="","",SUMIFS(정비이력!$G$3:$G$1002,정비이력!$B$3:$B$1002,$A19))</f>
        <v/>
      </c>
      <c r="G19" s="28" t="str">
        <f aca="false">IF($A19="","",SUMPRODUCT((정비현황!$A$6:$A$365=$A19)*(정비현황!$M$6:$M$365="교체")))</f>
        <v/>
      </c>
    </row>
    <row r="20" customFormat="false" ht="15" hidden="false" customHeight="true" outlineLevel="0" collapsed="false">
      <c r="A20" s="23" t="str">
        <f aca="false">IF(차량목록!$A17="","",차량목록!$A17)</f>
        <v/>
      </c>
      <c r="B20" s="23" t="str">
        <f aca="false">IF($A20="","",차량목록!$B17)</f>
        <v/>
      </c>
      <c r="C20" s="24" t="str">
        <f aca="false">IF($A20="","",차량목록!$E17)</f>
        <v/>
      </c>
      <c r="D20" s="28" t="str">
        <f aca="false">IF($A20="","",COUNTIFS(정비이력!$B$3:$B$1002,$A20,정비이력!$A$3:$A$1002,"&gt;="&amp;DATE($B$3,1,1),정비이력!$A$3:$A$1002,"&lt;="&amp;DATE($B$3,12,31)))</f>
        <v/>
      </c>
      <c r="E20" s="24" t="str">
        <f aca="false">IF($A20="","",SUMIFS(정비이력!$G$3:$G$1002,정비이력!$B$3:$B$1002,$A20,정비이력!$A$3:$A$1002,"&gt;="&amp;DATE($B$3,1,1),정비이력!$A$3:$A$1002,"&lt;="&amp;DATE($B$3,12,31)))</f>
        <v/>
      </c>
      <c r="F20" s="24" t="str">
        <f aca="false">IF($A20="","",SUMIFS(정비이력!$G$3:$G$1002,정비이력!$B$3:$B$1002,$A20))</f>
        <v/>
      </c>
      <c r="G20" s="28" t="str">
        <f aca="false">IF($A20="","",SUMPRODUCT((정비현황!$A$6:$A$365=$A20)*(정비현황!$M$6:$M$365="교체")))</f>
        <v/>
      </c>
    </row>
    <row r="21" customFormat="false" ht="15" hidden="false" customHeight="true" outlineLevel="0" collapsed="false">
      <c r="A21" s="23" t="str">
        <f aca="false">IF(차량목록!$A18="","",차량목록!$A18)</f>
        <v/>
      </c>
      <c r="B21" s="23" t="str">
        <f aca="false">IF($A21="","",차량목록!$B18)</f>
        <v/>
      </c>
      <c r="C21" s="24" t="str">
        <f aca="false">IF($A21="","",차량목록!$E18)</f>
        <v/>
      </c>
      <c r="D21" s="28" t="str">
        <f aca="false">IF($A21="","",COUNTIFS(정비이력!$B$3:$B$1002,$A21,정비이력!$A$3:$A$1002,"&gt;="&amp;DATE($B$3,1,1),정비이력!$A$3:$A$1002,"&lt;="&amp;DATE($B$3,12,31)))</f>
        <v/>
      </c>
      <c r="E21" s="24" t="str">
        <f aca="false">IF($A21="","",SUMIFS(정비이력!$G$3:$G$1002,정비이력!$B$3:$B$1002,$A21,정비이력!$A$3:$A$1002,"&gt;="&amp;DATE($B$3,1,1),정비이력!$A$3:$A$1002,"&lt;="&amp;DATE($B$3,12,31)))</f>
        <v/>
      </c>
      <c r="F21" s="24" t="str">
        <f aca="false">IF($A21="","",SUMIFS(정비이력!$G$3:$G$1002,정비이력!$B$3:$B$1002,$A21))</f>
        <v/>
      </c>
      <c r="G21" s="28" t="str">
        <f aca="false">IF($A21="","",SUMPRODUCT((정비현황!$A$6:$A$365=$A21)*(정비현황!$M$6:$M$365="교체")))</f>
        <v/>
      </c>
    </row>
    <row r="22" customFormat="false" ht="15" hidden="false" customHeight="true" outlineLevel="0" collapsed="false">
      <c r="A22" s="23" t="str">
        <f aca="false">IF(차량목록!$A19="","",차량목록!$A19)</f>
        <v/>
      </c>
      <c r="B22" s="23" t="str">
        <f aca="false">IF($A22="","",차량목록!$B19)</f>
        <v/>
      </c>
      <c r="C22" s="24" t="str">
        <f aca="false">IF($A22="","",차량목록!$E19)</f>
        <v/>
      </c>
      <c r="D22" s="28" t="str">
        <f aca="false">IF($A22="","",COUNTIFS(정비이력!$B$3:$B$1002,$A22,정비이력!$A$3:$A$1002,"&gt;="&amp;DATE($B$3,1,1),정비이력!$A$3:$A$1002,"&lt;="&amp;DATE($B$3,12,31)))</f>
        <v/>
      </c>
      <c r="E22" s="24" t="str">
        <f aca="false">IF($A22="","",SUMIFS(정비이력!$G$3:$G$1002,정비이력!$B$3:$B$1002,$A22,정비이력!$A$3:$A$1002,"&gt;="&amp;DATE($B$3,1,1),정비이력!$A$3:$A$1002,"&lt;="&amp;DATE($B$3,12,31)))</f>
        <v/>
      </c>
      <c r="F22" s="24" t="str">
        <f aca="false">IF($A22="","",SUMIFS(정비이력!$G$3:$G$1002,정비이력!$B$3:$B$1002,$A22))</f>
        <v/>
      </c>
      <c r="G22" s="28" t="str">
        <f aca="false">IF($A22="","",SUMPRODUCT((정비현황!$A$6:$A$365=$A22)*(정비현황!$M$6:$M$365="교체")))</f>
        <v/>
      </c>
    </row>
    <row r="23" customFormat="false" ht="15" hidden="false" customHeight="true" outlineLevel="0" collapsed="false">
      <c r="A23" s="23" t="str">
        <f aca="false">IF(차량목록!$A20="","",차량목록!$A20)</f>
        <v/>
      </c>
      <c r="B23" s="23" t="str">
        <f aca="false">IF($A23="","",차량목록!$B20)</f>
        <v/>
      </c>
      <c r="C23" s="24" t="str">
        <f aca="false">IF($A23="","",차량목록!$E20)</f>
        <v/>
      </c>
      <c r="D23" s="28" t="str">
        <f aca="false">IF($A23="","",COUNTIFS(정비이력!$B$3:$B$1002,$A23,정비이력!$A$3:$A$1002,"&gt;="&amp;DATE($B$3,1,1),정비이력!$A$3:$A$1002,"&lt;="&amp;DATE($B$3,12,31)))</f>
        <v/>
      </c>
      <c r="E23" s="24" t="str">
        <f aca="false">IF($A23="","",SUMIFS(정비이력!$G$3:$G$1002,정비이력!$B$3:$B$1002,$A23,정비이력!$A$3:$A$1002,"&gt;="&amp;DATE($B$3,1,1),정비이력!$A$3:$A$1002,"&lt;="&amp;DATE($B$3,12,31)))</f>
        <v/>
      </c>
      <c r="F23" s="24" t="str">
        <f aca="false">IF($A23="","",SUMIFS(정비이력!$G$3:$G$1002,정비이력!$B$3:$B$1002,$A23))</f>
        <v/>
      </c>
      <c r="G23" s="28" t="str">
        <f aca="false">IF($A23="","",SUMPRODUCT((정비현황!$A$6:$A$365=$A23)*(정비현황!$M$6:$M$365="교체")))</f>
        <v/>
      </c>
    </row>
    <row r="24" customFormat="false" ht="15" hidden="false" customHeight="true" outlineLevel="0" collapsed="false">
      <c r="A24" s="23" t="str">
        <f aca="false">IF(차량목록!$A21="","",차량목록!$A21)</f>
        <v/>
      </c>
      <c r="B24" s="23" t="str">
        <f aca="false">IF($A24="","",차량목록!$B21)</f>
        <v/>
      </c>
      <c r="C24" s="24" t="str">
        <f aca="false">IF($A24="","",차량목록!$E21)</f>
        <v/>
      </c>
      <c r="D24" s="28" t="str">
        <f aca="false">IF($A24="","",COUNTIFS(정비이력!$B$3:$B$1002,$A24,정비이력!$A$3:$A$1002,"&gt;="&amp;DATE($B$3,1,1),정비이력!$A$3:$A$1002,"&lt;="&amp;DATE($B$3,12,31)))</f>
        <v/>
      </c>
      <c r="E24" s="24" t="str">
        <f aca="false">IF($A24="","",SUMIFS(정비이력!$G$3:$G$1002,정비이력!$B$3:$B$1002,$A24,정비이력!$A$3:$A$1002,"&gt;="&amp;DATE($B$3,1,1),정비이력!$A$3:$A$1002,"&lt;="&amp;DATE($B$3,12,31)))</f>
        <v/>
      </c>
      <c r="F24" s="24" t="str">
        <f aca="false">IF($A24="","",SUMIFS(정비이력!$G$3:$G$1002,정비이력!$B$3:$B$1002,$A24))</f>
        <v/>
      </c>
      <c r="G24" s="28" t="str">
        <f aca="false">IF($A24="","",SUMPRODUCT((정비현황!$A$6:$A$365=$A24)*(정비현황!$M$6:$M$365="교체")))</f>
        <v/>
      </c>
    </row>
    <row r="25" customFormat="false" ht="15" hidden="false" customHeight="true" outlineLevel="0" collapsed="false">
      <c r="A25" s="23" t="str">
        <f aca="false">IF(차량목록!$A22="","",차량목록!$A22)</f>
        <v/>
      </c>
      <c r="B25" s="23" t="str">
        <f aca="false">IF($A25="","",차량목록!$B22)</f>
        <v/>
      </c>
      <c r="C25" s="24" t="str">
        <f aca="false">IF($A25="","",차량목록!$E22)</f>
        <v/>
      </c>
      <c r="D25" s="28" t="str">
        <f aca="false">IF($A25="","",COUNTIFS(정비이력!$B$3:$B$1002,$A25,정비이력!$A$3:$A$1002,"&gt;="&amp;DATE($B$3,1,1),정비이력!$A$3:$A$1002,"&lt;="&amp;DATE($B$3,12,31)))</f>
        <v/>
      </c>
      <c r="E25" s="24" t="str">
        <f aca="false">IF($A25="","",SUMIFS(정비이력!$G$3:$G$1002,정비이력!$B$3:$B$1002,$A25,정비이력!$A$3:$A$1002,"&gt;="&amp;DATE($B$3,1,1),정비이력!$A$3:$A$1002,"&lt;="&amp;DATE($B$3,12,31)))</f>
        <v/>
      </c>
      <c r="F25" s="24" t="str">
        <f aca="false">IF($A25="","",SUMIFS(정비이력!$G$3:$G$1002,정비이력!$B$3:$B$1002,$A25))</f>
        <v/>
      </c>
      <c r="G25" s="28" t="str">
        <f aca="false">IF($A25="","",SUMPRODUCT((정비현황!$A$6:$A$365=$A25)*(정비현황!$M$6:$M$365="교체")))</f>
        <v/>
      </c>
    </row>
    <row r="26" customFormat="false" ht="15" hidden="false" customHeight="true" outlineLevel="0" collapsed="false">
      <c r="A26" s="23" t="str">
        <f aca="false">IF(차량목록!$A23="","",차량목록!$A23)</f>
        <v/>
      </c>
      <c r="B26" s="23" t="str">
        <f aca="false">IF($A26="","",차량목록!$B23)</f>
        <v/>
      </c>
      <c r="C26" s="24" t="str">
        <f aca="false">IF($A26="","",차량목록!$E23)</f>
        <v/>
      </c>
      <c r="D26" s="28" t="str">
        <f aca="false">IF($A26="","",COUNTIFS(정비이력!$B$3:$B$1002,$A26,정비이력!$A$3:$A$1002,"&gt;="&amp;DATE($B$3,1,1),정비이력!$A$3:$A$1002,"&lt;="&amp;DATE($B$3,12,31)))</f>
        <v/>
      </c>
      <c r="E26" s="24" t="str">
        <f aca="false">IF($A26="","",SUMIFS(정비이력!$G$3:$G$1002,정비이력!$B$3:$B$1002,$A26,정비이력!$A$3:$A$1002,"&gt;="&amp;DATE($B$3,1,1),정비이력!$A$3:$A$1002,"&lt;="&amp;DATE($B$3,12,31)))</f>
        <v/>
      </c>
      <c r="F26" s="24" t="str">
        <f aca="false">IF($A26="","",SUMIFS(정비이력!$G$3:$G$1002,정비이력!$B$3:$B$1002,$A26))</f>
        <v/>
      </c>
      <c r="G26" s="28" t="str">
        <f aca="false">IF($A26="","",SUMPRODUCT((정비현황!$A$6:$A$365=$A26)*(정비현황!$M$6:$M$365="교체")))</f>
        <v/>
      </c>
    </row>
    <row r="27" customFormat="false" ht="15" hidden="false" customHeight="true" outlineLevel="0" collapsed="false">
      <c r="A27" s="23" t="str">
        <f aca="false">IF(차량목록!$A24="","",차량목록!$A24)</f>
        <v/>
      </c>
      <c r="B27" s="23" t="str">
        <f aca="false">IF($A27="","",차량목록!$B24)</f>
        <v/>
      </c>
      <c r="C27" s="24" t="str">
        <f aca="false">IF($A27="","",차량목록!$E24)</f>
        <v/>
      </c>
      <c r="D27" s="28" t="str">
        <f aca="false">IF($A27="","",COUNTIFS(정비이력!$B$3:$B$1002,$A27,정비이력!$A$3:$A$1002,"&gt;="&amp;DATE($B$3,1,1),정비이력!$A$3:$A$1002,"&lt;="&amp;DATE($B$3,12,31)))</f>
        <v/>
      </c>
      <c r="E27" s="24" t="str">
        <f aca="false">IF($A27="","",SUMIFS(정비이력!$G$3:$G$1002,정비이력!$B$3:$B$1002,$A27,정비이력!$A$3:$A$1002,"&gt;="&amp;DATE($B$3,1,1),정비이력!$A$3:$A$1002,"&lt;="&amp;DATE($B$3,12,31)))</f>
        <v/>
      </c>
      <c r="F27" s="24" t="str">
        <f aca="false">IF($A27="","",SUMIFS(정비이력!$G$3:$G$1002,정비이력!$B$3:$B$1002,$A27))</f>
        <v/>
      </c>
      <c r="G27" s="28" t="str">
        <f aca="false">IF($A27="","",SUMPRODUCT((정비현황!$A$6:$A$365=$A27)*(정비현황!$M$6:$M$365="교체")))</f>
        <v/>
      </c>
    </row>
    <row r="28" customFormat="false" ht="15" hidden="false" customHeight="true" outlineLevel="0" collapsed="false">
      <c r="A28" s="23" t="str">
        <f aca="false">IF(차량목록!$A25="","",차량목록!$A25)</f>
        <v/>
      </c>
      <c r="B28" s="23" t="str">
        <f aca="false">IF($A28="","",차량목록!$B25)</f>
        <v/>
      </c>
      <c r="C28" s="24" t="str">
        <f aca="false">IF($A28="","",차량목록!$E25)</f>
        <v/>
      </c>
      <c r="D28" s="28" t="str">
        <f aca="false">IF($A28="","",COUNTIFS(정비이력!$B$3:$B$1002,$A28,정비이력!$A$3:$A$1002,"&gt;="&amp;DATE($B$3,1,1),정비이력!$A$3:$A$1002,"&lt;="&amp;DATE($B$3,12,31)))</f>
        <v/>
      </c>
      <c r="E28" s="24" t="str">
        <f aca="false">IF($A28="","",SUMIFS(정비이력!$G$3:$G$1002,정비이력!$B$3:$B$1002,$A28,정비이력!$A$3:$A$1002,"&gt;="&amp;DATE($B$3,1,1),정비이력!$A$3:$A$1002,"&lt;="&amp;DATE($B$3,12,31)))</f>
        <v/>
      </c>
      <c r="F28" s="24" t="str">
        <f aca="false">IF($A28="","",SUMIFS(정비이력!$G$3:$G$1002,정비이력!$B$3:$B$1002,$A28))</f>
        <v/>
      </c>
      <c r="G28" s="28" t="str">
        <f aca="false">IF($A28="","",SUMPRODUCT((정비현황!$A$6:$A$365=$A28)*(정비현황!$M$6:$M$365="교체")))</f>
        <v/>
      </c>
    </row>
    <row r="29" customFormat="false" ht="15" hidden="false" customHeight="true" outlineLevel="0" collapsed="false">
      <c r="A29" s="23" t="str">
        <f aca="false">IF(차량목록!$A26="","",차량목록!$A26)</f>
        <v/>
      </c>
      <c r="B29" s="23" t="str">
        <f aca="false">IF($A29="","",차량목록!$B26)</f>
        <v/>
      </c>
      <c r="C29" s="24" t="str">
        <f aca="false">IF($A29="","",차량목록!$E26)</f>
        <v/>
      </c>
      <c r="D29" s="28" t="str">
        <f aca="false">IF($A29="","",COUNTIFS(정비이력!$B$3:$B$1002,$A29,정비이력!$A$3:$A$1002,"&gt;="&amp;DATE($B$3,1,1),정비이력!$A$3:$A$1002,"&lt;="&amp;DATE($B$3,12,31)))</f>
        <v/>
      </c>
      <c r="E29" s="24" t="str">
        <f aca="false">IF($A29="","",SUMIFS(정비이력!$G$3:$G$1002,정비이력!$B$3:$B$1002,$A29,정비이력!$A$3:$A$1002,"&gt;="&amp;DATE($B$3,1,1),정비이력!$A$3:$A$1002,"&lt;="&amp;DATE($B$3,12,31)))</f>
        <v/>
      </c>
      <c r="F29" s="24" t="str">
        <f aca="false">IF($A29="","",SUMIFS(정비이력!$G$3:$G$1002,정비이력!$B$3:$B$1002,$A29))</f>
        <v/>
      </c>
      <c r="G29" s="28" t="str">
        <f aca="false">IF($A29="","",SUMPRODUCT((정비현황!$A$6:$A$365=$A29)*(정비현황!$M$6:$M$365="교체")))</f>
        <v/>
      </c>
    </row>
    <row r="30" customFormat="false" ht="15" hidden="false" customHeight="true" outlineLevel="0" collapsed="false">
      <c r="A30" s="23" t="str">
        <f aca="false">IF(차량목록!$A27="","",차량목록!$A27)</f>
        <v/>
      </c>
      <c r="B30" s="23" t="str">
        <f aca="false">IF($A30="","",차량목록!$B27)</f>
        <v/>
      </c>
      <c r="C30" s="24" t="str">
        <f aca="false">IF($A30="","",차량목록!$E27)</f>
        <v/>
      </c>
      <c r="D30" s="28" t="str">
        <f aca="false">IF($A30="","",COUNTIFS(정비이력!$B$3:$B$1002,$A30,정비이력!$A$3:$A$1002,"&gt;="&amp;DATE($B$3,1,1),정비이력!$A$3:$A$1002,"&lt;="&amp;DATE($B$3,12,31)))</f>
        <v/>
      </c>
      <c r="E30" s="24" t="str">
        <f aca="false">IF($A30="","",SUMIFS(정비이력!$G$3:$G$1002,정비이력!$B$3:$B$1002,$A30,정비이력!$A$3:$A$1002,"&gt;="&amp;DATE($B$3,1,1),정비이력!$A$3:$A$1002,"&lt;="&amp;DATE($B$3,12,31)))</f>
        <v/>
      </c>
      <c r="F30" s="24" t="str">
        <f aca="false">IF($A30="","",SUMIFS(정비이력!$G$3:$G$1002,정비이력!$B$3:$B$1002,$A30))</f>
        <v/>
      </c>
      <c r="G30" s="28" t="str">
        <f aca="false">IF($A30="","",SUMPRODUCT((정비현황!$A$6:$A$365=$A30)*(정비현황!$M$6:$M$365="교체")))</f>
        <v/>
      </c>
    </row>
    <row r="31" customFormat="false" ht="15" hidden="false" customHeight="true" outlineLevel="0" collapsed="false">
      <c r="A31" s="23" t="str">
        <f aca="false">IF(차량목록!$A28="","",차량목록!$A28)</f>
        <v/>
      </c>
      <c r="B31" s="23" t="str">
        <f aca="false">IF($A31="","",차량목록!$B28)</f>
        <v/>
      </c>
      <c r="C31" s="24" t="str">
        <f aca="false">IF($A31="","",차량목록!$E28)</f>
        <v/>
      </c>
      <c r="D31" s="28" t="str">
        <f aca="false">IF($A31="","",COUNTIFS(정비이력!$B$3:$B$1002,$A31,정비이력!$A$3:$A$1002,"&gt;="&amp;DATE($B$3,1,1),정비이력!$A$3:$A$1002,"&lt;="&amp;DATE($B$3,12,31)))</f>
        <v/>
      </c>
      <c r="E31" s="24" t="str">
        <f aca="false">IF($A31="","",SUMIFS(정비이력!$G$3:$G$1002,정비이력!$B$3:$B$1002,$A31,정비이력!$A$3:$A$1002,"&gt;="&amp;DATE($B$3,1,1),정비이력!$A$3:$A$1002,"&lt;="&amp;DATE($B$3,12,31)))</f>
        <v/>
      </c>
      <c r="F31" s="24" t="str">
        <f aca="false">IF($A31="","",SUMIFS(정비이력!$G$3:$G$1002,정비이력!$B$3:$B$1002,$A31))</f>
        <v/>
      </c>
      <c r="G31" s="28" t="str">
        <f aca="false">IF($A31="","",SUMPRODUCT((정비현황!$A$6:$A$365=$A31)*(정비현황!$M$6:$M$365="교체")))</f>
        <v/>
      </c>
    </row>
    <row r="32" customFormat="false" ht="15" hidden="false" customHeight="true" outlineLevel="0" collapsed="false">
      <c r="A32" s="23" t="str">
        <f aca="false">IF(차량목록!$A29="","",차량목록!$A29)</f>
        <v/>
      </c>
      <c r="B32" s="23" t="str">
        <f aca="false">IF($A32="","",차량목록!$B29)</f>
        <v/>
      </c>
      <c r="C32" s="24" t="str">
        <f aca="false">IF($A32="","",차량목록!$E29)</f>
        <v/>
      </c>
      <c r="D32" s="28" t="str">
        <f aca="false">IF($A32="","",COUNTIFS(정비이력!$B$3:$B$1002,$A32,정비이력!$A$3:$A$1002,"&gt;="&amp;DATE($B$3,1,1),정비이력!$A$3:$A$1002,"&lt;="&amp;DATE($B$3,12,31)))</f>
        <v/>
      </c>
      <c r="E32" s="24" t="str">
        <f aca="false">IF($A32="","",SUMIFS(정비이력!$G$3:$G$1002,정비이력!$B$3:$B$1002,$A32,정비이력!$A$3:$A$1002,"&gt;="&amp;DATE($B$3,1,1),정비이력!$A$3:$A$1002,"&lt;="&amp;DATE($B$3,12,31)))</f>
        <v/>
      </c>
      <c r="F32" s="24" t="str">
        <f aca="false">IF($A32="","",SUMIFS(정비이력!$G$3:$G$1002,정비이력!$B$3:$B$1002,$A32))</f>
        <v/>
      </c>
      <c r="G32" s="28" t="str">
        <f aca="false">IF($A32="","",SUMPRODUCT((정비현황!$A$6:$A$365=$A32)*(정비현황!$M$6:$M$365="교체")))</f>
        <v/>
      </c>
    </row>
    <row r="33" customFormat="false" ht="15" hidden="false" customHeight="true" outlineLevel="0" collapsed="false">
      <c r="A33" s="23" t="str">
        <f aca="false">IF(차량목록!$A30="","",차량목록!$A30)</f>
        <v/>
      </c>
      <c r="B33" s="23" t="str">
        <f aca="false">IF($A33="","",차량목록!$B30)</f>
        <v/>
      </c>
      <c r="C33" s="24" t="str">
        <f aca="false">IF($A33="","",차량목록!$E30)</f>
        <v/>
      </c>
      <c r="D33" s="28" t="str">
        <f aca="false">IF($A33="","",COUNTIFS(정비이력!$B$3:$B$1002,$A33,정비이력!$A$3:$A$1002,"&gt;="&amp;DATE($B$3,1,1),정비이력!$A$3:$A$1002,"&lt;="&amp;DATE($B$3,12,31)))</f>
        <v/>
      </c>
      <c r="E33" s="24" t="str">
        <f aca="false">IF($A33="","",SUMIFS(정비이력!$G$3:$G$1002,정비이력!$B$3:$B$1002,$A33,정비이력!$A$3:$A$1002,"&gt;="&amp;DATE($B$3,1,1),정비이력!$A$3:$A$1002,"&lt;="&amp;DATE($B$3,12,31)))</f>
        <v/>
      </c>
      <c r="F33" s="24" t="str">
        <f aca="false">IF($A33="","",SUMIFS(정비이력!$G$3:$G$1002,정비이력!$B$3:$B$1002,$A33))</f>
        <v/>
      </c>
      <c r="G33" s="28" t="str">
        <f aca="false">IF($A33="","",SUMPRODUCT((정비현황!$A$6:$A$365=$A33)*(정비현황!$M$6:$M$365="교체")))</f>
        <v/>
      </c>
    </row>
    <row r="34" customFormat="false" ht="15" hidden="false" customHeight="true" outlineLevel="0" collapsed="false">
      <c r="A34" s="23" t="str">
        <f aca="false">IF(차량목록!$A31="","",차량목록!$A31)</f>
        <v/>
      </c>
      <c r="B34" s="23" t="str">
        <f aca="false">IF($A34="","",차량목록!$B31)</f>
        <v/>
      </c>
      <c r="C34" s="24" t="str">
        <f aca="false">IF($A34="","",차량목록!$E31)</f>
        <v/>
      </c>
      <c r="D34" s="28" t="str">
        <f aca="false">IF($A34="","",COUNTIFS(정비이력!$B$3:$B$1002,$A34,정비이력!$A$3:$A$1002,"&gt;="&amp;DATE($B$3,1,1),정비이력!$A$3:$A$1002,"&lt;="&amp;DATE($B$3,12,31)))</f>
        <v/>
      </c>
      <c r="E34" s="24" t="str">
        <f aca="false">IF($A34="","",SUMIFS(정비이력!$G$3:$G$1002,정비이력!$B$3:$B$1002,$A34,정비이력!$A$3:$A$1002,"&gt;="&amp;DATE($B$3,1,1),정비이력!$A$3:$A$1002,"&lt;="&amp;DATE($B$3,12,31)))</f>
        <v/>
      </c>
      <c r="F34" s="24" t="str">
        <f aca="false">IF($A34="","",SUMIFS(정비이력!$G$3:$G$1002,정비이력!$B$3:$B$1002,$A34))</f>
        <v/>
      </c>
      <c r="G34" s="28" t="str">
        <f aca="false">IF($A34="","",SUMPRODUCT((정비현황!$A$6:$A$365=$A34)*(정비현황!$M$6:$M$365="교체")))</f>
        <v/>
      </c>
    </row>
    <row r="35" customFormat="false" ht="15" hidden="false" customHeight="true" outlineLevel="0" collapsed="false">
      <c r="A35" s="23" t="str">
        <f aca="false">IF(차량목록!$A32="","",차량목록!$A32)</f>
        <v/>
      </c>
      <c r="B35" s="23" t="str">
        <f aca="false">IF($A35="","",차량목록!$B32)</f>
        <v/>
      </c>
      <c r="C35" s="24" t="str">
        <f aca="false">IF($A35="","",차량목록!$E32)</f>
        <v/>
      </c>
      <c r="D35" s="28" t="str">
        <f aca="false">IF($A35="","",COUNTIFS(정비이력!$B$3:$B$1002,$A35,정비이력!$A$3:$A$1002,"&gt;="&amp;DATE($B$3,1,1),정비이력!$A$3:$A$1002,"&lt;="&amp;DATE($B$3,12,31)))</f>
        <v/>
      </c>
      <c r="E35" s="24" t="str">
        <f aca="false">IF($A35="","",SUMIFS(정비이력!$G$3:$G$1002,정비이력!$B$3:$B$1002,$A35,정비이력!$A$3:$A$1002,"&gt;="&amp;DATE($B$3,1,1),정비이력!$A$3:$A$1002,"&lt;="&amp;DATE($B$3,12,31)))</f>
        <v/>
      </c>
      <c r="F35" s="24" t="str">
        <f aca="false">IF($A35="","",SUMIFS(정비이력!$G$3:$G$1002,정비이력!$B$3:$B$1002,$A35))</f>
        <v/>
      </c>
      <c r="G35" s="28" t="str">
        <f aca="false">IF($A35="","",SUMPRODUCT((정비현황!$A$6:$A$365=$A35)*(정비현황!$M$6:$M$365="교체")))</f>
        <v/>
      </c>
    </row>
    <row r="36" customFormat="false" ht="15" hidden="false" customHeight="true" outlineLevel="0" collapsed="false">
      <c r="A36" s="23" t="str">
        <f aca="false">IF(차량목록!$A33="","",차량목록!$A33)</f>
        <v/>
      </c>
      <c r="B36" s="23" t="str">
        <f aca="false">IF($A36="","",차량목록!$B33)</f>
        <v/>
      </c>
      <c r="C36" s="24" t="str">
        <f aca="false">IF($A36="","",차량목록!$E33)</f>
        <v/>
      </c>
      <c r="D36" s="28" t="str">
        <f aca="false">IF($A36="","",COUNTIFS(정비이력!$B$3:$B$1002,$A36,정비이력!$A$3:$A$1002,"&gt;="&amp;DATE($B$3,1,1),정비이력!$A$3:$A$1002,"&lt;="&amp;DATE($B$3,12,31)))</f>
        <v/>
      </c>
      <c r="E36" s="24" t="str">
        <f aca="false">IF($A36="","",SUMIFS(정비이력!$G$3:$G$1002,정비이력!$B$3:$B$1002,$A36,정비이력!$A$3:$A$1002,"&gt;="&amp;DATE($B$3,1,1),정비이력!$A$3:$A$1002,"&lt;="&amp;DATE($B$3,12,31)))</f>
        <v/>
      </c>
      <c r="F36" s="24" t="str">
        <f aca="false">IF($A36="","",SUMIFS(정비이력!$G$3:$G$1002,정비이력!$B$3:$B$1002,$A36))</f>
        <v/>
      </c>
      <c r="G36" s="28" t="str">
        <f aca="false">IF($A36="","",SUMPRODUCT((정비현황!$A$6:$A$365=$A36)*(정비현황!$M$6:$M$365="교체")))</f>
        <v/>
      </c>
    </row>
    <row r="37" customFormat="false" ht="15" hidden="false" customHeight="true" outlineLevel="0" collapsed="false">
      <c r="A37" s="23" t="str">
        <f aca="false">IF(차량목록!$A34="","",차량목록!$A34)</f>
        <v/>
      </c>
      <c r="B37" s="23" t="str">
        <f aca="false">IF($A37="","",차량목록!$B34)</f>
        <v/>
      </c>
      <c r="C37" s="24" t="str">
        <f aca="false">IF($A37="","",차량목록!$E34)</f>
        <v/>
      </c>
      <c r="D37" s="28" t="str">
        <f aca="false">IF($A37="","",COUNTIFS(정비이력!$B$3:$B$1002,$A37,정비이력!$A$3:$A$1002,"&gt;="&amp;DATE($B$3,1,1),정비이력!$A$3:$A$1002,"&lt;="&amp;DATE($B$3,12,31)))</f>
        <v/>
      </c>
      <c r="E37" s="24" t="str">
        <f aca="false">IF($A37="","",SUMIFS(정비이력!$G$3:$G$1002,정비이력!$B$3:$B$1002,$A37,정비이력!$A$3:$A$1002,"&gt;="&amp;DATE($B$3,1,1),정비이력!$A$3:$A$1002,"&lt;="&amp;DATE($B$3,12,31)))</f>
        <v/>
      </c>
      <c r="F37" s="24" t="str">
        <f aca="false">IF($A37="","",SUMIFS(정비이력!$G$3:$G$1002,정비이력!$B$3:$B$1002,$A37))</f>
        <v/>
      </c>
      <c r="G37" s="28" t="str">
        <f aca="false">IF($A37="","",SUMPRODUCT((정비현황!$A$6:$A$365=$A37)*(정비현황!$M$6:$M$365="교체")))</f>
        <v/>
      </c>
    </row>
    <row r="38" customFormat="false" ht="15" hidden="false" customHeight="true" outlineLevel="0" collapsed="false">
      <c r="A38" s="23" t="str">
        <f aca="false">IF(차량목록!$A35="","",차량목록!$A35)</f>
        <v/>
      </c>
      <c r="B38" s="23" t="str">
        <f aca="false">IF($A38="","",차량목록!$B35)</f>
        <v/>
      </c>
      <c r="C38" s="24" t="str">
        <f aca="false">IF($A38="","",차량목록!$E35)</f>
        <v/>
      </c>
      <c r="D38" s="28" t="str">
        <f aca="false">IF($A38="","",COUNTIFS(정비이력!$B$3:$B$1002,$A38,정비이력!$A$3:$A$1002,"&gt;="&amp;DATE($B$3,1,1),정비이력!$A$3:$A$1002,"&lt;="&amp;DATE($B$3,12,31)))</f>
        <v/>
      </c>
      <c r="E38" s="24" t="str">
        <f aca="false">IF($A38="","",SUMIFS(정비이력!$G$3:$G$1002,정비이력!$B$3:$B$1002,$A38,정비이력!$A$3:$A$1002,"&gt;="&amp;DATE($B$3,1,1),정비이력!$A$3:$A$1002,"&lt;="&amp;DATE($B$3,12,31)))</f>
        <v/>
      </c>
      <c r="F38" s="24" t="str">
        <f aca="false">IF($A38="","",SUMIFS(정비이력!$G$3:$G$1002,정비이력!$B$3:$B$1002,$A38))</f>
        <v/>
      </c>
      <c r="G38" s="28" t="str">
        <f aca="false">IF($A38="","",SUMPRODUCT((정비현황!$A$6:$A$365=$A38)*(정비현황!$M$6:$M$365="교체")))</f>
        <v/>
      </c>
    </row>
    <row r="39" customFormat="false" ht="15" hidden="false" customHeight="true" outlineLevel="0" collapsed="false">
      <c r="A39" s="23" t="str">
        <f aca="false">IF(차량목록!$A36="","",차량목록!$A36)</f>
        <v/>
      </c>
      <c r="B39" s="23" t="str">
        <f aca="false">IF($A39="","",차량목록!$B36)</f>
        <v/>
      </c>
      <c r="C39" s="24" t="str">
        <f aca="false">IF($A39="","",차량목록!$E36)</f>
        <v/>
      </c>
      <c r="D39" s="28" t="str">
        <f aca="false">IF($A39="","",COUNTIFS(정비이력!$B$3:$B$1002,$A39,정비이력!$A$3:$A$1002,"&gt;="&amp;DATE($B$3,1,1),정비이력!$A$3:$A$1002,"&lt;="&amp;DATE($B$3,12,31)))</f>
        <v/>
      </c>
      <c r="E39" s="24" t="str">
        <f aca="false">IF($A39="","",SUMIFS(정비이력!$G$3:$G$1002,정비이력!$B$3:$B$1002,$A39,정비이력!$A$3:$A$1002,"&gt;="&amp;DATE($B$3,1,1),정비이력!$A$3:$A$1002,"&lt;="&amp;DATE($B$3,12,31)))</f>
        <v/>
      </c>
      <c r="F39" s="24" t="str">
        <f aca="false">IF($A39="","",SUMIFS(정비이력!$G$3:$G$1002,정비이력!$B$3:$B$1002,$A39))</f>
        <v/>
      </c>
      <c r="G39" s="28" t="str">
        <f aca="false">IF($A39="","",SUMPRODUCT((정비현황!$A$6:$A$365=$A39)*(정비현황!$M$6:$M$365="교체")))</f>
        <v/>
      </c>
    </row>
    <row r="40" customFormat="false" ht="15" hidden="false" customHeight="true" outlineLevel="0" collapsed="false">
      <c r="A40" s="23" t="str">
        <f aca="false">IF(차량목록!$A37="","",차량목록!$A37)</f>
        <v/>
      </c>
      <c r="B40" s="23" t="str">
        <f aca="false">IF($A40="","",차량목록!$B37)</f>
        <v/>
      </c>
      <c r="C40" s="24" t="str">
        <f aca="false">IF($A40="","",차량목록!$E37)</f>
        <v/>
      </c>
      <c r="D40" s="28" t="str">
        <f aca="false">IF($A40="","",COUNTIFS(정비이력!$B$3:$B$1002,$A40,정비이력!$A$3:$A$1002,"&gt;="&amp;DATE($B$3,1,1),정비이력!$A$3:$A$1002,"&lt;="&amp;DATE($B$3,12,31)))</f>
        <v/>
      </c>
      <c r="E40" s="24" t="str">
        <f aca="false">IF($A40="","",SUMIFS(정비이력!$G$3:$G$1002,정비이력!$B$3:$B$1002,$A40,정비이력!$A$3:$A$1002,"&gt;="&amp;DATE($B$3,1,1),정비이력!$A$3:$A$1002,"&lt;="&amp;DATE($B$3,12,31)))</f>
        <v/>
      </c>
      <c r="F40" s="24" t="str">
        <f aca="false">IF($A40="","",SUMIFS(정비이력!$G$3:$G$1002,정비이력!$B$3:$B$1002,$A40))</f>
        <v/>
      </c>
      <c r="G40" s="28" t="str">
        <f aca="false">IF($A40="","",SUMPRODUCT((정비현황!$A$6:$A$365=$A40)*(정비현황!$M$6:$M$365="교체")))</f>
        <v/>
      </c>
    </row>
    <row r="41" customFormat="false" ht="15" hidden="false" customHeight="true" outlineLevel="0" collapsed="false">
      <c r="A41" s="23" t="str">
        <f aca="false">IF(차량목록!$A38="","",차량목록!$A38)</f>
        <v/>
      </c>
      <c r="B41" s="23" t="str">
        <f aca="false">IF($A41="","",차량목록!$B38)</f>
        <v/>
      </c>
      <c r="C41" s="24" t="str">
        <f aca="false">IF($A41="","",차량목록!$E38)</f>
        <v/>
      </c>
      <c r="D41" s="28" t="str">
        <f aca="false">IF($A41="","",COUNTIFS(정비이력!$B$3:$B$1002,$A41,정비이력!$A$3:$A$1002,"&gt;="&amp;DATE($B$3,1,1),정비이력!$A$3:$A$1002,"&lt;="&amp;DATE($B$3,12,31)))</f>
        <v/>
      </c>
      <c r="E41" s="24" t="str">
        <f aca="false">IF($A41="","",SUMIFS(정비이력!$G$3:$G$1002,정비이력!$B$3:$B$1002,$A41,정비이력!$A$3:$A$1002,"&gt;="&amp;DATE($B$3,1,1),정비이력!$A$3:$A$1002,"&lt;="&amp;DATE($B$3,12,31)))</f>
        <v/>
      </c>
      <c r="F41" s="24" t="str">
        <f aca="false">IF($A41="","",SUMIFS(정비이력!$G$3:$G$1002,정비이력!$B$3:$B$1002,$A41))</f>
        <v/>
      </c>
      <c r="G41" s="28" t="str">
        <f aca="false">IF($A41="","",SUMPRODUCT((정비현황!$A$6:$A$365=$A41)*(정비현황!$M$6:$M$365="교체")))</f>
        <v/>
      </c>
    </row>
    <row r="42" customFormat="false" ht="15" hidden="false" customHeight="true" outlineLevel="0" collapsed="false">
      <c r="A42" s="23" t="str">
        <f aca="false">IF(차량목록!$A39="","",차량목록!$A39)</f>
        <v/>
      </c>
      <c r="B42" s="23" t="str">
        <f aca="false">IF($A42="","",차량목록!$B39)</f>
        <v/>
      </c>
      <c r="C42" s="24" t="str">
        <f aca="false">IF($A42="","",차량목록!$E39)</f>
        <v/>
      </c>
      <c r="D42" s="28" t="str">
        <f aca="false">IF($A42="","",COUNTIFS(정비이력!$B$3:$B$1002,$A42,정비이력!$A$3:$A$1002,"&gt;="&amp;DATE($B$3,1,1),정비이력!$A$3:$A$1002,"&lt;="&amp;DATE($B$3,12,31)))</f>
        <v/>
      </c>
      <c r="E42" s="24" t="str">
        <f aca="false">IF($A42="","",SUMIFS(정비이력!$G$3:$G$1002,정비이력!$B$3:$B$1002,$A42,정비이력!$A$3:$A$1002,"&gt;="&amp;DATE($B$3,1,1),정비이력!$A$3:$A$1002,"&lt;="&amp;DATE($B$3,12,31)))</f>
        <v/>
      </c>
      <c r="F42" s="24" t="str">
        <f aca="false">IF($A42="","",SUMIFS(정비이력!$G$3:$G$1002,정비이력!$B$3:$B$1002,$A42))</f>
        <v/>
      </c>
      <c r="G42" s="28" t="str">
        <f aca="false">IF($A42="","",SUMPRODUCT((정비현황!$A$6:$A$365=$A42)*(정비현황!$M$6:$M$365="교체")))</f>
        <v/>
      </c>
    </row>
    <row r="43" customFormat="false" ht="15" hidden="false" customHeight="true" outlineLevel="0" collapsed="false">
      <c r="A43" s="23" t="str">
        <f aca="false">IF(차량목록!$A40="","",차량목록!$A40)</f>
        <v/>
      </c>
      <c r="B43" s="23" t="str">
        <f aca="false">IF($A43="","",차량목록!$B40)</f>
        <v/>
      </c>
      <c r="C43" s="24" t="str">
        <f aca="false">IF($A43="","",차량목록!$E40)</f>
        <v/>
      </c>
      <c r="D43" s="28" t="str">
        <f aca="false">IF($A43="","",COUNTIFS(정비이력!$B$3:$B$1002,$A43,정비이력!$A$3:$A$1002,"&gt;="&amp;DATE($B$3,1,1),정비이력!$A$3:$A$1002,"&lt;="&amp;DATE($B$3,12,31)))</f>
        <v/>
      </c>
      <c r="E43" s="24" t="str">
        <f aca="false">IF($A43="","",SUMIFS(정비이력!$G$3:$G$1002,정비이력!$B$3:$B$1002,$A43,정비이력!$A$3:$A$1002,"&gt;="&amp;DATE($B$3,1,1),정비이력!$A$3:$A$1002,"&lt;="&amp;DATE($B$3,12,31)))</f>
        <v/>
      </c>
      <c r="F43" s="24" t="str">
        <f aca="false">IF($A43="","",SUMIFS(정비이력!$G$3:$G$1002,정비이력!$B$3:$B$1002,$A43))</f>
        <v/>
      </c>
      <c r="G43" s="28" t="str">
        <f aca="false">IF($A43="","",SUMPRODUCT((정비현황!$A$6:$A$365=$A43)*(정비현황!$M$6:$M$365="교체")))</f>
        <v/>
      </c>
    </row>
    <row r="44" customFormat="false" ht="15" hidden="false" customHeight="true" outlineLevel="0" collapsed="false">
      <c r="A44" s="23" t="str">
        <f aca="false">IF(차량목록!$A41="","",차량목록!$A41)</f>
        <v/>
      </c>
      <c r="B44" s="23" t="str">
        <f aca="false">IF($A44="","",차량목록!$B41)</f>
        <v/>
      </c>
      <c r="C44" s="24" t="str">
        <f aca="false">IF($A44="","",차량목록!$E41)</f>
        <v/>
      </c>
      <c r="D44" s="28" t="str">
        <f aca="false">IF($A44="","",COUNTIFS(정비이력!$B$3:$B$1002,$A44,정비이력!$A$3:$A$1002,"&gt;="&amp;DATE($B$3,1,1),정비이력!$A$3:$A$1002,"&lt;="&amp;DATE($B$3,12,31)))</f>
        <v/>
      </c>
      <c r="E44" s="24" t="str">
        <f aca="false">IF($A44="","",SUMIFS(정비이력!$G$3:$G$1002,정비이력!$B$3:$B$1002,$A44,정비이력!$A$3:$A$1002,"&gt;="&amp;DATE($B$3,1,1),정비이력!$A$3:$A$1002,"&lt;="&amp;DATE($B$3,12,31)))</f>
        <v/>
      </c>
      <c r="F44" s="24" t="str">
        <f aca="false">IF($A44="","",SUMIFS(정비이력!$G$3:$G$1002,정비이력!$B$3:$B$1002,$A44))</f>
        <v/>
      </c>
      <c r="G44" s="28" t="str">
        <f aca="false">IF($A44="","",SUMPRODUCT((정비현황!$A$6:$A$365=$A44)*(정비현황!$M$6:$M$365="교체")))</f>
        <v/>
      </c>
    </row>
    <row r="45" customFormat="false" ht="15" hidden="false" customHeight="true" outlineLevel="0" collapsed="false">
      <c r="A45" s="23" t="str">
        <f aca="false">IF(차량목록!$A42="","",차량목록!$A42)</f>
        <v/>
      </c>
      <c r="B45" s="23" t="str">
        <f aca="false">IF($A45="","",차량목록!$B42)</f>
        <v/>
      </c>
      <c r="C45" s="24" t="str">
        <f aca="false">IF($A45="","",차량목록!$E42)</f>
        <v/>
      </c>
      <c r="D45" s="28" t="str">
        <f aca="false">IF($A45="","",COUNTIFS(정비이력!$B$3:$B$1002,$A45,정비이력!$A$3:$A$1002,"&gt;="&amp;DATE($B$3,1,1),정비이력!$A$3:$A$1002,"&lt;="&amp;DATE($B$3,12,31)))</f>
        <v/>
      </c>
      <c r="E45" s="24" t="str">
        <f aca="false">IF($A45="","",SUMIFS(정비이력!$G$3:$G$1002,정비이력!$B$3:$B$1002,$A45,정비이력!$A$3:$A$1002,"&gt;="&amp;DATE($B$3,1,1),정비이력!$A$3:$A$1002,"&lt;="&amp;DATE($B$3,12,31)))</f>
        <v/>
      </c>
      <c r="F45" s="24" t="str">
        <f aca="false">IF($A45="","",SUMIFS(정비이력!$G$3:$G$1002,정비이력!$B$3:$B$1002,$A45))</f>
        <v/>
      </c>
      <c r="G45" s="28" t="str">
        <f aca="false">IF($A45="","",SUMPRODUCT((정비현황!$A$6:$A$365=$A45)*(정비현황!$M$6:$M$365="교체")))</f>
        <v/>
      </c>
    </row>
    <row r="46" customFormat="false" ht="15" hidden="false" customHeight="true" outlineLevel="0" collapsed="false">
      <c r="A46" s="23" t="str">
        <f aca="false">IF(차량목록!$A43="","",차량목록!$A43)</f>
        <v/>
      </c>
      <c r="B46" s="23" t="str">
        <f aca="false">IF($A46="","",차량목록!$B43)</f>
        <v/>
      </c>
      <c r="C46" s="24" t="str">
        <f aca="false">IF($A46="","",차량목록!$E43)</f>
        <v/>
      </c>
      <c r="D46" s="28" t="str">
        <f aca="false">IF($A46="","",COUNTIFS(정비이력!$B$3:$B$1002,$A46,정비이력!$A$3:$A$1002,"&gt;="&amp;DATE($B$3,1,1),정비이력!$A$3:$A$1002,"&lt;="&amp;DATE($B$3,12,31)))</f>
        <v/>
      </c>
      <c r="E46" s="24" t="str">
        <f aca="false">IF($A46="","",SUMIFS(정비이력!$G$3:$G$1002,정비이력!$B$3:$B$1002,$A46,정비이력!$A$3:$A$1002,"&gt;="&amp;DATE($B$3,1,1),정비이력!$A$3:$A$1002,"&lt;="&amp;DATE($B$3,12,31)))</f>
        <v/>
      </c>
      <c r="F46" s="24" t="str">
        <f aca="false">IF($A46="","",SUMIFS(정비이력!$G$3:$G$1002,정비이력!$B$3:$B$1002,$A46))</f>
        <v/>
      </c>
      <c r="G46" s="28" t="str">
        <f aca="false">IF($A46="","",SUMPRODUCT((정비현황!$A$6:$A$365=$A46)*(정비현황!$M$6:$M$365="교체")))</f>
        <v/>
      </c>
    </row>
    <row r="47" customFormat="false" ht="15" hidden="false" customHeight="true" outlineLevel="0" collapsed="false">
      <c r="A47" s="23" t="str">
        <f aca="false">IF(차량목록!$A44="","",차량목록!$A44)</f>
        <v/>
      </c>
      <c r="B47" s="23" t="str">
        <f aca="false">IF($A47="","",차량목록!$B44)</f>
        <v/>
      </c>
      <c r="C47" s="24" t="str">
        <f aca="false">IF($A47="","",차량목록!$E44)</f>
        <v/>
      </c>
      <c r="D47" s="28" t="str">
        <f aca="false">IF($A47="","",COUNTIFS(정비이력!$B$3:$B$1002,$A47,정비이력!$A$3:$A$1002,"&gt;="&amp;DATE($B$3,1,1),정비이력!$A$3:$A$1002,"&lt;="&amp;DATE($B$3,12,31)))</f>
        <v/>
      </c>
      <c r="E47" s="24" t="str">
        <f aca="false">IF($A47="","",SUMIFS(정비이력!$G$3:$G$1002,정비이력!$B$3:$B$1002,$A47,정비이력!$A$3:$A$1002,"&gt;="&amp;DATE($B$3,1,1),정비이력!$A$3:$A$1002,"&lt;="&amp;DATE($B$3,12,31)))</f>
        <v/>
      </c>
      <c r="F47" s="24" t="str">
        <f aca="false">IF($A47="","",SUMIFS(정비이력!$G$3:$G$1002,정비이력!$B$3:$B$1002,$A47))</f>
        <v/>
      </c>
      <c r="G47" s="28" t="str">
        <f aca="false">IF($A47="","",SUMPRODUCT((정비현황!$A$6:$A$365=$A47)*(정비현황!$M$6:$M$365="교체")))</f>
        <v/>
      </c>
    </row>
    <row r="48" customFormat="false" ht="15" hidden="false" customHeight="true" outlineLevel="0" collapsed="false">
      <c r="A48" s="23" t="str">
        <f aca="false">IF(차량목록!$A45="","",차량목록!$A45)</f>
        <v/>
      </c>
      <c r="B48" s="23" t="str">
        <f aca="false">IF($A48="","",차량목록!$B45)</f>
        <v/>
      </c>
      <c r="C48" s="24" t="str">
        <f aca="false">IF($A48="","",차량목록!$E45)</f>
        <v/>
      </c>
      <c r="D48" s="28" t="str">
        <f aca="false">IF($A48="","",COUNTIFS(정비이력!$B$3:$B$1002,$A48,정비이력!$A$3:$A$1002,"&gt;="&amp;DATE($B$3,1,1),정비이력!$A$3:$A$1002,"&lt;="&amp;DATE($B$3,12,31)))</f>
        <v/>
      </c>
      <c r="E48" s="24" t="str">
        <f aca="false">IF($A48="","",SUMIFS(정비이력!$G$3:$G$1002,정비이력!$B$3:$B$1002,$A48,정비이력!$A$3:$A$1002,"&gt;="&amp;DATE($B$3,1,1),정비이력!$A$3:$A$1002,"&lt;="&amp;DATE($B$3,12,31)))</f>
        <v/>
      </c>
      <c r="F48" s="24" t="str">
        <f aca="false">IF($A48="","",SUMIFS(정비이력!$G$3:$G$1002,정비이력!$B$3:$B$1002,$A48))</f>
        <v/>
      </c>
      <c r="G48" s="28" t="str">
        <f aca="false">IF($A48="","",SUMPRODUCT((정비현황!$A$6:$A$365=$A48)*(정비현황!$M$6:$M$365="교체")))</f>
        <v/>
      </c>
    </row>
    <row r="49" customFormat="false" ht="15" hidden="false" customHeight="true" outlineLevel="0" collapsed="false">
      <c r="A49" s="23" t="str">
        <f aca="false">IF(차량목록!$A46="","",차량목록!$A46)</f>
        <v/>
      </c>
      <c r="B49" s="23" t="str">
        <f aca="false">IF($A49="","",차량목록!$B46)</f>
        <v/>
      </c>
      <c r="C49" s="24" t="str">
        <f aca="false">IF($A49="","",차량목록!$E46)</f>
        <v/>
      </c>
      <c r="D49" s="28" t="str">
        <f aca="false">IF($A49="","",COUNTIFS(정비이력!$B$3:$B$1002,$A49,정비이력!$A$3:$A$1002,"&gt;="&amp;DATE($B$3,1,1),정비이력!$A$3:$A$1002,"&lt;="&amp;DATE($B$3,12,31)))</f>
        <v/>
      </c>
      <c r="E49" s="24" t="str">
        <f aca="false">IF($A49="","",SUMIFS(정비이력!$G$3:$G$1002,정비이력!$B$3:$B$1002,$A49,정비이력!$A$3:$A$1002,"&gt;="&amp;DATE($B$3,1,1),정비이력!$A$3:$A$1002,"&lt;="&amp;DATE($B$3,12,31)))</f>
        <v/>
      </c>
      <c r="F49" s="24" t="str">
        <f aca="false">IF($A49="","",SUMIFS(정비이력!$G$3:$G$1002,정비이력!$B$3:$B$1002,$A49))</f>
        <v/>
      </c>
      <c r="G49" s="28" t="str">
        <f aca="false">IF($A49="","",SUMPRODUCT((정비현황!$A$6:$A$365=$A49)*(정비현황!$M$6:$M$365="교체")))</f>
        <v/>
      </c>
    </row>
    <row r="50" customFormat="false" ht="15" hidden="false" customHeight="true" outlineLevel="0" collapsed="false">
      <c r="A50" s="23" t="str">
        <f aca="false">IF(차량목록!$A47="","",차량목록!$A47)</f>
        <v/>
      </c>
      <c r="B50" s="23" t="str">
        <f aca="false">IF($A50="","",차량목록!$B47)</f>
        <v/>
      </c>
      <c r="C50" s="24" t="str">
        <f aca="false">IF($A50="","",차량목록!$E47)</f>
        <v/>
      </c>
      <c r="D50" s="28" t="str">
        <f aca="false">IF($A50="","",COUNTIFS(정비이력!$B$3:$B$1002,$A50,정비이력!$A$3:$A$1002,"&gt;="&amp;DATE($B$3,1,1),정비이력!$A$3:$A$1002,"&lt;="&amp;DATE($B$3,12,31)))</f>
        <v/>
      </c>
      <c r="E50" s="24" t="str">
        <f aca="false">IF($A50="","",SUMIFS(정비이력!$G$3:$G$1002,정비이력!$B$3:$B$1002,$A50,정비이력!$A$3:$A$1002,"&gt;="&amp;DATE($B$3,1,1),정비이력!$A$3:$A$1002,"&lt;="&amp;DATE($B$3,12,31)))</f>
        <v/>
      </c>
      <c r="F50" s="24" t="str">
        <f aca="false">IF($A50="","",SUMIFS(정비이력!$G$3:$G$1002,정비이력!$B$3:$B$1002,$A50))</f>
        <v/>
      </c>
      <c r="G50" s="28" t="str">
        <f aca="false">IF($A50="","",SUMPRODUCT((정비현황!$A$6:$A$365=$A50)*(정비현황!$M$6:$M$365="교체")))</f>
        <v/>
      </c>
    </row>
    <row r="51" customFormat="false" ht="15" hidden="false" customHeight="true" outlineLevel="0" collapsed="false">
      <c r="A51" s="23" t="str">
        <f aca="false">IF(차량목록!$A48="","",차량목록!$A48)</f>
        <v/>
      </c>
      <c r="B51" s="23" t="str">
        <f aca="false">IF($A51="","",차량목록!$B48)</f>
        <v/>
      </c>
      <c r="C51" s="24" t="str">
        <f aca="false">IF($A51="","",차량목록!$E48)</f>
        <v/>
      </c>
      <c r="D51" s="28" t="str">
        <f aca="false">IF($A51="","",COUNTIFS(정비이력!$B$3:$B$1002,$A51,정비이력!$A$3:$A$1002,"&gt;="&amp;DATE($B$3,1,1),정비이력!$A$3:$A$1002,"&lt;="&amp;DATE($B$3,12,31)))</f>
        <v/>
      </c>
      <c r="E51" s="24" t="str">
        <f aca="false">IF($A51="","",SUMIFS(정비이력!$G$3:$G$1002,정비이력!$B$3:$B$1002,$A51,정비이력!$A$3:$A$1002,"&gt;="&amp;DATE($B$3,1,1),정비이력!$A$3:$A$1002,"&lt;="&amp;DATE($B$3,12,31)))</f>
        <v/>
      </c>
      <c r="F51" s="24" t="str">
        <f aca="false">IF($A51="","",SUMIFS(정비이력!$G$3:$G$1002,정비이력!$B$3:$B$1002,$A51))</f>
        <v/>
      </c>
      <c r="G51" s="28" t="str">
        <f aca="false">IF($A51="","",SUMPRODUCT((정비현황!$A$6:$A$365=$A51)*(정비현황!$M$6:$M$365="교체")))</f>
        <v/>
      </c>
    </row>
    <row r="52" customFormat="false" ht="15" hidden="false" customHeight="true" outlineLevel="0" collapsed="false">
      <c r="A52" s="23" t="str">
        <f aca="false">IF(차량목록!$A49="","",차량목록!$A49)</f>
        <v/>
      </c>
      <c r="B52" s="23" t="str">
        <f aca="false">IF($A52="","",차량목록!$B49)</f>
        <v/>
      </c>
      <c r="C52" s="24" t="str">
        <f aca="false">IF($A52="","",차량목록!$E49)</f>
        <v/>
      </c>
      <c r="D52" s="28" t="str">
        <f aca="false">IF($A52="","",COUNTIFS(정비이력!$B$3:$B$1002,$A52,정비이력!$A$3:$A$1002,"&gt;="&amp;DATE($B$3,1,1),정비이력!$A$3:$A$1002,"&lt;="&amp;DATE($B$3,12,31)))</f>
        <v/>
      </c>
      <c r="E52" s="24" t="str">
        <f aca="false">IF($A52="","",SUMIFS(정비이력!$G$3:$G$1002,정비이력!$B$3:$B$1002,$A52,정비이력!$A$3:$A$1002,"&gt;="&amp;DATE($B$3,1,1),정비이력!$A$3:$A$1002,"&lt;="&amp;DATE($B$3,12,31)))</f>
        <v/>
      </c>
      <c r="F52" s="24" t="str">
        <f aca="false">IF($A52="","",SUMIFS(정비이력!$G$3:$G$1002,정비이력!$B$3:$B$1002,$A52))</f>
        <v/>
      </c>
      <c r="G52" s="28" t="str">
        <f aca="false">IF($A52="","",SUMPRODUCT((정비현황!$A$6:$A$365=$A52)*(정비현황!$M$6:$M$365="교체")))</f>
        <v/>
      </c>
    </row>
    <row r="53" customFormat="false" ht="15" hidden="false" customHeight="true" outlineLevel="0" collapsed="false">
      <c r="A53" s="23" t="str">
        <f aca="false">IF(차량목록!$A50="","",차량목록!$A50)</f>
        <v/>
      </c>
      <c r="B53" s="23" t="str">
        <f aca="false">IF($A53="","",차량목록!$B50)</f>
        <v/>
      </c>
      <c r="C53" s="24" t="str">
        <f aca="false">IF($A53="","",차량목록!$E50)</f>
        <v/>
      </c>
      <c r="D53" s="28" t="str">
        <f aca="false">IF($A53="","",COUNTIFS(정비이력!$B$3:$B$1002,$A53,정비이력!$A$3:$A$1002,"&gt;="&amp;DATE($B$3,1,1),정비이력!$A$3:$A$1002,"&lt;="&amp;DATE($B$3,12,31)))</f>
        <v/>
      </c>
      <c r="E53" s="24" t="str">
        <f aca="false">IF($A53="","",SUMIFS(정비이력!$G$3:$G$1002,정비이력!$B$3:$B$1002,$A53,정비이력!$A$3:$A$1002,"&gt;="&amp;DATE($B$3,1,1),정비이력!$A$3:$A$1002,"&lt;="&amp;DATE($B$3,12,31)))</f>
        <v/>
      </c>
      <c r="F53" s="24" t="str">
        <f aca="false">IF($A53="","",SUMIFS(정비이력!$G$3:$G$1002,정비이력!$B$3:$B$1002,$A53))</f>
        <v/>
      </c>
      <c r="G53" s="28" t="str">
        <f aca="false">IF($A53="","",SUMPRODUCT((정비현황!$A$6:$A$365=$A53)*(정비현황!$M$6:$M$365="교체")))</f>
        <v/>
      </c>
    </row>
    <row r="54" customFormat="false" ht="15" hidden="false" customHeight="true" outlineLevel="0" collapsed="false">
      <c r="A54" s="23" t="str">
        <f aca="false">IF(차량목록!$A51="","",차량목록!$A51)</f>
        <v/>
      </c>
      <c r="B54" s="23" t="str">
        <f aca="false">IF($A54="","",차량목록!$B51)</f>
        <v/>
      </c>
      <c r="C54" s="24" t="str">
        <f aca="false">IF($A54="","",차량목록!$E51)</f>
        <v/>
      </c>
      <c r="D54" s="28" t="str">
        <f aca="false">IF($A54="","",COUNTIFS(정비이력!$B$3:$B$1002,$A54,정비이력!$A$3:$A$1002,"&gt;="&amp;DATE($B$3,1,1),정비이력!$A$3:$A$1002,"&lt;="&amp;DATE($B$3,12,31)))</f>
        <v/>
      </c>
      <c r="E54" s="24" t="str">
        <f aca="false">IF($A54="","",SUMIFS(정비이력!$G$3:$G$1002,정비이력!$B$3:$B$1002,$A54,정비이력!$A$3:$A$1002,"&gt;="&amp;DATE($B$3,1,1),정비이력!$A$3:$A$1002,"&lt;="&amp;DATE($B$3,12,31)))</f>
        <v/>
      </c>
      <c r="F54" s="24" t="str">
        <f aca="false">IF($A54="","",SUMIFS(정비이력!$G$3:$G$1002,정비이력!$B$3:$B$1002,$A54))</f>
        <v/>
      </c>
      <c r="G54" s="28" t="str">
        <f aca="false">IF($A54="","",SUMPRODUCT((정비현황!$A$6:$A$365=$A54)*(정비현황!$M$6:$M$365="교체")))</f>
        <v/>
      </c>
    </row>
    <row r="55" customFormat="false" ht="15" hidden="false" customHeight="true" outlineLevel="0" collapsed="false">
      <c r="A55" s="23" t="str">
        <f aca="false">IF(차량목록!$A52="","",차량목록!$A52)</f>
        <v/>
      </c>
      <c r="B55" s="23" t="str">
        <f aca="false">IF($A55="","",차량목록!$B52)</f>
        <v/>
      </c>
      <c r="C55" s="24" t="str">
        <f aca="false">IF($A55="","",차량목록!$E52)</f>
        <v/>
      </c>
      <c r="D55" s="28" t="str">
        <f aca="false">IF($A55="","",COUNTIFS(정비이력!$B$3:$B$1002,$A55,정비이력!$A$3:$A$1002,"&gt;="&amp;DATE($B$3,1,1),정비이력!$A$3:$A$1002,"&lt;="&amp;DATE($B$3,12,31)))</f>
        <v/>
      </c>
      <c r="E55" s="24" t="str">
        <f aca="false">IF($A55="","",SUMIFS(정비이력!$G$3:$G$1002,정비이력!$B$3:$B$1002,$A55,정비이력!$A$3:$A$1002,"&gt;="&amp;DATE($B$3,1,1),정비이력!$A$3:$A$1002,"&lt;="&amp;DATE($B$3,12,31)))</f>
        <v/>
      </c>
      <c r="F55" s="24" t="str">
        <f aca="false">IF($A55="","",SUMIFS(정비이력!$G$3:$G$1002,정비이력!$B$3:$B$1002,$A55))</f>
        <v/>
      </c>
      <c r="G55" s="28" t="str">
        <f aca="false">IF($A55="","",SUMPRODUCT((정비현황!$A$6:$A$365=$A55)*(정비현황!$M$6:$M$365="교체")))</f>
        <v/>
      </c>
    </row>
    <row r="56" customFormat="false" ht="15" hidden="false" customHeight="true" outlineLevel="0" collapsed="false">
      <c r="A56" s="23" t="str">
        <f aca="false">IF(차량목록!$A53="","",차량목록!$A53)</f>
        <v/>
      </c>
      <c r="B56" s="23" t="str">
        <f aca="false">IF($A56="","",차량목록!$B53)</f>
        <v/>
      </c>
      <c r="C56" s="24" t="str">
        <f aca="false">IF($A56="","",차량목록!$E53)</f>
        <v/>
      </c>
      <c r="D56" s="28" t="str">
        <f aca="false">IF($A56="","",COUNTIFS(정비이력!$B$3:$B$1002,$A56,정비이력!$A$3:$A$1002,"&gt;="&amp;DATE($B$3,1,1),정비이력!$A$3:$A$1002,"&lt;="&amp;DATE($B$3,12,31)))</f>
        <v/>
      </c>
      <c r="E56" s="24" t="str">
        <f aca="false">IF($A56="","",SUMIFS(정비이력!$G$3:$G$1002,정비이력!$B$3:$B$1002,$A56,정비이력!$A$3:$A$1002,"&gt;="&amp;DATE($B$3,1,1),정비이력!$A$3:$A$1002,"&lt;="&amp;DATE($B$3,12,31)))</f>
        <v/>
      </c>
      <c r="F56" s="24" t="str">
        <f aca="false">IF($A56="","",SUMIFS(정비이력!$G$3:$G$1002,정비이력!$B$3:$B$1002,$A56))</f>
        <v/>
      </c>
      <c r="G56" s="28" t="str">
        <f aca="false">IF($A56="","",SUMPRODUCT((정비현황!$A$6:$A$365=$A56)*(정비현황!$M$6:$M$365="교체")))</f>
        <v/>
      </c>
    </row>
    <row r="57" customFormat="false" ht="15" hidden="false" customHeight="true" outlineLevel="0" collapsed="false">
      <c r="A57" s="23" t="str">
        <f aca="false">IF(차량목록!$A54="","",차량목록!$A54)</f>
        <v/>
      </c>
      <c r="B57" s="23" t="str">
        <f aca="false">IF($A57="","",차량목록!$B54)</f>
        <v/>
      </c>
      <c r="C57" s="24" t="str">
        <f aca="false">IF($A57="","",차량목록!$E54)</f>
        <v/>
      </c>
      <c r="D57" s="28" t="str">
        <f aca="false">IF($A57="","",COUNTIFS(정비이력!$B$3:$B$1002,$A57,정비이력!$A$3:$A$1002,"&gt;="&amp;DATE($B$3,1,1),정비이력!$A$3:$A$1002,"&lt;="&amp;DATE($B$3,12,31)))</f>
        <v/>
      </c>
      <c r="E57" s="24" t="str">
        <f aca="false">IF($A57="","",SUMIFS(정비이력!$G$3:$G$1002,정비이력!$B$3:$B$1002,$A57,정비이력!$A$3:$A$1002,"&gt;="&amp;DATE($B$3,1,1),정비이력!$A$3:$A$1002,"&lt;="&amp;DATE($B$3,12,31)))</f>
        <v/>
      </c>
      <c r="F57" s="24" t="str">
        <f aca="false">IF($A57="","",SUMIFS(정비이력!$G$3:$G$1002,정비이력!$B$3:$B$1002,$A57))</f>
        <v/>
      </c>
      <c r="G57" s="28" t="str">
        <f aca="false">IF($A57="","",SUMPRODUCT((정비현황!$A$6:$A$365=$A57)*(정비현황!$M$6:$M$365="교체")))</f>
        <v/>
      </c>
    </row>
    <row r="58" customFormat="false" ht="15" hidden="false" customHeight="true" outlineLevel="0" collapsed="false">
      <c r="A58" s="23" t="str">
        <f aca="false">IF(차량목록!$A55="","",차량목록!$A55)</f>
        <v/>
      </c>
      <c r="B58" s="23" t="str">
        <f aca="false">IF($A58="","",차량목록!$B55)</f>
        <v/>
      </c>
      <c r="C58" s="24" t="str">
        <f aca="false">IF($A58="","",차량목록!$E55)</f>
        <v/>
      </c>
      <c r="D58" s="28" t="str">
        <f aca="false">IF($A58="","",COUNTIFS(정비이력!$B$3:$B$1002,$A58,정비이력!$A$3:$A$1002,"&gt;="&amp;DATE($B$3,1,1),정비이력!$A$3:$A$1002,"&lt;="&amp;DATE($B$3,12,31)))</f>
        <v/>
      </c>
      <c r="E58" s="24" t="str">
        <f aca="false">IF($A58="","",SUMIFS(정비이력!$G$3:$G$1002,정비이력!$B$3:$B$1002,$A58,정비이력!$A$3:$A$1002,"&gt;="&amp;DATE($B$3,1,1),정비이력!$A$3:$A$1002,"&lt;="&amp;DATE($B$3,12,31)))</f>
        <v/>
      </c>
      <c r="F58" s="24" t="str">
        <f aca="false">IF($A58="","",SUMIFS(정비이력!$G$3:$G$1002,정비이력!$B$3:$B$1002,$A58))</f>
        <v/>
      </c>
      <c r="G58" s="28" t="str">
        <f aca="false">IF($A58="","",SUMPRODUCT((정비현황!$A$6:$A$365=$A58)*(정비현황!$M$6:$M$365="교체")))</f>
        <v/>
      </c>
    </row>
    <row r="59" customFormat="false" ht="15" hidden="false" customHeight="true" outlineLevel="0" collapsed="false">
      <c r="A59" s="23" t="str">
        <f aca="false">IF(차량목록!$A56="","",차량목록!$A56)</f>
        <v/>
      </c>
      <c r="B59" s="23" t="str">
        <f aca="false">IF($A59="","",차량목록!$B56)</f>
        <v/>
      </c>
      <c r="C59" s="24" t="str">
        <f aca="false">IF($A59="","",차량목록!$E56)</f>
        <v/>
      </c>
      <c r="D59" s="28" t="str">
        <f aca="false">IF($A59="","",COUNTIFS(정비이력!$B$3:$B$1002,$A59,정비이력!$A$3:$A$1002,"&gt;="&amp;DATE($B$3,1,1),정비이력!$A$3:$A$1002,"&lt;="&amp;DATE($B$3,12,31)))</f>
        <v/>
      </c>
      <c r="E59" s="24" t="str">
        <f aca="false">IF($A59="","",SUMIFS(정비이력!$G$3:$G$1002,정비이력!$B$3:$B$1002,$A59,정비이력!$A$3:$A$1002,"&gt;="&amp;DATE($B$3,1,1),정비이력!$A$3:$A$1002,"&lt;="&amp;DATE($B$3,12,31)))</f>
        <v/>
      </c>
      <c r="F59" s="24" t="str">
        <f aca="false">IF($A59="","",SUMIFS(정비이력!$G$3:$G$1002,정비이력!$B$3:$B$1002,$A59))</f>
        <v/>
      </c>
      <c r="G59" s="28" t="str">
        <f aca="false">IF($A59="","",SUMPRODUCT((정비현황!$A$6:$A$365=$A59)*(정비현황!$M$6:$M$365="교체")))</f>
        <v/>
      </c>
    </row>
    <row r="60" customFormat="false" ht="15" hidden="false" customHeight="true" outlineLevel="0" collapsed="false">
      <c r="A60" s="23" t="str">
        <f aca="false">IF(차량목록!$A57="","",차량목록!$A57)</f>
        <v/>
      </c>
      <c r="B60" s="23" t="str">
        <f aca="false">IF($A60="","",차량목록!$B57)</f>
        <v/>
      </c>
      <c r="C60" s="24" t="str">
        <f aca="false">IF($A60="","",차량목록!$E57)</f>
        <v/>
      </c>
      <c r="D60" s="28" t="str">
        <f aca="false">IF($A60="","",COUNTIFS(정비이력!$B$3:$B$1002,$A60,정비이력!$A$3:$A$1002,"&gt;="&amp;DATE($B$3,1,1),정비이력!$A$3:$A$1002,"&lt;="&amp;DATE($B$3,12,31)))</f>
        <v/>
      </c>
      <c r="E60" s="24" t="str">
        <f aca="false">IF($A60="","",SUMIFS(정비이력!$G$3:$G$1002,정비이력!$B$3:$B$1002,$A60,정비이력!$A$3:$A$1002,"&gt;="&amp;DATE($B$3,1,1),정비이력!$A$3:$A$1002,"&lt;="&amp;DATE($B$3,12,31)))</f>
        <v/>
      </c>
      <c r="F60" s="24" t="str">
        <f aca="false">IF($A60="","",SUMIFS(정비이력!$G$3:$G$1002,정비이력!$B$3:$B$1002,$A60))</f>
        <v/>
      </c>
      <c r="G60" s="28" t="str">
        <f aca="false">IF($A60="","",SUMPRODUCT((정비현황!$A$6:$A$365=$A60)*(정비현황!$M$6:$M$365="교체")))</f>
        <v/>
      </c>
    </row>
    <row r="61" customFormat="false" ht="15" hidden="false" customHeight="true" outlineLevel="0" collapsed="false">
      <c r="A61" s="23" t="str">
        <f aca="false">IF(차량목록!$A58="","",차량목록!$A58)</f>
        <v/>
      </c>
      <c r="B61" s="23" t="str">
        <f aca="false">IF($A61="","",차량목록!$B58)</f>
        <v/>
      </c>
      <c r="C61" s="24" t="str">
        <f aca="false">IF($A61="","",차량목록!$E58)</f>
        <v/>
      </c>
      <c r="D61" s="28" t="str">
        <f aca="false">IF($A61="","",COUNTIFS(정비이력!$B$3:$B$1002,$A61,정비이력!$A$3:$A$1002,"&gt;="&amp;DATE($B$3,1,1),정비이력!$A$3:$A$1002,"&lt;="&amp;DATE($B$3,12,31)))</f>
        <v/>
      </c>
      <c r="E61" s="24" t="str">
        <f aca="false">IF($A61="","",SUMIFS(정비이력!$G$3:$G$1002,정비이력!$B$3:$B$1002,$A61,정비이력!$A$3:$A$1002,"&gt;="&amp;DATE($B$3,1,1),정비이력!$A$3:$A$1002,"&lt;="&amp;DATE($B$3,12,31)))</f>
        <v/>
      </c>
      <c r="F61" s="24" t="str">
        <f aca="false">IF($A61="","",SUMIFS(정비이력!$G$3:$G$1002,정비이력!$B$3:$B$1002,$A61))</f>
        <v/>
      </c>
      <c r="G61" s="28" t="str">
        <f aca="false">IF($A61="","",SUMPRODUCT((정비현황!$A$6:$A$365=$A61)*(정비현황!$M$6:$M$365="교체")))</f>
        <v/>
      </c>
    </row>
    <row r="62" customFormat="false" ht="15" hidden="false" customHeight="true" outlineLevel="0" collapsed="false">
      <c r="A62" s="23" t="str">
        <f aca="false">IF(차량목록!$A59="","",차량목록!$A59)</f>
        <v/>
      </c>
      <c r="B62" s="23" t="str">
        <f aca="false">IF($A62="","",차량목록!$B59)</f>
        <v/>
      </c>
      <c r="C62" s="24" t="str">
        <f aca="false">IF($A62="","",차량목록!$E59)</f>
        <v/>
      </c>
      <c r="D62" s="28" t="str">
        <f aca="false">IF($A62="","",COUNTIFS(정비이력!$B$3:$B$1002,$A62,정비이력!$A$3:$A$1002,"&gt;="&amp;DATE($B$3,1,1),정비이력!$A$3:$A$1002,"&lt;="&amp;DATE($B$3,12,31)))</f>
        <v/>
      </c>
      <c r="E62" s="24" t="str">
        <f aca="false">IF($A62="","",SUMIFS(정비이력!$G$3:$G$1002,정비이력!$B$3:$B$1002,$A62,정비이력!$A$3:$A$1002,"&gt;="&amp;DATE($B$3,1,1),정비이력!$A$3:$A$1002,"&lt;="&amp;DATE($B$3,12,31)))</f>
        <v/>
      </c>
      <c r="F62" s="24" t="str">
        <f aca="false">IF($A62="","",SUMIFS(정비이력!$G$3:$G$1002,정비이력!$B$3:$B$1002,$A62))</f>
        <v/>
      </c>
      <c r="G62" s="28" t="str">
        <f aca="false">IF($A62="","",SUMPRODUCT((정비현황!$A$6:$A$365=$A62)*(정비현황!$M$6:$M$365="교체")))</f>
        <v/>
      </c>
    </row>
    <row r="63" customFormat="false" ht="15" hidden="false" customHeight="true" outlineLevel="0" collapsed="false">
      <c r="A63" s="23" t="str">
        <f aca="false">IF(차량목록!$A60="","",차량목록!$A60)</f>
        <v/>
      </c>
      <c r="B63" s="23" t="str">
        <f aca="false">IF($A63="","",차량목록!$B60)</f>
        <v/>
      </c>
      <c r="C63" s="24" t="str">
        <f aca="false">IF($A63="","",차량목록!$E60)</f>
        <v/>
      </c>
      <c r="D63" s="28" t="str">
        <f aca="false">IF($A63="","",COUNTIFS(정비이력!$B$3:$B$1002,$A63,정비이력!$A$3:$A$1002,"&gt;="&amp;DATE($B$3,1,1),정비이력!$A$3:$A$1002,"&lt;="&amp;DATE($B$3,12,31)))</f>
        <v/>
      </c>
      <c r="E63" s="24" t="str">
        <f aca="false">IF($A63="","",SUMIFS(정비이력!$G$3:$G$1002,정비이력!$B$3:$B$1002,$A63,정비이력!$A$3:$A$1002,"&gt;="&amp;DATE($B$3,1,1),정비이력!$A$3:$A$1002,"&lt;="&amp;DATE($B$3,12,31)))</f>
        <v/>
      </c>
      <c r="F63" s="24" t="str">
        <f aca="false">IF($A63="","",SUMIFS(정비이력!$G$3:$G$1002,정비이력!$B$3:$B$1002,$A63))</f>
        <v/>
      </c>
      <c r="G63" s="28" t="str">
        <f aca="false">IF($A63="","",SUMPRODUCT((정비현황!$A$6:$A$365=$A63)*(정비현황!$M$6:$M$365="교체")))</f>
        <v/>
      </c>
    </row>
    <row r="64" customFormat="false" ht="15" hidden="false" customHeight="true" outlineLevel="0" collapsed="false">
      <c r="A64" s="23" t="str">
        <f aca="false">IF(차량목록!$A61="","",차량목록!$A61)</f>
        <v/>
      </c>
      <c r="B64" s="23" t="str">
        <f aca="false">IF($A64="","",차량목록!$B61)</f>
        <v/>
      </c>
      <c r="C64" s="24" t="str">
        <f aca="false">IF($A64="","",차량목록!$E61)</f>
        <v/>
      </c>
      <c r="D64" s="28" t="str">
        <f aca="false">IF($A64="","",COUNTIFS(정비이력!$B$3:$B$1002,$A64,정비이력!$A$3:$A$1002,"&gt;="&amp;DATE($B$3,1,1),정비이력!$A$3:$A$1002,"&lt;="&amp;DATE($B$3,12,31)))</f>
        <v/>
      </c>
      <c r="E64" s="24" t="str">
        <f aca="false">IF($A64="","",SUMIFS(정비이력!$G$3:$G$1002,정비이력!$B$3:$B$1002,$A64,정비이력!$A$3:$A$1002,"&gt;="&amp;DATE($B$3,1,1),정비이력!$A$3:$A$1002,"&lt;="&amp;DATE($B$3,12,31)))</f>
        <v/>
      </c>
      <c r="F64" s="24" t="str">
        <f aca="false">IF($A64="","",SUMIFS(정비이력!$G$3:$G$1002,정비이력!$B$3:$B$1002,$A64))</f>
        <v/>
      </c>
      <c r="G64" s="28" t="str">
        <f aca="false">IF($A64="","",SUMPRODUCT((정비현황!$A$6:$A$365=$A64)*(정비현황!$M$6:$M$365="교체")))</f>
        <v/>
      </c>
    </row>
    <row r="65" customFormat="false" ht="15" hidden="false" customHeight="true" outlineLevel="0" collapsed="false">
      <c r="A65" s="23" t="str">
        <f aca="false">IF(차량목록!$A62="","",차량목록!$A62)</f>
        <v/>
      </c>
      <c r="B65" s="23" t="str">
        <f aca="false">IF($A65="","",차량목록!$B62)</f>
        <v/>
      </c>
      <c r="C65" s="24" t="str">
        <f aca="false">IF($A65="","",차량목록!$E62)</f>
        <v/>
      </c>
      <c r="D65" s="28" t="str">
        <f aca="false">IF($A65="","",COUNTIFS(정비이력!$B$3:$B$1002,$A65,정비이력!$A$3:$A$1002,"&gt;="&amp;DATE($B$3,1,1),정비이력!$A$3:$A$1002,"&lt;="&amp;DATE($B$3,12,31)))</f>
        <v/>
      </c>
      <c r="E65" s="24" t="str">
        <f aca="false">IF($A65="","",SUMIFS(정비이력!$G$3:$G$1002,정비이력!$B$3:$B$1002,$A65,정비이력!$A$3:$A$1002,"&gt;="&amp;DATE($B$3,1,1),정비이력!$A$3:$A$1002,"&lt;="&amp;DATE($B$3,12,31)))</f>
        <v/>
      </c>
      <c r="F65" s="24" t="str">
        <f aca="false">IF($A65="","",SUMIFS(정비이력!$G$3:$G$1002,정비이력!$B$3:$B$1002,$A65))</f>
        <v/>
      </c>
      <c r="G65" s="28" t="str">
        <f aca="false">IF($A65="","",SUMPRODUCT((정비현황!$A$6:$A$365=$A65)*(정비현황!$M$6:$M$365="교체")))</f>
        <v/>
      </c>
    </row>
    <row r="66" customFormat="false" ht="15" hidden="false" customHeight="true" outlineLevel="0" collapsed="false">
      <c r="A66" s="23" t="str">
        <f aca="false">IF(차량목록!$A63="","",차량목록!$A63)</f>
        <v/>
      </c>
      <c r="B66" s="23" t="str">
        <f aca="false">IF($A66="","",차량목록!$B63)</f>
        <v/>
      </c>
      <c r="C66" s="24" t="str">
        <f aca="false">IF($A66="","",차량목록!$E63)</f>
        <v/>
      </c>
      <c r="D66" s="28" t="str">
        <f aca="false">IF($A66="","",COUNTIFS(정비이력!$B$3:$B$1002,$A66,정비이력!$A$3:$A$1002,"&gt;="&amp;DATE($B$3,1,1),정비이력!$A$3:$A$1002,"&lt;="&amp;DATE($B$3,12,31)))</f>
        <v/>
      </c>
      <c r="E66" s="24" t="str">
        <f aca="false">IF($A66="","",SUMIFS(정비이력!$G$3:$G$1002,정비이력!$B$3:$B$1002,$A66,정비이력!$A$3:$A$1002,"&gt;="&amp;DATE($B$3,1,1),정비이력!$A$3:$A$1002,"&lt;="&amp;DATE($B$3,12,31)))</f>
        <v/>
      </c>
      <c r="F66" s="24" t="str">
        <f aca="false">IF($A66="","",SUMIFS(정비이력!$G$3:$G$1002,정비이력!$B$3:$B$1002,$A66))</f>
        <v/>
      </c>
      <c r="G66" s="28" t="str">
        <f aca="false">IF($A66="","",SUMPRODUCT((정비현황!$A$6:$A$365=$A66)*(정비현황!$M$6:$M$365="교체")))</f>
        <v/>
      </c>
    </row>
    <row r="67" customFormat="false" ht="15" hidden="false" customHeight="true" outlineLevel="0" collapsed="false">
      <c r="A67" s="23" t="str">
        <f aca="false">IF(차량목록!$A64="","",차량목록!$A64)</f>
        <v/>
      </c>
      <c r="B67" s="23" t="str">
        <f aca="false">IF($A67="","",차량목록!$B64)</f>
        <v/>
      </c>
      <c r="C67" s="24" t="str">
        <f aca="false">IF($A67="","",차량목록!$E64)</f>
        <v/>
      </c>
      <c r="D67" s="28" t="str">
        <f aca="false">IF($A67="","",COUNTIFS(정비이력!$B$3:$B$1002,$A67,정비이력!$A$3:$A$1002,"&gt;="&amp;DATE($B$3,1,1),정비이력!$A$3:$A$1002,"&lt;="&amp;DATE($B$3,12,31)))</f>
        <v/>
      </c>
      <c r="E67" s="24" t="str">
        <f aca="false">IF($A67="","",SUMIFS(정비이력!$G$3:$G$1002,정비이력!$B$3:$B$1002,$A67,정비이력!$A$3:$A$1002,"&gt;="&amp;DATE($B$3,1,1),정비이력!$A$3:$A$1002,"&lt;="&amp;DATE($B$3,12,31)))</f>
        <v/>
      </c>
      <c r="F67" s="24" t="str">
        <f aca="false">IF($A67="","",SUMIFS(정비이력!$G$3:$G$1002,정비이력!$B$3:$B$1002,$A67))</f>
        <v/>
      </c>
      <c r="G67" s="28" t="str">
        <f aca="false">IF($A67="","",SUMPRODUCT((정비현황!$A$6:$A$365=$A67)*(정비현황!$M$6:$M$365="교체")))</f>
        <v/>
      </c>
    </row>
    <row r="68" customFormat="false" ht="15" hidden="false" customHeight="true" outlineLevel="0" collapsed="false">
      <c r="A68" s="23" t="str">
        <f aca="false">IF(차량목록!$A65="","",차량목록!$A65)</f>
        <v/>
      </c>
      <c r="B68" s="23" t="str">
        <f aca="false">IF($A68="","",차량목록!$B65)</f>
        <v/>
      </c>
      <c r="C68" s="24" t="str">
        <f aca="false">IF($A68="","",차량목록!$E65)</f>
        <v/>
      </c>
      <c r="D68" s="28" t="str">
        <f aca="false">IF($A68="","",COUNTIFS(정비이력!$B$3:$B$1002,$A68,정비이력!$A$3:$A$1002,"&gt;="&amp;DATE($B$3,1,1),정비이력!$A$3:$A$1002,"&lt;="&amp;DATE($B$3,12,31)))</f>
        <v/>
      </c>
      <c r="E68" s="24" t="str">
        <f aca="false">IF($A68="","",SUMIFS(정비이력!$G$3:$G$1002,정비이력!$B$3:$B$1002,$A68,정비이력!$A$3:$A$1002,"&gt;="&amp;DATE($B$3,1,1),정비이력!$A$3:$A$1002,"&lt;="&amp;DATE($B$3,12,31)))</f>
        <v/>
      </c>
      <c r="F68" s="24" t="str">
        <f aca="false">IF($A68="","",SUMIFS(정비이력!$G$3:$G$1002,정비이력!$B$3:$B$1002,$A68))</f>
        <v/>
      </c>
      <c r="G68" s="28" t="str">
        <f aca="false">IF($A68="","",SUMPRODUCT((정비현황!$A$6:$A$365=$A68)*(정비현황!$M$6:$M$365="교체")))</f>
        <v/>
      </c>
    </row>
    <row r="69" customFormat="false" ht="15" hidden="false" customHeight="true" outlineLevel="0" collapsed="false">
      <c r="A69" s="23" t="str">
        <f aca="false">IF(차량목록!$A66="","",차량목록!$A66)</f>
        <v/>
      </c>
      <c r="B69" s="23" t="str">
        <f aca="false">IF($A69="","",차량목록!$B66)</f>
        <v/>
      </c>
      <c r="C69" s="24" t="str">
        <f aca="false">IF($A69="","",차량목록!$E66)</f>
        <v/>
      </c>
      <c r="D69" s="28" t="str">
        <f aca="false">IF($A69="","",COUNTIFS(정비이력!$B$3:$B$1002,$A69,정비이력!$A$3:$A$1002,"&gt;="&amp;DATE($B$3,1,1),정비이력!$A$3:$A$1002,"&lt;="&amp;DATE($B$3,12,31)))</f>
        <v/>
      </c>
      <c r="E69" s="24" t="str">
        <f aca="false">IF($A69="","",SUMIFS(정비이력!$G$3:$G$1002,정비이력!$B$3:$B$1002,$A69,정비이력!$A$3:$A$1002,"&gt;="&amp;DATE($B$3,1,1),정비이력!$A$3:$A$1002,"&lt;="&amp;DATE($B$3,12,31)))</f>
        <v/>
      </c>
      <c r="F69" s="24" t="str">
        <f aca="false">IF($A69="","",SUMIFS(정비이력!$G$3:$G$1002,정비이력!$B$3:$B$1002,$A69))</f>
        <v/>
      </c>
      <c r="G69" s="28" t="str">
        <f aca="false">IF($A69="","",SUMPRODUCT((정비현황!$A$6:$A$365=$A69)*(정비현황!$M$6:$M$365="교체")))</f>
        <v/>
      </c>
    </row>
    <row r="70" customFormat="false" ht="15" hidden="false" customHeight="true" outlineLevel="0" collapsed="false">
      <c r="A70" s="23" t="str">
        <f aca="false">IF(차량목록!$A67="","",차량목록!$A67)</f>
        <v/>
      </c>
      <c r="B70" s="23" t="str">
        <f aca="false">IF($A70="","",차량목록!$B67)</f>
        <v/>
      </c>
      <c r="C70" s="24" t="str">
        <f aca="false">IF($A70="","",차량목록!$E67)</f>
        <v/>
      </c>
      <c r="D70" s="28" t="str">
        <f aca="false">IF($A70="","",COUNTIFS(정비이력!$B$3:$B$1002,$A70,정비이력!$A$3:$A$1002,"&gt;="&amp;DATE($B$3,1,1),정비이력!$A$3:$A$1002,"&lt;="&amp;DATE($B$3,12,31)))</f>
        <v/>
      </c>
      <c r="E70" s="24" t="str">
        <f aca="false">IF($A70="","",SUMIFS(정비이력!$G$3:$G$1002,정비이력!$B$3:$B$1002,$A70,정비이력!$A$3:$A$1002,"&gt;="&amp;DATE($B$3,1,1),정비이력!$A$3:$A$1002,"&lt;="&amp;DATE($B$3,12,31)))</f>
        <v/>
      </c>
      <c r="F70" s="24" t="str">
        <f aca="false">IF($A70="","",SUMIFS(정비이력!$G$3:$G$1002,정비이력!$B$3:$B$1002,$A70))</f>
        <v/>
      </c>
      <c r="G70" s="28" t="str">
        <f aca="false">IF($A70="","",SUMPRODUCT((정비현황!$A$6:$A$365=$A70)*(정비현황!$M$6:$M$365="교체")))</f>
        <v/>
      </c>
    </row>
    <row r="71" customFormat="false" ht="15" hidden="false" customHeight="true" outlineLevel="0" collapsed="false">
      <c r="A71" s="23" t="str">
        <f aca="false">IF(차량목록!$A68="","",차량목록!$A68)</f>
        <v/>
      </c>
      <c r="B71" s="23" t="str">
        <f aca="false">IF($A71="","",차량목록!$B68)</f>
        <v/>
      </c>
      <c r="C71" s="24" t="str">
        <f aca="false">IF($A71="","",차량목록!$E68)</f>
        <v/>
      </c>
      <c r="D71" s="28" t="str">
        <f aca="false">IF($A71="","",COUNTIFS(정비이력!$B$3:$B$1002,$A71,정비이력!$A$3:$A$1002,"&gt;="&amp;DATE($B$3,1,1),정비이력!$A$3:$A$1002,"&lt;="&amp;DATE($B$3,12,31)))</f>
        <v/>
      </c>
      <c r="E71" s="24" t="str">
        <f aca="false">IF($A71="","",SUMIFS(정비이력!$G$3:$G$1002,정비이력!$B$3:$B$1002,$A71,정비이력!$A$3:$A$1002,"&gt;="&amp;DATE($B$3,1,1),정비이력!$A$3:$A$1002,"&lt;="&amp;DATE($B$3,12,31)))</f>
        <v/>
      </c>
      <c r="F71" s="24" t="str">
        <f aca="false">IF($A71="","",SUMIFS(정비이력!$G$3:$G$1002,정비이력!$B$3:$B$1002,$A71))</f>
        <v/>
      </c>
      <c r="G71" s="28" t="str">
        <f aca="false">IF($A71="","",SUMPRODUCT((정비현황!$A$6:$A$365=$A71)*(정비현황!$M$6:$M$365="교체")))</f>
        <v/>
      </c>
    </row>
    <row r="72" customFormat="false" ht="15" hidden="false" customHeight="true" outlineLevel="0" collapsed="false">
      <c r="A72" s="23" t="str">
        <f aca="false">IF(차량목록!$A69="","",차량목록!$A69)</f>
        <v/>
      </c>
      <c r="B72" s="23" t="str">
        <f aca="false">IF($A72="","",차량목록!$B69)</f>
        <v/>
      </c>
      <c r="C72" s="24" t="str">
        <f aca="false">IF($A72="","",차량목록!$E69)</f>
        <v/>
      </c>
      <c r="D72" s="28" t="str">
        <f aca="false">IF($A72="","",COUNTIFS(정비이력!$B$3:$B$1002,$A72,정비이력!$A$3:$A$1002,"&gt;="&amp;DATE($B$3,1,1),정비이력!$A$3:$A$1002,"&lt;="&amp;DATE($B$3,12,31)))</f>
        <v/>
      </c>
      <c r="E72" s="24" t="str">
        <f aca="false">IF($A72="","",SUMIFS(정비이력!$G$3:$G$1002,정비이력!$B$3:$B$1002,$A72,정비이력!$A$3:$A$1002,"&gt;="&amp;DATE($B$3,1,1),정비이력!$A$3:$A$1002,"&lt;="&amp;DATE($B$3,12,31)))</f>
        <v/>
      </c>
      <c r="F72" s="24" t="str">
        <f aca="false">IF($A72="","",SUMIFS(정비이력!$G$3:$G$1002,정비이력!$B$3:$B$1002,$A72))</f>
        <v/>
      </c>
      <c r="G72" s="28" t="str">
        <f aca="false">IF($A72="","",SUMPRODUCT((정비현황!$A$6:$A$365=$A72)*(정비현황!$M$6:$M$365="교체")))</f>
        <v/>
      </c>
    </row>
    <row r="73" customFormat="false" ht="15" hidden="false" customHeight="true" outlineLevel="0" collapsed="false">
      <c r="A73" s="23" t="str">
        <f aca="false">IF(차량목록!$A70="","",차량목록!$A70)</f>
        <v/>
      </c>
      <c r="B73" s="23" t="str">
        <f aca="false">IF($A73="","",차량목록!$B70)</f>
        <v/>
      </c>
      <c r="C73" s="24" t="str">
        <f aca="false">IF($A73="","",차량목록!$E70)</f>
        <v/>
      </c>
      <c r="D73" s="28" t="str">
        <f aca="false">IF($A73="","",COUNTIFS(정비이력!$B$3:$B$1002,$A73,정비이력!$A$3:$A$1002,"&gt;="&amp;DATE($B$3,1,1),정비이력!$A$3:$A$1002,"&lt;="&amp;DATE($B$3,12,31)))</f>
        <v/>
      </c>
      <c r="E73" s="24" t="str">
        <f aca="false">IF($A73="","",SUMIFS(정비이력!$G$3:$G$1002,정비이력!$B$3:$B$1002,$A73,정비이력!$A$3:$A$1002,"&gt;="&amp;DATE($B$3,1,1),정비이력!$A$3:$A$1002,"&lt;="&amp;DATE($B$3,12,31)))</f>
        <v/>
      </c>
      <c r="F73" s="24" t="str">
        <f aca="false">IF($A73="","",SUMIFS(정비이력!$G$3:$G$1002,정비이력!$B$3:$B$1002,$A73))</f>
        <v/>
      </c>
      <c r="G73" s="28" t="str">
        <f aca="false">IF($A73="","",SUMPRODUCT((정비현황!$A$6:$A$365=$A73)*(정비현황!$M$6:$M$365="교체")))</f>
        <v/>
      </c>
    </row>
    <row r="74" customFormat="false" ht="15" hidden="false" customHeight="true" outlineLevel="0" collapsed="false">
      <c r="A74" s="23" t="str">
        <f aca="false">IF(차량목록!$A71="","",차량목록!$A71)</f>
        <v/>
      </c>
      <c r="B74" s="23" t="str">
        <f aca="false">IF($A74="","",차량목록!$B71)</f>
        <v/>
      </c>
      <c r="C74" s="24" t="str">
        <f aca="false">IF($A74="","",차량목록!$E71)</f>
        <v/>
      </c>
      <c r="D74" s="28" t="str">
        <f aca="false">IF($A74="","",COUNTIFS(정비이력!$B$3:$B$1002,$A74,정비이력!$A$3:$A$1002,"&gt;="&amp;DATE($B$3,1,1),정비이력!$A$3:$A$1002,"&lt;="&amp;DATE($B$3,12,31)))</f>
        <v/>
      </c>
      <c r="E74" s="24" t="str">
        <f aca="false">IF($A74="","",SUMIFS(정비이력!$G$3:$G$1002,정비이력!$B$3:$B$1002,$A74,정비이력!$A$3:$A$1002,"&gt;="&amp;DATE($B$3,1,1),정비이력!$A$3:$A$1002,"&lt;="&amp;DATE($B$3,12,31)))</f>
        <v/>
      </c>
      <c r="F74" s="24" t="str">
        <f aca="false">IF($A74="","",SUMIFS(정비이력!$G$3:$G$1002,정비이력!$B$3:$B$1002,$A74))</f>
        <v/>
      </c>
      <c r="G74" s="28" t="str">
        <f aca="false">IF($A74="","",SUMPRODUCT((정비현황!$A$6:$A$365=$A74)*(정비현황!$M$6:$M$365="교체")))</f>
        <v/>
      </c>
    </row>
    <row r="75" customFormat="false" ht="15" hidden="false" customHeight="true" outlineLevel="0" collapsed="false">
      <c r="A75" s="23" t="str">
        <f aca="false">IF(차량목록!$A72="","",차량목록!$A72)</f>
        <v/>
      </c>
      <c r="B75" s="23" t="str">
        <f aca="false">IF($A75="","",차량목록!$B72)</f>
        <v/>
      </c>
      <c r="C75" s="24" t="str">
        <f aca="false">IF($A75="","",차량목록!$E72)</f>
        <v/>
      </c>
      <c r="D75" s="28" t="str">
        <f aca="false">IF($A75="","",COUNTIFS(정비이력!$B$3:$B$1002,$A75,정비이력!$A$3:$A$1002,"&gt;="&amp;DATE($B$3,1,1),정비이력!$A$3:$A$1002,"&lt;="&amp;DATE($B$3,12,31)))</f>
        <v/>
      </c>
      <c r="E75" s="24" t="str">
        <f aca="false">IF($A75="","",SUMIFS(정비이력!$G$3:$G$1002,정비이력!$B$3:$B$1002,$A75,정비이력!$A$3:$A$1002,"&gt;="&amp;DATE($B$3,1,1),정비이력!$A$3:$A$1002,"&lt;="&amp;DATE($B$3,12,31)))</f>
        <v/>
      </c>
      <c r="F75" s="24" t="str">
        <f aca="false">IF($A75="","",SUMIFS(정비이력!$G$3:$G$1002,정비이력!$B$3:$B$1002,$A75))</f>
        <v/>
      </c>
      <c r="G75" s="28" t="str">
        <f aca="false">IF($A75="","",SUMPRODUCT((정비현황!$A$6:$A$365=$A75)*(정비현황!$M$6:$M$365="교체")))</f>
        <v/>
      </c>
    </row>
    <row r="76" customFormat="false" ht="15" hidden="false" customHeight="true" outlineLevel="0" collapsed="false">
      <c r="A76" s="23" t="str">
        <f aca="false">IF(차량목록!$A73="","",차량목록!$A73)</f>
        <v/>
      </c>
      <c r="B76" s="23" t="str">
        <f aca="false">IF($A76="","",차량목록!$B73)</f>
        <v/>
      </c>
      <c r="C76" s="24" t="str">
        <f aca="false">IF($A76="","",차량목록!$E73)</f>
        <v/>
      </c>
      <c r="D76" s="28" t="str">
        <f aca="false">IF($A76="","",COUNTIFS(정비이력!$B$3:$B$1002,$A76,정비이력!$A$3:$A$1002,"&gt;="&amp;DATE($B$3,1,1),정비이력!$A$3:$A$1002,"&lt;="&amp;DATE($B$3,12,31)))</f>
        <v/>
      </c>
      <c r="E76" s="24" t="str">
        <f aca="false">IF($A76="","",SUMIFS(정비이력!$G$3:$G$1002,정비이력!$B$3:$B$1002,$A76,정비이력!$A$3:$A$1002,"&gt;="&amp;DATE($B$3,1,1),정비이력!$A$3:$A$1002,"&lt;="&amp;DATE($B$3,12,31)))</f>
        <v/>
      </c>
      <c r="F76" s="24" t="str">
        <f aca="false">IF($A76="","",SUMIFS(정비이력!$G$3:$G$1002,정비이력!$B$3:$B$1002,$A76))</f>
        <v/>
      </c>
      <c r="G76" s="28" t="str">
        <f aca="false">IF($A76="","",SUMPRODUCT((정비현황!$A$6:$A$365=$A76)*(정비현황!$M$6:$M$365="교체")))</f>
        <v/>
      </c>
    </row>
    <row r="77" customFormat="false" ht="15" hidden="false" customHeight="true" outlineLevel="0" collapsed="false">
      <c r="A77" s="23" t="str">
        <f aca="false">IF(차량목록!$A74="","",차량목록!$A74)</f>
        <v/>
      </c>
      <c r="B77" s="23" t="str">
        <f aca="false">IF($A77="","",차량목록!$B74)</f>
        <v/>
      </c>
      <c r="C77" s="24" t="str">
        <f aca="false">IF($A77="","",차량목록!$E74)</f>
        <v/>
      </c>
      <c r="D77" s="28" t="str">
        <f aca="false">IF($A77="","",COUNTIFS(정비이력!$B$3:$B$1002,$A77,정비이력!$A$3:$A$1002,"&gt;="&amp;DATE($B$3,1,1),정비이력!$A$3:$A$1002,"&lt;="&amp;DATE($B$3,12,31)))</f>
        <v/>
      </c>
      <c r="E77" s="24" t="str">
        <f aca="false">IF($A77="","",SUMIFS(정비이력!$G$3:$G$1002,정비이력!$B$3:$B$1002,$A77,정비이력!$A$3:$A$1002,"&gt;="&amp;DATE($B$3,1,1),정비이력!$A$3:$A$1002,"&lt;="&amp;DATE($B$3,12,31)))</f>
        <v/>
      </c>
      <c r="F77" s="24" t="str">
        <f aca="false">IF($A77="","",SUMIFS(정비이력!$G$3:$G$1002,정비이력!$B$3:$B$1002,$A77))</f>
        <v/>
      </c>
      <c r="G77" s="28" t="str">
        <f aca="false">IF($A77="","",SUMPRODUCT((정비현황!$A$6:$A$365=$A77)*(정비현황!$M$6:$M$365="교체")))</f>
        <v/>
      </c>
    </row>
    <row r="78" customFormat="false" ht="15" hidden="false" customHeight="true" outlineLevel="0" collapsed="false">
      <c r="A78" s="23" t="str">
        <f aca="false">IF(차량목록!$A75="","",차량목록!$A75)</f>
        <v/>
      </c>
      <c r="B78" s="23" t="str">
        <f aca="false">IF($A78="","",차량목록!$B75)</f>
        <v/>
      </c>
      <c r="C78" s="24" t="str">
        <f aca="false">IF($A78="","",차량목록!$E75)</f>
        <v/>
      </c>
      <c r="D78" s="28" t="str">
        <f aca="false">IF($A78="","",COUNTIFS(정비이력!$B$3:$B$1002,$A78,정비이력!$A$3:$A$1002,"&gt;="&amp;DATE($B$3,1,1),정비이력!$A$3:$A$1002,"&lt;="&amp;DATE($B$3,12,31)))</f>
        <v/>
      </c>
      <c r="E78" s="24" t="str">
        <f aca="false">IF($A78="","",SUMIFS(정비이력!$G$3:$G$1002,정비이력!$B$3:$B$1002,$A78,정비이력!$A$3:$A$1002,"&gt;="&amp;DATE($B$3,1,1),정비이력!$A$3:$A$1002,"&lt;="&amp;DATE($B$3,12,31)))</f>
        <v/>
      </c>
      <c r="F78" s="24" t="str">
        <f aca="false">IF($A78="","",SUMIFS(정비이력!$G$3:$G$1002,정비이력!$B$3:$B$1002,$A78))</f>
        <v/>
      </c>
      <c r="G78" s="28" t="str">
        <f aca="false">IF($A78="","",SUMPRODUCT((정비현황!$A$6:$A$365=$A78)*(정비현황!$M$6:$M$365="교체")))</f>
        <v/>
      </c>
    </row>
    <row r="79" customFormat="false" ht="15" hidden="false" customHeight="true" outlineLevel="0" collapsed="false">
      <c r="A79" s="23" t="str">
        <f aca="false">IF(차량목록!$A76="","",차량목록!$A76)</f>
        <v/>
      </c>
      <c r="B79" s="23" t="str">
        <f aca="false">IF($A79="","",차량목록!$B76)</f>
        <v/>
      </c>
      <c r="C79" s="24" t="str">
        <f aca="false">IF($A79="","",차량목록!$E76)</f>
        <v/>
      </c>
      <c r="D79" s="28" t="str">
        <f aca="false">IF($A79="","",COUNTIFS(정비이력!$B$3:$B$1002,$A79,정비이력!$A$3:$A$1002,"&gt;="&amp;DATE($B$3,1,1),정비이력!$A$3:$A$1002,"&lt;="&amp;DATE($B$3,12,31)))</f>
        <v/>
      </c>
      <c r="E79" s="24" t="str">
        <f aca="false">IF($A79="","",SUMIFS(정비이력!$G$3:$G$1002,정비이력!$B$3:$B$1002,$A79,정비이력!$A$3:$A$1002,"&gt;="&amp;DATE($B$3,1,1),정비이력!$A$3:$A$1002,"&lt;="&amp;DATE($B$3,12,31)))</f>
        <v/>
      </c>
      <c r="F79" s="24" t="str">
        <f aca="false">IF($A79="","",SUMIFS(정비이력!$G$3:$G$1002,정비이력!$B$3:$B$1002,$A79))</f>
        <v/>
      </c>
      <c r="G79" s="28" t="str">
        <f aca="false">IF($A79="","",SUMPRODUCT((정비현황!$A$6:$A$365=$A79)*(정비현황!$M$6:$M$365="교체")))</f>
        <v/>
      </c>
    </row>
    <row r="80" customFormat="false" ht="15" hidden="false" customHeight="true" outlineLevel="0" collapsed="false">
      <c r="A80" s="23" t="str">
        <f aca="false">IF(차량목록!$A77="","",차량목록!$A77)</f>
        <v/>
      </c>
      <c r="B80" s="23" t="str">
        <f aca="false">IF($A80="","",차량목록!$B77)</f>
        <v/>
      </c>
      <c r="C80" s="24" t="str">
        <f aca="false">IF($A80="","",차량목록!$E77)</f>
        <v/>
      </c>
      <c r="D80" s="28" t="str">
        <f aca="false">IF($A80="","",COUNTIFS(정비이력!$B$3:$B$1002,$A80,정비이력!$A$3:$A$1002,"&gt;="&amp;DATE($B$3,1,1),정비이력!$A$3:$A$1002,"&lt;="&amp;DATE($B$3,12,31)))</f>
        <v/>
      </c>
      <c r="E80" s="24" t="str">
        <f aca="false">IF($A80="","",SUMIFS(정비이력!$G$3:$G$1002,정비이력!$B$3:$B$1002,$A80,정비이력!$A$3:$A$1002,"&gt;="&amp;DATE($B$3,1,1),정비이력!$A$3:$A$1002,"&lt;="&amp;DATE($B$3,12,31)))</f>
        <v/>
      </c>
      <c r="F80" s="24" t="str">
        <f aca="false">IF($A80="","",SUMIFS(정비이력!$G$3:$G$1002,정비이력!$B$3:$B$1002,$A80))</f>
        <v/>
      </c>
      <c r="G80" s="28" t="str">
        <f aca="false">IF($A80="","",SUMPRODUCT((정비현황!$A$6:$A$365=$A80)*(정비현황!$M$6:$M$365="교체")))</f>
        <v/>
      </c>
    </row>
    <row r="81" customFormat="false" ht="15" hidden="false" customHeight="true" outlineLevel="0" collapsed="false">
      <c r="A81" s="23" t="str">
        <f aca="false">IF(차량목록!$A78="","",차량목록!$A78)</f>
        <v/>
      </c>
      <c r="B81" s="23" t="str">
        <f aca="false">IF($A81="","",차량목록!$B78)</f>
        <v/>
      </c>
      <c r="C81" s="24" t="str">
        <f aca="false">IF($A81="","",차량목록!$E78)</f>
        <v/>
      </c>
      <c r="D81" s="28" t="str">
        <f aca="false">IF($A81="","",COUNTIFS(정비이력!$B$3:$B$1002,$A81,정비이력!$A$3:$A$1002,"&gt;="&amp;DATE($B$3,1,1),정비이력!$A$3:$A$1002,"&lt;="&amp;DATE($B$3,12,31)))</f>
        <v/>
      </c>
      <c r="E81" s="24" t="str">
        <f aca="false">IF($A81="","",SUMIFS(정비이력!$G$3:$G$1002,정비이력!$B$3:$B$1002,$A81,정비이력!$A$3:$A$1002,"&gt;="&amp;DATE($B$3,1,1),정비이력!$A$3:$A$1002,"&lt;="&amp;DATE($B$3,12,31)))</f>
        <v/>
      </c>
      <c r="F81" s="24" t="str">
        <f aca="false">IF($A81="","",SUMIFS(정비이력!$G$3:$G$1002,정비이력!$B$3:$B$1002,$A81))</f>
        <v/>
      </c>
      <c r="G81" s="28" t="str">
        <f aca="false">IF($A81="","",SUMPRODUCT((정비현황!$A$6:$A$365=$A81)*(정비현황!$M$6:$M$365="교체")))</f>
        <v/>
      </c>
    </row>
    <row r="82" customFormat="false" ht="15" hidden="false" customHeight="true" outlineLevel="0" collapsed="false">
      <c r="A82" s="23" t="str">
        <f aca="false">IF(차량목록!$A79="","",차량목록!$A79)</f>
        <v/>
      </c>
      <c r="B82" s="23" t="str">
        <f aca="false">IF($A82="","",차량목록!$B79)</f>
        <v/>
      </c>
      <c r="C82" s="24" t="str">
        <f aca="false">IF($A82="","",차량목록!$E79)</f>
        <v/>
      </c>
      <c r="D82" s="28" t="str">
        <f aca="false">IF($A82="","",COUNTIFS(정비이력!$B$3:$B$1002,$A82,정비이력!$A$3:$A$1002,"&gt;="&amp;DATE($B$3,1,1),정비이력!$A$3:$A$1002,"&lt;="&amp;DATE($B$3,12,31)))</f>
        <v/>
      </c>
      <c r="E82" s="24" t="str">
        <f aca="false">IF($A82="","",SUMIFS(정비이력!$G$3:$G$1002,정비이력!$B$3:$B$1002,$A82,정비이력!$A$3:$A$1002,"&gt;="&amp;DATE($B$3,1,1),정비이력!$A$3:$A$1002,"&lt;="&amp;DATE($B$3,12,31)))</f>
        <v/>
      </c>
      <c r="F82" s="24" t="str">
        <f aca="false">IF($A82="","",SUMIFS(정비이력!$G$3:$G$1002,정비이력!$B$3:$B$1002,$A82))</f>
        <v/>
      </c>
      <c r="G82" s="28" t="str">
        <f aca="false">IF($A82="","",SUMPRODUCT((정비현황!$A$6:$A$365=$A82)*(정비현황!$M$6:$M$365="교체")))</f>
        <v/>
      </c>
    </row>
    <row r="83" customFormat="false" ht="15" hidden="false" customHeight="true" outlineLevel="0" collapsed="false">
      <c r="A83" s="23" t="str">
        <f aca="false">IF(차량목록!$A80="","",차량목록!$A80)</f>
        <v/>
      </c>
      <c r="B83" s="23" t="str">
        <f aca="false">IF($A83="","",차량목록!$B80)</f>
        <v/>
      </c>
      <c r="C83" s="24" t="str">
        <f aca="false">IF($A83="","",차량목록!$E80)</f>
        <v/>
      </c>
      <c r="D83" s="28" t="str">
        <f aca="false">IF($A83="","",COUNTIFS(정비이력!$B$3:$B$1002,$A83,정비이력!$A$3:$A$1002,"&gt;="&amp;DATE($B$3,1,1),정비이력!$A$3:$A$1002,"&lt;="&amp;DATE($B$3,12,31)))</f>
        <v/>
      </c>
      <c r="E83" s="24" t="str">
        <f aca="false">IF($A83="","",SUMIFS(정비이력!$G$3:$G$1002,정비이력!$B$3:$B$1002,$A83,정비이력!$A$3:$A$1002,"&gt;="&amp;DATE($B$3,1,1),정비이력!$A$3:$A$1002,"&lt;="&amp;DATE($B$3,12,31)))</f>
        <v/>
      </c>
      <c r="F83" s="24" t="str">
        <f aca="false">IF($A83="","",SUMIFS(정비이력!$G$3:$G$1002,정비이력!$B$3:$B$1002,$A83))</f>
        <v/>
      </c>
      <c r="G83" s="28" t="str">
        <f aca="false">IF($A83="","",SUMPRODUCT((정비현황!$A$6:$A$365=$A83)*(정비현황!$M$6:$M$365="교체")))</f>
        <v/>
      </c>
    </row>
    <row r="84" customFormat="false" ht="15" hidden="false" customHeight="true" outlineLevel="0" collapsed="false">
      <c r="A84" s="23" t="str">
        <f aca="false">IF(차량목록!$A81="","",차량목록!$A81)</f>
        <v/>
      </c>
      <c r="B84" s="23" t="str">
        <f aca="false">IF($A84="","",차량목록!$B81)</f>
        <v/>
      </c>
      <c r="C84" s="24" t="str">
        <f aca="false">IF($A84="","",차량목록!$E81)</f>
        <v/>
      </c>
      <c r="D84" s="28" t="str">
        <f aca="false">IF($A84="","",COUNTIFS(정비이력!$B$3:$B$1002,$A84,정비이력!$A$3:$A$1002,"&gt;="&amp;DATE($B$3,1,1),정비이력!$A$3:$A$1002,"&lt;="&amp;DATE($B$3,12,31)))</f>
        <v/>
      </c>
      <c r="E84" s="24" t="str">
        <f aca="false">IF($A84="","",SUMIFS(정비이력!$G$3:$G$1002,정비이력!$B$3:$B$1002,$A84,정비이력!$A$3:$A$1002,"&gt;="&amp;DATE($B$3,1,1),정비이력!$A$3:$A$1002,"&lt;="&amp;DATE($B$3,12,31)))</f>
        <v/>
      </c>
      <c r="F84" s="24" t="str">
        <f aca="false">IF($A84="","",SUMIFS(정비이력!$G$3:$G$1002,정비이력!$B$3:$B$1002,$A84))</f>
        <v/>
      </c>
      <c r="G84" s="28" t="str">
        <f aca="false">IF($A84="","",SUMPRODUCT((정비현황!$A$6:$A$365=$A84)*(정비현황!$M$6:$M$365="교체")))</f>
        <v/>
      </c>
    </row>
    <row r="85" customFormat="false" ht="15" hidden="false" customHeight="true" outlineLevel="0" collapsed="false">
      <c r="A85" s="23" t="str">
        <f aca="false">IF(차량목록!$A82="","",차량목록!$A82)</f>
        <v/>
      </c>
      <c r="B85" s="23" t="str">
        <f aca="false">IF($A85="","",차량목록!$B82)</f>
        <v/>
      </c>
      <c r="C85" s="24" t="str">
        <f aca="false">IF($A85="","",차량목록!$E82)</f>
        <v/>
      </c>
      <c r="D85" s="28" t="str">
        <f aca="false">IF($A85="","",COUNTIFS(정비이력!$B$3:$B$1002,$A85,정비이력!$A$3:$A$1002,"&gt;="&amp;DATE($B$3,1,1),정비이력!$A$3:$A$1002,"&lt;="&amp;DATE($B$3,12,31)))</f>
        <v/>
      </c>
      <c r="E85" s="24" t="str">
        <f aca="false">IF($A85="","",SUMIFS(정비이력!$G$3:$G$1002,정비이력!$B$3:$B$1002,$A85,정비이력!$A$3:$A$1002,"&gt;="&amp;DATE($B$3,1,1),정비이력!$A$3:$A$1002,"&lt;="&amp;DATE($B$3,12,31)))</f>
        <v/>
      </c>
      <c r="F85" s="24" t="str">
        <f aca="false">IF($A85="","",SUMIFS(정비이력!$G$3:$G$1002,정비이력!$B$3:$B$1002,$A85))</f>
        <v/>
      </c>
      <c r="G85" s="28" t="str">
        <f aca="false">IF($A85="","",SUMPRODUCT((정비현황!$A$6:$A$365=$A85)*(정비현황!$M$6:$M$365="교체")))</f>
        <v/>
      </c>
    </row>
    <row r="86" customFormat="false" ht="15" hidden="false" customHeight="true" outlineLevel="0" collapsed="false">
      <c r="A86" s="23" t="str">
        <f aca="false">IF(차량목록!$A83="","",차량목록!$A83)</f>
        <v/>
      </c>
      <c r="B86" s="23" t="str">
        <f aca="false">IF($A86="","",차량목록!$B83)</f>
        <v/>
      </c>
      <c r="C86" s="24" t="str">
        <f aca="false">IF($A86="","",차량목록!$E83)</f>
        <v/>
      </c>
      <c r="D86" s="28" t="str">
        <f aca="false">IF($A86="","",COUNTIFS(정비이력!$B$3:$B$1002,$A86,정비이력!$A$3:$A$1002,"&gt;="&amp;DATE($B$3,1,1),정비이력!$A$3:$A$1002,"&lt;="&amp;DATE($B$3,12,31)))</f>
        <v/>
      </c>
      <c r="E86" s="24" t="str">
        <f aca="false">IF($A86="","",SUMIFS(정비이력!$G$3:$G$1002,정비이력!$B$3:$B$1002,$A86,정비이력!$A$3:$A$1002,"&gt;="&amp;DATE($B$3,1,1),정비이력!$A$3:$A$1002,"&lt;="&amp;DATE($B$3,12,31)))</f>
        <v/>
      </c>
      <c r="F86" s="24" t="str">
        <f aca="false">IF($A86="","",SUMIFS(정비이력!$G$3:$G$1002,정비이력!$B$3:$B$1002,$A86))</f>
        <v/>
      </c>
      <c r="G86" s="28" t="str">
        <f aca="false">IF($A86="","",SUMPRODUCT((정비현황!$A$6:$A$365=$A86)*(정비현황!$M$6:$M$365="교체")))</f>
        <v/>
      </c>
    </row>
    <row r="87" customFormat="false" ht="15" hidden="false" customHeight="true" outlineLevel="0" collapsed="false">
      <c r="A87" s="23" t="str">
        <f aca="false">IF(차량목록!$A84="","",차량목록!$A84)</f>
        <v/>
      </c>
      <c r="B87" s="23" t="str">
        <f aca="false">IF($A87="","",차량목록!$B84)</f>
        <v/>
      </c>
      <c r="C87" s="24" t="str">
        <f aca="false">IF($A87="","",차량목록!$E84)</f>
        <v/>
      </c>
      <c r="D87" s="28" t="str">
        <f aca="false">IF($A87="","",COUNTIFS(정비이력!$B$3:$B$1002,$A87,정비이력!$A$3:$A$1002,"&gt;="&amp;DATE($B$3,1,1),정비이력!$A$3:$A$1002,"&lt;="&amp;DATE($B$3,12,31)))</f>
        <v/>
      </c>
      <c r="E87" s="24" t="str">
        <f aca="false">IF($A87="","",SUMIFS(정비이력!$G$3:$G$1002,정비이력!$B$3:$B$1002,$A87,정비이력!$A$3:$A$1002,"&gt;="&amp;DATE($B$3,1,1),정비이력!$A$3:$A$1002,"&lt;="&amp;DATE($B$3,12,31)))</f>
        <v/>
      </c>
      <c r="F87" s="24" t="str">
        <f aca="false">IF($A87="","",SUMIFS(정비이력!$G$3:$G$1002,정비이력!$B$3:$B$1002,$A87))</f>
        <v/>
      </c>
      <c r="G87" s="28" t="str">
        <f aca="false">IF($A87="","",SUMPRODUCT((정비현황!$A$6:$A$365=$A87)*(정비현황!$M$6:$M$365="교체")))</f>
        <v/>
      </c>
    </row>
    <row r="88" customFormat="false" ht="15" hidden="false" customHeight="true" outlineLevel="0" collapsed="false">
      <c r="A88" s="23" t="str">
        <f aca="false">IF(차량목록!$A85="","",차량목록!$A85)</f>
        <v/>
      </c>
      <c r="B88" s="23" t="str">
        <f aca="false">IF($A88="","",차량목록!$B85)</f>
        <v/>
      </c>
      <c r="C88" s="24" t="str">
        <f aca="false">IF($A88="","",차량목록!$E85)</f>
        <v/>
      </c>
      <c r="D88" s="28" t="str">
        <f aca="false">IF($A88="","",COUNTIFS(정비이력!$B$3:$B$1002,$A88,정비이력!$A$3:$A$1002,"&gt;="&amp;DATE($B$3,1,1),정비이력!$A$3:$A$1002,"&lt;="&amp;DATE($B$3,12,31)))</f>
        <v/>
      </c>
      <c r="E88" s="24" t="str">
        <f aca="false">IF($A88="","",SUMIFS(정비이력!$G$3:$G$1002,정비이력!$B$3:$B$1002,$A88,정비이력!$A$3:$A$1002,"&gt;="&amp;DATE($B$3,1,1),정비이력!$A$3:$A$1002,"&lt;="&amp;DATE($B$3,12,31)))</f>
        <v/>
      </c>
      <c r="F88" s="24" t="str">
        <f aca="false">IF($A88="","",SUMIFS(정비이력!$G$3:$G$1002,정비이력!$B$3:$B$1002,$A88))</f>
        <v/>
      </c>
      <c r="G88" s="28" t="str">
        <f aca="false">IF($A88="","",SUMPRODUCT((정비현황!$A$6:$A$365=$A88)*(정비현황!$M$6:$M$365="교체")))</f>
        <v/>
      </c>
    </row>
    <row r="89" customFormat="false" ht="15" hidden="false" customHeight="true" outlineLevel="0" collapsed="false">
      <c r="A89" s="23" t="str">
        <f aca="false">IF(차량목록!$A86="","",차량목록!$A86)</f>
        <v/>
      </c>
      <c r="B89" s="23" t="str">
        <f aca="false">IF($A89="","",차량목록!$B86)</f>
        <v/>
      </c>
      <c r="C89" s="24" t="str">
        <f aca="false">IF($A89="","",차량목록!$E86)</f>
        <v/>
      </c>
      <c r="D89" s="28" t="str">
        <f aca="false">IF($A89="","",COUNTIFS(정비이력!$B$3:$B$1002,$A89,정비이력!$A$3:$A$1002,"&gt;="&amp;DATE($B$3,1,1),정비이력!$A$3:$A$1002,"&lt;="&amp;DATE($B$3,12,31)))</f>
        <v/>
      </c>
      <c r="E89" s="24" t="str">
        <f aca="false">IF($A89="","",SUMIFS(정비이력!$G$3:$G$1002,정비이력!$B$3:$B$1002,$A89,정비이력!$A$3:$A$1002,"&gt;="&amp;DATE($B$3,1,1),정비이력!$A$3:$A$1002,"&lt;="&amp;DATE($B$3,12,31)))</f>
        <v/>
      </c>
      <c r="F89" s="24" t="str">
        <f aca="false">IF($A89="","",SUMIFS(정비이력!$G$3:$G$1002,정비이력!$B$3:$B$1002,$A89))</f>
        <v/>
      </c>
      <c r="G89" s="28" t="str">
        <f aca="false">IF($A89="","",SUMPRODUCT((정비현황!$A$6:$A$365=$A89)*(정비현황!$M$6:$M$365="교체")))</f>
        <v/>
      </c>
    </row>
    <row r="90" customFormat="false" ht="15" hidden="false" customHeight="true" outlineLevel="0" collapsed="false">
      <c r="A90" s="23" t="str">
        <f aca="false">IF(차량목록!$A87="","",차량목록!$A87)</f>
        <v/>
      </c>
      <c r="B90" s="23" t="str">
        <f aca="false">IF($A90="","",차량목록!$B87)</f>
        <v/>
      </c>
      <c r="C90" s="24" t="str">
        <f aca="false">IF($A90="","",차량목록!$E87)</f>
        <v/>
      </c>
      <c r="D90" s="28" t="str">
        <f aca="false">IF($A90="","",COUNTIFS(정비이력!$B$3:$B$1002,$A90,정비이력!$A$3:$A$1002,"&gt;="&amp;DATE($B$3,1,1),정비이력!$A$3:$A$1002,"&lt;="&amp;DATE($B$3,12,31)))</f>
        <v/>
      </c>
      <c r="E90" s="24" t="str">
        <f aca="false">IF($A90="","",SUMIFS(정비이력!$G$3:$G$1002,정비이력!$B$3:$B$1002,$A90,정비이력!$A$3:$A$1002,"&gt;="&amp;DATE($B$3,1,1),정비이력!$A$3:$A$1002,"&lt;="&amp;DATE($B$3,12,31)))</f>
        <v/>
      </c>
      <c r="F90" s="24" t="str">
        <f aca="false">IF($A90="","",SUMIFS(정비이력!$G$3:$G$1002,정비이력!$B$3:$B$1002,$A90))</f>
        <v/>
      </c>
      <c r="G90" s="28" t="str">
        <f aca="false">IF($A90="","",SUMPRODUCT((정비현황!$A$6:$A$365=$A90)*(정비현황!$M$6:$M$365="교체")))</f>
        <v/>
      </c>
    </row>
    <row r="91" customFormat="false" ht="15" hidden="false" customHeight="true" outlineLevel="0" collapsed="false">
      <c r="A91" s="23" t="str">
        <f aca="false">IF(차량목록!$A88="","",차량목록!$A88)</f>
        <v/>
      </c>
      <c r="B91" s="23" t="str">
        <f aca="false">IF($A91="","",차량목록!$B88)</f>
        <v/>
      </c>
      <c r="C91" s="24" t="str">
        <f aca="false">IF($A91="","",차량목록!$E88)</f>
        <v/>
      </c>
      <c r="D91" s="28" t="str">
        <f aca="false">IF($A91="","",COUNTIFS(정비이력!$B$3:$B$1002,$A91,정비이력!$A$3:$A$1002,"&gt;="&amp;DATE($B$3,1,1),정비이력!$A$3:$A$1002,"&lt;="&amp;DATE($B$3,12,31)))</f>
        <v/>
      </c>
      <c r="E91" s="24" t="str">
        <f aca="false">IF($A91="","",SUMIFS(정비이력!$G$3:$G$1002,정비이력!$B$3:$B$1002,$A91,정비이력!$A$3:$A$1002,"&gt;="&amp;DATE($B$3,1,1),정비이력!$A$3:$A$1002,"&lt;="&amp;DATE($B$3,12,31)))</f>
        <v/>
      </c>
      <c r="F91" s="24" t="str">
        <f aca="false">IF($A91="","",SUMIFS(정비이력!$G$3:$G$1002,정비이력!$B$3:$B$1002,$A91))</f>
        <v/>
      </c>
      <c r="G91" s="28" t="str">
        <f aca="false">IF($A91="","",SUMPRODUCT((정비현황!$A$6:$A$365=$A91)*(정비현황!$M$6:$M$365="교체")))</f>
        <v/>
      </c>
    </row>
    <row r="92" customFormat="false" ht="15" hidden="false" customHeight="true" outlineLevel="0" collapsed="false">
      <c r="A92" s="23" t="str">
        <f aca="false">IF(차량목록!$A89="","",차량목록!$A89)</f>
        <v/>
      </c>
      <c r="B92" s="23" t="str">
        <f aca="false">IF($A92="","",차량목록!$B89)</f>
        <v/>
      </c>
      <c r="C92" s="24" t="str">
        <f aca="false">IF($A92="","",차량목록!$E89)</f>
        <v/>
      </c>
      <c r="D92" s="28" t="str">
        <f aca="false">IF($A92="","",COUNTIFS(정비이력!$B$3:$B$1002,$A92,정비이력!$A$3:$A$1002,"&gt;="&amp;DATE($B$3,1,1),정비이력!$A$3:$A$1002,"&lt;="&amp;DATE($B$3,12,31)))</f>
        <v/>
      </c>
      <c r="E92" s="24" t="str">
        <f aca="false">IF($A92="","",SUMIFS(정비이력!$G$3:$G$1002,정비이력!$B$3:$B$1002,$A92,정비이력!$A$3:$A$1002,"&gt;="&amp;DATE($B$3,1,1),정비이력!$A$3:$A$1002,"&lt;="&amp;DATE($B$3,12,31)))</f>
        <v/>
      </c>
      <c r="F92" s="24" t="str">
        <f aca="false">IF($A92="","",SUMIFS(정비이력!$G$3:$G$1002,정비이력!$B$3:$B$1002,$A92))</f>
        <v/>
      </c>
      <c r="G92" s="28" t="str">
        <f aca="false">IF($A92="","",SUMPRODUCT((정비현황!$A$6:$A$365=$A92)*(정비현황!$M$6:$M$365="교체")))</f>
        <v/>
      </c>
    </row>
    <row r="93" customFormat="false" ht="15" hidden="false" customHeight="true" outlineLevel="0" collapsed="false">
      <c r="A93" s="23" t="str">
        <f aca="false">IF(차량목록!$A90="","",차량목록!$A90)</f>
        <v/>
      </c>
      <c r="B93" s="23" t="str">
        <f aca="false">IF($A93="","",차량목록!$B90)</f>
        <v/>
      </c>
      <c r="C93" s="24" t="str">
        <f aca="false">IF($A93="","",차량목록!$E90)</f>
        <v/>
      </c>
      <c r="D93" s="28" t="str">
        <f aca="false">IF($A93="","",COUNTIFS(정비이력!$B$3:$B$1002,$A93,정비이력!$A$3:$A$1002,"&gt;="&amp;DATE($B$3,1,1),정비이력!$A$3:$A$1002,"&lt;="&amp;DATE($B$3,12,31)))</f>
        <v/>
      </c>
      <c r="E93" s="24" t="str">
        <f aca="false">IF($A93="","",SUMIFS(정비이력!$G$3:$G$1002,정비이력!$B$3:$B$1002,$A93,정비이력!$A$3:$A$1002,"&gt;="&amp;DATE($B$3,1,1),정비이력!$A$3:$A$1002,"&lt;="&amp;DATE($B$3,12,31)))</f>
        <v/>
      </c>
      <c r="F93" s="24" t="str">
        <f aca="false">IF($A93="","",SUMIFS(정비이력!$G$3:$G$1002,정비이력!$B$3:$B$1002,$A93))</f>
        <v/>
      </c>
      <c r="G93" s="28" t="str">
        <f aca="false">IF($A93="","",SUMPRODUCT((정비현황!$A$6:$A$365=$A93)*(정비현황!$M$6:$M$365="교체")))</f>
        <v/>
      </c>
    </row>
    <row r="94" customFormat="false" ht="15" hidden="false" customHeight="true" outlineLevel="0" collapsed="false">
      <c r="A94" s="23" t="str">
        <f aca="false">IF(차량목록!$A91="","",차량목록!$A91)</f>
        <v/>
      </c>
      <c r="B94" s="23" t="str">
        <f aca="false">IF($A94="","",차량목록!$B91)</f>
        <v/>
      </c>
      <c r="C94" s="24" t="str">
        <f aca="false">IF($A94="","",차량목록!$E91)</f>
        <v/>
      </c>
      <c r="D94" s="28" t="str">
        <f aca="false">IF($A94="","",COUNTIFS(정비이력!$B$3:$B$1002,$A94,정비이력!$A$3:$A$1002,"&gt;="&amp;DATE($B$3,1,1),정비이력!$A$3:$A$1002,"&lt;="&amp;DATE($B$3,12,31)))</f>
        <v/>
      </c>
      <c r="E94" s="24" t="str">
        <f aca="false">IF($A94="","",SUMIFS(정비이력!$G$3:$G$1002,정비이력!$B$3:$B$1002,$A94,정비이력!$A$3:$A$1002,"&gt;="&amp;DATE($B$3,1,1),정비이력!$A$3:$A$1002,"&lt;="&amp;DATE($B$3,12,31)))</f>
        <v/>
      </c>
      <c r="F94" s="24" t="str">
        <f aca="false">IF($A94="","",SUMIFS(정비이력!$G$3:$G$1002,정비이력!$B$3:$B$1002,$A94))</f>
        <v/>
      </c>
      <c r="G94" s="28" t="str">
        <f aca="false">IF($A94="","",SUMPRODUCT((정비현황!$A$6:$A$365=$A94)*(정비현황!$M$6:$M$365="교체")))</f>
        <v/>
      </c>
    </row>
    <row r="95" customFormat="false" ht="15" hidden="false" customHeight="true" outlineLevel="0" collapsed="false">
      <c r="A95" s="23" t="str">
        <f aca="false">IF(차량목록!$A92="","",차량목록!$A92)</f>
        <v/>
      </c>
      <c r="B95" s="23" t="str">
        <f aca="false">IF($A95="","",차량목록!$B92)</f>
        <v/>
      </c>
      <c r="C95" s="24" t="str">
        <f aca="false">IF($A95="","",차량목록!$E92)</f>
        <v/>
      </c>
      <c r="D95" s="28" t="str">
        <f aca="false">IF($A95="","",COUNTIFS(정비이력!$B$3:$B$1002,$A95,정비이력!$A$3:$A$1002,"&gt;="&amp;DATE($B$3,1,1),정비이력!$A$3:$A$1002,"&lt;="&amp;DATE($B$3,12,31)))</f>
        <v/>
      </c>
      <c r="E95" s="24" t="str">
        <f aca="false">IF($A95="","",SUMIFS(정비이력!$G$3:$G$1002,정비이력!$B$3:$B$1002,$A95,정비이력!$A$3:$A$1002,"&gt;="&amp;DATE($B$3,1,1),정비이력!$A$3:$A$1002,"&lt;="&amp;DATE($B$3,12,31)))</f>
        <v/>
      </c>
      <c r="F95" s="24" t="str">
        <f aca="false">IF($A95="","",SUMIFS(정비이력!$G$3:$G$1002,정비이력!$B$3:$B$1002,$A95))</f>
        <v/>
      </c>
      <c r="G95" s="28" t="str">
        <f aca="false">IF($A95="","",SUMPRODUCT((정비현황!$A$6:$A$365=$A95)*(정비현황!$M$6:$M$365="교체")))</f>
        <v/>
      </c>
    </row>
    <row r="96" customFormat="false" ht="15" hidden="false" customHeight="true" outlineLevel="0" collapsed="false">
      <c r="A96" s="23" t="str">
        <f aca="false">IF(차량목록!$A93="","",차량목록!$A93)</f>
        <v/>
      </c>
      <c r="B96" s="23" t="str">
        <f aca="false">IF($A96="","",차량목록!$B93)</f>
        <v/>
      </c>
      <c r="C96" s="24" t="str">
        <f aca="false">IF($A96="","",차량목록!$E93)</f>
        <v/>
      </c>
      <c r="D96" s="28" t="str">
        <f aca="false">IF($A96="","",COUNTIFS(정비이력!$B$3:$B$1002,$A96,정비이력!$A$3:$A$1002,"&gt;="&amp;DATE($B$3,1,1),정비이력!$A$3:$A$1002,"&lt;="&amp;DATE($B$3,12,31)))</f>
        <v/>
      </c>
      <c r="E96" s="24" t="str">
        <f aca="false">IF($A96="","",SUMIFS(정비이력!$G$3:$G$1002,정비이력!$B$3:$B$1002,$A96,정비이력!$A$3:$A$1002,"&gt;="&amp;DATE($B$3,1,1),정비이력!$A$3:$A$1002,"&lt;="&amp;DATE($B$3,12,31)))</f>
        <v/>
      </c>
      <c r="F96" s="24" t="str">
        <f aca="false">IF($A96="","",SUMIFS(정비이력!$G$3:$G$1002,정비이력!$B$3:$B$1002,$A96))</f>
        <v/>
      </c>
      <c r="G96" s="28" t="str">
        <f aca="false">IF($A96="","",SUMPRODUCT((정비현황!$A$6:$A$365=$A96)*(정비현황!$M$6:$M$365="교체")))</f>
        <v/>
      </c>
    </row>
    <row r="97" customFormat="false" ht="15" hidden="false" customHeight="true" outlineLevel="0" collapsed="false">
      <c r="A97" s="23" t="str">
        <f aca="false">IF(차량목록!$A94="","",차량목록!$A94)</f>
        <v/>
      </c>
      <c r="B97" s="23" t="str">
        <f aca="false">IF($A97="","",차량목록!$B94)</f>
        <v/>
      </c>
      <c r="C97" s="24" t="str">
        <f aca="false">IF($A97="","",차량목록!$E94)</f>
        <v/>
      </c>
      <c r="D97" s="28" t="str">
        <f aca="false">IF($A97="","",COUNTIFS(정비이력!$B$3:$B$1002,$A97,정비이력!$A$3:$A$1002,"&gt;="&amp;DATE($B$3,1,1),정비이력!$A$3:$A$1002,"&lt;="&amp;DATE($B$3,12,31)))</f>
        <v/>
      </c>
      <c r="E97" s="24" t="str">
        <f aca="false">IF($A97="","",SUMIFS(정비이력!$G$3:$G$1002,정비이력!$B$3:$B$1002,$A97,정비이력!$A$3:$A$1002,"&gt;="&amp;DATE($B$3,1,1),정비이력!$A$3:$A$1002,"&lt;="&amp;DATE($B$3,12,31)))</f>
        <v/>
      </c>
      <c r="F97" s="24" t="str">
        <f aca="false">IF($A97="","",SUMIFS(정비이력!$G$3:$G$1002,정비이력!$B$3:$B$1002,$A97))</f>
        <v/>
      </c>
      <c r="G97" s="28" t="str">
        <f aca="false">IF($A97="","",SUMPRODUCT((정비현황!$A$6:$A$365=$A97)*(정비현황!$M$6:$M$365="교체")))</f>
        <v/>
      </c>
    </row>
    <row r="98" customFormat="false" ht="15" hidden="false" customHeight="true" outlineLevel="0" collapsed="false">
      <c r="A98" s="23" t="str">
        <f aca="false">IF(차량목록!$A95="","",차량목록!$A95)</f>
        <v/>
      </c>
      <c r="B98" s="23" t="str">
        <f aca="false">IF($A98="","",차량목록!$B95)</f>
        <v/>
      </c>
      <c r="C98" s="24" t="str">
        <f aca="false">IF($A98="","",차량목록!$E95)</f>
        <v/>
      </c>
      <c r="D98" s="28" t="str">
        <f aca="false">IF($A98="","",COUNTIFS(정비이력!$B$3:$B$1002,$A98,정비이력!$A$3:$A$1002,"&gt;="&amp;DATE($B$3,1,1),정비이력!$A$3:$A$1002,"&lt;="&amp;DATE($B$3,12,31)))</f>
        <v/>
      </c>
      <c r="E98" s="24" t="str">
        <f aca="false">IF($A98="","",SUMIFS(정비이력!$G$3:$G$1002,정비이력!$B$3:$B$1002,$A98,정비이력!$A$3:$A$1002,"&gt;="&amp;DATE($B$3,1,1),정비이력!$A$3:$A$1002,"&lt;="&amp;DATE($B$3,12,31)))</f>
        <v/>
      </c>
      <c r="F98" s="24" t="str">
        <f aca="false">IF($A98="","",SUMIFS(정비이력!$G$3:$G$1002,정비이력!$B$3:$B$1002,$A98))</f>
        <v/>
      </c>
      <c r="G98" s="28" t="str">
        <f aca="false">IF($A98="","",SUMPRODUCT((정비현황!$A$6:$A$365=$A98)*(정비현황!$M$6:$M$365="교체")))</f>
        <v/>
      </c>
    </row>
    <row r="99" customFormat="false" ht="15" hidden="false" customHeight="true" outlineLevel="0" collapsed="false">
      <c r="A99" s="23" t="str">
        <f aca="false">IF(차량목록!$A96="","",차량목록!$A96)</f>
        <v/>
      </c>
      <c r="B99" s="23" t="str">
        <f aca="false">IF($A99="","",차량목록!$B96)</f>
        <v/>
      </c>
      <c r="C99" s="24" t="str">
        <f aca="false">IF($A99="","",차량목록!$E96)</f>
        <v/>
      </c>
      <c r="D99" s="28" t="str">
        <f aca="false">IF($A99="","",COUNTIFS(정비이력!$B$3:$B$1002,$A99,정비이력!$A$3:$A$1002,"&gt;="&amp;DATE($B$3,1,1),정비이력!$A$3:$A$1002,"&lt;="&amp;DATE($B$3,12,31)))</f>
        <v/>
      </c>
      <c r="E99" s="24" t="str">
        <f aca="false">IF($A99="","",SUMIFS(정비이력!$G$3:$G$1002,정비이력!$B$3:$B$1002,$A99,정비이력!$A$3:$A$1002,"&gt;="&amp;DATE($B$3,1,1),정비이력!$A$3:$A$1002,"&lt;="&amp;DATE($B$3,12,31)))</f>
        <v/>
      </c>
      <c r="F99" s="24" t="str">
        <f aca="false">IF($A99="","",SUMIFS(정비이력!$G$3:$G$1002,정비이력!$B$3:$B$1002,$A99))</f>
        <v/>
      </c>
      <c r="G99" s="28" t="str">
        <f aca="false">IF($A99="","",SUMPRODUCT((정비현황!$A$6:$A$365=$A99)*(정비현황!$M$6:$M$365="교체")))</f>
        <v/>
      </c>
    </row>
    <row r="100" customFormat="false" ht="15" hidden="false" customHeight="true" outlineLevel="0" collapsed="false">
      <c r="A100" s="23" t="str">
        <f aca="false">IF(차량목록!$A97="","",차량목록!$A97)</f>
        <v/>
      </c>
      <c r="B100" s="23" t="str">
        <f aca="false">IF($A100="","",차량목록!$B97)</f>
        <v/>
      </c>
      <c r="C100" s="24" t="str">
        <f aca="false">IF($A100="","",차량목록!$E97)</f>
        <v/>
      </c>
      <c r="D100" s="28" t="str">
        <f aca="false">IF($A100="","",COUNTIFS(정비이력!$B$3:$B$1002,$A100,정비이력!$A$3:$A$1002,"&gt;="&amp;DATE($B$3,1,1),정비이력!$A$3:$A$1002,"&lt;="&amp;DATE($B$3,12,31)))</f>
        <v/>
      </c>
      <c r="E100" s="24" t="str">
        <f aca="false">IF($A100="","",SUMIFS(정비이력!$G$3:$G$1002,정비이력!$B$3:$B$1002,$A100,정비이력!$A$3:$A$1002,"&gt;="&amp;DATE($B$3,1,1),정비이력!$A$3:$A$1002,"&lt;="&amp;DATE($B$3,12,31)))</f>
        <v/>
      </c>
      <c r="F100" s="24" t="str">
        <f aca="false">IF($A100="","",SUMIFS(정비이력!$G$3:$G$1002,정비이력!$B$3:$B$1002,$A100))</f>
        <v/>
      </c>
      <c r="G100" s="28" t="str">
        <f aca="false">IF($A100="","",SUMPRODUCT((정비현황!$A$6:$A$365=$A100)*(정비현황!$M$6:$M$365="교체")))</f>
        <v/>
      </c>
    </row>
    <row r="101" customFormat="false" ht="15" hidden="false" customHeight="true" outlineLevel="0" collapsed="false">
      <c r="A101" s="23" t="str">
        <f aca="false">IF(차량목록!$A98="","",차량목록!$A98)</f>
        <v/>
      </c>
      <c r="B101" s="23" t="str">
        <f aca="false">IF($A101="","",차량목록!$B98)</f>
        <v/>
      </c>
      <c r="C101" s="24" t="str">
        <f aca="false">IF($A101="","",차량목록!$E98)</f>
        <v/>
      </c>
      <c r="D101" s="28" t="str">
        <f aca="false">IF($A101="","",COUNTIFS(정비이력!$B$3:$B$1002,$A101,정비이력!$A$3:$A$1002,"&gt;="&amp;DATE($B$3,1,1),정비이력!$A$3:$A$1002,"&lt;="&amp;DATE($B$3,12,31)))</f>
        <v/>
      </c>
      <c r="E101" s="24" t="str">
        <f aca="false">IF($A101="","",SUMIFS(정비이력!$G$3:$G$1002,정비이력!$B$3:$B$1002,$A101,정비이력!$A$3:$A$1002,"&gt;="&amp;DATE($B$3,1,1),정비이력!$A$3:$A$1002,"&lt;="&amp;DATE($B$3,12,31)))</f>
        <v/>
      </c>
      <c r="F101" s="24" t="str">
        <f aca="false">IF($A101="","",SUMIFS(정비이력!$G$3:$G$1002,정비이력!$B$3:$B$1002,$A101))</f>
        <v/>
      </c>
      <c r="G101" s="28" t="str">
        <f aca="false">IF($A101="","",SUMPRODUCT((정비현황!$A$6:$A$365=$A101)*(정비현황!$M$6:$M$365="교체")))</f>
        <v/>
      </c>
    </row>
    <row r="102" customFormat="false" ht="15" hidden="false" customHeight="true" outlineLevel="0" collapsed="false">
      <c r="A102" s="23" t="str">
        <f aca="false">IF(차량목록!$A99="","",차량목록!$A99)</f>
        <v/>
      </c>
      <c r="B102" s="23" t="str">
        <f aca="false">IF($A102="","",차량목록!$B99)</f>
        <v/>
      </c>
      <c r="C102" s="24" t="str">
        <f aca="false">IF($A102="","",차량목록!$E99)</f>
        <v/>
      </c>
      <c r="D102" s="28" t="str">
        <f aca="false">IF($A102="","",COUNTIFS(정비이력!$B$3:$B$1002,$A102,정비이력!$A$3:$A$1002,"&gt;="&amp;DATE($B$3,1,1),정비이력!$A$3:$A$1002,"&lt;="&amp;DATE($B$3,12,31)))</f>
        <v/>
      </c>
      <c r="E102" s="24" t="str">
        <f aca="false">IF($A102="","",SUMIFS(정비이력!$G$3:$G$1002,정비이력!$B$3:$B$1002,$A102,정비이력!$A$3:$A$1002,"&gt;="&amp;DATE($B$3,1,1),정비이력!$A$3:$A$1002,"&lt;="&amp;DATE($B$3,12,31)))</f>
        <v/>
      </c>
      <c r="F102" s="24" t="str">
        <f aca="false">IF($A102="","",SUMIFS(정비이력!$G$3:$G$1002,정비이력!$B$3:$B$1002,$A102))</f>
        <v/>
      </c>
      <c r="G102" s="28" t="str">
        <f aca="false">IF($A102="","",SUMPRODUCT((정비현황!$A$6:$A$365=$A102)*(정비현황!$M$6:$M$365="교체")))</f>
        <v/>
      </c>
    </row>
    <row r="103" customFormat="false" ht="15" hidden="false" customHeight="true" outlineLevel="0" collapsed="false">
      <c r="A103" s="23" t="str">
        <f aca="false">IF(차량목록!$A100="","",차량목록!$A100)</f>
        <v/>
      </c>
      <c r="B103" s="23" t="str">
        <f aca="false">IF($A103="","",차량목록!$B100)</f>
        <v/>
      </c>
      <c r="C103" s="24" t="str">
        <f aca="false">IF($A103="","",차량목록!$E100)</f>
        <v/>
      </c>
      <c r="D103" s="28" t="str">
        <f aca="false">IF($A103="","",COUNTIFS(정비이력!$B$3:$B$1002,$A103,정비이력!$A$3:$A$1002,"&gt;="&amp;DATE($B$3,1,1),정비이력!$A$3:$A$1002,"&lt;="&amp;DATE($B$3,12,31)))</f>
        <v/>
      </c>
      <c r="E103" s="24" t="str">
        <f aca="false">IF($A103="","",SUMIFS(정비이력!$G$3:$G$1002,정비이력!$B$3:$B$1002,$A103,정비이력!$A$3:$A$1002,"&gt;="&amp;DATE($B$3,1,1),정비이력!$A$3:$A$1002,"&lt;="&amp;DATE($B$3,12,31)))</f>
        <v/>
      </c>
      <c r="F103" s="24" t="str">
        <f aca="false">IF($A103="","",SUMIFS(정비이력!$G$3:$G$1002,정비이력!$B$3:$B$1002,$A103))</f>
        <v/>
      </c>
      <c r="G103" s="28" t="str">
        <f aca="false">IF($A103="","",SUMPRODUCT((정비현황!$A$6:$A$365=$A103)*(정비현황!$M$6:$M$365="교체")))</f>
        <v/>
      </c>
    </row>
    <row r="104" customFormat="false" ht="15" hidden="false" customHeight="true" outlineLevel="0" collapsed="false">
      <c r="A104" s="23" t="str">
        <f aca="false">IF(차량목록!$A101="","",차량목록!$A101)</f>
        <v/>
      </c>
      <c r="B104" s="23" t="str">
        <f aca="false">IF($A104="","",차량목록!$B101)</f>
        <v/>
      </c>
      <c r="C104" s="24" t="str">
        <f aca="false">IF($A104="","",차량목록!$E101)</f>
        <v/>
      </c>
      <c r="D104" s="28" t="str">
        <f aca="false">IF($A104="","",COUNTIFS(정비이력!$B$3:$B$1002,$A104,정비이력!$A$3:$A$1002,"&gt;="&amp;DATE($B$3,1,1),정비이력!$A$3:$A$1002,"&lt;="&amp;DATE($B$3,12,31)))</f>
        <v/>
      </c>
      <c r="E104" s="24" t="str">
        <f aca="false">IF($A104="","",SUMIFS(정비이력!$G$3:$G$1002,정비이력!$B$3:$B$1002,$A104,정비이력!$A$3:$A$1002,"&gt;="&amp;DATE($B$3,1,1),정비이력!$A$3:$A$1002,"&lt;="&amp;DATE($B$3,12,31)))</f>
        <v/>
      </c>
      <c r="F104" s="24" t="str">
        <f aca="false">IF($A104="","",SUMIFS(정비이력!$G$3:$G$1002,정비이력!$B$3:$B$1002,$A104))</f>
        <v/>
      </c>
      <c r="G104" s="28" t="str">
        <f aca="false">IF($A104="","",SUMPRODUCT((정비현황!$A$6:$A$365=$A104)*(정비현황!$M$6:$M$365="교체")))</f>
        <v/>
      </c>
    </row>
    <row r="105" customFormat="false" ht="15" hidden="false" customHeight="true" outlineLevel="0" collapsed="false">
      <c r="A105" s="23" t="str">
        <f aca="false">IF(차량목록!$A102="","",차량목록!$A102)</f>
        <v/>
      </c>
      <c r="B105" s="23" t="str">
        <f aca="false">IF($A105="","",차량목록!$B102)</f>
        <v/>
      </c>
      <c r="C105" s="24" t="str">
        <f aca="false">IF($A105="","",차량목록!$E102)</f>
        <v/>
      </c>
      <c r="D105" s="28" t="str">
        <f aca="false">IF($A105="","",COUNTIFS(정비이력!$B$3:$B$1002,$A105,정비이력!$A$3:$A$1002,"&gt;="&amp;DATE($B$3,1,1),정비이력!$A$3:$A$1002,"&lt;="&amp;DATE($B$3,12,31)))</f>
        <v/>
      </c>
      <c r="E105" s="24" t="str">
        <f aca="false">IF($A105="","",SUMIFS(정비이력!$G$3:$G$1002,정비이력!$B$3:$B$1002,$A105,정비이력!$A$3:$A$1002,"&gt;="&amp;DATE($B$3,1,1),정비이력!$A$3:$A$1002,"&lt;="&amp;DATE($B$3,12,31)))</f>
        <v/>
      </c>
      <c r="F105" s="24" t="str">
        <f aca="false">IF($A105="","",SUMIFS(정비이력!$G$3:$G$1002,정비이력!$B$3:$B$1002,$A105))</f>
        <v/>
      </c>
      <c r="G105" s="28" t="str">
        <f aca="false">IF($A105="","",SUMPRODUCT((정비현황!$A$6:$A$365=$A105)*(정비현황!$M$6:$M$365="교체")))</f>
        <v/>
      </c>
    </row>
  </sheetData>
  <mergeCells count="1">
    <mergeCell ref="A1:G1"/>
  </mergeCells>
  <conditionalFormatting sqref="A6:G105">
    <cfRule type="expression" priority="2" aboveAverage="0" equalAverage="0" bottom="0" percent="0" rank="0" text="" dxfId="0">
      <formula>AND($A6&lt;&gt;"",$G6&gt;0)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2026-09-14T10:19:09Z</dcterms:created>
  <dc:creator>openpyxl</dc:creator>
  <dc:description/>
  <dc:language>en-US</dc:language>
  <cp:lastModifiedBy/>
  <dcterms:modified xsi:type="dcterms:W3CDTF">2026-09-14T10:21:08Z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