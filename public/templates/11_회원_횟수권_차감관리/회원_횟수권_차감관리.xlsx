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회원명부" sheetId="2" state="visible" r:id="rId4"/>
    <sheet name="상품목록" sheetId="3" state="visible" r:id="rId5"/>
    <sheet name="결제내역" sheetId="4" state="visible" r:id="rId6"/>
    <sheet name="사용내역" sheetId="5" state="visible" r:id="rId7"/>
    <sheet name="회원현황" sheetId="6" state="visible" r:id="rId8"/>
    <sheet name="만료임박" sheetId="7" state="visible" r:id="rId9"/>
    <sheet name="월별집계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<sst xmlns="http://schemas.openxmlformats.org/spreadsheetml/2006/main" count="117" uniqueCount="100">
  <si>
    <t xml:space="preserve">회원 횟수권 차감관리</t>
  </si>
  <si>
    <t xml:space="preserve">핵심</t>
  </si>
  <si>
    <t xml:space="preserve">횟수권을 팔고 쓸 때마다 기록하면 남은 횟수와 만료일이 자동으로 계산됩니다.</t>
  </si>
  <si>
    <t xml:space="preserve">입력 규칙</t>
  </si>
  <si>
    <t xml:space="preserve">파란색 글씨 칸만 입력하세요. 검은색은 자동 계산입니다.</t>
  </si>
  <si>
    <t xml:space="preserve">① 회원명부</t>
  </si>
  <si>
    <t xml:space="preserve">회원번호·이름·연락처를 등록합니다. 회원번호는 중복되면 안 됩니다.</t>
  </si>
  <si>
    <t xml:space="preserve">② 상품목록</t>
  </si>
  <si>
    <t xml:space="preserve">판매하는 횟수권을 등록합니다. 예: 10회권 30일, 20회권 90일</t>
  </si>
  <si>
    <t xml:space="preserve">③ 결제내역</t>
  </si>
  <si>
    <t xml:space="preserve">회원이 횟수권을 살 때마다 한 줄. 만료일이 자동으로 계산됩니다.</t>
  </si>
  <si>
    <t xml:space="preserve">④ 사용내역</t>
  </si>
  <si>
    <t xml:space="preserve">회원이 이용할 때마다 한 줄. 1회 이용이면 수량 1을 넣으세요.</t>
  </si>
  <si>
    <t xml:space="preserve">⑤ 회원현황</t>
  </si>
  <si>
    <t xml:space="preserve">회원별 총 충전·사용·잔여 횟수와 만료일이 나옵니다.</t>
  </si>
  <si>
    <t xml:space="preserve">⑥ 만료임박</t>
  </si>
  <si>
    <t xml:space="preserve">만료가 가까운 회원만 모아서 보여줍니다. 재결제 안내용입니다.</t>
  </si>
  <si>
    <t xml:space="preserve">⑦ 월별집계</t>
  </si>
  <si>
    <t xml:space="preserve">월별 결제액과 이용 건수가 나옵니다.</t>
  </si>
  <si>
    <t xml:space="preserve">잔여 횟수 계산</t>
  </si>
  <si>
    <t xml:space="preserve">총 충전 횟수 − 총 사용 횟수</t>
  </si>
  <si>
    <t xml:space="preserve">어디에 쓰나</t>
  </si>
  <si>
    <r>
      <rPr>
        <sz val="10"/>
        <rFont val="맑은 고딕"/>
        <family val="0"/>
        <charset val="1"/>
      </rPr>
      <t xml:space="preserve">PT·</t>
    </r>
    <r>
      <rPr>
        <sz val="10"/>
        <rFont val="Noto Sans CJK SC"/>
        <family val="2"/>
      </rPr>
      <t xml:space="preserve">필라테스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네일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스터디카페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장비대여 등 횟수권을 파는 모든 업종</t>
    </r>
  </si>
  <si>
    <t xml:space="preserve">설정</t>
  </si>
  <si>
    <t xml:space="preserve">값을 바꾸면 모든 계산에 반영됩니다</t>
  </si>
  <si>
    <t xml:space="preserve">만료 경고 기준(일)</t>
  </si>
  <si>
    <t xml:space="preserve">잔여 경고 기준(회)</t>
  </si>
  <si>
    <t xml:space="preserve">※ 이 파일은 회원 500명, 결제 1,000건, 사용 3,000건까지 처리하도록 만들어졌습니다.</t>
  </si>
  <si>
    <t xml:space="preserve">회원명부  (회원번호는 중복되면 안 됩니다)</t>
  </si>
  <si>
    <t xml:space="preserve">회원번호</t>
  </si>
  <si>
    <t xml:space="preserve">이름</t>
  </si>
  <si>
    <t xml:space="preserve">연락처</t>
  </si>
  <si>
    <t xml:space="preserve">가입일</t>
  </si>
  <si>
    <t xml:space="preserve">구분</t>
  </si>
  <si>
    <t xml:space="preserve">비고</t>
  </si>
  <si>
    <t xml:space="preserve">김회원</t>
  </si>
  <si>
    <t xml:space="preserve">010-0000-0001</t>
  </si>
  <si>
    <t xml:space="preserve">일반</t>
  </si>
  <si>
    <t xml:space="preserve">← 예시 행입니다. 지우고 쓰세요.</t>
  </si>
  <si>
    <t xml:space="preserve">이회원</t>
  </si>
  <si>
    <t xml:space="preserve">010-0000-0002</t>
  </si>
  <si>
    <t xml:space="preserve">박회원</t>
  </si>
  <si>
    <t xml:space="preserve">010-0000-0003</t>
  </si>
  <si>
    <t xml:space="preserve">VIP</t>
  </si>
  <si>
    <t xml:space="preserve">상품목록  (판매하는 횟수권)</t>
  </si>
  <si>
    <t xml:space="preserve">상품명</t>
  </si>
  <si>
    <t xml:space="preserve">횟수</t>
  </si>
  <si>
    <t xml:space="preserve">유효기간(일)</t>
  </si>
  <si>
    <t xml:space="preserve">판매가</t>
  </si>
  <si>
    <r>
      <rPr>
        <sz val="10"/>
        <color rgb="FF0000FF"/>
        <rFont val="맑은 고딕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회권</t>
    </r>
  </si>
  <si>
    <r>
      <rPr>
        <sz val="10"/>
        <color rgb="FF0000FF"/>
        <rFont val="맑은 고딕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회권</t>
    </r>
  </si>
  <si>
    <r>
      <rPr>
        <sz val="10"/>
        <color rgb="FF0000FF"/>
        <rFont val="맑은 고딕"/>
        <family val="0"/>
        <charset val="1"/>
      </rPr>
      <t xml:space="preserve">30</t>
    </r>
    <r>
      <rPr>
        <sz val="10"/>
        <color rgb="FF0000FF"/>
        <rFont val="Noto Sans CJK SC"/>
        <family val="2"/>
      </rPr>
      <t xml:space="preserve">회권</t>
    </r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</si>
  <si>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회 이용권</t>
    </r>
  </si>
  <si>
    <t xml:space="preserve">결제내역  (횟수권을 팔 때마다 한 줄)</t>
  </si>
  <si>
    <t xml:space="preserve">결제일</t>
  </si>
  <si>
    <t xml:space="preserve">이름(자동)</t>
  </si>
  <si>
    <t xml:space="preserve">충전횟수(자동)</t>
  </si>
  <si>
    <t xml:space="preserve">유효기간(자동)</t>
  </si>
  <si>
    <t xml:space="preserve">만료일(자동)</t>
  </si>
  <si>
    <t xml:space="preserve">결제금액(자동)</t>
  </si>
  <si>
    <t xml:space="preserve">결제수단</t>
  </si>
  <si>
    <t xml:space="preserve">환불</t>
  </si>
  <si>
    <t xml:space="preserve">※ 환불한 건은 [환불] 칸에 '환불'을 넣으세요. 충전횟수와 결제금액이 0으로 처리됩니다.</t>
  </si>
  <si>
    <t xml:space="preserve">사용내역  (회원이 이용할 때마다 한 줄)</t>
  </si>
  <si>
    <t xml:space="preserve">이용일</t>
  </si>
  <si>
    <t xml:space="preserve">차감횟수</t>
  </si>
  <si>
    <t xml:space="preserve">담당자</t>
  </si>
  <si>
    <t xml:space="preserve">이용내용</t>
  </si>
  <si>
    <r>
      <rPr>
        <sz val="9"/>
        <color rgb="FF808080"/>
        <rFont val="맑은 고딕"/>
        <family val="0"/>
        <charset val="1"/>
      </rPr>
      <t xml:space="preserve">※ 1</t>
    </r>
    <r>
      <rPr>
        <sz val="9"/>
        <color rgb="FF808080"/>
        <rFont val="Noto Sans CJK SC"/>
        <family val="2"/>
      </rPr>
      <t xml:space="preserve">회 이용이면 차감횟수에 </t>
    </r>
    <r>
      <rPr>
        <sz val="9"/>
        <color rgb="FF808080"/>
        <rFont val="맑은 고딕"/>
        <family val="0"/>
        <charset val="1"/>
      </rPr>
      <t xml:space="preserve">1</t>
    </r>
    <r>
      <rPr>
        <sz val="9"/>
        <color rgb="FF808080"/>
        <rFont val="Noto Sans CJK SC"/>
        <family val="2"/>
      </rPr>
      <t xml:space="preserve">을 넣으세요</t>
    </r>
    <r>
      <rPr>
        <sz val="9"/>
        <color rgb="FF808080"/>
        <rFont val="맑은 고딕"/>
        <family val="0"/>
        <charset val="1"/>
      </rPr>
      <t xml:space="preserve">. 2</t>
    </r>
    <r>
      <rPr>
        <sz val="9"/>
        <color rgb="FF808080"/>
        <rFont val="Noto Sans CJK SC"/>
        <family val="2"/>
      </rPr>
      <t xml:space="preserve">회분을 한 번에 쓰면 </t>
    </r>
    <r>
      <rPr>
        <sz val="9"/>
        <color rgb="FF808080"/>
        <rFont val="맑은 고딕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를 넣습니다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</si>
  <si>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회원현황  (전부 자동)</t>
  </si>
  <si>
    <t xml:space="preserve">오늘</t>
  </si>
  <si>
    <t xml:space="preserve">잔여 부족 회원</t>
  </si>
  <si>
    <t xml:space="preserve">만료 임박 회원</t>
  </si>
  <si>
    <t xml:space="preserve">총 충전</t>
  </si>
  <si>
    <t xml:space="preserve">총 사용</t>
  </si>
  <si>
    <t xml:space="preserve">잔여 횟수</t>
  </si>
  <si>
    <t xml:space="preserve">최종 만료일</t>
  </si>
  <si>
    <t xml:space="preserve">D-Day</t>
  </si>
  <si>
    <t xml:space="preserve">총 결제금액</t>
  </si>
  <si>
    <t xml:space="preserve">상태</t>
  </si>
  <si>
    <t xml:space="preserve">합계</t>
  </si>
  <si>
    <t xml:space="preserve">※ 상태: 횟수소진·기간만료는 분홍, 재결제 안내는 노랑으로 표시됩니다.</t>
  </si>
  <si>
    <t xml:space="preserve">만료임박  (재결제 안내용 명단)</t>
  </si>
  <si>
    <t xml:space="preserve">표시 기준</t>
  </si>
  <si>
    <t xml:space="preserve">해당 인원</t>
  </si>
  <si>
    <t xml:space="preserve">순번</t>
  </si>
  <si>
    <t xml:space="preserve">만료일</t>
  </si>
  <si>
    <t xml:space="preserve">대상(자동)</t>
  </si>
  <si>
    <t xml:space="preserve">순번(자동)</t>
  </si>
  <si>
    <t xml:space="preserve">키(자동)</t>
  </si>
  <si>
    <r>
      <rPr>
        <sz val="9"/>
        <color rgb="FF808080"/>
        <rFont val="맑은 고딕"/>
        <family val="0"/>
        <charset val="1"/>
      </rPr>
      <t xml:space="preserve">※ 60</t>
    </r>
    <r>
      <rPr>
        <sz val="9"/>
        <color rgb="FF808080"/>
        <rFont val="Noto Sans CJK SC"/>
        <family val="2"/>
      </rPr>
      <t xml:space="preserve">명까지 표시됩니다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기준은 </t>
    </r>
    <r>
      <rPr>
        <sz val="9"/>
        <color rgb="FF808080"/>
        <rFont val="맑은 고딕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사용안내</t>
    </r>
    <r>
      <rPr>
        <sz val="9"/>
        <color rgb="FF808080"/>
        <rFont val="맑은 고딕"/>
        <family val="0"/>
        <charset val="1"/>
      </rPr>
      <t xml:space="preserve">] </t>
    </r>
    <r>
      <rPr>
        <sz val="9"/>
        <color rgb="FF808080"/>
        <rFont val="Noto Sans CJK SC"/>
        <family val="2"/>
      </rPr>
      <t xml:space="preserve">시트에서 바꿉니다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</si>
  <si>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월별집계</t>
  </si>
  <si>
    <t xml:space="preserve">대상 연도</t>
  </si>
  <si>
    <t xml:space="preserve">← 이 칸만 바꾸세요</t>
  </si>
  <si>
    <t xml:space="preserve">월</t>
  </si>
  <si>
    <t xml:space="preserve">결제 건수</t>
  </si>
  <si>
    <t xml:space="preserve">결제 금액</t>
  </si>
  <si>
    <t xml:space="preserve">충전 횟수</t>
  </si>
  <si>
    <t xml:space="preserve">이용 건수</t>
  </si>
  <si>
    <t xml:space="preserve">차감 횟수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</si>
</sst>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"/>
    <numFmt numFmtId="168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Noto Sans CJK SC"/>
      <family val="2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5" hidden="false" customHeight="true" outlineLevel="0" collapsed="false">
      <c r="B12" s="3" t="s">
        <v>17</v>
      </c>
      <c r="C12" s="4" t="s">
        <v>18</v>
      </c>
    </row>
    <row r="13" customFormat="false" ht="15" hidden="false" customHeight="true" outlineLevel="0" collapsed="false">
      <c r="B13" s="3" t="s">
        <v>19</v>
      </c>
      <c r="C13" s="4" t="s">
        <v>20</v>
      </c>
    </row>
    <row r="14" customFormat="false" ht="15" hidden="false" customHeight="true" outlineLevel="0" collapsed="false">
      <c r="B14" s="3" t="s">
        <v>21</v>
      </c>
      <c r="C14" s="5" t="s">
        <v>22</v>
      </c>
    </row>
    <row r="16" customFormat="false" ht="15" hidden="false" customHeight="true" outlineLevel="0" collapsed="false">
      <c r="B16" s="6" t="s">
        <v>23</v>
      </c>
      <c r="C16" s="7" t="s">
        <v>24</v>
      </c>
    </row>
    <row r="17" customFormat="false" ht="15" hidden="false" customHeight="true" outlineLevel="0" collapsed="false">
      <c r="B17" s="4" t="s">
        <v>25</v>
      </c>
      <c r="C17" s="8" t="n">
        <v>7</v>
      </c>
    </row>
    <row r="18" customFormat="false" ht="15" hidden="false" customHeight="true" outlineLevel="0" collapsed="false">
      <c r="B18" s="4" t="s">
        <v>26</v>
      </c>
      <c r="C18" s="8" t="n">
        <v>2</v>
      </c>
    </row>
    <row r="20" customFormat="false" ht="15" hidden="false" customHeight="true" outlineLevel="0" collapsed="false">
      <c r="B20" s="7" t="s">
        <v>27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24"/>
  </cols>
  <sheetData>
    <row r="1" customFormat="false" ht="25.5" hidden="false" customHeight="true" outlineLevel="0" collapsed="false">
      <c r="A1" s="2" t="s">
        <v>28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</row>
    <row r="3" customFormat="false" ht="15" hidden="false" customHeight="true" outlineLevel="0" collapsed="false">
      <c r="A3" s="10" t="n">
        <v>1001</v>
      </c>
      <c r="B3" s="11" t="s">
        <v>35</v>
      </c>
      <c r="C3" s="10" t="s">
        <v>36</v>
      </c>
      <c r="D3" s="12" t="n">
        <v>46027</v>
      </c>
      <c r="E3" s="11" t="s">
        <v>37</v>
      </c>
      <c r="F3" s="11" t="s">
        <v>38</v>
      </c>
    </row>
    <row r="4" customFormat="false" ht="15" hidden="false" customHeight="true" outlineLevel="0" collapsed="false">
      <c r="A4" s="10" t="n">
        <v>1002</v>
      </c>
      <c r="B4" s="11" t="s">
        <v>39</v>
      </c>
      <c r="C4" s="10" t="s">
        <v>40</v>
      </c>
      <c r="D4" s="12" t="n">
        <v>46063</v>
      </c>
      <c r="E4" s="11" t="s">
        <v>37</v>
      </c>
      <c r="F4" s="10"/>
    </row>
    <row r="5" customFormat="false" ht="15" hidden="false" customHeight="true" outlineLevel="0" collapsed="false">
      <c r="A5" s="10" t="n">
        <v>1003</v>
      </c>
      <c r="B5" s="11" t="s">
        <v>41</v>
      </c>
      <c r="C5" s="10" t="s">
        <v>42</v>
      </c>
      <c r="D5" s="12" t="n">
        <v>46083</v>
      </c>
      <c r="E5" s="10" t="s">
        <v>43</v>
      </c>
      <c r="F5" s="10"/>
    </row>
    <row r="6" customFormat="false" ht="15" hidden="false" customHeight="true" outlineLevel="0" collapsed="false">
      <c r="A6" s="10"/>
      <c r="B6" s="10"/>
      <c r="C6" s="10"/>
      <c r="D6" s="12"/>
      <c r="E6" s="10"/>
      <c r="F6" s="10"/>
    </row>
    <row r="7" customFormat="false" ht="15" hidden="false" customHeight="true" outlineLevel="0" collapsed="false">
      <c r="A7" s="10"/>
      <c r="B7" s="10"/>
      <c r="C7" s="10"/>
      <c r="D7" s="12"/>
      <c r="E7" s="10"/>
      <c r="F7" s="10"/>
    </row>
    <row r="8" customFormat="false" ht="15" hidden="false" customHeight="true" outlineLevel="0" collapsed="false">
      <c r="A8" s="10"/>
      <c r="B8" s="10"/>
      <c r="C8" s="10"/>
      <c r="D8" s="12"/>
      <c r="E8" s="10"/>
      <c r="F8" s="10"/>
    </row>
    <row r="9" customFormat="false" ht="15" hidden="false" customHeight="true" outlineLevel="0" collapsed="false">
      <c r="A9" s="10"/>
      <c r="B9" s="10"/>
      <c r="C9" s="10"/>
      <c r="D9" s="12"/>
      <c r="E9" s="10"/>
      <c r="F9" s="10"/>
    </row>
    <row r="10" customFormat="false" ht="15" hidden="false" customHeight="true" outlineLevel="0" collapsed="false">
      <c r="A10" s="10"/>
      <c r="B10" s="10"/>
      <c r="C10" s="10"/>
      <c r="D10" s="12"/>
      <c r="E10" s="10"/>
      <c r="F10" s="10"/>
    </row>
    <row r="11" customFormat="false" ht="15" hidden="false" customHeight="true" outlineLevel="0" collapsed="false">
      <c r="A11" s="10"/>
      <c r="B11" s="10"/>
      <c r="C11" s="10"/>
      <c r="D11" s="12"/>
      <c r="E11" s="10"/>
      <c r="F11" s="10"/>
    </row>
    <row r="12" customFormat="false" ht="15" hidden="false" customHeight="true" outlineLevel="0" collapsed="false">
      <c r="A12" s="10"/>
      <c r="B12" s="10"/>
      <c r="C12" s="10"/>
      <c r="D12" s="12"/>
      <c r="E12" s="10"/>
      <c r="F12" s="10"/>
    </row>
    <row r="13" customFormat="false" ht="15" hidden="false" customHeight="true" outlineLevel="0" collapsed="false">
      <c r="A13" s="10"/>
      <c r="B13" s="10"/>
      <c r="C13" s="10"/>
      <c r="D13" s="12"/>
      <c r="E13" s="10"/>
      <c r="F13" s="10"/>
    </row>
    <row r="14" customFormat="false" ht="15" hidden="false" customHeight="true" outlineLevel="0" collapsed="false">
      <c r="A14" s="10"/>
      <c r="B14" s="10"/>
      <c r="C14" s="10"/>
      <c r="D14" s="12"/>
      <c r="E14" s="10"/>
      <c r="F14" s="10"/>
    </row>
    <row r="15" customFormat="false" ht="15" hidden="false" customHeight="true" outlineLevel="0" collapsed="false">
      <c r="A15" s="10"/>
      <c r="B15" s="10"/>
      <c r="C15" s="10"/>
      <c r="D15" s="12"/>
      <c r="E15" s="10"/>
      <c r="F15" s="10"/>
    </row>
    <row r="16" customFormat="false" ht="15" hidden="false" customHeight="true" outlineLevel="0" collapsed="false">
      <c r="A16" s="10"/>
      <c r="B16" s="10"/>
      <c r="C16" s="10"/>
      <c r="D16" s="12"/>
      <c r="E16" s="10"/>
      <c r="F16" s="10"/>
    </row>
    <row r="17" customFormat="false" ht="15" hidden="false" customHeight="true" outlineLevel="0" collapsed="false">
      <c r="A17" s="10"/>
      <c r="B17" s="10"/>
      <c r="C17" s="10"/>
      <c r="D17" s="12"/>
      <c r="E17" s="10"/>
      <c r="F17" s="10"/>
    </row>
    <row r="18" customFormat="false" ht="15" hidden="false" customHeight="true" outlineLevel="0" collapsed="false">
      <c r="A18" s="10"/>
      <c r="B18" s="10"/>
      <c r="C18" s="10"/>
      <c r="D18" s="12"/>
      <c r="E18" s="10"/>
      <c r="F18" s="10"/>
    </row>
    <row r="19" customFormat="false" ht="15" hidden="false" customHeight="true" outlineLevel="0" collapsed="false">
      <c r="A19" s="10"/>
      <c r="B19" s="10"/>
      <c r="C19" s="10"/>
      <c r="D19" s="12"/>
      <c r="E19" s="10"/>
      <c r="F19" s="10"/>
    </row>
    <row r="20" customFormat="false" ht="15" hidden="false" customHeight="true" outlineLevel="0" collapsed="false">
      <c r="A20" s="10"/>
      <c r="B20" s="10"/>
      <c r="C20" s="10"/>
      <c r="D20" s="12"/>
      <c r="E20" s="10"/>
      <c r="F20" s="10"/>
    </row>
    <row r="21" customFormat="false" ht="15" hidden="false" customHeight="true" outlineLevel="0" collapsed="false">
      <c r="A21" s="10"/>
      <c r="B21" s="10"/>
      <c r="C21" s="10"/>
      <c r="D21" s="12"/>
      <c r="E21" s="10"/>
      <c r="F21" s="10"/>
    </row>
    <row r="22" customFormat="false" ht="15" hidden="false" customHeight="true" outlineLevel="0" collapsed="false">
      <c r="A22" s="10"/>
      <c r="B22" s="10"/>
      <c r="C22" s="10"/>
      <c r="D22" s="12"/>
      <c r="E22" s="10"/>
      <c r="F22" s="10"/>
    </row>
    <row r="23" customFormat="false" ht="15" hidden="false" customHeight="true" outlineLevel="0" collapsed="false">
      <c r="A23" s="10"/>
      <c r="B23" s="10"/>
      <c r="C23" s="10"/>
      <c r="D23" s="12"/>
      <c r="E23" s="10"/>
      <c r="F23" s="10"/>
    </row>
    <row r="24" customFormat="false" ht="15" hidden="false" customHeight="true" outlineLevel="0" collapsed="false">
      <c r="A24" s="10"/>
      <c r="B24" s="10"/>
      <c r="C24" s="10"/>
      <c r="D24" s="12"/>
      <c r="E24" s="10"/>
      <c r="F24" s="10"/>
    </row>
    <row r="25" customFormat="false" ht="15" hidden="false" customHeight="true" outlineLevel="0" collapsed="false">
      <c r="A25" s="10"/>
      <c r="B25" s="10"/>
      <c r="C25" s="10"/>
      <c r="D25" s="12"/>
      <c r="E25" s="10"/>
      <c r="F25" s="10"/>
    </row>
    <row r="26" customFormat="false" ht="15" hidden="false" customHeight="true" outlineLevel="0" collapsed="false">
      <c r="A26" s="10"/>
      <c r="B26" s="10"/>
      <c r="C26" s="10"/>
      <c r="D26" s="12"/>
      <c r="E26" s="10"/>
      <c r="F26" s="10"/>
    </row>
    <row r="27" customFormat="false" ht="15" hidden="false" customHeight="true" outlineLevel="0" collapsed="false">
      <c r="A27" s="10"/>
      <c r="B27" s="10"/>
      <c r="C27" s="10"/>
      <c r="D27" s="12"/>
      <c r="E27" s="10"/>
      <c r="F27" s="10"/>
    </row>
    <row r="28" customFormat="false" ht="15" hidden="false" customHeight="true" outlineLevel="0" collapsed="false">
      <c r="A28" s="10"/>
      <c r="B28" s="10"/>
      <c r="C28" s="10"/>
      <c r="D28" s="12"/>
      <c r="E28" s="10"/>
      <c r="F28" s="10"/>
    </row>
    <row r="29" customFormat="false" ht="15" hidden="false" customHeight="true" outlineLevel="0" collapsed="false">
      <c r="A29" s="10"/>
      <c r="B29" s="10"/>
      <c r="C29" s="10"/>
      <c r="D29" s="12"/>
      <c r="E29" s="10"/>
      <c r="F29" s="10"/>
    </row>
    <row r="30" customFormat="false" ht="15" hidden="false" customHeight="true" outlineLevel="0" collapsed="false">
      <c r="A30" s="10"/>
      <c r="B30" s="10"/>
      <c r="C30" s="10"/>
      <c r="D30" s="12"/>
      <c r="E30" s="10"/>
      <c r="F30" s="10"/>
    </row>
    <row r="31" customFormat="false" ht="15" hidden="false" customHeight="true" outlineLevel="0" collapsed="false">
      <c r="A31" s="10"/>
      <c r="B31" s="10"/>
      <c r="C31" s="10"/>
      <c r="D31" s="12"/>
      <c r="E31" s="10"/>
      <c r="F31" s="10"/>
    </row>
    <row r="32" customFormat="false" ht="15" hidden="false" customHeight="true" outlineLevel="0" collapsed="false">
      <c r="A32" s="10"/>
      <c r="B32" s="10"/>
      <c r="C32" s="10"/>
      <c r="D32" s="12"/>
      <c r="E32" s="10"/>
      <c r="F32" s="10"/>
    </row>
    <row r="33" customFormat="false" ht="15" hidden="false" customHeight="true" outlineLevel="0" collapsed="false">
      <c r="A33" s="10"/>
      <c r="B33" s="10"/>
      <c r="C33" s="10"/>
      <c r="D33" s="12"/>
      <c r="E33" s="10"/>
      <c r="F33" s="10"/>
    </row>
    <row r="34" customFormat="false" ht="15" hidden="false" customHeight="true" outlineLevel="0" collapsed="false">
      <c r="A34" s="10"/>
      <c r="B34" s="10"/>
      <c r="C34" s="10"/>
      <c r="D34" s="12"/>
      <c r="E34" s="10"/>
      <c r="F34" s="10"/>
    </row>
    <row r="35" customFormat="false" ht="15" hidden="false" customHeight="true" outlineLevel="0" collapsed="false">
      <c r="A35" s="10"/>
      <c r="B35" s="10"/>
      <c r="C35" s="10"/>
      <c r="D35" s="12"/>
      <c r="E35" s="10"/>
      <c r="F35" s="10"/>
    </row>
    <row r="36" customFormat="false" ht="15" hidden="false" customHeight="true" outlineLevel="0" collapsed="false">
      <c r="A36" s="10"/>
      <c r="B36" s="10"/>
      <c r="C36" s="10"/>
      <c r="D36" s="12"/>
      <c r="E36" s="10"/>
      <c r="F36" s="10"/>
    </row>
    <row r="37" customFormat="false" ht="15" hidden="false" customHeight="true" outlineLevel="0" collapsed="false">
      <c r="A37" s="10"/>
      <c r="B37" s="10"/>
      <c r="C37" s="10"/>
      <c r="D37" s="12"/>
      <c r="E37" s="10"/>
      <c r="F37" s="10"/>
    </row>
    <row r="38" customFormat="false" ht="15" hidden="false" customHeight="true" outlineLevel="0" collapsed="false">
      <c r="A38" s="10"/>
      <c r="B38" s="10"/>
      <c r="C38" s="10"/>
      <c r="D38" s="12"/>
      <c r="E38" s="10"/>
      <c r="F38" s="10"/>
    </row>
    <row r="39" customFormat="false" ht="15" hidden="false" customHeight="true" outlineLevel="0" collapsed="false">
      <c r="A39" s="10"/>
      <c r="B39" s="10"/>
      <c r="C39" s="10"/>
      <c r="D39" s="12"/>
      <c r="E39" s="10"/>
      <c r="F39" s="10"/>
    </row>
    <row r="40" customFormat="false" ht="15" hidden="false" customHeight="true" outlineLevel="0" collapsed="false">
      <c r="A40" s="10"/>
      <c r="B40" s="10"/>
      <c r="C40" s="10"/>
      <c r="D40" s="12"/>
      <c r="E40" s="10"/>
      <c r="F40" s="10"/>
    </row>
    <row r="41" customFormat="false" ht="15" hidden="false" customHeight="true" outlineLevel="0" collapsed="false">
      <c r="A41" s="10"/>
      <c r="B41" s="10"/>
      <c r="C41" s="10"/>
      <c r="D41" s="12"/>
      <c r="E41" s="10"/>
      <c r="F41" s="10"/>
    </row>
    <row r="42" customFormat="false" ht="15" hidden="false" customHeight="true" outlineLevel="0" collapsed="false">
      <c r="A42" s="10"/>
      <c r="B42" s="10"/>
      <c r="C42" s="10"/>
      <c r="D42" s="12"/>
      <c r="E42" s="10"/>
      <c r="F42" s="10"/>
    </row>
    <row r="43" customFormat="false" ht="15" hidden="false" customHeight="true" outlineLevel="0" collapsed="false">
      <c r="A43" s="10"/>
      <c r="B43" s="10"/>
      <c r="C43" s="10"/>
      <c r="D43" s="12"/>
      <c r="E43" s="10"/>
      <c r="F43" s="10"/>
    </row>
    <row r="44" customFormat="false" ht="15" hidden="false" customHeight="true" outlineLevel="0" collapsed="false">
      <c r="A44" s="10"/>
      <c r="B44" s="10"/>
      <c r="C44" s="10"/>
      <c r="D44" s="12"/>
      <c r="E44" s="10"/>
      <c r="F44" s="10"/>
    </row>
    <row r="45" customFormat="false" ht="15" hidden="false" customHeight="true" outlineLevel="0" collapsed="false">
      <c r="A45" s="10"/>
      <c r="B45" s="10"/>
      <c r="C45" s="10"/>
      <c r="D45" s="12"/>
      <c r="E45" s="10"/>
      <c r="F45" s="10"/>
    </row>
    <row r="46" customFormat="false" ht="15" hidden="false" customHeight="true" outlineLevel="0" collapsed="false">
      <c r="A46" s="10"/>
      <c r="B46" s="10"/>
      <c r="C46" s="10"/>
      <c r="D46" s="12"/>
      <c r="E46" s="10"/>
      <c r="F46" s="10"/>
    </row>
    <row r="47" customFormat="false" ht="15" hidden="false" customHeight="true" outlineLevel="0" collapsed="false">
      <c r="A47" s="10"/>
      <c r="B47" s="10"/>
      <c r="C47" s="10"/>
      <c r="D47" s="12"/>
      <c r="E47" s="10"/>
      <c r="F47" s="10"/>
    </row>
    <row r="48" customFormat="false" ht="15" hidden="false" customHeight="true" outlineLevel="0" collapsed="false">
      <c r="A48" s="10"/>
      <c r="B48" s="10"/>
      <c r="C48" s="10"/>
      <c r="D48" s="12"/>
      <c r="E48" s="10"/>
      <c r="F48" s="10"/>
    </row>
    <row r="49" customFormat="false" ht="15" hidden="false" customHeight="true" outlineLevel="0" collapsed="false">
      <c r="A49" s="10"/>
      <c r="B49" s="10"/>
      <c r="C49" s="10"/>
      <c r="D49" s="12"/>
      <c r="E49" s="10"/>
      <c r="F49" s="10"/>
    </row>
    <row r="50" customFormat="false" ht="15" hidden="false" customHeight="true" outlineLevel="0" collapsed="false">
      <c r="A50" s="10"/>
      <c r="B50" s="10"/>
      <c r="C50" s="10"/>
      <c r="D50" s="12"/>
      <c r="E50" s="10"/>
      <c r="F50" s="10"/>
    </row>
    <row r="51" customFormat="false" ht="15" hidden="false" customHeight="true" outlineLevel="0" collapsed="false">
      <c r="A51" s="10"/>
      <c r="B51" s="10"/>
      <c r="C51" s="10"/>
      <c r="D51" s="12"/>
      <c r="E51" s="10"/>
      <c r="F51" s="10"/>
    </row>
    <row r="52" customFormat="false" ht="15" hidden="false" customHeight="true" outlineLevel="0" collapsed="false">
      <c r="A52" s="10"/>
      <c r="B52" s="10"/>
      <c r="C52" s="10"/>
      <c r="D52" s="12"/>
      <c r="E52" s="10"/>
      <c r="F52" s="10"/>
    </row>
    <row r="53" customFormat="false" ht="15" hidden="false" customHeight="true" outlineLevel="0" collapsed="false">
      <c r="A53" s="10"/>
      <c r="B53" s="10"/>
      <c r="C53" s="10"/>
      <c r="D53" s="12"/>
      <c r="E53" s="10"/>
      <c r="F53" s="10"/>
    </row>
    <row r="54" customFormat="false" ht="15" hidden="false" customHeight="true" outlineLevel="0" collapsed="false">
      <c r="A54" s="10"/>
      <c r="B54" s="10"/>
      <c r="C54" s="10"/>
      <c r="D54" s="12"/>
      <c r="E54" s="10"/>
      <c r="F54" s="10"/>
    </row>
    <row r="55" customFormat="false" ht="15" hidden="false" customHeight="true" outlineLevel="0" collapsed="false">
      <c r="A55" s="10"/>
      <c r="B55" s="10"/>
      <c r="C55" s="10"/>
      <c r="D55" s="12"/>
      <c r="E55" s="10"/>
      <c r="F55" s="10"/>
    </row>
    <row r="56" customFormat="false" ht="15" hidden="false" customHeight="true" outlineLevel="0" collapsed="false">
      <c r="A56" s="10"/>
      <c r="B56" s="10"/>
      <c r="C56" s="10"/>
      <c r="D56" s="12"/>
      <c r="E56" s="10"/>
      <c r="F56" s="10"/>
    </row>
    <row r="57" customFormat="false" ht="15" hidden="false" customHeight="true" outlineLevel="0" collapsed="false">
      <c r="A57" s="10"/>
      <c r="B57" s="10"/>
      <c r="C57" s="10"/>
      <c r="D57" s="12"/>
      <c r="E57" s="10"/>
      <c r="F57" s="10"/>
    </row>
    <row r="58" customFormat="false" ht="15" hidden="false" customHeight="true" outlineLevel="0" collapsed="false">
      <c r="A58" s="10"/>
      <c r="B58" s="10"/>
      <c r="C58" s="10"/>
      <c r="D58" s="12"/>
      <c r="E58" s="10"/>
      <c r="F58" s="10"/>
    </row>
    <row r="59" customFormat="false" ht="15" hidden="false" customHeight="true" outlineLevel="0" collapsed="false">
      <c r="A59" s="10"/>
      <c r="B59" s="10"/>
      <c r="C59" s="10"/>
      <c r="D59" s="12"/>
      <c r="E59" s="10"/>
      <c r="F59" s="10"/>
    </row>
    <row r="60" customFormat="false" ht="15" hidden="false" customHeight="true" outlineLevel="0" collapsed="false">
      <c r="A60" s="10"/>
      <c r="B60" s="10"/>
      <c r="C60" s="10"/>
      <c r="D60" s="12"/>
      <c r="E60" s="10"/>
      <c r="F60" s="10"/>
    </row>
    <row r="61" customFormat="false" ht="15" hidden="false" customHeight="true" outlineLevel="0" collapsed="false">
      <c r="A61" s="10"/>
      <c r="B61" s="10"/>
      <c r="C61" s="10"/>
      <c r="D61" s="12"/>
      <c r="E61" s="10"/>
      <c r="F61" s="10"/>
    </row>
    <row r="62" customFormat="false" ht="15" hidden="false" customHeight="true" outlineLevel="0" collapsed="false">
      <c r="A62" s="10"/>
      <c r="B62" s="10"/>
      <c r="C62" s="10"/>
      <c r="D62" s="12"/>
      <c r="E62" s="10"/>
      <c r="F62" s="10"/>
    </row>
    <row r="63" customFormat="false" ht="15" hidden="false" customHeight="true" outlineLevel="0" collapsed="false">
      <c r="A63" s="10"/>
      <c r="B63" s="10"/>
      <c r="C63" s="10"/>
      <c r="D63" s="12"/>
      <c r="E63" s="10"/>
      <c r="F63" s="10"/>
    </row>
    <row r="64" customFormat="false" ht="15" hidden="false" customHeight="true" outlineLevel="0" collapsed="false">
      <c r="A64" s="10"/>
      <c r="B64" s="10"/>
      <c r="C64" s="10"/>
      <c r="D64" s="12"/>
      <c r="E64" s="10"/>
      <c r="F64" s="10"/>
    </row>
    <row r="65" customFormat="false" ht="15" hidden="false" customHeight="true" outlineLevel="0" collapsed="false">
      <c r="A65" s="10"/>
      <c r="B65" s="10"/>
      <c r="C65" s="10"/>
      <c r="D65" s="12"/>
      <c r="E65" s="10"/>
      <c r="F65" s="10"/>
    </row>
    <row r="66" customFormat="false" ht="15" hidden="false" customHeight="true" outlineLevel="0" collapsed="false">
      <c r="A66" s="10"/>
      <c r="B66" s="10"/>
      <c r="C66" s="10"/>
      <c r="D66" s="12"/>
      <c r="E66" s="10"/>
      <c r="F66" s="10"/>
    </row>
    <row r="67" customFormat="false" ht="15" hidden="false" customHeight="true" outlineLevel="0" collapsed="false">
      <c r="A67" s="10"/>
      <c r="B67" s="10"/>
      <c r="C67" s="10"/>
      <c r="D67" s="12"/>
      <c r="E67" s="10"/>
      <c r="F67" s="10"/>
    </row>
    <row r="68" customFormat="false" ht="15" hidden="false" customHeight="true" outlineLevel="0" collapsed="false">
      <c r="A68" s="10"/>
      <c r="B68" s="10"/>
      <c r="C68" s="10"/>
      <c r="D68" s="12"/>
      <c r="E68" s="10"/>
      <c r="F68" s="10"/>
    </row>
    <row r="69" customFormat="false" ht="15" hidden="false" customHeight="true" outlineLevel="0" collapsed="false">
      <c r="A69" s="10"/>
      <c r="B69" s="10"/>
      <c r="C69" s="10"/>
      <c r="D69" s="12"/>
      <c r="E69" s="10"/>
      <c r="F69" s="10"/>
    </row>
    <row r="70" customFormat="false" ht="15" hidden="false" customHeight="true" outlineLevel="0" collapsed="false">
      <c r="A70" s="10"/>
      <c r="B70" s="10"/>
      <c r="C70" s="10"/>
      <c r="D70" s="12"/>
      <c r="E70" s="10"/>
      <c r="F70" s="10"/>
    </row>
    <row r="71" customFormat="false" ht="15" hidden="false" customHeight="true" outlineLevel="0" collapsed="false">
      <c r="A71" s="10"/>
      <c r="B71" s="10"/>
      <c r="C71" s="10"/>
      <c r="D71" s="12"/>
      <c r="E71" s="10"/>
      <c r="F71" s="10"/>
    </row>
    <row r="72" customFormat="false" ht="15" hidden="false" customHeight="true" outlineLevel="0" collapsed="false">
      <c r="A72" s="10"/>
      <c r="B72" s="10"/>
      <c r="C72" s="10"/>
      <c r="D72" s="12"/>
      <c r="E72" s="10"/>
      <c r="F72" s="10"/>
    </row>
    <row r="73" customFormat="false" ht="15" hidden="false" customHeight="true" outlineLevel="0" collapsed="false">
      <c r="A73" s="10"/>
      <c r="B73" s="10"/>
      <c r="C73" s="10"/>
      <c r="D73" s="12"/>
      <c r="E73" s="10"/>
      <c r="F73" s="10"/>
    </row>
    <row r="74" customFormat="false" ht="15" hidden="false" customHeight="true" outlineLevel="0" collapsed="false">
      <c r="A74" s="10"/>
      <c r="B74" s="10"/>
      <c r="C74" s="10"/>
      <c r="D74" s="12"/>
      <c r="E74" s="10"/>
      <c r="F74" s="10"/>
    </row>
    <row r="75" customFormat="false" ht="15" hidden="false" customHeight="true" outlineLevel="0" collapsed="false">
      <c r="A75" s="10"/>
      <c r="B75" s="10"/>
      <c r="C75" s="10"/>
      <c r="D75" s="12"/>
      <c r="E75" s="10"/>
      <c r="F75" s="10"/>
    </row>
    <row r="76" customFormat="false" ht="15" hidden="false" customHeight="true" outlineLevel="0" collapsed="false">
      <c r="A76" s="10"/>
      <c r="B76" s="10"/>
      <c r="C76" s="10"/>
      <c r="D76" s="12"/>
      <c r="E76" s="10"/>
      <c r="F76" s="10"/>
    </row>
    <row r="77" customFormat="false" ht="15" hidden="false" customHeight="true" outlineLevel="0" collapsed="false">
      <c r="A77" s="10"/>
      <c r="B77" s="10"/>
      <c r="C77" s="10"/>
      <c r="D77" s="12"/>
      <c r="E77" s="10"/>
      <c r="F77" s="10"/>
    </row>
    <row r="78" customFormat="false" ht="15" hidden="false" customHeight="true" outlineLevel="0" collapsed="false">
      <c r="A78" s="10"/>
      <c r="B78" s="10"/>
      <c r="C78" s="10"/>
      <c r="D78" s="12"/>
      <c r="E78" s="10"/>
      <c r="F78" s="10"/>
    </row>
    <row r="79" customFormat="false" ht="15" hidden="false" customHeight="true" outlineLevel="0" collapsed="false">
      <c r="A79" s="10"/>
      <c r="B79" s="10"/>
      <c r="C79" s="10"/>
      <c r="D79" s="12"/>
      <c r="E79" s="10"/>
      <c r="F79" s="10"/>
    </row>
    <row r="80" customFormat="false" ht="15" hidden="false" customHeight="true" outlineLevel="0" collapsed="false">
      <c r="A80" s="10"/>
      <c r="B80" s="10"/>
      <c r="C80" s="10"/>
      <c r="D80" s="12"/>
      <c r="E80" s="10"/>
      <c r="F80" s="10"/>
    </row>
    <row r="81" customFormat="false" ht="15" hidden="false" customHeight="true" outlineLevel="0" collapsed="false">
      <c r="A81" s="10"/>
      <c r="B81" s="10"/>
      <c r="C81" s="10"/>
      <c r="D81" s="12"/>
      <c r="E81" s="10"/>
      <c r="F81" s="10"/>
    </row>
    <row r="82" customFormat="false" ht="15" hidden="false" customHeight="true" outlineLevel="0" collapsed="false">
      <c r="A82" s="10"/>
      <c r="B82" s="10"/>
      <c r="C82" s="10"/>
      <c r="D82" s="12"/>
      <c r="E82" s="10"/>
      <c r="F82" s="10"/>
    </row>
    <row r="83" customFormat="false" ht="15" hidden="false" customHeight="true" outlineLevel="0" collapsed="false">
      <c r="A83" s="10"/>
      <c r="B83" s="10"/>
      <c r="C83" s="10"/>
      <c r="D83" s="12"/>
      <c r="E83" s="10"/>
      <c r="F83" s="10"/>
    </row>
    <row r="84" customFormat="false" ht="15" hidden="false" customHeight="true" outlineLevel="0" collapsed="false">
      <c r="A84" s="10"/>
      <c r="B84" s="10"/>
      <c r="C84" s="10"/>
      <c r="D84" s="12"/>
      <c r="E84" s="10"/>
      <c r="F84" s="10"/>
    </row>
    <row r="85" customFormat="false" ht="15" hidden="false" customHeight="true" outlineLevel="0" collapsed="false">
      <c r="A85" s="10"/>
      <c r="B85" s="10"/>
      <c r="C85" s="10"/>
      <c r="D85" s="12"/>
      <c r="E85" s="10"/>
      <c r="F85" s="10"/>
    </row>
    <row r="86" customFormat="false" ht="15" hidden="false" customHeight="true" outlineLevel="0" collapsed="false">
      <c r="A86" s="10"/>
      <c r="B86" s="10"/>
      <c r="C86" s="10"/>
      <c r="D86" s="12"/>
      <c r="E86" s="10"/>
      <c r="F86" s="10"/>
    </row>
    <row r="87" customFormat="false" ht="15" hidden="false" customHeight="true" outlineLevel="0" collapsed="false">
      <c r="A87" s="10"/>
      <c r="B87" s="10"/>
      <c r="C87" s="10"/>
      <c r="D87" s="12"/>
      <c r="E87" s="10"/>
      <c r="F87" s="10"/>
    </row>
    <row r="88" customFormat="false" ht="15" hidden="false" customHeight="true" outlineLevel="0" collapsed="false">
      <c r="A88" s="10"/>
      <c r="B88" s="10"/>
      <c r="C88" s="10"/>
      <c r="D88" s="12"/>
      <c r="E88" s="10"/>
      <c r="F88" s="10"/>
    </row>
    <row r="89" customFormat="false" ht="15" hidden="false" customHeight="true" outlineLevel="0" collapsed="false">
      <c r="A89" s="10"/>
      <c r="B89" s="10"/>
      <c r="C89" s="10"/>
      <c r="D89" s="12"/>
      <c r="E89" s="10"/>
      <c r="F89" s="10"/>
    </row>
    <row r="90" customFormat="false" ht="15" hidden="false" customHeight="true" outlineLevel="0" collapsed="false">
      <c r="A90" s="10"/>
      <c r="B90" s="10"/>
      <c r="C90" s="10"/>
      <c r="D90" s="12"/>
      <c r="E90" s="10"/>
      <c r="F90" s="10"/>
    </row>
    <row r="91" customFormat="false" ht="15" hidden="false" customHeight="true" outlineLevel="0" collapsed="false">
      <c r="A91" s="10"/>
      <c r="B91" s="10"/>
      <c r="C91" s="10"/>
      <c r="D91" s="12"/>
      <c r="E91" s="10"/>
      <c r="F91" s="10"/>
    </row>
    <row r="92" customFormat="false" ht="15" hidden="false" customHeight="true" outlineLevel="0" collapsed="false">
      <c r="A92" s="10"/>
      <c r="B92" s="10"/>
      <c r="C92" s="10"/>
      <c r="D92" s="12"/>
      <c r="E92" s="10"/>
      <c r="F92" s="10"/>
    </row>
    <row r="93" customFormat="false" ht="15" hidden="false" customHeight="true" outlineLevel="0" collapsed="false">
      <c r="A93" s="10"/>
      <c r="B93" s="10"/>
      <c r="C93" s="10"/>
      <c r="D93" s="12"/>
      <c r="E93" s="10"/>
      <c r="F93" s="10"/>
    </row>
    <row r="94" customFormat="false" ht="15" hidden="false" customHeight="true" outlineLevel="0" collapsed="false">
      <c r="A94" s="10"/>
      <c r="B94" s="10"/>
      <c r="C94" s="10"/>
      <c r="D94" s="12"/>
      <c r="E94" s="10"/>
      <c r="F94" s="10"/>
    </row>
    <row r="95" customFormat="false" ht="15" hidden="false" customHeight="true" outlineLevel="0" collapsed="false">
      <c r="A95" s="10"/>
      <c r="B95" s="10"/>
      <c r="C95" s="10"/>
      <c r="D95" s="12"/>
      <c r="E95" s="10"/>
      <c r="F95" s="10"/>
    </row>
    <row r="96" customFormat="false" ht="15" hidden="false" customHeight="true" outlineLevel="0" collapsed="false">
      <c r="A96" s="10"/>
      <c r="B96" s="10"/>
      <c r="C96" s="10"/>
      <c r="D96" s="12"/>
      <c r="E96" s="10"/>
      <c r="F96" s="10"/>
    </row>
    <row r="97" customFormat="false" ht="15" hidden="false" customHeight="true" outlineLevel="0" collapsed="false">
      <c r="A97" s="10"/>
      <c r="B97" s="10"/>
      <c r="C97" s="10"/>
      <c r="D97" s="12"/>
      <c r="E97" s="10"/>
      <c r="F97" s="10"/>
    </row>
    <row r="98" customFormat="false" ht="15" hidden="false" customHeight="true" outlineLevel="0" collapsed="false">
      <c r="A98" s="10"/>
      <c r="B98" s="10"/>
      <c r="C98" s="10"/>
      <c r="D98" s="12"/>
      <c r="E98" s="10"/>
      <c r="F98" s="10"/>
    </row>
    <row r="99" customFormat="false" ht="15" hidden="false" customHeight="true" outlineLevel="0" collapsed="false">
      <c r="A99" s="10"/>
      <c r="B99" s="10"/>
      <c r="C99" s="10"/>
      <c r="D99" s="12"/>
      <c r="E99" s="10"/>
      <c r="F99" s="10"/>
    </row>
    <row r="100" customFormat="false" ht="15" hidden="false" customHeight="true" outlineLevel="0" collapsed="false">
      <c r="A100" s="10"/>
      <c r="B100" s="10"/>
      <c r="C100" s="10"/>
      <c r="D100" s="12"/>
      <c r="E100" s="10"/>
      <c r="F100" s="10"/>
    </row>
    <row r="101" customFormat="false" ht="15" hidden="false" customHeight="true" outlineLevel="0" collapsed="false">
      <c r="A101" s="10"/>
      <c r="B101" s="10"/>
      <c r="C101" s="10"/>
      <c r="D101" s="12"/>
      <c r="E101" s="10"/>
      <c r="F101" s="10"/>
    </row>
    <row r="102" customFormat="false" ht="15" hidden="false" customHeight="true" outlineLevel="0" collapsed="false">
      <c r="A102" s="10"/>
      <c r="B102" s="10"/>
      <c r="C102" s="10"/>
      <c r="D102" s="12"/>
      <c r="E102" s="10"/>
      <c r="F102" s="10"/>
    </row>
    <row r="103" customFormat="false" ht="15" hidden="false" customHeight="true" outlineLevel="0" collapsed="false">
      <c r="A103" s="10"/>
      <c r="B103" s="10"/>
      <c r="C103" s="10"/>
      <c r="D103" s="12"/>
      <c r="E103" s="10"/>
      <c r="F103" s="10"/>
    </row>
    <row r="104" customFormat="false" ht="15" hidden="false" customHeight="true" outlineLevel="0" collapsed="false">
      <c r="A104" s="10"/>
      <c r="B104" s="10"/>
      <c r="C104" s="10"/>
      <c r="D104" s="12"/>
      <c r="E104" s="10"/>
      <c r="F104" s="10"/>
    </row>
    <row r="105" customFormat="false" ht="15" hidden="false" customHeight="true" outlineLevel="0" collapsed="false">
      <c r="A105" s="10"/>
      <c r="B105" s="10"/>
      <c r="C105" s="10"/>
      <c r="D105" s="12"/>
      <c r="E105" s="10"/>
      <c r="F105" s="10"/>
    </row>
    <row r="106" customFormat="false" ht="15" hidden="false" customHeight="true" outlineLevel="0" collapsed="false">
      <c r="A106" s="10"/>
      <c r="B106" s="10"/>
      <c r="C106" s="10"/>
      <c r="D106" s="12"/>
      <c r="E106" s="10"/>
      <c r="F106" s="10"/>
    </row>
    <row r="107" customFormat="false" ht="15" hidden="false" customHeight="true" outlineLevel="0" collapsed="false">
      <c r="A107" s="10"/>
      <c r="B107" s="10"/>
      <c r="C107" s="10"/>
      <c r="D107" s="12"/>
      <c r="E107" s="10"/>
      <c r="F107" s="10"/>
    </row>
    <row r="108" customFormat="false" ht="15" hidden="false" customHeight="true" outlineLevel="0" collapsed="false">
      <c r="A108" s="10"/>
      <c r="B108" s="10"/>
      <c r="C108" s="10"/>
      <c r="D108" s="12"/>
      <c r="E108" s="10"/>
      <c r="F108" s="10"/>
    </row>
    <row r="109" customFormat="false" ht="15" hidden="false" customHeight="true" outlineLevel="0" collapsed="false">
      <c r="A109" s="10"/>
      <c r="B109" s="10"/>
      <c r="C109" s="10"/>
      <c r="D109" s="12"/>
      <c r="E109" s="10"/>
      <c r="F109" s="10"/>
    </row>
    <row r="110" customFormat="false" ht="15" hidden="false" customHeight="true" outlineLevel="0" collapsed="false">
      <c r="A110" s="10"/>
      <c r="B110" s="10"/>
      <c r="C110" s="10"/>
      <c r="D110" s="12"/>
      <c r="E110" s="10"/>
      <c r="F110" s="10"/>
    </row>
    <row r="111" customFormat="false" ht="15" hidden="false" customHeight="true" outlineLevel="0" collapsed="false">
      <c r="A111" s="10"/>
      <c r="B111" s="10"/>
      <c r="C111" s="10"/>
      <c r="D111" s="12"/>
      <c r="E111" s="10"/>
      <c r="F111" s="10"/>
    </row>
    <row r="112" customFormat="false" ht="15" hidden="false" customHeight="true" outlineLevel="0" collapsed="false">
      <c r="A112" s="10"/>
      <c r="B112" s="10"/>
      <c r="C112" s="10"/>
      <c r="D112" s="12"/>
      <c r="E112" s="10"/>
      <c r="F112" s="10"/>
    </row>
    <row r="113" customFormat="false" ht="15" hidden="false" customHeight="true" outlineLevel="0" collapsed="false">
      <c r="A113" s="10"/>
      <c r="B113" s="10"/>
      <c r="C113" s="10"/>
      <c r="D113" s="12"/>
      <c r="E113" s="10"/>
      <c r="F113" s="10"/>
    </row>
    <row r="114" customFormat="false" ht="15" hidden="false" customHeight="true" outlineLevel="0" collapsed="false">
      <c r="A114" s="10"/>
      <c r="B114" s="10"/>
      <c r="C114" s="10"/>
      <c r="D114" s="12"/>
      <c r="E114" s="10"/>
      <c r="F114" s="10"/>
    </row>
    <row r="115" customFormat="false" ht="15" hidden="false" customHeight="true" outlineLevel="0" collapsed="false">
      <c r="A115" s="10"/>
      <c r="B115" s="10"/>
      <c r="C115" s="10"/>
      <c r="D115" s="12"/>
      <c r="E115" s="10"/>
      <c r="F115" s="10"/>
    </row>
    <row r="116" customFormat="false" ht="15" hidden="false" customHeight="true" outlineLevel="0" collapsed="false">
      <c r="A116" s="10"/>
      <c r="B116" s="10"/>
      <c r="C116" s="10"/>
      <c r="D116" s="12"/>
      <c r="E116" s="10"/>
      <c r="F116" s="10"/>
    </row>
    <row r="117" customFormat="false" ht="15" hidden="false" customHeight="true" outlineLevel="0" collapsed="false">
      <c r="A117" s="10"/>
      <c r="B117" s="10"/>
      <c r="C117" s="10"/>
      <c r="D117" s="12"/>
      <c r="E117" s="10"/>
      <c r="F117" s="10"/>
    </row>
    <row r="118" customFormat="false" ht="15" hidden="false" customHeight="true" outlineLevel="0" collapsed="false">
      <c r="A118" s="10"/>
      <c r="B118" s="10"/>
      <c r="C118" s="10"/>
      <c r="D118" s="12"/>
      <c r="E118" s="10"/>
      <c r="F118" s="10"/>
    </row>
    <row r="119" customFormat="false" ht="15" hidden="false" customHeight="true" outlineLevel="0" collapsed="false">
      <c r="A119" s="10"/>
      <c r="B119" s="10"/>
      <c r="C119" s="10"/>
      <c r="D119" s="12"/>
      <c r="E119" s="10"/>
      <c r="F119" s="10"/>
    </row>
    <row r="120" customFormat="false" ht="15" hidden="false" customHeight="true" outlineLevel="0" collapsed="false">
      <c r="A120" s="10"/>
      <c r="B120" s="10"/>
      <c r="C120" s="10"/>
      <c r="D120" s="12"/>
      <c r="E120" s="10"/>
      <c r="F120" s="10"/>
    </row>
    <row r="121" customFormat="false" ht="15" hidden="false" customHeight="true" outlineLevel="0" collapsed="false">
      <c r="A121" s="10"/>
      <c r="B121" s="10"/>
      <c r="C121" s="10"/>
      <c r="D121" s="12"/>
      <c r="E121" s="10"/>
      <c r="F121" s="10"/>
    </row>
    <row r="122" customFormat="false" ht="15" hidden="false" customHeight="true" outlineLevel="0" collapsed="false">
      <c r="A122" s="10"/>
      <c r="B122" s="10"/>
      <c r="C122" s="10"/>
      <c r="D122" s="12"/>
      <c r="E122" s="10"/>
      <c r="F122" s="10"/>
    </row>
    <row r="123" customFormat="false" ht="15" hidden="false" customHeight="true" outlineLevel="0" collapsed="false">
      <c r="A123" s="10"/>
      <c r="B123" s="10"/>
      <c r="C123" s="10"/>
      <c r="D123" s="12"/>
      <c r="E123" s="10"/>
      <c r="F123" s="10"/>
    </row>
    <row r="124" customFormat="false" ht="15" hidden="false" customHeight="true" outlineLevel="0" collapsed="false">
      <c r="A124" s="10"/>
      <c r="B124" s="10"/>
      <c r="C124" s="10"/>
      <c r="D124" s="12"/>
      <c r="E124" s="10"/>
      <c r="F124" s="10"/>
    </row>
    <row r="125" customFormat="false" ht="15" hidden="false" customHeight="true" outlineLevel="0" collapsed="false">
      <c r="A125" s="10"/>
      <c r="B125" s="10"/>
      <c r="C125" s="10"/>
      <c r="D125" s="12"/>
      <c r="E125" s="10"/>
      <c r="F125" s="10"/>
    </row>
    <row r="126" customFormat="false" ht="15" hidden="false" customHeight="true" outlineLevel="0" collapsed="false">
      <c r="A126" s="10"/>
      <c r="B126" s="10"/>
      <c r="C126" s="10"/>
      <c r="D126" s="12"/>
      <c r="E126" s="10"/>
      <c r="F126" s="10"/>
    </row>
    <row r="127" customFormat="false" ht="15" hidden="false" customHeight="true" outlineLevel="0" collapsed="false">
      <c r="A127" s="10"/>
      <c r="B127" s="10"/>
      <c r="C127" s="10"/>
      <c r="D127" s="12"/>
      <c r="E127" s="10"/>
      <c r="F127" s="10"/>
    </row>
    <row r="128" customFormat="false" ht="15" hidden="false" customHeight="true" outlineLevel="0" collapsed="false">
      <c r="A128" s="10"/>
      <c r="B128" s="10"/>
      <c r="C128" s="10"/>
      <c r="D128" s="12"/>
      <c r="E128" s="10"/>
      <c r="F128" s="10"/>
    </row>
    <row r="129" customFormat="false" ht="15" hidden="false" customHeight="true" outlineLevel="0" collapsed="false">
      <c r="A129" s="10"/>
      <c r="B129" s="10"/>
      <c r="C129" s="10"/>
      <c r="D129" s="12"/>
      <c r="E129" s="10"/>
      <c r="F129" s="10"/>
    </row>
    <row r="130" customFormat="false" ht="15" hidden="false" customHeight="true" outlineLevel="0" collapsed="false">
      <c r="A130" s="10"/>
      <c r="B130" s="10"/>
      <c r="C130" s="10"/>
      <c r="D130" s="12"/>
      <c r="E130" s="10"/>
      <c r="F130" s="10"/>
    </row>
    <row r="131" customFormat="false" ht="15" hidden="false" customHeight="true" outlineLevel="0" collapsed="false">
      <c r="A131" s="10"/>
      <c r="B131" s="10"/>
      <c r="C131" s="10"/>
      <c r="D131" s="12"/>
      <c r="E131" s="10"/>
      <c r="F131" s="10"/>
    </row>
    <row r="132" customFormat="false" ht="15" hidden="false" customHeight="true" outlineLevel="0" collapsed="false">
      <c r="A132" s="10"/>
      <c r="B132" s="10"/>
      <c r="C132" s="10"/>
      <c r="D132" s="12"/>
      <c r="E132" s="10"/>
      <c r="F132" s="10"/>
    </row>
    <row r="133" customFormat="false" ht="15" hidden="false" customHeight="true" outlineLevel="0" collapsed="false">
      <c r="A133" s="10"/>
      <c r="B133" s="10"/>
      <c r="C133" s="10"/>
      <c r="D133" s="12"/>
      <c r="E133" s="10"/>
      <c r="F133" s="10"/>
    </row>
    <row r="134" customFormat="false" ht="15" hidden="false" customHeight="true" outlineLevel="0" collapsed="false">
      <c r="A134" s="10"/>
      <c r="B134" s="10"/>
      <c r="C134" s="10"/>
      <c r="D134" s="12"/>
      <c r="E134" s="10"/>
      <c r="F134" s="10"/>
    </row>
    <row r="135" customFormat="false" ht="15" hidden="false" customHeight="true" outlineLevel="0" collapsed="false">
      <c r="A135" s="10"/>
      <c r="B135" s="10"/>
      <c r="C135" s="10"/>
      <c r="D135" s="12"/>
      <c r="E135" s="10"/>
      <c r="F135" s="10"/>
    </row>
    <row r="136" customFormat="false" ht="15" hidden="false" customHeight="true" outlineLevel="0" collapsed="false">
      <c r="A136" s="10"/>
      <c r="B136" s="10"/>
      <c r="C136" s="10"/>
      <c r="D136" s="12"/>
      <c r="E136" s="10"/>
      <c r="F136" s="10"/>
    </row>
    <row r="137" customFormat="false" ht="15" hidden="false" customHeight="true" outlineLevel="0" collapsed="false">
      <c r="A137" s="10"/>
      <c r="B137" s="10"/>
      <c r="C137" s="10"/>
      <c r="D137" s="12"/>
      <c r="E137" s="10"/>
      <c r="F137" s="10"/>
    </row>
    <row r="138" customFormat="false" ht="15" hidden="false" customHeight="true" outlineLevel="0" collapsed="false">
      <c r="A138" s="10"/>
      <c r="B138" s="10"/>
      <c r="C138" s="10"/>
      <c r="D138" s="12"/>
      <c r="E138" s="10"/>
      <c r="F138" s="10"/>
    </row>
    <row r="139" customFormat="false" ht="15" hidden="false" customHeight="true" outlineLevel="0" collapsed="false">
      <c r="A139" s="10"/>
      <c r="B139" s="10"/>
      <c r="C139" s="10"/>
      <c r="D139" s="12"/>
      <c r="E139" s="10"/>
      <c r="F139" s="10"/>
    </row>
    <row r="140" customFormat="false" ht="15" hidden="false" customHeight="true" outlineLevel="0" collapsed="false">
      <c r="A140" s="10"/>
      <c r="B140" s="10"/>
      <c r="C140" s="10"/>
      <c r="D140" s="12"/>
      <c r="E140" s="10"/>
      <c r="F140" s="10"/>
    </row>
    <row r="141" customFormat="false" ht="15" hidden="false" customHeight="true" outlineLevel="0" collapsed="false">
      <c r="A141" s="10"/>
      <c r="B141" s="10"/>
      <c r="C141" s="10"/>
      <c r="D141" s="12"/>
      <c r="E141" s="10"/>
      <c r="F141" s="10"/>
    </row>
    <row r="142" customFormat="false" ht="15" hidden="false" customHeight="true" outlineLevel="0" collapsed="false">
      <c r="A142" s="10"/>
      <c r="B142" s="10"/>
      <c r="C142" s="10"/>
      <c r="D142" s="12"/>
      <c r="E142" s="10"/>
      <c r="F142" s="10"/>
    </row>
    <row r="143" customFormat="false" ht="15" hidden="false" customHeight="true" outlineLevel="0" collapsed="false">
      <c r="A143" s="10"/>
      <c r="B143" s="10"/>
      <c r="C143" s="10"/>
      <c r="D143" s="12"/>
      <c r="E143" s="10"/>
      <c r="F143" s="10"/>
    </row>
    <row r="144" customFormat="false" ht="15" hidden="false" customHeight="true" outlineLevel="0" collapsed="false">
      <c r="A144" s="10"/>
      <c r="B144" s="10"/>
      <c r="C144" s="10"/>
      <c r="D144" s="12"/>
      <c r="E144" s="10"/>
      <c r="F144" s="10"/>
    </row>
    <row r="145" customFormat="false" ht="15" hidden="false" customHeight="true" outlineLevel="0" collapsed="false">
      <c r="A145" s="10"/>
      <c r="B145" s="10"/>
      <c r="C145" s="10"/>
      <c r="D145" s="12"/>
      <c r="E145" s="10"/>
      <c r="F145" s="10"/>
    </row>
    <row r="146" customFormat="false" ht="15" hidden="false" customHeight="true" outlineLevel="0" collapsed="false">
      <c r="A146" s="10"/>
      <c r="B146" s="10"/>
      <c r="C146" s="10"/>
      <c r="D146" s="12"/>
      <c r="E146" s="10"/>
      <c r="F146" s="10"/>
    </row>
    <row r="147" customFormat="false" ht="15" hidden="false" customHeight="true" outlineLevel="0" collapsed="false">
      <c r="A147" s="10"/>
      <c r="B147" s="10"/>
      <c r="C147" s="10"/>
      <c r="D147" s="12"/>
      <c r="E147" s="10"/>
      <c r="F147" s="10"/>
    </row>
    <row r="148" customFormat="false" ht="15" hidden="false" customHeight="true" outlineLevel="0" collapsed="false">
      <c r="A148" s="10"/>
      <c r="B148" s="10"/>
      <c r="C148" s="10"/>
      <c r="D148" s="12"/>
      <c r="E148" s="10"/>
      <c r="F148" s="10"/>
    </row>
    <row r="149" customFormat="false" ht="15" hidden="false" customHeight="true" outlineLevel="0" collapsed="false">
      <c r="A149" s="10"/>
      <c r="B149" s="10"/>
      <c r="C149" s="10"/>
      <c r="D149" s="12"/>
      <c r="E149" s="10"/>
      <c r="F149" s="10"/>
    </row>
    <row r="150" customFormat="false" ht="15" hidden="false" customHeight="true" outlineLevel="0" collapsed="false">
      <c r="A150" s="10"/>
      <c r="B150" s="10"/>
      <c r="C150" s="10"/>
      <c r="D150" s="12"/>
      <c r="E150" s="10"/>
      <c r="F150" s="10"/>
    </row>
    <row r="151" customFormat="false" ht="15" hidden="false" customHeight="true" outlineLevel="0" collapsed="false">
      <c r="A151" s="10"/>
      <c r="B151" s="10"/>
      <c r="C151" s="10"/>
      <c r="D151" s="12"/>
      <c r="E151" s="10"/>
      <c r="F151" s="10"/>
    </row>
    <row r="152" customFormat="false" ht="15" hidden="false" customHeight="true" outlineLevel="0" collapsed="false">
      <c r="A152" s="10"/>
      <c r="B152" s="10"/>
      <c r="C152" s="10"/>
      <c r="D152" s="12"/>
      <c r="E152" s="10"/>
      <c r="F152" s="10"/>
    </row>
    <row r="153" customFormat="false" ht="15" hidden="false" customHeight="true" outlineLevel="0" collapsed="false">
      <c r="A153" s="10"/>
      <c r="B153" s="10"/>
      <c r="C153" s="10"/>
      <c r="D153" s="12"/>
      <c r="E153" s="10"/>
      <c r="F153" s="10"/>
    </row>
    <row r="154" customFormat="false" ht="15" hidden="false" customHeight="true" outlineLevel="0" collapsed="false">
      <c r="A154" s="10"/>
      <c r="B154" s="10"/>
      <c r="C154" s="10"/>
      <c r="D154" s="12"/>
      <c r="E154" s="10"/>
      <c r="F154" s="10"/>
    </row>
    <row r="155" customFormat="false" ht="15" hidden="false" customHeight="true" outlineLevel="0" collapsed="false">
      <c r="A155" s="10"/>
      <c r="B155" s="10"/>
      <c r="C155" s="10"/>
      <c r="D155" s="12"/>
      <c r="E155" s="10"/>
      <c r="F155" s="10"/>
    </row>
    <row r="156" customFormat="false" ht="15" hidden="false" customHeight="true" outlineLevel="0" collapsed="false">
      <c r="A156" s="10"/>
      <c r="B156" s="10"/>
      <c r="C156" s="10"/>
      <c r="D156" s="12"/>
      <c r="E156" s="10"/>
      <c r="F156" s="10"/>
    </row>
    <row r="157" customFormat="false" ht="15" hidden="false" customHeight="true" outlineLevel="0" collapsed="false">
      <c r="A157" s="10"/>
      <c r="B157" s="10"/>
      <c r="C157" s="10"/>
      <c r="D157" s="12"/>
      <c r="E157" s="10"/>
      <c r="F157" s="10"/>
    </row>
    <row r="158" customFormat="false" ht="15" hidden="false" customHeight="true" outlineLevel="0" collapsed="false">
      <c r="A158" s="10"/>
      <c r="B158" s="10"/>
      <c r="C158" s="10"/>
      <c r="D158" s="12"/>
      <c r="E158" s="10"/>
      <c r="F158" s="10"/>
    </row>
    <row r="159" customFormat="false" ht="15" hidden="false" customHeight="true" outlineLevel="0" collapsed="false">
      <c r="A159" s="10"/>
      <c r="B159" s="10"/>
      <c r="C159" s="10"/>
      <c r="D159" s="12"/>
      <c r="E159" s="10"/>
      <c r="F159" s="10"/>
    </row>
    <row r="160" customFormat="false" ht="15" hidden="false" customHeight="true" outlineLevel="0" collapsed="false">
      <c r="A160" s="10"/>
      <c r="B160" s="10"/>
      <c r="C160" s="10"/>
      <c r="D160" s="12"/>
      <c r="E160" s="10"/>
      <c r="F160" s="10"/>
    </row>
    <row r="161" customFormat="false" ht="15" hidden="false" customHeight="true" outlineLevel="0" collapsed="false">
      <c r="A161" s="10"/>
      <c r="B161" s="10"/>
      <c r="C161" s="10"/>
      <c r="D161" s="12"/>
      <c r="E161" s="10"/>
      <c r="F161" s="10"/>
    </row>
    <row r="162" customFormat="false" ht="15" hidden="false" customHeight="true" outlineLevel="0" collapsed="false">
      <c r="A162" s="10"/>
      <c r="B162" s="10"/>
      <c r="C162" s="10"/>
      <c r="D162" s="12"/>
      <c r="E162" s="10"/>
      <c r="F162" s="10"/>
    </row>
    <row r="163" customFormat="false" ht="15" hidden="false" customHeight="true" outlineLevel="0" collapsed="false">
      <c r="A163" s="10"/>
      <c r="B163" s="10"/>
      <c r="C163" s="10"/>
      <c r="D163" s="12"/>
      <c r="E163" s="10"/>
      <c r="F163" s="10"/>
    </row>
    <row r="164" customFormat="false" ht="15" hidden="false" customHeight="true" outlineLevel="0" collapsed="false">
      <c r="A164" s="10"/>
      <c r="B164" s="10"/>
      <c r="C164" s="10"/>
      <c r="D164" s="12"/>
      <c r="E164" s="10"/>
      <c r="F164" s="10"/>
    </row>
    <row r="165" customFormat="false" ht="15" hidden="false" customHeight="true" outlineLevel="0" collapsed="false">
      <c r="A165" s="10"/>
      <c r="B165" s="10"/>
      <c r="C165" s="10"/>
      <c r="D165" s="12"/>
      <c r="E165" s="10"/>
      <c r="F165" s="10"/>
    </row>
    <row r="166" customFormat="false" ht="15" hidden="false" customHeight="true" outlineLevel="0" collapsed="false">
      <c r="A166" s="10"/>
      <c r="B166" s="10"/>
      <c r="C166" s="10"/>
      <c r="D166" s="12"/>
      <c r="E166" s="10"/>
      <c r="F166" s="10"/>
    </row>
    <row r="167" customFormat="false" ht="15" hidden="false" customHeight="true" outlineLevel="0" collapsed="false">
      <c r="A167" s="10"/>
      <c r="B167" s="10"/>
      <c r="C167" s="10"/>
      <c r="D167" s="12"/>
      <c r="E167" s="10"/>
      <c r="F167" s="10"/>
    </row>
    <row r="168" customFormat="false" ht="15" hidden="false" customHeight="true" outlineLevel="0" collapsed="false">
      <c r="A168" s="10"/>
      <c r="B168" s="10"/>
      <c r="C168" s="10"/>
      <c r="D168" s="12"/>
      <c r="E168" s="10"/>
      <c r="F168" s="10"/>
    </row>
    <row r="169" customFormat="false" ht="15" hidden="false" customHeight="true" outlineLevel="0" collapsed="false">
      <c r="A169" s="10"/>
      <c r="B169" s="10"/>
      <c r="C169" s="10"/>
      <c r="D169" s="12"/>
      <c r="E169" s="10"/>
      <c r="F169" s="10"/>
    </row>
    <row r="170" customFormat="false" ht="15" hidden="false" customHeight="true" outlineLevel="0" collapsed="false">
      <c r="A170" s="10"/>
      <c r="B170" s="10"/>
      <c r="C170" s="10"/>
      <c r="D170" s="12"/>
      <c r="E170" s="10"/>
      <c r="F170" s="10"/>
    </row>
    <row r="171" customFormat="false" ht="15" hidden="false" customHeight="true" outlineLevel="0" collapsed="false">
      <c r="A171" s="10"/>
      <c r="B171" s="10"/>
      <c r="C171" s="10"/>
      <c r="D171" s="12"/>
      <c r="E171" s="10"/>
      <c r="F171" s="10"/>
    </row>
    <row r="172" customFormat="false" ht="15" hidden="false" customHeight="true" outlineLevel="0" collapsed="false">
      <c r="A172" s="10"/>
      <c r="B172" s="10"/>
      <c r="C172" s="10"/>
      <c r="D172" s="12"/>
      <c r="E172" s="10"/>
      <c r="F172" s="10"/>
    </row>
    <row r="173" customFormat="false" ht="15" hidden="false" customHeight="true" outlineLevel="0" collapsed="false">
      <c r="A173" s="10"/>
      <c r="B173" s="10"/>
      <c r="C173" s="10"/>
      <c r="D173" s="12"/>
      <c r="E173" s="10"/>
      <c r="F173" s="10"/>
    </row>
    <row r="174" customFormat="false" ht="15" hidden="false" customHeight="true" outlineLevel="0" collapsed="false">
      <c r="A174" s="10"/>
      <c r="B174" s="10"/>
      <c r="C174" s="10"/>
      <c r="D174" s="12"/>
      <c r="E174" s="10"/>
      <c r="F174" s="10"/>
    </row>
    <row r="175" customFormat="false" ht="15" hidden="false" customHeight="true" outlineLevel="0" collapsed="false">
      <c r="A175" s="10"/>
      <c r="B175" s="10"/>
      <c r="C175" s="10"/>
      <c r="D175" s="12"/>
      <c r="E175" s="10"/>
      <c r="F175" s="10"/>
    </row>
    <row r="176" customFormat="false" ht="15" hidden="false" customHeight="true" outlineLevel="0" collapsed="false">
      <c r="A176" s="10"/>
      <c r="B176" s="10"/>
      <c r="C176" s="10"/>
      <c r="D176" s="12"/>
      <c r="E176" s="10"/>
      <c r="F176" s="10"/>
    </row>
    <row r="177" customFormat="false" ht="15" hidden="false" customHeight="true" outlineLevel="0" collapsed="false">
      <c r="A177" s="10"/>
      <c r="B177" s="10"/>
      <c r="C177" s="10"/>
      <c r="D177" s="12"/>
      <c r="E177" s="10"/>
      <c r="F177" s="10"/>
    </row>
    <row r="178" customFormat="false" ht="15" hidden="false" customHeight="true" outlineLevel="0" collapsed="false">
      <c r="A178" s="10"/>
      <c r="B178" s="10"/>
      <c r="C178" s="10"/>
      <c r="D178" s="12"/>
      <c r="E178" s="10"/>
      <c r="F178" s="10"/>
    </row>
    <row r="179" customFormat="false" ht="15" hidden="false" customHeight="true" outlineLevel="0" collapsed="false">
      <c r="A179" s="10"/>
      <c r="B179" s="10"/>
      <c r="C179" s="10"/>
      <c r="D179" s="12"/>
      <c r="E179" s="10"/>
      <c r="F179" s="10"/>
    </row>
    <row r="180" customFormat="false" ht="15" hidden="false" customHeight="true" outlineLevel="0" collapsed="false">
      <c r="A180" s="10"/>
      <c r="B180" s="10"/>
      <c r="C180" s="10"/>
      <c r="D180" s="12"/>
      <c r="E180" s="10"/>
      <c r="F180" s="10"/>
    </row>
    <row r="181" customFormat="false" ht="15" hidden="false" customHeight="true" outlineLevel="0" collapsed="false">
      <c r="A181" s="10"/>
      <c r="B181" s="10"/>
      <c r="C181" s="10"/>
      <c r="D181" s="12"/>
      <c r="E181" s="10"/>
      <c r="F181" s="10"/>
    </row>
    <row r="182" customFormat="false" ht="15" hidden="false" customHeight="true" outlineLevel="0" collapsed="false">
      <c r="A182" s="10"/>
      <c r="B182" s="10"/>
      <c r="C182" s="10"/>
      <c r="D182" s="12"/>
      <c r="E182" s="10"/>
      <c r="F182" s="10"/>
    </row>
    <row r="183" customFormat="false" ht="15" hidden="false" customHeight="true" outlineLevel="0" collapsed="false">
      <c r="A183" s="10"/>
      <c r="B183" s="10"/>
      <c r="C183" s="10"/>
      <c r="D183" s="12"/>
      <c r="E183" s="10"/>
      <c r="F183" s="10"/>
    </row>
    <row r="184" customFormat="false" ht="15" hidden="false" customHeight="true" outlineLevel="0" collapsed="false">
      <c r="A184" s="10"/>
      <c r="B184" s="10"/>
      <c r="C184" s="10"/>
      <c r="D184" s="12"/>
      <c r="E184" s="10"/>
      <c r="F184" s="10"/>
    </row>
    <row r="185" customFormat="false" ht="15" hidden="false" customHeight="true" outlineLevel="0" collapsed="false">
      <c r="A185" s="10"/>
      <c r="B185" s="10"/>
      <c r="C185" s="10"/>
      <c r="D185" s="12"/>
      <c r="E185" s="10"/>
      <c r="F185" s="10"/>
    </row>
    <row r="186" customFormat="false" ht="15" hidden="false" customHeight="true" outlineLevel="0" collapsed="false">
      <c r="A186" s="10"/>
      <c r="B186" s="10"/>
      <c r="C186" s="10"/>
      <c r="D186" s="12"/>
      <c r="E186" s="10"/>
      <c r="F186" s="10"/>
    </row>
    <row r="187" customFormat="false" ht="15" hidden="false" customHeight="true" outlineLevel="0" collapsed="false">
      <c r="A187" s="10"/>
      <c r="B187" s="10"/>
      <c r="C187" s="10"/>
      <c r="D187" s="12"/>
      <c r="E187" s="10"/>
      <c r="F187" s="10"/>
    </row>
    <row r="188" customFormat="false" ht="15" hidden="false" customHeight="true" outlineLevel="0" collapsed="false">
      <c r="A188" s="10"/>
      <c r="B188" s="10"/>
      <c r="C188" s="10"/>
      <c r="D188" s="12"/>
      <c r="E188" s="10"/>
      <c r="F188" s="10"/>
    </row>
    <row r="189" customFormat="false" ht="15" hidden="false" customHeight="true" outlineLevel="0" collapsed="false">
      <c r="A189" s="10"/>
      <c r="B189" s="10"/>
      <c r="C189" s="10"/>
      <c r="D189" s="12"/>
      <c r="E189" s="10"/>
      <c r="F189" s="10"/>
    </row>
    <row r="190" customFormat="false" ht="15" hidden="false" customHeight="true" outlineLevel="0" collapsed="false">
      <c r="A190" s="10"/>
      <c r="B190" s="10"/>
      <c r="C190" s="10"/>
      <c r="D190" s="12"/>
      <c r="E190" s="10"/>
      <c r="F190" s="10"/>
    </row>
    <row r="191" customFormat="false" ht="15" hidden="false" customHeight="true" outlineLevel="0" collapsed="false">
      <c r="A191" s="10"/>
      <c r="B191" s="10"/>
      <c r="C191" s="10"/>
      <c r="D191" s="12"/>
      <c r="E191" s="10"/>
      <c r="F191" s="10"/>
    </row>
    <row r="192" customFormat="false" ht="15" hidden="false" customHeight="true" outlineLevel="0" collapsed="false">
      <c r="A192" s="10"/>
      <c r="B192" s="10"/>
      <c r="C192" s="10"/>
      <c r="D192" s="12"/>
      <c r="E192" s="10"/>
      <c r="F192" s="10"/>
    </row>
    <row r="193" customFormat="false" ht="15" hidden="false" customHeight="true" outlineLevel="0" collapsed="false">
      <c r="A193" s="10"/>
      <c r="B193" s="10"/>
      <c r="C193" s="10"/>
      <c r="D193" s="12"/>
      <c r="E193" s="10"/>
      <c r="F193" s="10"/>
    </row>
    <row r="194" customFormat="false" ht="15" hidden="false" customHeight="true" outlineLevel="0" collapsed="false">
      <c r="A194" s="10"/>
      <c r="B194" s="10"/>
      <c r="C194" s="10"/>
      <c r="D194" s="12"/>
      <c r="E194" s="10"/>
      <c r="F194" s="10"/>
    </row>
    <row r="195" customFormat="false" ht="15" hidden="false" customHeight="true" outlineLevel="0" collapsed="false">
      <c r="A195" s="10"/>
      <c r="B195" s="10"/>
      <c r="C195" s="10"/>
      <c r="D195" s="12"/>
      <c r="E195" s="10"/>
      <c r="F195" s="10"/>
    </row>
    <row r="196" customFormat="false" ht="15" hidden="false" customHeight="true" outlineLevel="0" collapsed="false">
      <c r="A196" s="10"/>
      <c r="B196" s="10"/>
      <c r="C196" s="10"/>
      <c r="D196" s="12"/>
      <c r="E196" s="10"/>
      <c r="F196" s="10"/>
    </row>
    <row r="197" customFormat="false" ht="15" hidden="false" customHeight="true" outlineLevel="0" collapsed="false">
      <c r="A197" s="10"/>
      <c r="B197" s="10"/>
      <c r="C197" s="10"/>
      <c r="D197" s="12"/>
      <c r="E197" s="10"/>
      <c r="F197" s="10"/>
    </row>
    <row r="198" customFormat="false" ht="15" hidden="false" customHeight="true" outlineLevel="0" collapsed="false">
      <c r="A198" s="10"/>
      <c r="B198" s="10"/>
      <c r="C198" s="10"/>
      <c r="D198" s="12"/>
      <c r="E198" s="10"/>
      <c r="F198" s="10"/>
    </row>
    <row r="199" customFormat="false" ht="15" hidden="false" customHeight="true" outlineLevel="0" collapsed="false">
      <c r="A199" s="10"/>
      <c r="B199" s="10"/>
      <c r="C199" s="10"/>
      <c r="D199" s="12"/>
      <c r="E199" s="10"/>
      <c r="F199" s="10"/>
    </row>
    <row r="200" customFormat="false" ht="15" hidden="false" customHeight="true" outlineLevel="0" collapsed="false">
      <c r="A200" s="10"/>
      <c r="B200" s="10"/>
      <c r="C200" s="10"/>
      <c r="D200" s="12"/>
      <c r="E200" s="10"/>
      <c r="F200" s="10"/>
    </row>
    <row r="201" customFormat="false" ht="15" hidden="false" customHeight="true" outlineLevel="0" collapsed="false">
      <c r="A201" s="10"/>
      <c r="B201" s="10"/>
      <c r="C201" s="10"/>
      <c r="D201" s="12"/>
      <c r="E201" s="10"/>
      <c r="F201" s="10"/>
    </row>
    <row r="202" customFormat="false" ht="15" hidden="false" customHeight="true" outlineLevel="0" collapsed="false">
      <c r="A202" s="10"/>
      <c r="B202" s="10"/>
      <c r="C202" s="10"/>
      <c r="D202" s="12"/>
      <c r="E202" s="10"/>
      <c r="F202" s="10"/>
    </row>
    <row r="203" customFormat="false" ht="15" hidden="false" customHeight="true" outlineLevel="0" collapsed="false">
      <c r="A203" s="10"/>
      <c r="B203" s="10"/>
      <c r="C203" s="10"/>
      <c r="D203" s="12"/>
      <c r="E203" s="10"/>
      <c r="F203" s="10"/>
    </row>
    <row r="204" customFormat="false" ht="15" hidden="false" customHeight="true" outlineLevel="0" collapsed="false">
      <c r="A204" s="10"/>
      <c r="B204" s="10"/>
      <c r="C204" s="10"/>
      <c r="D204" s="12"/>
      <c r="E204" s="10"/>
      <c r="F204" s="10"/>
    </row>
    <row r="205" customFormat="false" ht="15" hidden="false" customHeight="true" outlineLevel="0" collapsed="false">
      <c r="A205" s="10"/>
      <c r="B205" s="10"/>
      <c r="C205" s="10"/>
      <c r="D205" s="12"/>
      <c r="E205" s="10"/>
      <c r="F205" s="10"/>
    </row>
    <row r="206" customFormat="false" ht="15" hidden="false" customHeight="true" outlineLevel="0" collapsed="false">
      <c r="A206" s="10"/>
      <c r="B206" s="10"/>
      <c r="C206" s="10"/>
      <c r="D206" s="12"/>
      <c r="E206" s="10"/>
      <c r="F206" s="10"/>
    </row>
    <row r="207" customFormat="false" ht="15" hidden="false" customHeight="true" outlineLevel="0" collapsed="false">
      <c r="A207" s="10"/>
      <c r="B207" s="10"/>
      <c r="C207" s="10"/>
      <c r="D207" s="12"/>
      <c r="E207" s="10"/>
      <c r="F207" s="10"/>
    </row>
    <row r="208" customFormat="false" ht="15" hidden="false" customHeight="true" outlineLevel="0" collapsed="false">
      <c r="A208" s="10"/>
      <c r="B208" s="10"/>
      <c r="C208" s="10"/>
      <c r="D208" s="12"/>
      <c r="E208" s="10"/>
      <c r="F208" s="10"/>
    </row>
    <row r="209" customFormat="false" ht="15" hidden="false" customHeight="true" outlineLevel="0" collapsed="false">
      <c r="A209" s="10"/>
      <c r="B209" s="10"/>
      <c r="C209" s="10"/>
      <c r="D209" s="12"/>
      <c r="E209" s="10"/>
      <c r="F209" s="10"/>
    </row>
    <row r="210" customFormat="false" ht="15" hidden="false" customHeight="true" outlineLevel="0" collapsed="false">
      <c r="A210" s="10"/>
      <c r="B210" s="10"/>
      <c r="C210" s="10"/>
      <c r="D210" s="12"/>
      <c r="E210" s="10"/>
      <c r="F210" s="10"/>
    </row>
    <row r="211" customFormat="false" ht="15" hidden="false" customHeight="true" outlineLevel="0" collapsed="false">
      <c r="A211" s="10"/>
      <c r="B211" s="10"/>
      <c r="C211" s="10"/>
      <c r="D211" s="12"/>
      <c r="E211" s="10"/>
      <c r="F211" s="10"/>
    </row>
    <row r="212" customFormat="false" ht="15" hidden="false" customHeight="true" outlineLevel="0" collapsed="false">
      <c r="A212" s="10"/>
      <c r="B212" s="10"/>
      <c r="C212" s="10"/>
      <c r="D212" s="12"/>
      <c r="E212" s="10"/>
      <c r="F212" s="10"/>
    </row>
    <row r="213" customFormat="false" ht="15" hidden="false" customHeight="true" outlineLevel="0" collapsed="false">
      <c r="A213" s="10"/>
      <c r="B213" s="10"/>
      <c r="C213" s="10"/>
      <c r="D213" s="12"/>
      <c r="E213" s="10"/>
      <c r="F213" s="10"/>
    </row>
    <row r="214" customFormat="false" ht="15" hidden="false" customHeight="true" outlineLevel="0" collapsed="false">
      <c r="A214" s="10"/>
      <c r="B214" s="10"/>
      <c r="C214" s="10"/>
      <c r="D214" s="12"/>
      <c r="E214" s="10"/>
      <c r="F214" s="10"/>
    </row>
    <row r="215" customFormat="false" ht="15" hidden="false" customHeight="true" outlineLevel="0" collapsed="false">
      <c r="A215" s="10"/>
      <c r="B215" s="10"/>
      <c r="C215" s="10"/>
      <c r="D215" s="12"/>
      <c r="E215" s="10"/>
      <c r="F215" s="10"/>
    </row>
    <row r="216" customFormat="false" ht="15" hidden="false" customHeight="true" outlineLevel="0" collapsed="false">
      <c r="A216" s="10"/>
      <c r="B216" s="10"/>
      <c r="C216" s="10"/>
      <c r="D216" s="12"/>
      <c r="E216" s="10"/>
      <c r="F216" s="10"/>
    </row>
    <row r="217" customFormat="false" ht="15" hidden="false" customHeight="true" outlineLevel="0" collapsed="false">
      <c r="A217" s="10"/>
      <c r="B217" s="10"/>
      <c r="C217" s="10"/>
      <c r="D217" s="12"/>
      <c r="E217" s="10"/>
      <c r="F217" s="10"/>
    </row>
    <row r="218" customFormat="false" ht="15" hidden="false" customHeight="true" outlineLevel="0" collapsed="false">
      <c r="A218" s="10"/>
      <c r="B218" s="10"/>
      <c r="C218" s="10"/>
      <c r="D218" s="12"/>
      <c r="E218" s="10"/>
      <c r="F218" s="10"/>
    </row>
    <row r="219" customFormat="false" ht="15" hidden="false" customHeight="true" outlineLevel="0" collapsed="false">
      <c r="A219" s="10"/>
      <c r="B219" s="10"/>
      <c r="C219" s="10"/>
      <c r="D219" s="12"/>
      <c r="E219" s="10"/>
      <c r="F219" s="10"/>
    </row>
    <row r="220" customFormat="false" ht="15" hidden="false" customHeight="true" outlineLevel="0" collapsed="false">
      <c r="A220" s="10"/>
      <c r="B220" s="10"/>
      <c r="C220" s="10"/>
      <c r="D220" s="12"/>
      <c r="E220" s="10"/>
      <c r="F220" s="10"/>
    </row>
    <row r="221" customFormat="false" ht="15" hidden="false" customHeight="true" outlineLevel="0" collapsed="false">
      <c r="A221" s="10"/>
      <c r="B221" s="10"/>
      <c r="C221" s="10"/>
      <c r="D221" s="12"/>
      <c r="E221" s="10"/>
      <c r="F221" s="10"/>
    </row>
    <row r="222" customFormat="false" ht="15" hidden="false" customHeight="true" outlineLevel="0" collapsed="false">
      <c r="A222" s="10"/>
      <c r="B222" s="10"/>
      <c r="C222" s="10"/>
      <c r="D222" s="12"/>
      <c r="E222" s="10"/>
      <c r="F222" s="10"/>
    </row>
    <row r="223" customFormat="false" ht="15" hidden="false" customHeight="true" outlineLevel="0" collapsed="false">
      <c r="A223" s="10"/>
      <c r="B223" s="10"/>
      <c r="C223" s="10"/>
      <c r="D223" s="12"/>
      <c r="E223" s="10"/>
      <c r="F223" s="10"/>
    </row>
    <row r="224" customFormat="false" ht="15" hidden="false" customHeight="true" outlineLevel="0" collapsed="false">
      <c r="A224" s="10"/>
      <c r="B224" s="10"/>
      <c r="C224" s="10"/>
      <c r="D224" s="12"/>
      <c r="E224" s="10"/>
      <c r="F224" s="10"/>
    </row>
    <row r="225" customFormat="false" ht="15" hidden="false" customHeight="true" outlineLevel="0" collapsed="false">
      <c r="A225" s="10"/>
      <c r="B225" s="10"/>
      <c r="C225" s="10"/>
      <c r="D225" s="12"/>
      <c r="E225" s="10"/>
      <c r="F225" s="10"/>
    </row>
    <row r="226" customFormat="false" ht="15" hidden="false" customHeight="true" outlineLevel="0" collapsed="false">
      <c r="A226" s="10"/>
      <c r="B226" s="10"/>
      <c r="C226" s="10"/>
      <c r="D226" s="12"/>
      <c r="E226" s="10"/>
      <c r="F226" s="10"/>
    </row>
    <row r="227" customFormat="false" ht="15" hidden="false" customHeight="true" outlineLevel="0" collapsed="false">
      <c r="A227" s="10"/>
      <c r="B227" s="10"/>
      <c r="C227" s="10"/>
      <c r="D227" s="12"/>
      <c r="E227" s="10"/>
      <c r="F227" s="10"/>
    </row>
    <row r="228" customFormat="false" ht="15" hidden="false" customHeight="true" outlineLevel="0" collapsed="false">
      <c r="A228" s="10"/>
      <c r="B228" s="10"/>
      <c r="C228" s="10"/>
      <c r="D228" s="12"/>
      <c r="E228" s="10"/>
      <c r="F228" s="10"/>
    </row>
    <row r="229" customFormat="false" ht="15" hidden="false" customHeight="true" outlineLevel="0" collapsed="false">
      <c r="A229" s="10"/>
      <c r="B229" s="10"/>
      <c r="C229" s="10"/>
      <c r="D229" s="12"/>
      <c r="E229" s="10"/>
      <c r="F229" s="10"/>
    </row>
    <row r="230" customFormat="false" ht="15" hidden="false" customHeight="true" outlineLevel="0" collapsed="false">
      <c r="A230" s="10"/>
      <c r="B230" s="10"/>
      <c r="C230" s="10"/>
      <c r="D230" s="12"/>
      <c r="E230" s="10"/>
      <c r="F230" s="10"/>
    </row>
    <row r="231" customFormat="false" ht="15" hidden="false" customHeight="true" outlineLevel="0" collapsed="false">
      <c r="A231" s="10"/>
      <c r="B231" s="10"/>
      <c r="C231" s="10"/>
      <c r="D231" s="12"/>
      <c r="E231" s="10"/>
      <c r="F231" s="10"/>
    </row>
    <row r="232" customFormat="false" ht="15" hidden="false" customHeight="true" outlineLevel="0" collapsed="false">
      <c r="A232" s="10"/>
      <c r="B232" s="10"/>
      <c r="C232" s="10"/>
      <c r="D232" s="12"/>
      <c r="E232" s="10"/>
      <c r="F232" s="10"/>
    </row>
    <row r="233" customFormat="false" ht="15" hidden="false" customHeight="true" outlineLevel="0" collapsed="false">
      <c r="A233" s="10"/>
      <c r="B233" s="10"/>
      <c r="C233" s="10"/>
      <c r="D233" s="12"/>
      <c r="E233" s="10"/>
      <c r="F233" s="10"/>
    </row>
    <row r="234" customFormat="false" ht="15" hidden="false" customHeight="true" outlineLevel="0" collapsed="false">
      <c r="A234" s="10"/>
      <c r="B234" s="10"/>
      <c r="C234" s="10"/>
      <c r="D234" s="12"/>
      <c r="E234" s="10"/>
      <c r="F234" s="10"/>
    </row>
    <row r="235" customFormat="false" ht="15" hidden="false" customHeight="true" outlineLevel="0" collapsed="false">
      <c r="A235" s="10"/>
      <c r="B235" s="10"/>
      <c r="C235" s="10"/>
      <c r="D235" s="12"/>
      <c r="E235" s="10"/>
      <c r="F235" s="10"/>
    </row>
    <row r="236" customFormat="false" ht="15" hidden="false" customHeight="true" outlineLevel="0" collapsed="false">
      <c r="A236" s="10"/>
      <c r="B236" s="10"/>
      <c r="C236" s="10"/>
      <c r="D236" s="12"/>
      <c r="E236" s="10"/>
      <c r="F236" s="10"/>
    </row>
    <row r="237" customFormat="false" ht="15" hidden="false" customHeight="true" outlineLevel="0" collapsed="false">
      <c r="A237" s="10"/>
      <c r="B237" s="10"/>
      <c r="C237" s="10"/>
      <c r="D237" s="12"/>
      <c r="E237" s="10"/>
      <c r="F237" s="10"/>
    </row>
    <row r="238" customFormat="false" ht="15" hidden="false" customHeight="true" outlineLevel="0" collapsed="false">
      <c r="A238" s="10"/>
      <c r="B238" s="10"/>
      <c r="C238" s="10"/>
      <c r="D238" s="12"/>
      <c r="E238" s="10"/>
      <c r="F238" s="10"/>
    </row>
    <row r="239" customFormat="false" ht="15" hidden="false" customHeight="true" outlineLevel="0" collapsed="false">
      <c r="A239" s="10"/>
      <c r="B239" s="10"/>
      <c r="C239" s="10"/>
      <c r="D239" s="12"/>
      <c r="E239" s="10"/>
      <c r="F239" s="10"/>
    </row>
    <row r="240" customFormat="false" ht="15" hidden="false" customHeight="true" outlineLevel="0" collapsed="false">
      <c r="A240" s="10"/>
      <c r="B240" s="10"/>
      <c r="C240" s="10"/>
      <c r="D240" s="12"/>
      <c r="E240" s="10"/>
      <c r="F240" s="10"/>
    </row>
    <row r="241" customFormat="false" ht="15" hidden="false" customHeight="true" outlineLevel="0" collapsed="false">
      <c r="A241" s="10"/>
      <c r="B241" s="10"/>
      <c r="C241" s="10"/>
      <c r="D241" s="12"/>
      <c r="E241" s="10"/>
      <c r="F241" s="10"/>
    </row>
    <row r="242" customFormat="false" ht="15" hidden="false" customHeight="true" outlineLevel="0" collapsed="false">
      <c r="A242" s="10"/>
      <c r="B242" s="10"/>
      <c r="C242" s="10"/>
      <c r="D242" s="12"/>
      <c r="E242" s="10"/>
      <c r="F242" s="10"/>
    </row>
    <row r="243" customFormat="false" ht="15" hidden="false" customHeight="true" outlineLevel="0" collapsed="false">
      <c r="A243" s="10"/>
      <c r="B243" s="10"/>
      <c r="C243" s="10"/>
      <c r="D243" s="12"/>
      <c r="E243" s="10"/>
      <c r="F243" s="10"/>
    </row>
    <row r="244" customFormat="false" ht="15" hidden="false" customHeight="true" outlineLevel="0" collapsed="false">
      <c r="A244" s="10"/>
      <c r="B244" s="10"/>
      <c r="C244" s="10"/>
      <c r="D244" s="12"/>
      <c r="E244" s="10"/>
      <c r="F244" s="10"/>
    </row>
    <row r="245" customFormat="false" ht="15" hidden="false" customHeight="true" outlineLevel="0" collapsed="false">
      <c r="A245" s="10"/>
      <c r="B245" s="10"/>
      <c r="C245" s="10"/>
      <c r="D245" s="12"/>
      <c r="E245" s="10"/>
      <c r="F245" s="10"/>
    </row>
    <row r="246" customFormat="false" ht="15" hidden="false" customHeight="true" outlineLevel="0" collapsed="false">
      <c r="A246" s="10"/>
      <c r="B246" s="10"/>
      <c r="C246" s="10"/>
      <c r="D246" s="12"/>
      <c r="E246" s="10"/>
      <c r="F246" s="10"/>
    </row>
    <row r="247" customFormat="false" ht="15" hidden="false" customHeight="true" outlineLevel="0" collapsed="false">
      <c r="A247" s="10"/>
      <c r="B247" s="10"/>
      <c r="C247" s="10"/>
      <c r="D247" s="12"/>
      <c r="E247" s="10"/>
      <c r="F247" s="10"/>
    </row>
    <row r="248" customFormat="false" ht="15" hidden="false" customHeight="true" outlineLevel="0" collapsed="false">
      <c r="A248" s="10"/>
      <c r="B248" s="10"/>
      <c r="C248" s="10"/>
      <c r="D248" s="12"/>
      <c r="E248" s="10"/>
      <c r="F248" s="10"/>
    </row>
    <row r="249" customFormat="false" ht="15" hidden="false" customHeight="true" outlineLevel="0" collapsed="false">
      <c r="A249" s="10"/>
      <c r="B249" s="10"/>
      <c r="C249" s="10"/>
      <c r="D249" s="12"/>
      <c r="E249" s="10"/>
      <c r="F249" s="10"/>
    </row>
    <row r="250" customFormat="false" ht="15" hidden="false" customHeight="true" outlineLevel="0" collapsed="false">
      <c r="A250" s="10"/>
      <c r="B250" s="10"/>
      <c r="C250" s="10"/>
      <c r="D250" s="12"/>
      <c r="E250" s="10"/>
      <c r="F250" s="10"/>
    </row>
    <row r="251" customFormat="false" ht="15" hidden="false" customHeight="true" outlineLevel="0" collapsed="false">
      <c r="A251" s="10"/>
      <c r="B251" s="10"/>
      <c r="C251" s="10"/>
      <c r="D251" s="12"/>
      <c r="E251" s="10"/>
      <c r="F251" s="10"/>
    </row>
    <row r="252" customFormat="false" ht="15" hidden="false" customHeight="true" outlineLevel="0" collapsed="false">
      <c r="A252" s="10"/>
      <c r="B252" s="10"/>
      <c r="C252" s="10"/>
      <c r="D252" s="12"/>
      <c r="E252" s="10"/>
      <c r="F252" s="10"/>
    </row>
    <row r="253" customFormat="false" ht="15" hidden="false" customHeight="true" outlineLevel="0" collapsed="false">
      <c r="A253" s="10"/>
      <c r="B253" s="10"/>
      <c r="C253" s="10"/>
      <c r="D253" s="12"/>
      <c r="E253" s="10"/>
      <c r="F253" s="10"/>
    </row>
    <row r="254" customFormat="false" ht="15" hidden="false" customHeight="true" outlineLevel="0" collapsed="false">
      <c r="A254" s="10"/>
      <c r="B254" s="10"/>
      <c r="C254" s="10"/>
      <c r="D254" s="12"/>
      <c r="E254" s="10"/>
      <c r="F254" s="10"/>
    </row>
    <row r="255" customFormat="false" ht="15" hidden="false" customHeight="true" outlineLevel="0" collapsed="false">
      <c r="A255" s="10"/>
      <c r="B255" s="10"/>
      <c r="C255" s="10"/>
      <c r="D255" s="12"/>
      <c r="E255" s="10"/>
      <c r="F255" s="10"/>
    </row>
    <row r="256" customFormat="false" ht="15" hidden="false" customHeight="true" outlineLevel="0" collapsed="false">
      <c r="A256" s="10"/>
      <c r="B256" s="10"/>
      <c r="C256" s="10"/>
      <c r="D256" s="12"/>
      <c r="E256" s="10"/>
      <c r="F256" s="10"/>
    </row>
    <row r="257" customFormat="false" ht="15" hidden="false" customHeight="true" outlineLevel="0" collapsed="false">
      <c r="A257" s="10"/>
      <c r="B257" s="10"/>
      <c r="C257" s="10"/>
      <c r="D257" s="12"/>
      <c r="E257" s="10"/>
      <c r="F257" s="10"/>
    </row>
    <row r="258" customFormat="false" ht="15" hidden="false" customHeight="true" outlineLevel="0" collapsed="false">
      <c r="A258" s="10"/>
      <c r="B258" s="10"/>
      <c r="C258" s="10"/>
      <c r="D258" s="12"/>
      <c r="E258" s="10"/>
      <c r="F258" s="10"/>
    </row>
    <row r="259" customFormat="false" ht="15" hidden="false" customHeight="true" outlineLevel="0" collapsed="false">
      <c r="A259" s="10"/>
      <c r="B259" s="10"/>
      <c r="C259" s="10"/>
      <c r="D259" s="12"/>
      <c r="E259" s="10"/>
      <c r="F259" s="10"/>
    </row>
    <row r="260" customFormat="false" ht="15" hidden="false" customHeight="true" outlineLevel="0" collapsed="false">
      <c r="A260" s="10"/>
      <c r="B260" s="10"/>
      <c r="C260" s="10"/>
      <c r="D260" s="12"/>
      <c r="E260" s="10"/>
      <c r="F260" s="10"/>
    </row>
    <row r="261" customFormat="false" ht="15" hidden="false" customHeight="true" outlineLevel="0" collapsed="false">
      <c r="A261" s="10"/>
      <c r="B261" s="10"/>
      <c r="C261" s="10"/>
      <c r="D261" s="12"/>
      <c r="E261" s="10"/>
      <c r="F261" s="10"/>
    </row>
    <row r="262" customFormat="false" ht="15" hidden="false" customHeight="true" outlineLevel="0" collapsed="false">
      <c r="A262" s="10"/>
      <c r="B262" s="10"/>
      <c r="C262" s="10"/>
      <c r="D262" s="12"/>
      <c r="E262" s="10"/>
      <c r="F262" s="10"/>
    </row>
    <row r="263" customFormat="false" ht="15" hidden="false" customHeight="true" outlineLevel="0" collapsed="false">
      <c r="A263" s="10"/>
      <c r="B263" s="10"/>
      <c r="C263" s="10"/>
      <c r="D263" s="12"/>
      <c r="E263" s="10"/>
      <c r="F263" s="10"/>
    </row>
    <row r="264" customFormat="false" ht="15" hidden="false" customHeight="true" outlineLevel="0" collapsed="false">
      <c r="A264" s="10"/>
      <c r="B264" s="10"/>
      <c r="C264" s="10"/>
      <c r="D264" s="12"/>
      <c r="E264" s="10"/>
      <c r="F264" s="10"/>
    </row>
    <row r="265" customFormat="false" ht="15" hidden="false" customHeight="true" outlineLevel="0" collapsed="false">
      <c r="A265" s="10"/>
      <c r="B265" s="10"/>
      <c r="C265" s="10"/>
      <c r="D265" s="12"/>
      <c r="E265" s="10"/>
      <c r="F265" s="10"/>
    </row>
    <row r="266" customFormat="false" ht="15" hidden="false" customHeight="true" outlineLevel="0" collapsed="false">
      <c r="A266" s="10"/>
      <c r="B266" s="10"/>
      <c r="C266" s="10"/>
      <c r="D266" s="12"/>
      <c r="E266" s="10"/>
      <c r="F266" s="10"/>
    </row>
    <row r="267" customFormat="false" ht="15" hidden="false" customHeight="true" outlineLevel="0" collapsed="false">
      <c r="A267" s="10"/>
      <c r="B267" s="10"/>
      <c r="C267" s="10"/>
      <c r="D267" s="12"/>
      <c r="E267" s="10"/>
      <c r="F267" s="10"/>
    </row>
    <row r="268" customFormat="false" ht="15" hidden="false" customHeight="true" outlineLevel="0" collapsed="false">
      <c r="A268" s="10"/>
      <c r="B268" s="10"/>
      <c r="C268" s="10"/>
      <c r="D268" s="12"/>
      <c r="E268" s="10"/>
      <c r="F268" s="10"/>
    </row>
    <row r="269" customFormat="false" ht="15" hidden="false" customHeight="true" outlineLevel="0" collapsed="false">
      <c r="A269" s="10"/>
      <c r="B269" s="10"/>
      <c r="C269" s="10"/>
      <c r="D269" s="12"/>
      <c r="E269" s="10"/>
      <c r="F269" s="10"/>
    </row>
    <row r="270" customFormat="false" ht="15" hidden="false" customHeight="true" outlineLevel="0" collapsed="false">
      <c r="A270" s="10"/>
      <c r="B270" s="10"/>
      <c r="C270" s="10"/>
      <c r="D270" s="12"/>
      <c r="E270" s="10"/>
      <c r="F270" s="10"/>
    </row>
    <row r="271" customFormat="false" ht="15" hidden="false" customHeight="true" outlineLevel="0" collapsed="false">
      <c r="A271" s="10"/>
      <c r="B271" s="10"/>
      <c r="C271" s="10"/>
      <c r="D271" s="12"/>
      <c r="E271" s="10"/>
      <c r="F271" s="10"/>
    </row>
    <row r="272" customFormat="false" ht="15" hidden="false" customHeight="true" outlineLevel="0" collapsed="false">
      <c r="A272" s="10"/>
      <c r="B272" s="10"/>
      <c r="C272" s="10"/>
      <c r="D272" s="12"/>
      <c r="E272" s="10"/>
      <c r="F272" s="10"/>
    </row>
    <row r="273" customFormat="false" ht="15" hidden="false" customHeight="true" outlineLevel="0" collapsed="false">
      <c r="A273" s="10"/>
      <c r="B273" s="10"/>
      <c r="C273" s="10"/>
      <c r="D273" s="12"/>
      <c r="E273" s="10"/>
      <c r="F273" s="10"/>
    </row>
    <row r="274" customFormat="false" ht="15" hidden="false" customHeight="true" outlineLevel="0" collapsed="false">
      <c r="A274" s="10"/>
      <c r="B274" s="10"/>
      <c r="C274" s="10"/>
      <c r="D274" s="12"/>
      <c r="E274" s="10"/>
      <c r="F274" s="10"/>
    </row>
    <row r="275" customFormat="false" ht="15" hidden="false" customHeight="true" outlineLevel="0" collapsed="false">
      <c r="A275" s="10"/>
      <c r="B275" s="10"/>
      <c r="C275" s="10"/>
      <c r="D275" s="12"/>
      <c r="E275" s="10"/>
      <c r="F275" s="10"/>
    </row>
    <row r="276" customFormat="false" ht="15" hidden="false" customHeight="true" outlineLevel="0" collapsed="false">
      <c r="A276" s="10"/>
      <c r="B276" s="10"/>
      <c r="C276" s="10"/>
      <c r="D276" s="12"/>
      <c r="E276" s="10"/>
      <c r="F276" s="10"/>
    </row>
    <row r="277" customFormat="false" ht="15" hidden="false" customHeight="true" outlineLevel="0" collapsed="false">
      <c r="A277" s="10"/>
      <c r="B277" s="10"/>
      <c r="C277" s="10"/>
      <c r="D277" s="12"/>
      <c r="E277" s="10"/>
      <c r="F277" s="10"/>
    </row>
    <row r="278" customFormat="false" ht="15" hidden="false" customHeight="true" outlineLevel="0" collapsed="false">
      <c r="A278" s="10"/>
      <c r="B278" s="10"/>
      <c r="C278" s="10"/>
      <c r="D278" s="12"/>
      <c r="E278" s="10"/>
      <c r="F278" s="10"/>
    </row>
    <row r="279" customFormat="false" ht="15" hidden="false" customHeight="true" outlineLevel="0" collapsed="false">
      <c r="A279" s="10"/>
      <c r="B279" s="10"/>
      <c r="C279" s="10"/>
      <c r="D279" s="12"/>
      <c r="E279" s="10"/>
      <c r="F279" s="10"/>
    </row>
    <row r="280" customFormat="false" ht="15" hidden="false" customHeight="true" outlineLevel="0" collapsed="false">
      <c r="A280" s="10"/>
      <c r="B280" s="10"/>
      <c r="C280" s="10"/>
      <c r="D280" s="12"/>
      <c r="E280" s="10"/>
      <c r="F280" s="10"/>
    </row>
    <row r="281" customFormat="false" ht="15" hidden="false" customHeight="true" outlineLevel="0" collapsed="false">
      <c r="A281" s="10"/>
      <c r="B281" s="10"/>
      <c r="C281" s="10"/>
      <c r="D281" s="12"/>
      <c r="E281" s="10"/>
      <c r="F281" s="10"/>
    </row>
    <row r="282" customFormat="false" ht="15" hidden="false" customHeight="true" outlineLevel="0" collapsed="false">
      <c r="A282" s="10"/>
      <c r="B282" s="10"/>
      <c r="C282" s="10"/>
      <c r="D282" s="12"/>
      <c r="E282" s="10"/>
      <c r="F282" s="10"/>
    </row>
    <row r="283" customFormat="false" ht="15" hidden="false" customHeight="true" outlineLevel="0" collapsed="false">
      <c r="A283" s="10"/>
      <c r="B283" s="10"/>
      <c r="C283" s="10"/>
      <c r="D283" s="12"/>
      <c r="E283" s="10"/>
      <c r="F283" s="10"/>
    </row>
    <row r="284" customFormat="false" ht="15" hidden="false" customHeight="true" outlineLevel="0" collapsed="false">
      <c r="A284" s="10"/>
      <c r="B284" s="10"/>
      <c r="C284" s="10"/>
      <c r="D284" s="12"/>
      <c r="E284" s="10"/>
      <c r="F284" s="10"/>
    </row>
    <row r="285" customFormat="false" ht="15" hidden="false" customHeight="true" outlineLevel="0" collapsed="false">
      <c r="A285" s="10"/>
      <c r="B285" s="10"/>
      <c r="C285" s="10"/>
      <c r="D285" s="12"/>
      <c r="E285" s="10"/>
      <c r="F285" s="10"/>
    </row>
    <row r="286" customFormat="false" ht="15" hidden="false" customHeight="true" outlineLevel="0" collapsed="false">
      <c r="A286" s="10"/>
      <c r="B286" s="10"/>
      <c r="C286" s="10"/>
      <c r="D286" s="12"/>
      <c r="E286" s="10"/>
      <c r="F286" s="10"/>
    </row>
    <row r="287" customFormat="false" ht="15" hidden="false" customHeight="true" outlineLevel="0" collapsed="false">
      <c r="A287" s="10"/>
      <c r="B287" s="10"/>
      <c r="C287" s="10"/>
      <c r="D287" s="12"/>
      <c r="E287" s="10"/>
      <c r="F287" s="10"/>
    </row>
    <row r="288" customFormat="false" ht="15" hidden="false" customHeight="true" outlineLevel="0" collapsed="false">
      <c r="A288" s="10"/>
      <c r="B288" s="10"/>
      <c r="C288" s="10"/>
      <c r="D288" s="12"/>
      <c r="E288" s="10"/>
      <c r="F288" s="10"/>
    </row>
    <row r="289" customFormat="false" ht="15" hidden="false" customHeight="true" outlineLevel="0" collapsed="false">
      <c r="A289" s="10"/>
      <c r="B289" s="10"/>
      <c r="C289" s="10"/>
      <c r="D289" s="12"/>
      <c r="E289" s="10"/>
      <c r="F289" s="10"/>
    </row>
    <row r="290" customFormat="false" ht="15" hidden="false" customHeight="true" outlineLevel="0" collapsed="false">
      <c r="A290" s="10"/>
      <c r="B290" s="10"/>
      <c r="C290" s="10"/>
      <c r="D290" s="12"/>
      <c r="E290" s="10"/>
      <c r="F290" s="10"/>
    </row>
    <row r="291" customFormat="false" ht="15" hidden="false" customHeight="true" outlineLevel="0" collapsed="false">
      <c r="A291" s="10"/>
      <c r="B291" s="10"/>
      <c r="C291" s="10"/>
      <c r="D291" s="12"/>
      <c r="E291" s="10"/>
      <c r="F291" s="10"/>
    </row>
    <row r="292" customFormat="false" ht="15" hidden="false" customHeight="true" outlineLevel="0" collapsed="false">
      <c r="A292" s="10"/>
      <c r="B292" s="10"/>
      <c r="C292" s="10"/>
      <c r="D292" s="12"/>
      <c r="E292" s="10"/>
      <c r="F292" s="10"/>
    </row>
    <row r="293" customFormat="false" ht="15" hidden="false" customHeight="true" outlineLevel="0" collapsed="false">
      <c r="A293" s="10"/>
      <c r="B293" s="10"/>
      <c r="C293" s="10"/>
      <c r="D293" s="12"/>
      <c r="E293" s="10"/>
      <c r="F293" s="10"/>
    </row>
    <row r="294" customFormat="false" ht="15" hidden="false" customHeight="true" outlineLevel="0" collapsed="false">
      <c r="A294" s="10"/>
      <c r="B294" s="10"/>
      <c r="C294" s="10"/>
      <c r="D294" s="12"/>
      <c r="E294" s="10"/>
      <c r="F294" s="10"/>
    </row>
    <row r="295" customFormat="false" ht="15" hidden="false" customHeight="true" outlineLevel="0" collapsed="false">
      <c r="A295" s="10"/>
      <c r="B295" s="10"/>
      <c r="C295" s="10"/>
      <c r="D295" s="12"/>
      <c r="E295" s="10"/>
      <c r="F295" s="10"/>
    </row>
    <row r="296" customFormat="false" ht="15" hidden="false" customHeight="true" outlineLevel="0" collapsed="false">
      <c r="A296" s="10"/>
      <c r="B296" s="10"/>
      <c r="C296" s="10"/>
      <c r="D296" s="12"/>
      <c r="E296" s="10"/>
      <c r="F296" s="10"/>
    </row>
    <row r="297" customFormat="false" ht="15" hidden="false" customHeight="true" outlineLevel="0" collapsed="false">
      <c r="A297" s="10"/>
      <c r="B297" s="10"/>
      <c r="C297" s="10"/>
      <c r="D297" s="12"/>
      <c r="E297" s="10"/>
      <c r="F297" s="10"/>
    </row>
    <row r="298" customFormat="false" ht="15" hidden="false" customHeight="true" outlineLevel="0" collapsed="false">
      <c r="A298" s="10"/>
      <c r="B298" s="10"/>
      <c r="C298" s="10"/>
      <c r="D298" s="12"/>
      <c r="E298" s="10"/>
      <c r="F298" s="10"/>
    </row>
    <row r="299" customFormat="false" ht="15" hidden="false" customHeight="true" outlineLevel="0" collapsed="false">
      <c r="A299" s="10"/>
      <c r="B299" s="10"/>
      <c r="C299" s="10"/>
      <c r="D299" s="12"/>
      <c r="E299" s="10"/>
      <c r="F299" s="10"/>
    </row>
    <row r="300" customFormat="false" ht="15" hidden="false" customHeight="true" outlineLevel="0" collapsed="false">
      <c r="A300" s="10"/>
      <c r="B300" s="10"/>
      <c r="C300" s="10"/>
      <c r="D300" s="12"/>
      <c r="E300" s="10"/>
      <c r="F300" s="10"/>
    </row>
    <row r="301" customFormat="false" ht="15" hidden="false" customHeight="true" outlineLevel="0" collapsed="false">
      <c r="A301" s="10"/>
      <c r="B301" s="10"/>
      <c r="C301" s="10"/>
      <c r="D301" s="12"/>
      <c r="E301" s="10"/>
      <c r="F301" s="10"/>
    </row>
    <row r="302" customFormat="false" ht="15" hidden="false" customHeight="true" outlineLevel="0" collapsed="false">
      <c r="A302" s="10"/>
      <c r="B302" s="10"/>
      <c r="C302" s="10"/>
      <c r="D302" s="12"/>
      <c r="E302" s="10"/>
      <c r="F302" s="10"/>
    </row>
    <row r="303" customFormat="false" ht="15" hidden="false" customHeight="true" outlineLevel="0" collapsed="false">
      <c r="A303" s="10"/>
      <c r="B303" s="10"/>
      <c r="C303" s="10"/>
      <c r="D303" s="12"/>
      <c r="E303" s="10"/>
      <c r="F303" s="10"/>
    </row>
    <row r="304" customFormat="false" ht="15" hidden="false" customHeight="true" outlineLevel="0" collapsed="false">
      <c r="A304" s="10"/>
      <c r="B304" s="10"/>
      <c r="C304" s="10"/>
      <c r="D304" s="12"/>
      <c r="E304" s="10"/>
      <c r="F304" s="10"/>
    </row>
    <row r="305" customFormat="false" ht="15" hidden="false" customHeight="true" outlineLevel="0" collapsed="false">
      <c r="A305" s="10"/>
      <c r="B305" s="10"/>
      <c r="C305" s="10"/>
      <c r="D305" s="12"/>
      <c r="E305" s="10"/>
      <c r="F305" s="10"/>
    </row>
    <row r="306" customFormat="false" ht="15" hidden="false" customHeight="true" outlineLevel="0" collapsed="false">
      <c r="A306" s="10"/>
      <c r="B306" s="10"/>
      <c r="C306" s="10"/>
      <c r="D306" s="12"/>
      <c r="E306" s="10"/>
      <c r="F306" s="10"/>
    </row>
    <row r="307" customFormat="false" ht="15" hidden="false" customHeight="true" outlineLevel="0" collapsed="false">
      <c r="A307" s="10"/>
      <c r="B307" s="10"/>
      <c r="C307" s="10"/>
      <c r="D307" s="12"/>
      <c r="E307" s="10"/>
      <c r="F307" s="10"/>
    </row>
    <row r="308" customFormat="false" ht="15" hidden="false" customHeight="true" outlineLevel="0" collapsed="false">
      <c r="A308" s="10"/>
      <c r="B308" s="10"/>
      <c r="C308" s="10"/>
      <c r="D308" s="12"/>
      <c r="E308" s="10"/>
      <c r="F308" s="10"/>
    </row>
    <row r="309" customFormat="false" ht="15" hidden="false" customHeight="true" outlineLevel="0" collapsed="false">
      <c r="A309" s="10"/>
      <c r="B309" s="10"/>
      <c r="C309" s="10"/>
      <c r="D309" s="12"/>
      <c r="E309" s="10"/>
      <c r="F309" s="10"/>
    </row>
    <row r="310" customFormat="false" ht="15" hidden="false" customHeight="true" outlineLevel="0" collapsed="false">
      <c r="A310" s="10"/>
      <c r="B310" s="10"/>
      <c r="C310" s="10"/>
      <c r="D310" s="12"/>
      <c r="E310" s="10"/>
      <c r="F310" s="10"/>
    </row>
    <row r="311" customFormat="false" ht="15" hidden="false" customHeight="true" outlineLevel="0" collapsed="false">
      <c r="A311" s="10"/>
      <c r="B311" s="10"/>
      <c r="C311" s="10"/>
      <c r="D311" s="12"/>
      <c r="E311" s="10"/>
      <c r="F311" s="10"/>
    </row>
    <row r="312" customFormat="false" ht="15" hidden="false" customHeight="true" outlineLevel="0" collapsed="false">
      <c r="A312" s="10"/>
      <c r="B312" s="10"/>
      <c r="C312" s="10"/>
      <c r="D312" s="12"/>
      <c r="E312" s="10"/>
      <c r="F312" s="10"/>
    </row>
    <row r="313" customFormat="false" ht="15" hidden="false" customHeight="true" outlineLevel="0" collapsed="false">
      <c r="A313" s="10"/>
      <c r="B313" s="10"/>
      <c r="C313" s="10"/>
      <c r="D313" s="12"/>
      <c r="E313" s="10"/>
      <c r="F313" s="10"/>
    </row>
    <row r="314" customFormat="false" ht="15" hidden="false" customHeight="true" outlineLevel="0" collapsed="false">
      <c r="A314" s="10"/>
      <c r="B314" s="10"/>
      <c r="C314" s="10"/>
      <c r="D314" s="12"/>
      <c r="E314" s="10"/>
      <c r="F314" s="10"/>
    </row>
    <row r="315" customFormat="false" ht="15" hidden="false" customHeight="true" outlineLevel="0" collapsed="false">
      <c r="A315" s="10"/>
      <c r="B315" s="10"/>
      <c r="C315" s="10"/>
      <c r="D315" s="12"/>
      <c r="E315" s="10"/>
      <c r="F315" s="10"/>
    </row>
    <row r="316" customFormat="false" ht="15" hidden="false" customHeight="true" outlineLevel="0" collapsed="false">
      <c r="A316" s="10"/>
      <c r="B316" s="10"/>
      <c r="C316" s="10"/>
      <c r="D316" s="12"/>
      <c r="E316" s="10"/>
      <c r="F316" s="10"/>
    </row>
    <row r="317" customFormat="false" ht="15" hidden="false" customHeight="true" outlineLevel="0" collapsed="false">
      <c r="A317" s="10"/>
      <c r="B317" s="10"/>
      <c r="C317" s="10"/>
      <c r="D317" s="12"/>
      <c r="E317" s="10"/>
      <c r="F317" s="10"/>
    </row>
    <row r="318" customFormat="false" ht="15" hidden="false" customHeight="true" outlineLevel="0" collapsed="false">
      <c r="A318" s="10"/>
      <c r="B318" s="10"/>
      <c r="C318" s="10"/>
      <c r="D318" s="12"/>
      <c r="E318" s="10"/>
      <c r="F318" s="10"/>
    </row>
    <row r="319" customFormat="false" ht="15" hidden="false" customHeight="true" outlineLevel="0" collapsed="false">
      <c r="A319" s="10"/>
      <c r="B319" s="10"/>
      <c r="C319" s="10"/>
      <c r="D319" s="12"/>
      <c r="E319" s="10"/>
      <c r="F319" s="10"/>
    </row>
    <row r="320" customFormat="false" ht="15" hidden="false" customHeight="true" outlineLevel="0" collapsed="false">
      <c r="A320" s="10"/>
      <c r="B320" s="10"/>
      <c r="C320" s="10"/>
      <c r="D320" s="12"/>
      <c r="E320" s="10"/>
      <c r="F320" s="10"/>
    </row>
    <row r="321" customFormat="false" ht="15" hidden="false" customHeight="true" outlineLevel="0" collapsed="false">
      <c r="A321" s="10"/>
      <c r="B321" s="10"/>
      <c r="C321" s="10"/>
      <c r="D321" s="12"/>
      <c r="E321" s="10"/>
      <c r="F321" s="10"/>
    </row>
    <row r="322" customFormat="false" ht="15" hidden="false" customHeight="true" outlineLevel="0" collapsed="false">
      <c r="A322" s="10"/>
      <c r="B322" s="10"/>
      <c r="C322" s="10"/>
      <c r="D322" s="12"/>
      <c r="E322" s="10"/>
      <c r="F322" s="10"/>
    </row>
    <row r="323" customFormat="false" ht="15" hidden="false" customHeight="true" outlineLevel="0" collapsed="false">
      <c r="A323" s="10"/>
      <c r="B323" s="10"/>
      <c r="C323" s="10"/>
      <c r="D323" s="12"/>
      <c r="E323" s="10"/>
      <c r="F323" s="10"/>
    </row>
    <row r="324" customFormat="false" ht="15" hidden="false" customHeight="true" outlineLevel="0" collapsed="false">
      <c r="A324" s="10"/>
      <c r="B324" s="10"/>
      <c r="C324" s="10"/>
      <c r="D324" s="12"/>
      <c r="E324" s="10"/>
      <c r="F324" s="10"/>
    </row>
    <row r="325" customFormat="false" ht="15" hidden="false" customHeight="true" outlineLevel="0" collapsed="false">
      <c r="A325" s="10"/>
      <c r="B325" s="10"/>
      <c r="C325" s="10"/>
      <c r="D325" s="12"/>
      <c r="E325" s="10"/>
      <c r="F325" s="10"/>
    </row>
    <row r="326" customFormat="false" ht="15" hidden="false" customHeight="true" outlineLevel="0" collapsed="false">
      <c r="A326" s="10"/>
      <c r="B326" s="10"/>
      <c r="C326" s="10"/>
      <c r="D326" s="12"/>
      <c r="E326" s="10"/>
      <c r="F326" s="10"/>
    </row>
    <row r="327" customFormat="false" ht="15" hidden="false" customHeight="true" outlineLevel="0" collapsed="false">
      <c r="A327" s="10"/>
      <c r="B327" s="10"/>
      <c r="C327" s="10"/>
      <c r="D327" s="12"/>
      <c r="E327" s="10"/>
      <c r="F327" s="10"/>
    </row>
    <row r="328" customFormat="false" ht="15" hidden="false" customHeight="true" outlineLevel="0" collapsed="false">
      <c r="A328" s="10"/>
      <c r="B328" s="10"/>
      <c r="C328" s="10"/>
      <c r="D328" s="12"/>
      <c r="E328" s="10"/>
      <c r="F328" s="10"/>
    </row>
    <row r="329" customFormat="false" ht="15" hidden="false" customHeight="true" outlineLevel="0" collapsed="false">
      <c r="A329" s="10"/>
      <c r="B329" s="10"/>
      <c r="C329" s="10"/>
      <c r="D329" s="12"/>
      <c r="E329" s="10"/>
      <c r="F329" s="10"/>
    </row>
    <row r="330" customFormat="false" ht="15" hidden="false" customHeight="true" outlineLevel="0" collapsed="false">
      <c r="A330" s="10"/>
      <c r="B330" s="10"/>
      <c r="C330" s="10"/>
      <c r="D330" s="12"/>
      <c r="E330" s="10"/>
      <c r="F330" s="10"/>
    </row>
    <row r="331" customFormat="false" ht="15" hidden="false" customHeight="true" outlineLevel="0" collapsed="false">
      <c r="A331" s="10"/>
      <c r="B331" s="10"/>
      <c r="C331" s="10"/>
      <c r="D331" s="12"/>
      <c r="E331" s="10"/>
      <c r="F331" s="10"/>
    </row>
    <row r="332" customFormat="false" ht="15" hidden="false" customHeight="true" outlineLevel="0" collapsed="false">
      <c r="A332" s="10"/>
      <c r="B332" s="10"/>
      <c r="C332" s="10"/>
      <c r="D332" s="12"/>
      <c r="E332" s="10"/>
      <c r="F332" s="10"/>
    </row>
    <row r="333" customFormat="false" ht="15" hidden="false" customHeight="true" outlineLevel="0" collapsed="false">
      <c r="A333" s="10"/>
      <c r="B333" s="10"/>
      <c r="C333" s="10"/>
      <c r="D333" s="12"/>
      <c r="E333" s="10"/>
      <c r="F333" s="10"/>
    </row>
    <row r="334" customFormat="false" ht="15" hidden="false" customHeight="true" outlineLevel="0" collapsed="false">
      <c r="A334" s="10"/>
      <c r="B334" s="10"/>
      <c r="C334" s="10"/>
      <c r="D334" s="12"/>
      <c r="E334" s="10"/>
      <c r="F334" s="10"/>
    </row>
    <row r="335" customFormat="false" ht="15" hidden="false" customHeight="true" outlineLevel="0" collapsed="false">
      <c r="A335" s="10"/>
      <c r="B335" s="10"/>
      <c r="C335" s="10"/>
      <c r="D335" s="12"/>
      <c r="E335" s="10"/>
      <c r="F335" s="10"/>
    </row>
    <row r="336" customFormat="false" ht="15" hidden="false" customHeight="true" outlineLevel="0" collapsed="false">
      <c r="A336" s="10"/>
      <c r="B336" s="10"/>
      <c r="C336" s="10"/>
      <c r="D336" s="12"/>
      <c r="E336" s="10"/>
      <c r="F336" s="10"/>
    </row>
    <row r="337" customFormat="false" ht="15" hidden="false" customHeight="true" outlineLevel="0" collapsed="false">
      <c r="A337" s="10"/>
      <c r="B337" s="10"/>
      <c r="C337" s="10"/>
      <c r="D337" s="12"/>
      <c r="E337" s="10"/>
      <c r="F337" s="10"/>
    </row>
    <row r="338" customFormat="false" ht="15" hidden="false" customHeight="true" outlineLevel="0" collapsed="false">
      <c r="A338" s="10"/>
      <c r="B338" s="10"/>
      <c r="C338" s="10"/>
      <c r="D338" s="12"/>
      <c r="E338" s="10"/>
      <c r="F338" s="10"/>
    </row>
    <row r="339" customFormat="false" ht="15" hidden="false" customHeight="true" outlineLevel="0" collapsed="false">
      <c r="A339" s="10"/>
      <c r="B339" s="10"/>
      <c r="C339" s="10"/>
      <c r="D339" s="12"/>
      <c r="E339" s="10"/>
      <c r="F339" s="10"/>
    </row>
    <row r="340" customFormat="false" ht="15" hidden="false" customHeight="true" outlineLevel="0" collapsed="false">
      <c r="A340" s="10"/>
      <c r="B340" s="10"/>
      <c r="C340" s="10"/>
      <c r="D340" s="12"/>
      <c r="E340" s="10"/>
      <c r="F340" s="10"/>
    </row>
    <row r="341" customFormat="false" ht="15" hidden="false" customHeight="true" outlineLevel="0" collapsed="false">
      <c r="A341" s="10"/>
      <c r="B341" s="10"/>
      <c r="C341" s="10"/>
      <c r="D341" s="12"/>
      <c r="E341" s="10"/>
      <c r="F341" s="10"/>
    </row>
    <row r="342" customFormat="false" ht="15" hidden="false" customHeight="true" outlineLevel="0" collapsed="false">
      <c r="A342" s="10"/>
      <c r="B342" s="10"/>
      <c r="C342" s="10"/>
      <c r="D342" s="12"/>
      <c r="E342" s="10"/>
      <c r="F342" s="10"/>
    </row>
    <row r="343" customFormat="false" ht="15" hidden="false" customHeight="true" outlineLevel="0" collapsed="false">
      <c r="A343" s="10"/>
      <c r="B343" s="10"/>
      <c r="C343" s="10"/>
      <c r="D343" s="12"/>
      <c r="E343" s="10"/>
      <c r="F343" s="10"/>
    </row>
    <row r="344" customFormat="false" ht="15" hidden="false" customHeight="true" outlineLevel="0" collapsed="false">
      <c r="A344" s="10"/>
      <c r="B344" s="10"/>
      <c r="C344" s="10"/>
      <c r="D344" s="12"/>
      <c r="E344" s="10"/>
      <c r="F344" s="10"/>
    </row>
    <row r="345" customFormat="false" ht="15" hidden="false" customHeight="true" outlineLevel="0" collapsed="false">
      <c r="A345" s="10"/>
      <c r="B345" s="10"/>
      <c r="C345" s="10"/>
      <c r="D345" s="12"/>
      <c r="E345" s="10"/>
      <c r="F345" s="10"/>
    </row>
    <row r="346" customFormat="false" ht="15" hidden="false" customHeight="true" outlineLevel="0" collapsed="false">
      <c r="A346" s="10"/>
      <c r="B346" s="10"/>
      <c r="C346" s="10"/>
      <c r="D346" s="12"/>
      <c r="E346" s="10"/>
      <c r="F346" s="10"/>
    </row>
    <row r="347" customFormat="false" ht="15" hidden="false" customHeight="true" outlineLevel="0" collapsed="false">
      <c r="A347" s="10"/>
      <c r="B347" s="10"/>
      <c r="C347" s="10"/>
      <c r="D347" s="12"/>
      <c r="E347" s="10"/>
      <c r="F347" s="10"/>
    </row>
    <row r="348" customFormat="false" ht="15" hidden="false" customHeight="true" outlineLevel="0" collapsed="false">
      <c r="A348" s="10"/>
      <c r="B348" s="10"/>
      <c r="C348" s="10"/>
      <c r="D348" s="12"/>
      <c r="E348" s="10"/>
      <c r="F348" s="10"/>
    </row>
    <row r="349" customFormat="false" ht="15" hidden="false" customHeight="true" outlineLevel="0" collapsed="false">
      <c r="A349" s="10"/>
      <c r="B349" s="10"/>
      <c r="C349" s="10"/>
      <c r="D349" s="12"/>
      <c r="E349" s="10"/>
      <c r="F349" s="10"/>
    </row>
    <row r="350" customFormat="false" ht="15" hidden="false" customHeight="true" outlineLevel="0" collapsed="false">
      <c r="A350" s="10"/>
      <c r="B350" s="10"/>
      <c r="C350" s="10"/>
      <c r="D350" s="12"/>
      <c r="E350" s="10"/>
      <c r="F350" s="10"/>
    </row>
    <row r="351" customFormat="false" ht="15" hidden="false" customHeight="true" outlineLevel="0" collapsed="false">
      <c r="A351" s="10"/>
      <c r="B351" s="10"/>
      <c r="C351" s="10"/>
      <c r="D351" s="12"/>
      <c r="E351" s="10"/>
      <c r="F351" s="10"/>
    </row>
    <row r="352" customFormat="false" ht="15" hidden="false" customHeight="true" outlineLevel="0" collapsed="false">
      <c r="A352" s="10"/>
      <c r="B352" s="10"/>
      <c r="C352" s="10"/>
      <c r="D352" s="12"/>
      <c r="E352" s="10"/>
      <c r="F352" s="10"/>
    </row>
    <row r="353" customFormat="false" ht="15" hidden="false" customHeight="true" outlineLevel="0" collapsed="false">
      <c r="A353" s="10"/>
      <c r="B353" s="10"/>
      <c r="C353" s="10"/>
      <c r="D353" s="12"/>
      <c r="E353" s="10"/>
      <c r="F353" s="10"/>
    </row>
    <row r="354" customFormat="false" ht="15" hidden="false" customHeight="true" outlineLevel="0" collapsed="false">
      <c r="A354" s="10"/>
      <c r="B354" s="10"/>
      <c r="C354" s="10"/>
      <c r="D354" s="12"/>
      <c r="E354" s="10"/>
      <c r="F354" s="10"/>
    </row>
    <row r="355" customFormat="false" ht="15" hidden="false" customHeight="true" outlineLevel="0" collapsed="false">
      <c r="A355" s="10"/>
      <c r="B355" s="10"/>
      <c r="C355" s="10"/>
      <c r="D355" s="12"/>
      <c r="E355" s="10"/>
      <c r="F355" s="10"/>
    </row>
    <row r="356" customFormat="false" ht="15" hidden="false" customHeight="true" outlineLevel="0" collapsed="false">
      <c r="A356" s="10"/>
      <c r="B356" s="10"/>
      <c r="C356" s="10"/>
      <c r="D356" s="12"/>
      <c r="E356" s="10"/>
      <c r="F356" s="10"/>
    </row>
    <row r="357" customFormat="false" ht="15" hidden="false" customHeight="true" outlineLevel="0" collapsed="false">
      <c r="A357" s="10"/>
      <c r="B357" s="10"/>
      <c r="C357" s="10"/>
      <c r="D357" s="12"/>
      <c r="E357" s="10"/>
      <c r="F357" s="10"/>
    </row>
    <row r="358" customFormat="false" ht="15" hidden="false" customHeight="true" outlineLevel="0" collapsed="false">
      <c r="A358" s="10"/>
      <c r="B358" s="10"/>
      <c r="C358" s="10"/>
      <c r="D358" s="12"/>
      <c r="E358" s="10"/>
      <c r="F358" s="10"/>
    </row>
    <row r="359" customFormat="false" ht="15" hidden="false" customHeight="true" outlineLevel="0" collapsed="false">
      <c r="A359" s="10"/>
      <c r="B359" s="10"/>
      <c r="C359" s="10"/>
      <c r="D359" s="12"/>
      <c r="E359" s="10"/>
      <c r="F359" s="10"/>
    </row>
    <row r="360" customFormat="false" ht="15" hidden="false" customHeight="true" outlineLevel="0" collapsed="false">
      <c r="A360" s="10"/>
      <c r="B360" s="10"/>
      <c r="C360" s="10"/>
      <c r="D360" s="12"/>
      <c r="E360" s="10"/>
      <c r="F360" s="10"/>
    </row>
    <row r="361" customFormat="false" ht="15" hidden="false" customHeight="true" outlineLevel="0" collapsed="false">
      <c r="A361" s="10"/>
      <c r="B361" s="10"/>
      <c r="C361" s="10"/>
      <c r="D361" s="12"/>
      <c r="E361" s="10"/>
      <c r="F361" s="10"/>
    </row>
    <row r="362" customFormat="false" ht="15" hidden="false" customHeight="true" outlineLevel="0" collapsed="false">
      <c r="A362" s="10"/>
      <c r="B362" s="10"/>
      <c r="C362" s="10"/>
      <c r="D362" s="12"/>
      <c r="E362" s="10"/>
      <c r="F362" s="10"/>
    </row>
    <row r="363" customFormat="false" ht="15" hidden="false" customHeight="true" outlineLevel="0" collapsed="false">
      <c r="A363" s="10"/>
      <c r="B363" s="10"/>
      <c r="C363" s="10"/>
      <c r="D363" s="12"/>
      <c r="E363" s="10"/>
      <c r="F363" s="10"/>
    </row>
    <row r="364" customFormat="false" ht="15" hidden="false" customHeight="true" outlineLevel="0" collapsed="false">
      <c r="A364" s="10"/>
      <c r="B364" s="10"/>
      <c r="C364" s="10"/>
      <c r="D364" s="12"/>
      <c r="E364" s="10"/>
      <c r="F364" s="10"/>
    </row>
    <row r="365" customFormat="false" ht="15" hidden="false" customHeight="true" outlineLevel="0" collapsed="false">
      <c r="A365" s="10"/>
      <c r="B365" s="10"/>
      <c r="C365" s="10"/>
      <c r="D365" s="12"/>
      <c r="E365" s="10"/>
      <c r="F365" s="10"/>
    </row>
    <row r="366" customFormat="false" ht="15" hidden="false" customHeight="true" outlineLevel="0" collapsed="false">
      <c r="A366" s="10"/>
      <c r="B366" s="10"/>
      <c r="C366" s="10"/>
      <c r="D366" s="12"/>
      <c r="E366" s="10"/>
      <c r="F366" s="10"/>
    </row>
    <row r="367" customFormat="false" ht="15" hidden="false" customHeight="true" outlineLevel="0" collapsed="false">
      <c r="A367" s="10"/>
      <c r="B367" s="10"/>
      <c r="C367" s="10"/>
      <c r="D367" s="12"/>
      <c r="E367" s="10"/>
      <c r="F367" s="10"/>
    </row>
    <row r="368" customFormat="false" ht="15" hidden="false" customHeight="true" outlineLevel="0" collapsed="false">
      <c r="A368" s="10"/>
      <c r="B368" s="10"/>
      <c r="C368" s="10"/>
      <c r="D368" s="12"/>
      <c r="E368" s="10"/>
      <c r="F368" s="10"/>
    </row>
    <row r="369" customFormat="false" ht="15" hidden="false" customHeight="true" outlineLevel="0" collapsed="false">
      <c r="A369" s="10"/>
      <c r="B369" s="10"/>
      <c r="C369" s="10"/>
      <c r="D369" s="12"/>
      <c r="E369" s="10"/>
      <c r="F369" s="10"/>
    </row>
    <row r="370" customFormat="false" ht="15" hidden="false" customHeight="true" outlineLevel="0" collapsed="false">
      <c r="A370" s="10"/>
      <c r="B370" s="10"/>
      <c r="C370" s="10"/>
      <c r="D370" s="12"/>
      <c r="E370" s="10"/>
      <c r="F370" s="10"/>
    </row>
    <row r="371" customFormat="false" ht="15" hidden="false" customHeight="true" outlineLevel="0" collapsed="false">
      <c r="A371" s="10"/>
      <c r="B371" s="10"/>
      <c r="C371" s="10"/>
      <c r="D371" s="12"/>
      <c r="E371" s="10"/>
      <c r="F371" s="10"/>
    </row>
    <row r="372" customFormat="false" ht="15" hidden="false" customHeight="true" outlineLevel="0" collapsed="false">
      <c r="A372" s="10"/>
      <c r="B372" s="10"/>
      <c r="C372" s="10"/>
      <c r="D372" s="12"/>
      <c r="E372" s="10"/>
      <c r="F372" s="10"/>
    </row>
    <row r="373" customFormat="false" ht="15" hidden="false" customHeight="true" outlineLevel="0" collapsed="false">
      <c r="A373" s="10"/>
      <c r="B373" s="10"/>
      <c r="C373" s="10"/>
      <c r="D373" s="12"/>
      <c r="E373" s="10"/>
      <c r="F373" s="10"/>
    </row>
    <row r="374" customFormat="false" ht="15" hidden="false" customHeight="true" outlineLevel="0" collapsed="false">
      <c r="A374" s="10"/>
      <c r="B374" s="10"/>
      <c r="C374" s="10"/>
      <c r="D374" s="12"/>
      <c r="E374" s="10"/>
      <c r="F374" s="10"/>
    </row>
    <row r="375" customFormat="false" ht="15" hidden="false" customHeight="true" outlineLevel="0" collapsed="false">
      <c r="A375" s="10"/>
      <c r="B375" s="10"/>
      <c r="C375" s="10"/>
      <c r="D375" s="12"/>
      <c r="E375" s="10"/>
      <c r="F375" s="10"/>
    </row>
    <row r="376" customFormat="false" ht="15" hidden="false" customHeight="true" outlineLevel="0" collapsed="false">
      <c r="A376" s="10"/>
      <c r="B376" s="10"/>
      <c r="C376" s="10"/>
      <c r="D376" s="12"/>
      <c r="E376" s="10"/>
      <c r="F376" s="10"/>
    </row>
    <row r="377" customFormat="false" ht="15" hidden="false" customHeight="true" outlineLevel="0" collapsed="false">
      <c r="A377" s="10"/>
      <c r="B377" s="10"/>
      <c r="C377" s="10"/>
      <c r="D377" s="12"/>
      <c r="E377" s="10"/>
      <c r="F377" s="10"/>
    </row>
    <row r="378" customFormat="false" ht="15" hidden="false" customHeight="true" outlineLevel="0" collapsed="false">
      <c r="A378" s="10"/>
      <c r="B378" s="10"/>
      <c r="C378" s="10"/>
      <c r="D378" s="12"/>
      <c r="E378" s="10"/>
      <c r="F378" s="10"/>
    </row>
    <row r="379" customFormat="false" ht="15" hidden="false" customHeight="true" outlineLevel="0" collapsed="false">
      <c r="A379" s="10"/>
      <c r="B379" s="10"/>
      <c r="C379" s="10"/>
      <c r="D379" s="12"/>
      <c r="E379" s="10"/>
      <c r="F379" s="10"/>
    </row>
    <row r="380" customFormat="false" ht="15" hidden="false" customHeight="true" outlineLevel="0" collapsed="false">
      <c r="A380" s="10"/>
      <c r="B380" s="10"/>
      <c r="C380" s="10"/>
      <c r="D380" s="12"/>
      <c r="E380" s="10"/>
      <c r="F380" s="10"/>
    </row>
    <row r="381" customFormat="false" ht="15" hidden="false" customHeight="true" outlineLevel="0" collapsed="false">
      <c r="A381" s="10"/>
      <c r="B381" s="10"/>
      <c r="C381" s="10"/>
      <c r="D381" s="12"/>
      <c r="E381" s="10"/>
      <c r="F381" s="10"/>
    </row>
    <row r="382" customFormat="false" ht="15" hidden="false" customHeight="true" outlineLevel="0" collapsed="false">
      <c r="A382" s="10"/>
      <c r="B382" s="10"/>
      <c r="C382" s="10"/>
      <c r="D382" s="12"/>
      <c r="E382" s="10"/>
      <c r="F382" s="10"/>
    </row>
    <row r="383" customFormat="false" ht="15" hidden="false" customHeight="true" outlineLevel="0" collapsed="false">
      <c r="A383" s="10"/>
      <c r="B383" s="10"/>
      <c r="C383" s="10"/>
      <c r="D383" s="12"/>
      <c r="E383" s="10"/>
      <c r="F383" s="10"/>
    </row>
    <row r="384" customFormat="false" ht="15" hidden="false" customHeight="true" outlineLevel="0" collapsed="false">
      <c r="A384" s="10"/>
      <c r="B384" s="10"/>
      <c r="C384" s="10"/>
      <c r="D384" s="12"/>
      <c r="E384" s="10"/>
      <c r="F384" s="10"/>
    </row>
    <row r="385" customFormat="false" ht="15" hidden="false" customHeight="true" outlineLevel="0" collapsed="false">
      <c r="A385" s="10"/>
      <c r="B385" s="10"/>
      <c r="C385" s="10"/>
      <c r="D385" s="12"/>
      <c r="E385" s="10"/>
      <c r="F385" s="10"/>
    </row>
    <row r="386" customFormat="false" ht="15" hidden="false" customHeight="true" outlineLevel="0" collapsed="false">
      <c r="A386" s="10"/>
      <c r="B386" s="10"/>
      <c r="C386" s="10"/>
      <c r="D386" s="12"/>
      <c r="E386" s="10"/>
      <c r="F386" s="10"/>
    </row>
    <row r="387" customFormat="false" ht="15" hidden="false" customHeight="true" outlineLevel="0" collapsed="false">
      <c r="A387" s="10"/>
      <c r="B387" s="10"/>
      <c r="C387" s="10"/>
      <c r="D387" s="12"/>
      <c r="E387" s="10"/>
      <c r="F387" s="10"/>
    </row>
    <row r="388" customFormat="false" ht="15" hidden="false" customHeight="true" outlineLevel="0" collapsed="false">
      <c r="A388" s="10"/>
      <c r="B388" s="10"/>
      <c r="C388" s="10"/>
      <c r="D388" s="12"/>
      <c r="E388" s="10"/>
      <c r="F388" s="10"/>
    </row>
    <row r="389" customFormat="false" ht="15" hidden="false" customHeight="true" outlineLevel="0" collapsed="false">
      <c r="A389" s="10"/>
      <c r="B389" s="10"/>
      <c r="C389" s="10"/>
      <c r="D389" s="12"/>
      <c r="E389" s="10"/>
      <c r="F389" s="10"/>
    </row>
    <row r="390" customFormat="false" ht="15" hidden="false" customHeight="true" outlineLevel="0" collapsed="false">
      <c r="A390" s="10"/>
      <c r="B390" s="10"/>
      <c r="C390" s="10"/>
      <c r="D390" s="12"/>
      <c r="E390" s="10"/>
      <c r="F390" s="10"/>
    </row>
    <row r="391" customFormat="false" ht="15" hidden="false" customHeight="true" outlineLevel="0" collapsed="false">
      <c r="A391" s="10"/>
      <c r="B391" s="10"/>
      <c r="C391" s="10"/>
      <c r="D391" s="12"/>
      <c r="E391" s="10"/>
      <c r="F391" s="10"/>
    </row>
    <row r="392" customFormat="false" ht="15" hidden="false" customHeight="true" outlineLevel="0" collapsed="false">
      <c r="A392" s="10"/>
      <c r="B392" s="10"/>
      <c r="C392" s="10"/>
      <c r="D392" s="12"/>
      <c r="E392" s="10"/>
      <c r="F392" s="10"/>
    </row>
    <row r="393" customFormat="false" ht="15" hidden="false" customHeight="true" outlineLevel="0" collapsed="false">
      <c r="A393" s="10"/>
      <c r="B393" s="10"/>
      <c r="C393" s="10"/>
      <c r="D393" s="12"/>
      <c r="E393" s="10"/>
      <c r="F393" s="10"/>
    </row>
    <row r="394" customFormat="false" ht="15" hidden="false" customHeight="true" outlineLevel="0" collapsed="false">
      <c r="A394" s="10"/>
      <c r="B394" s="10"/>
      <c r="C394" s="10"/>
      <c r="D394" s="12"/>
      <c r="E394" s="10"/>
      <c r="F394" s="10"/>
    </row>
    <row r="395" customFormat="false" ht="15" hidden="false" customHeight="true" outlineLevel="0" collapsed="false">
      <c r="A395" s="10"/>
      <c r="B395" s="10"/>
      <c r="C395" s="10"/>
      <c r="D395" s="12"/>
      <c r="E395" s="10"/>
      <c r="F395" s="10"/>
    </row>
    <row r="396" customFormat="false" ht="15" hidden="false" customHeight="true" outlineLevel="0" collapsed="false">
      <c r="A396" s="10"/>
      <c r="B396" s="10"/>
      <c r="C396" s="10"/>
      <c r="D396" s="12"/>
      <c r="E396" s="10"/>
      <c r="F396" s="10"/>
    </row>
    <row r="397" customFormat="false" ht="15" hidden="false" customHeight="true" outlineLevel="0" collapsed="false">
      <c r="A397" s="10"/>
      <c r="B397" s="10"/>
      <c r="C397" s="10"/>
      <c r="D397" s="12"/>
      <c r="E397" s="10"/>
      <c r="F397" s="10"/>
    </row>
    <row r="398" customFormat="false" ht="15" hidden="false" customHeight="true" outlineLevel="0" collapsed="false">
      <c r="A398" s="10"/>
      <c r="B398" s="10"/>
      <c r="C398" s="10"/>
      <c r="D398" s="12"/>
      <c r="E398" s="10"/>
      <c r="F398" s="10"/>
    </row>
    <row r="399" customFormat="false" ht="15" hidden="false" customHeight="true" outlineLevel="0" collapsed="false">
      <c r="A399" s="10"/>
      <c r="B399" s="10"/>
      <c r="C399" s="10"/>
      <c r="D399" s="12"/>
      <c r="E399" s="10"/>
      <c r="F399" s="10"/>
    </row>
    <row r="400" customFormat="false" ht="15" hidden="false" customHeight="true" outlineLevel="0" collapsed="false">
      <c r="A400" s="10"/>
      <c r="B400" s="10"/>
      <c r="C400" s="10"/>
      <c r="D400" s="12"/>
      <c r="E400" s="10"/>
      <c r="F400" s="10"/>
    </row>
    <row r="401" customFormat="false" ht="15" hidden="false" customHeight="true" outlineLevel="0" collapsed="false">
      <c r="A401" s="10"/>
      <c r="B401" s="10"/>
      <c r="C401" s="10"/>
      <c r="D401" s="12"/>
      <c r="E401" s="10"/>
      <c r="F401" s="10"/>
    </row>
    <row r="402" customFormat="false" ht="15" hidden="false" customHeight="true" outlineLevel="0" collapsed="false">
      <c r="A402" s="10"/>
      <c r="B402" s="10"/>
      <c r="C402" s="10"/>
      <c r="D402" s="12"/>
      <c r="E402" s="10"/>
      <c r="F402" s="10"/>
    </row>
    <row r="403" customFormat="false" ht="15" hidden="false" customHeight="true" outlineLevel="0" collapsed="false">
      <c r="A403" s="10"/>
      <c r="B403" s="10"/>
      <c r="C403" s="10"/>
      <c r="D403" s="12"/>
      <c r="E403" s="10"/>
      <c r="F403" s="10"/>
    </row>
    <row r="404" customFormat="false" ht="15" hidden="false" customHeight="true" outlineLevel="0" collapsed="false">
      <c r="A404" s="10"/>
      <c r="B404" s="10"/>
      <c r="C404" s="10"/>
      <c r="D404" s="12"/>
      <c r="E404" s="10"/>
      <c r="F404" s="10"/>
    </row>
    <row r="405" customFormat="false" ht="15" hidden="false" customHeight="true" outlineLevel="0" collapsed="false">
      <c r="A405" s="10"/>
      <c r="B405" s="10"/>
      <c r="C405" s="10"/>
      <c r="D405" s="12"/>
      <c r="E405" s="10"/>
      <c r="F405" s="10"/>
    </row>
    <row r="406" customFormat="false" ht="15" hidden="false" customHeight="true" outlineLevel="0" collapsed="false">
      <c r="A406" s="10"/>
      <c r="B406" s="10"/>
      <c r="C406" s="10"/>
      <c r="D406" s="12"/>
      <c r="E406" s="10"/>
      <c r="F406" s="10"/>
    </row>
    <row r="407" customFormat="false" ht="15" hidden="false" customHeight="true" outlineLevel="0" collapsed="false">
      <c r="A407" s="10"/>
      <c r="B407" s="10"/>
      <c r="C407" s="10"/>
      <c r="D407" s="12"/>
      <c r="E407" s="10"/>
      <c r="F407" s="10"/>
    </row>
    <row r="408" customFormat="false" ht="15" hidden="false" customHeight="true" outlineLevel="0" collapsed="false">
      <c r="A408" s="10"/>
      <c r="B408" s="10"/>
      <c r="C408" s="10"/>
      <c r="D408" s="12"/>
      <c r="E408" s="10"/>
      <c r="F408" s="10"/>
    </row>
    <row r="409" customFormat="false" ht="15" hidden="false" customHeight="true" outlineLevel="0" collapsed="false">
      <c r="A409" s="10"/>
      <c r="B409" s="10"/>
      <c r="C409" s="10"/>
      <c r="D409" s="12"/>
      <c r="E409" s="10"/>
      <c r="F409" s="10"/>
    </row>
    <row r="410" customFormat="false" ht="15" hidden="false" customHeight="true" outlineLevel="0" collapsed="false">
      <c r="A410" s="10"/>
      <c r="B410" s="10"/>
      <c r="C410" s="10"/>
      <c r="D410" s="12"/>
      <c r="E410" s="10"/>
      <c r="F410" s="10"/>
    </row>
    <row r="411" customFormat="false" ht="15" hidden="false" customHeight="true" outlineLevel="0" collapsed="false">
      <c r="A411" s="10"/>
      <c r="B411" s="10"/>
      <c r="C411" s="10"/>
      <c r="D411" s="12"/>
      <c r="E411" s="10"/>
      <c r="F411" s="10"/>
    </row>
    <row r="412" customFormat="false" ht="15" hidden="false" customHeight="true" outlineLevel="0" collapsed="false">
      <c r="A412" s="10"/>
      <c r="B412" s="10"/>
      <c r="C412" s="10"/>
      <c r="D412" s="12"/>
      <c r="E412" s="10"/>
      <c r="F412" s="10"/>
    </row>
    <row r="413" customFormat="false" ht="15" hidden="false" customHeight="true" outlineLevel="0" collapsed="false">
      <c r="A413" s="10"/>
      <c r="B413" s="10"/>
      <c r="C413" s="10"/>
      <c r="D413" s="12"/>
      <c r="E413" s="10"/>
      <c r="F413" s="10"/>
    </row>
    <row r="414" customFormat="false" ht="15" hidden="false" customHeight="true" outlineLevel="0" collapsed="false">
      <c r="A414" s="10"/>
      <c r="B414" s="10"/>
      <c r="C414" s="10"/>
      <c r="D414" s="12"/>
      <c r="E414" s="10"/>
      <c r="F414" s="10"/>
    </row>
    <row r="415" customFormat="false" ht="15" hidden="false" customHeight="true" outlineLevel="0" collapsed="false">
      <c r="A415" s="10"/>
      <c r="B415" s="10"/>
      <c r="C415" s="10"/>
      <c r="D415" s="12"/>
      <c r="E415" s="10"/>
      <c r="F415" s="10"/>
    </row>
    <row r="416" customFormat="false" ht="15" hidden="false" customHeight="true" outlineLevel="0" collapsed="false">
      <c r="A416" s="10"/>
      <c r="B416" s="10"/>
      <c r="C416" s="10"/>
      <c r="D416" s="12"/>
      <c r="E416" s="10"/>
      <c r="F416" s="10"/>
    </row>
    <row r="417" customFormat="false" ht="15" hidden="false" customHeight="true" outlineLevel="0" collapsed="false">
      <c r="A417" s="10"/>
      <c r="B417" s="10"/>
      <c r="C417" s="10"/>
      <c r="D417" s="12"/>
      <c r="E417" s="10"/>
      <c r="F417" s="10"/>
    </row>
    <row r="418" customFormat="false" ht="15" hidden="false" customHeight="true" outlineLevel="0" collapsed="false">
      <c r="A418" s="10"/>
      <c r="B418" s="10"/>
      <c r="C418" s="10"/>
      <c r="D418" s="12"/>
      <c r="E418" s="10"/>
      <c r="F418" s="10"/>
    </row>
    <row r="419" customFormat="false" ht="15" hidden="false" customHeight="true" outlineLevel="0" collapsed="false">
      <c r="A419" s="10"/>
      <c r="B419" s="10"/>
      <c r="C419" s="10"/>
      <c r="D419" s="12"/>
      <c r="E419" s="10"/>
      <c r="F419" s="10"/>
    </row>
    <row r="420" customFormat="false" ht="15" hidden="false" customHeight="true" outlineLevel="0" collapsed="false">
      <c r="A420" s="10"/>
      <c r="B420" s="10"/>
      <c r="C420" s="10"/>
      <c r="D420" s="12"/>
      <c r="E420" s="10"/>
      <c r="F420" s="10"/>
    </row>
    <row r="421" customFormat="false" ht="15" hidden="false" customHeight="true" outlineLevel="0" collapsed="false">
      <c r="A421" s="10"/>
      <c r="B421" s="10"/>
      <c r="C421" s="10"/>
      <c r="D421" s="12"/>
      <c r="E421" s="10"/>
      <c r="F421" s="10"/>
    </row>
    <row r="422" customFormat="false" ht="15" hidden="false" customHeight="true" outlineLevel="0" collapsed="false">
      <c r="A422" s="10"/>
      <c r="B422" s="10"/>
      <c r="C422" s="10"/>
      <c r="D422" s="12"/>
      <c r="E422" s="10"/>
      <c r="F422" s="10"/>
    </row>
    <row r="423" customFormat="false" ht="15" hidden="false" customHeight="true" outlineLevel="0" collapsed="false">
      <c r="A423" s="10"/>
      <c r="B423" s="10"/>
      <c r="C423" s="10"/>
      <c r="D423" s="12"/>
      <c r="E423" s="10"/>
      <c r="F423" s="10"/>
    </row>
    <row r="424" customFormat="false" ht="15" hidden="false" customHeight="true" outlineLevel="0" collapsed="false">
      <c r="A424" s="10"/>
      <c r="B424" s="10"/>
      <c r="C424" s="10"/>
      <c r="D424" s="12"/>
      <c r="E424" s="10"/>
      <c r="F424" s="10"/>
    </row>
    <row r="425" customFormat="false" ht="15" hidden="false" customHeight="true" outlineLevel="0" collapsed="false">
      <c r="A425" s="10"/>
      <c r="B425" s="10"/>
      <c r="C425" s="10"/>
      <c r="D425" s="12"/>
      <c r="E425" s="10"/>
      <c r="F425" s="10"/>
    </row>
    <row r="426" customFormat="false" ht="15" hidden="false" customHeight="true" outlineLevel="0" collapsed="false">
      <c r="A426" s="10"/>
      <c r="B426" s="10"/>
      <c r="C426" s="10"/>
      <c r="D426" s="12"/>
      <c r="E426" s="10"/>
      <c r="F426" s="10"/>
    </row>
    <row r="427" customFormat="false" ht="15" hidden="false" customHeight="true" outlineLevel="0" collapsed="false">
      <c r="A427" s="10"/>
      <c r="B427" s="10"/>
      <c r="C427" s="10"/>
      <c r="D427" s="12"/>
      <c r="E427" s="10"/>
      <c r="F427" s="10"/>
    </row>
    <row r="428" customFormat="false" ht="15" hidden="false" customHeight="true" outlineLevel="0" collapsed="false">
      <c r="A428" s="10"/>
      <c r="B428" s="10"/>
      <c r="C428" s="10"/>
      <c r="D428" s="12"/>
      <c r="E428" s="10"/>
      <c r="F428" s="10"/>
    </row>
    <row r="429" customFormat="false" ht="15" hidden="false" customHeight="true" outlineLevel="0" collapsed="false">
      <c r="A429" s="10"/>
      <c r="B429" s="10"/>
      <c r="C429" s="10"/>
      <c r="D429" s="12"/>
      <c r="E429" s="10"/>
      <c r="F429" s="10"/>
    </row>
    <row r="430" customFormat="false" ht="15" hidden="false" customHeight="true" outlineLevel="0" collapsed="false">
      <c r="A430" s="10"/>
      <c r="B430" s="10"/>
      <c r="C430" s="10"/>
      <c r="D430" s="12"/>
      <c r="E430" s="10"/>
      <c r="F430" s="10"/>
    </row>
    <row r="431" customFormat="false" ht="15" hidden="false" customHeight="true" outlineLevel="0" collapsed="false">
      <c r="A431" s="10"/>
      <c r="B431" s="10"/>
      <c r="C431" s="10"/>
      <c r="D431" s="12"/>
      <c r="E431" s="10"/>
      <c r="F431" s="10"/>
    </row>
    <row r="432" customFormat="false" ht="15" hidden="false" customHeight="true" outlineLevel="0" collapsed="false">
      <c r="A432" s="10"/>
      <c r="B432" s="10"/>
      <c r="C432" s="10"/>
      <c r="D432" s="12"/>
      <c r="E432" s="10"/>
      <c r="F432" s="10"/>
    </row>
    <row r="433" customFormat="false" ht="15" hidden="false" customHeight="true" outlineLevel="0" collapsed="false">
      <c r="A433" s="10"/>
      <c r="B433" s="10"/>
      <c r="C433" s="10"/>
      <c r="D433" s="12"/>
      <c r="E433" s="10"/>
      <c r="F433" s="10"/>
    </row>
    <row r="434" customFormat="false" ht="15" hidden="false" customHeight="true" outlineLevel="0" collapsed="false">
      <c r="A434" s="10"/>
      <c r="B434" s="10"/>
      <c r="C434" s="10"/>
      <c r="D434" s="12"/>
      <c r="E434" s="10"/>
      <c r="F434" s="10"/>
    </row>
    <row r="435" customFormat="false" ht="15" hidden="false" customHeight="true" outlineLevel="0" collapsed="false">
      <c r="A435" s="10"/>
      <c r="B435" s="10"/>
      <c r="C435" s="10"/>
      <c r="D435" s="12"/>
      <c r="E435" s="10"/>
      <c r="F435" s="10"/>
    </row>
    <row r="436" customFormat="false" ht="15" hidden="false" customHeight="true" outlineLevel="0" collapsed="false">
      <c r="A436" s="10"/>
      <c r="B436" s="10"/>
      <c r="C436" s="10"/>
      <c r="D436" s="12"/>
      <c r="E436" s="10"/>
      <c r="F436" s="10"/>
    </row>
    <row r="437" customFormat="false" ht="15" hidden="false" customHeight="true" outlineLevel="0" collapsed="false">
      <c r="A437" s="10"/>
      <c r="B437" s="10"/>
      <c r="C437" s="10"/>
      <c r="D437" s="12"/>
      <c r="E437" s="10"/>
      <c r="F437" s="10"/>
    </row>
    <row r="438" customFormat="false" ht="15" hidden="false" customHeight="true" outlineLevel="0" collapsed="false">
      <c r="A438" s="10"/>
      <c r="B438" s="10"/>
      <c r="C438" s="10"/>
      <c r="D438" s="12"/>
      <c r="E438" s="10"/>
      <c r="F438" s="10"/>
    </row>
    <row r="439" customFormat="false" ht="15" hidden="false" customHeight="true" outlineLevel="0" collapsed="false">
      <c r="A439" s="10"/>
      <c r="B439" s="10"/>
      <c r="C439" s="10"/>
      <c r="D439" s="12"/>
      <c r="E439" s="10"/>
      <c r="F439" s="10"/>
    </row>
    <row r="440" customFormat="false" ht="15" hidden="false" customHeight="true" outlineLevel="0" collapsed="false">
      <c r="A440" s="10"/>
      <c r="B440" s="10"/>
      <c r="C440" s="10"/>
      <c r="D440" s="12"/>
      <c r="E440" s="10"/>
      <c r="F440" s="10"/>
    </row>
    <row r="441" customFormat="false" ht="15" hidden="false" customHeight="true" outlineLevel="0" collapsed="false">
      <c r="A441" s="10"/>
      <c r="B441" s="10"/>
      <c r="C441" s="10"/>
      <c r="D441" s="12"/>
      <c r="E441" s="10"/>
      <c r="F441" s="10"/>
    </row>
    <row r="442" customFormat="false" ht="15" hidden="false" customHeight="true" outlineLevel="0" collapsed="false">
      <c r="A442" s="10"/>
      <c r="B442" s="10"/>
      <c r="C442" s="10"/>
      <c r="D442" s="12"/>
      <c r="E442" s="10"/>
      <c r="F442" s="10"/>
    </row>
    <row r="443" customFormat="false" ht="15" hidden="false" customHeight="true" outlineLevel="0" collapsed="false">
      <c r="A443" s="10"/>
      <c r="B443" s="10"/>
      <c r="C443" s="10"/>
      <c r="D443" s="12"/>
      <c r="E443" s="10"/>
      <c r="F443" s="10"/>
    </row>
    <row r="444" customFormat="false" ht="15" hidden="false" customHeight="true" outlineLevel="0" collapsed="false">
      <c r="A444" s="10"/>
      <c r="B444" s="10"/>
      <c r="C444" s="10"/>
      <c r="D444" s="12"/>
      <c r="E444" s="10"/>
      <c r="F444" s="10"/>
    </row>
    <row r="445" customFormat="false" ht="15" hidden="false" customHeight="true" outlineLevel="0" collapsed="false">
      <c r="A445" s="10"/>
      <c r="B445" s="10"/>
      <c r="C445" s="10"/>
      <c r="D445" s="12"/>
      <c r="E445" s="10"/>
      <c r="F445" s="10"/>
    </row>
    <row r="446" customFormat="false" ht="15" hidden="false" customHeight="true" outlineLevel="0" collapsed="false">
      <c r="A446" s="10"/>
      <c r="B446" s="10"/>
      <c r="C446" s="10"/>
      <c r="D446" s="12"/>
      <c r="E446" s="10"/>
      <c r="F446" s="10"/>
    </row>
    <row r="447" customFormat="false" ht="15" hidden="false" customHeight="true" outlineLevel="0" collapsed="false">
      <c r="A447" s="10"/>
      <c r="B447" s="10"/>
      <c r="C447" s="10"/>
      <c r="D447" s="12"/>
      <c r="E447" s="10"/>
      <c r="F447" s="10"/>
    </row>
    <row r="448" customFormat="false" ht="15" hidden="false" customHeight="true" outlineLevel="0" collapsed="false">
      <c r="A448" s="10"/>
      <c r="B448" s="10"/>
      <c r="C448" s="10"/>
      <c r="D448" s="12"/>
      <c r="E448" s="10"/>
      <c r="F448" s="10"/>
    </row>
    <row r="449" customFormat="false" ht="15" hidden="false" customHeight="true" outlineLevel="0" collapsed="false">
      <c r="A449" s="10"/>
      <c r="B449" s="10"/>
      <c r="C449" s="10"/>
      <c r="D449" s="12"/>
      <c r="E449" s="10"/>
      <c r="F449" s="10"/>
    </row>
    <row r="450" customFormat="false" ht="15" hidden="false" customHeight="true" outlineLevel="0" collapsed="false">
      <c r="A450" s="10"/>
      <c r="B450" s="10"/>
      <c r="C450" s="10"/>
      <c r="D450" s="12"/>
      <c r="E450" s="10"/>
      <c r="F450" s="10"/>
    </row>
    <row r="451" customFormat="false" ht="15" hidden="false" customHeight="true" outlineLevel="0" collapsed="false">
      <c r="A451" s="10"/>
      <c r="B451" s="10"/>
      <c r="C451" s="10"/>
      <c r="D451" s="12"/>
      <c r="E451" s="10"/>
      <c r="F451" s="10"/>
    </row>
    <row r="452" customFormat="false" ht="15" hidden="false" customHeight="true" outlineLevel="0" collapsed="false">
      <c r="A452" s="10"/>
      <c r="B452" s="10"/>
      <c r="C452" s="10"/>
      <c r="D452" s="12"/>
      <c r="E452" s="10"/>
      <c r="F452" s="10"/>
    </row>
    <row r="453" customFormat="false" ht="15" hidden="false" customHeight="true" outlineLevel="0" collapsed="false">
      <c r="A453" s="10"/>
      <c r="B453" s="10"/>
      <c r="C453" s="10"/>
      <c r="D453" s="12"/>
      <c r="E453" s="10"/>
      <c r="F453" s="10"/>
    </row>
    <row r="454" customFormat="false" ht="15" hidden="false" customHeight="true" outlineLevel="0" collapsed="false">
      <c r="A454" s="10"/>
      <c r="B454" s="10"/>
      <c r="C454" s="10"/>
      <c r="D454" s="12"/>
      <c r="E454" s="10"/>
      <c r="F454" s="10"/>
    </row>
    <row r="455" customFormat="false" ht="15" hidden="false" customHeight="true" outlineLevel="0" collapsed="false">
      <c r="A455" s="10"/>
      <c r="B455" s="10"/>
      <c r="C455" s="10"/>
      <c r="D455" s="12"/>
      <c r="E455" s="10"/>
      <c r="F455" s="10"/>
    </row>
    <row r="456" customFormat="false" ht="15" hidden="false" customHeight="true" outlineLevel="0" collapsed="false">
      <c r="A456" s="10"/>
      <c r="B456" s="10"/>
      <c r="C456" s="10"/>
      <c r="D456" s="12"/>
      <c r="E456" s="10"/>
      <c r="F456" s="10"/>
    </row>
    <row r="457" customFormat="false" ht="15" hidden="false" customHeight="true" outlineLevel="0" collapsed="false">
      <c r="A457" s="10"/>
      <c r="B457" s="10"/>
      <c r="C457" s="10"/>
      <c r="D457" s="12"/>
      <c r="E457" s="10"/>
      <c r="F457" s="10"/>
    </row>
    <row r="458" customFormat="false" ht="15" hidden="false" customHeight="true" outlineLevel="0" collapsed="false">
      <c r="A458" s="10"/>
      <c r="B458" s="10"/>
      <c r="C458" s="10"/>
      <c r="D458" s="12"/>
      <c r="E458" s="10"/>
      <c r="F458" s="10"/>
    </row>
    <row r="459" customFormat="false" ht="15" hidden="false" customHeight="true" outlineLevel="0" collapsed="false">
      <c r="A459" s="10"/>
      <c r="B459" s="10"/>
      <c r="C459" s="10"/>
      <c r="D459" s="12"/>
      <c r="E459" s="10"/>
      <c r="F459" s="10"/>
    </row>
    <row r="460" customFormat="false" ht="15" hidden="false" customHeight="true" outlineLevel="0" collapsed="false">
      <c r="A460" s="10"/>
      <c r="B460" s="10"/>
      <c r="C460" s="10"/>
      <c r="D460" s="12"/>
      <c r="E460" s="10"/>
      <c r="F460" s="10"/>
    </row>
    <row r="461" customFormat="false" ht="15" hidden="false" customHeight="true" outlineLevel="0" collapsed="false">
      <c r="A461" s="10"/>
      <c r="B461" s="10"/>
      <c r="C461" s="10"/>
      <c r="D461" s="12"/>
      <c r="E461" s="10"/>
      <c r="F461" s="10"/>
    </row>
    <row r="462" customFormat="false" ht="15" hidden="false" customHeight="true" outlineLevel="0" collapsed="false">
      <c r="A462" s="10"/>
      <c r="B462" s="10"/>
      <c r="C462" s="10"/>
      <c r="D462" s="12"/>
      <c r="E462" s="10"/>
      <c r="F462" s="10"/>
    </row>
    <row r="463" customFormat="false" ht="15" hidden="false" customHeight="true" outlineLevel="0" collapsed="false">
      <c r="A463" s="10"/>
      <c r="B463" s="10"/>
      <c r="C463" s="10"/>
      <c r="D463" s="12"/>
      <c r="E463" s="10"/>
      <c r="F463" s="10"/>
    </row>
    <row r="464" customFormat="false" ht="15" hidden="false" customHeight="true" outlineLevel="0" collapsed="false">
      <c r="A464" s="10"/>
      <c r="B464" s="10"/>
      <c r="C464" s="10"/>
      <c r="D464" s="12"/>
      <c r="E464" s="10"/>
      <c r="F464" s="10"/>
    </row>
    <row r="465" customFormat="false" ht="15" hidden="false" customHeight="true" outlineLevel="0" collapsed="false">
      <c r="A465" s="10"/>
      <c r="B465" s="10"/>
      <c r="C465" s="10"/>
      <c r="D465" s="12"/>
      <c r="E465" s="10"/>
      <c r="F465" s="10"/>
    </row>
    <row r="466" customFormat="false" ht="15" hidden="false" customHeight="true" outlineLevel="0" collapsed="false">
      <c r="A466" s="10"/>
      <c r="B466" s="10"/>
      <c r="C466" s="10"/>
      <c r="D466" s="12"/>
      <c r="E466" s="10"/>
      <c r="F466" s="10"/>
    </row>
    <row r="467" customFormat="false" ht="15" hidden="false" customHeight="true" outlineLevel="0" collapsed="false">
      <c r="A467" s="10"/>
      <c r="B467" s="10"/>
      <c r="C467" s="10"/>
      <c r="D467" s="12"/>
      <c r="E467" s="10"/>
      <c r="F467" s="10"/>
    </row>
    <row r="468" customFormat="false" ht="15" hidden="false" customHeight="true" outlineLevel="0" collapsed="false">
      <c r="A468" s="10"/>
      <c r="B468" s="10"/>
      <c r="C468" s="10"/>
      <c r="D468" s="12"/>
      <c r="E468" s="10"/>
      <c r="F468" s="10"/>
    </row>
    <row r="469" customFormat="false" ht="15" hidden="false" customHeight="true" outlineLevel="0" collapsed="false">
      <c r="A469" s="10"/>
      <c r="B469" s="10"/>
      <c r="C469" s="10"/>
      <c r="D469" s="12"/>
      <c r="E469" s="10"/>
      <c r="F469" s="10"/>
    </row>
    <row r="470" customFormat="false" ht="15" hidden="false" customHeight="true" outlineLevel="0" collapsed="false">
      <c r="A470" s="10"/>
      <c r="B470" s="10"/>
      <c r="C470" s="10"/>
      <c r="D470" s="12"/>
      <c r="E470" s="10"/>
      <c r="F470" s="10"/>
    </row>
    <row r="471" customFormat="false" ht="15" hidden="false" customHeight="true" outlineLevel="0" collapsed="false">
      <c r="A471" s="10"/>
      <c r="B471" s="10"/>
      <c r="C471" s="10"/>
      <c r="D471" s="12"/>
      <c r="E471" s="10"/>
      <c r="F471" s="10"/>
    </row>
    <row r="472" customFormat="false" ht="15" hidden="false" customHeight="true" outlineLevel="0" collapsed="false">
      <c r="A472" s="10"/>
      <c r="B472" s="10"/>
      <c r="C472" s="10"/>
      <c r="D472" s="12"/>
      <c r="E472" s="10"/>
      <c r="F472" s="10"/>
    </row>
    <row r="473" customFormat="false" ht="15" hidden="false" customHeight="true" outlineLevel="0" collapsed="false">
      <c r="A473" s="10"/>
      <c r="B473" s="10"/>
      <c r="C473" s="10"/>
      <c r="D473" s="12"/>
      <c r="E473" s="10"/>
      <c r="F473" s="10"/>
    </row>
    <row r="474" customFormat="false" ht="15" hidden="false" customHeight="true" outlineLevel="0" collapsed="false">
      <c r="A474" s="10"/>
      <c r="B474" s="10"/>
      <c r="C474" s="10"/>
      <c r="D474" s="12"/>
      <c r="E474" s="10"/>
      <c r="F474" s="10"/>
    </row>
    <row r="475" customFormat="false" ht="15" hidden="false" customHeight="true" outlineLevel="0" collapsed="false">
      <c r="A475" s="10"/>
      <c r="B475" s="10"/>
      <c r="C475" s="10"/>
      <c r="D475" s="12"/>
      <c r="E475" s="10"/>
      <c r="F475" s="10"/>
    </row>
    <row r="476" customFormat="false" ht="15" hidden="false" customHeight="true" outlineLevel="0" collapsed="false">
      <c r="A476" s="10"/>
      <c r="B476" s="10"/>
      <c r="C476" s="10"/>
      <c r="D476" s="12"/>
      <c r="E476" s="10"/>
      <c r="F476" s="10"/>
    </row>
    <row r="477" customFormat="false" ht="15" hidden="false" customHeight="true" outlineLevel="0" collapsed="false">
      <c r="A477" s="10"/>
      <c r="B477" s="10"/>
      <c r="C477" s="10"/>
      <c r="D477" s="12"/>
      <c r="E477" s="10"/>
      <c r="F477" s="10"/>
    </row>
    <row r="478" customFormat="false" ht="15" hidden="false" customHeight="true" outlineLevel="0" collapsed="false">
      <c r="A478" s="10"/>
      <c r="B478" s="10"/>
      <c r="C478" s="10"/>
      <c r="D478" s="12"/>
      <c r="E478" s="10"/>
      <c r="F478" s="10"/>
    </row>
    <row r="479" customFormat="false" ht="15" hidden="false" customHeight="true" outlineLevel="0" collapsed="false">
      <c r="A479" s="10"/>
      <c r="B479" s="10"/>
      <c r="C479" s="10"/>
      <c r="D479" s="12"/>
      <c r="E479" s="10"/>
      <c r="F479" s="10"/>
    </row>
    <row r="480" customFormat="false" ht="15" hidden="false" customHeight="true" outlineLevel="0" collapsed="false">
      <c r="A480" s="10"/>
      <c r="B480" s="10"/>
      <c r="C480" s="10"/>
      <c r="D480" s="12"/>
      <c r="E480" s="10"/>
      <c r="F480" s="10"/>
    </row>
    <row r="481" customFormat="false" ht="15" hidden="false" customHeight="true" outlineLevel="0" collapsed="false">
      <c r="A481" s="10"/>
      <c r="B481" s="10"/>
      <c r="C481" s="10"/>
      <c r="D481" s="12"/>
      <c r="E481" s="10"/>
      <c r="F481" s="10"/>
    </row>
    <row r="482" customFormat="false" ht="15" hidden="false" customHeight="true" outlineLevel="0" collapsed="false">
      <c r="A482" s="10"/>
      <c r="B482" s="10"/>
      <c r="C482" s="10"/>
      <c r="D482" s="12"/>
      <c r="E482" s="10"/>
      <c r="F482" s="10"/>
    </row>
    <row r="483" customFormat="false" ht="15" hidden="false" customHeight="true" outlineLevel="0" collapsed="false">
      <c r="A483" s="10"/>
      <c r="B483" s="10"/>
      <c r="C483" s="10"/>
      <c r="D483" s="12"/>
      <c r="E483" s="10"/>
      <c r="F483" s="10"/>
    </row>
    <row r="484" customFormat="false" ht="15" hidden="false" customHeight="true" outlineLevel="0" collapsed="false">
      <c r="A484" s="10"/>
      <c r="B484" s="10"/>
      <c r="C484" s="10"/>
      <c r="D484" s="12"/>
      <c r="E484" s="10"/>
      <c r="F484" s="10"/>
    </row>
    <row r="485" customFormat="false" ht="15" hidden="false" customHeight="true" outlineLevel="0" collapsed="false">
      <c r="A485" s="10"/>
      <c r="B485" s="10"/>
      <c r="C485" s="10"/>
      <c r="D485" s="12"/>
      <c r="E485" s="10"/>
      <c r="F485" s="10"/>
    </row>
    <row r="486" customFormat="false" ht="15" hidden="false" customHeight="true" outlineLevel="0" collapsed="false">
      <c r="A486" s="10"/>
      <c r="B486" s="10"/>
      <c r="C486" s="10"/>
      <c r="D486" s="12"/>
      <c r="E486" s="10"/>
      <c r="F486" s="10"/>
    </row>
    <row r="487" customFormat="false" ht="15" hidden="false" customHeight="true" outlineLevel="0" collapsed="false">
      <c r="A487" s="10"/>
      <c r="B487" s="10"/>
      <c r="C487" s="10"/>
      <c r="D487" s="12"/>
      <c r="E487" s="10"/>
      <c r="F487" s="10"/>
    </row>
    <row r="488" customFormat="false" ht="15" hidden="false" customHeight="true" outlineLevel="0" collapsed="false">
      <c r="A488" s="10"/>
      <c r="B488" s="10"/>
      <c r="C488" s="10"/>
      <c r="D488" s="12"/>
      <c r="E488" s="10"/>
      <c r="F488" s="10"/>
    </row>
    <row r="489" customFormat="false" ht="15" hidden="false" customHeight="true" outlineLevel="0" collapsed="false">
      <c r="A489" s="10"/>
      <c r="B489" s="10"/>
      <c r="C489" s="10"/>
      <c r="D489" s="12"/>
      <c r="E489" s="10"/>
      <c r="F489" s="10"/>
    </row>
    <row r="490" customFormat="false" ht="15" hidden="false" customHeight="true" outlineLevel="0" collapsed="false">
      <c r="A490" s="10"/>
      <c r="B490" s="10"/>
      <c r="C490" s="10"/>
      <c r="D490" s="12"/>
      <c r="E490" s="10"/>
      <c r="F490" s="10"/>
    </row>
    <row r="491" customFormat="false" ht="15" hidden="false" customHeight="true" outlineLevel="0" collapsed="false">
      <c r="A491" s="10"/>
      <c r="B491" s="10"/>
      <c r="C491" s="10"/>
      <c r="D491" s="12"/>
      <c r="E491" s="10"/>
      <c r="F491" s="10"/>
    </row>
    <row r="492" customFormat="false" ht="15" hidden="false" customHeight="true" outlineLevel="0" collapsed="false">
      <c r="A492" s="10"/>
      <c r="B492" s="10"/>
      <c r="C492" s="10"/>
      <c r="D492" s="12"/>
      <c r="E492" s="10"/>
      <c r="F492" s="10"/>
    </row>
    <row r="493" customFormat="false" ht="15" hidden="false" customHeight="true" outlineLevel="0" collapsed="false">
      <c r="A493" s="10"/>
      <c r="B493" s="10"/>
      <c r="C493" s="10"/>
      <c r="D493" s="12"/>
      <c r="E493" s="10"/>
      <c r="F493" s="10"/>
    </row>
    <row r="494" customFormat="false" ht="15" hidden="false" customHeight="true" outlineLevel="0" collapsed="false">
      <c r="A494" s="10"/>
      <c r="B494" s="10"/>
      <c r="C494" s="10"/>
      <c r="D494" s="12"/>
      <c r="E494" s="10"/>
      <c r="F494" s="10"/>
    </row>
    <row r="495" customFormat="false" ht="15" hidden="false" customHeight="true" outlineLevel="0" collapsed="false">
      <c r="A495" s="10"/>
      <c r="B495" s="10"/>
      <c r="C495" s="10"/>
      <c r="D495" s="12"/>
      <c r="E495" s="10"/>
      <c r="F495" s="10"/>
    </row>
    <row r="496" customFormat="false" ht="15" hidden="false" customHeight="true" outlineLevel="0" collapsed="false">
      <c r="A496" s="10"/>
      <c r="B496" s="10"/>
      <c r="C496" s="10"/>
      <c r="D496" s="12"/>
      <c r="E496" s="10"/>
      <c r="F496" s="10"/>
    </row>
    <row r="497" customFormat="false" ht="15" hidden="false" customHeight="true" outlineLevel="0" collapsed="false">
      <c r="A497" s="10"/>
      <c r="B497" s="10"/>
      <c r="C497" s="10"/>
      <c r="D497" s="12"/>
      <c r="E497" s="10"/>
      <c r="F497" s="10"/>
    </row>
    <row r="498" customFormat="false" ht="15" hidden="false" customHeight="true" outlineLevel="0" collapsed="false">
      <c r="A498" s="10"/>
      <c r="B498" s="10"/>
      <c r="C498" s="10"/>
      <c r="D498" s="12"/>
      <c r="E498" s="10"/>
      <c r="F498" s="10"/>
    </row>
    <row r="499" customFormat="false" ht="15" hidden="false" customHeight="true" outlineLevel="0" collapsed="false">
      <c r="A499" s="10"/>
      <c r="B499" s="10"/>
      <c r="C499" s="10"/>
      <c r="D499" s="12"/>
      <c r="E499" s="10"/>
      <c r="F499" s="10"/>
    </row>
    <row r="500" customFormat="false" ht="15" hidden="false" customHeight="true" outlineLevel="0" collapsed="false">
      <c r="A500" s="10"/>
      <c r="B500" s="10"/>
      <c r="C500" s="10"/>
      <c r="D500" s="12"/>
      <c r="E500" s="10"/>
      <c r="F500" s="10"/>
    </row>
    <row r="501" customFormat="false" ht="15" hidden="false" customHeight="true" outlineLevel="0" collapsed="false">
      <c r="A501" s="10"/>
      <c r="B501" s="10"/>
      <c r="C501" s="10"/>
      <c r="D501" s="12"/>
      <c r="E501" s="10"/>
      <c r="F501" s="10"/>
    </row>
    <row r="502" customFormat="false" ht="15" hidden="false" customHeight="true" outlineLevel="0" collapsed="false">
      <c r="A502" s="10"/>
      <c r="B502" s="10"/>
      <c r="C502" s="10"/>
      <c r="D502" s="12"/>
      <c r="E502" s="10"/>
      <c r="F502" s="10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3:E502" type="list">
      <formula1>"일반,VIP,휴면"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24"/>
  </cols>
  <sheetData>
    <row r="1" customFormat="false" ht="25.5" hidden="false" customHeight="true" outlineLevel="0" collapsed="false">
      <c r="A1" s="2" t="s">
        <v>44</v>
      </c>
      <c r="B1" s="2"/>
      <c r="C1" s="2"/>
      <c r="D1" s="2"/>
      <c r="E1" s="2"/>
    </row>
    <row r="2" customFormat="false" ht="15" hidden="false" customHeight="true" outlineLevel="0" collapsed="false">
      <c r="A2" s="9" t="s">
        <v>45</v>
      </c>
      <c r="B2" s="9" t="s">
        <v>46</v>
      </c>
      <c r="C2" s="9" t="s">
        <v>47</v>
      </c>
      <c r="D2" s="9" t="s">
        <v>48</v>
      </c>
      <c r="E2" s="9" t="s">
        <v>34</v>
      </c>
    </row>
    <row r="3" customFormat="false" ht="15" hidden="false" customHeight="true" outlineLevel="0" collapsed="false">
      <c r="A3" s="10" t="s">
        <v>49</v>
      </c>
      <c r="B3" s="13" t="n">
        <v>10</v>
      </c>
      <c r="C3" s="13" t="n">
        <v>60</v>
      </c>
      <c r="D3" s="13" t="n">
        <v>300000</v>
      </c>
      <c r="E3" s="10"/>
    </row>
    <row r="4" customFormat="false" ht="15" hidden="false" customHeight="true" outlineLevel="0" collapsed="false">
      <c r="A4" s="10" t="s">
        <v>50</v>
      </c>
      <c r="B4" s="13" t="n">
        <v>20</v>
      </c>
      <c r="C4" s="13" t="n">
        <v>120</v>
      </c>
      <c r="D4" s="13" t="n">
        <v>560000</v>
      </c>
      <c r="E4" s="10"/>
    </row>
    <row r="5" customFormat="false" ht="15" hidden="false" customHeight="true" outlineLevel="0" collapsed="false">
      <c r="A5" s="10" t="s">
        <v>51</v>
      </c>
      <c r="B5" s="13" t="n">
        <v>30</v>
      </c>
      <c r="C5" s="13" t="n">
        <v>180</v>
      </c>
      <c r="D5" s="13" t="n">
        <v>780000</v>
      </c>
      <c r="E5" s="10"/>
    </row>
    <row r="6" customFormat="false" ht="15" hidden="false" customHeight="true" outlineLevel="0" collapsed="false">
      <c r="A6" s="10" t="s">
        <v>52</v>
      </c>
      <c r="B6" s="13" t="n">
        <v>1</v>
      </c>
      <c r="C6" s="13" t="n">
        <v>30</v>
      </c>
      <c r="D6" s="13" t="n">
        <v>35000</v>
      </c>
      <c r="E6" s="10"/>
    </row>
    <row r="7" customFormat="false" ht="15" hidden="false" customHeight="true" outlineLevel="0" collapsed="false">
      <c r="A7" s="10"/>
      <c r="B7" s="13"/>
      <c r="C7" s="13"/>
      <c r="D7" s="13"/>
      <c r="E7" s="10"/>
    </row>
    <row r="8" customFormat="false" ht="15" hidden="false" customHeight="true" outlineLevel="0" collapsed="false">
      <c r="A8" s="10"/>
      <c r="B8" s="13"/>
      <c r="C8" s="13"/>
      <c r="D8" s="13"/>
      <c r="E8" s="10"/>
    </row>
    <row r="9" customFormat="false" ht="15" hidden="false" customHeight="true" outlineLevel="0" collapsed="false">
      <c r="A9" s="10"/>
      <c r="B9" s="13"/>
      <c r="C9" s="13"/>
      <c r="D9" s="13"/>
      <c r="E9" s="10"/>
    </row>
    <row r="10" customFormat="false" ht="15" hidden="false" customHeight="true" outlineLevel="0" collapsed="false">
      <c r="A10" s="10"/>
      <c r="B10" s="13"/>
      <c r="C10" s="13"/>
      <c r="D10" s="13"/>
      <c r="E10" s="10"/>
    </row>
    <row r="11" customFormat="false" ht="15" hidden="false" customHeight="true" outlineLevel="0" collapsed="false">
      <c r="A11" s="10"/>
      <c r="B11" s="13"/>
      <c r="C11" s="13"/>
      <c r="D11" s="13"/>
      <c r="E11" s="10"/>
    </row>
    <row r="12" customFormat="false" ht="15" hidden="false" customHeight="true" outlineLevel="0" collapsed="false">
      <c r="A12" s="10"/>
      <c r="B12" s="13"/>
      <c r="C12" s="13"/>
      <c r="D12" s="13"/>
      <c r="E12" s="10"/>
    </row>
    <row r="13" customFormat="false" ht="15" hidden="false" customHeight="true" outlineLevel="0" collapsed="false">
      <c r="A13" s="10"/>
      <c r="B13" s="13"/>
      <c r="C13" s="13"/>
      <c r="D13" s="13"/>
      <c r="E13" s="10"/>
    </row>
    <row r="14" customFormat="false" ht="15" hidden="false" customHeight="true" outlineLevel="0" collapsed="false">
      <c r="A14" s="10"/>
      <c r="B14" s="13"/>
      <c r="C14" s="13"/>
      <c r="D14" s="13"/>
      <c r="E14" s="10"/>
    </row>
    <row r="15" customFormat="false" ht="15" hidden="false" customHeight="true" outlineLevel="0" collapsed="false">
      <c r="A15" s="10"/>
      <c r="B15" s="13"/>
      <c r="C15" s="13"/>
      <c r="D15" s="13"/>
      <c r="E15" s="10"/>
    </row>
    <row r="16" customFormat="false" ht="15" hidden="false" customHeight="true" outlineLevel="0" collapsed="false">
      <c r="A16" s="10"/>
      <c r="B16" s="13"/>
      <c r="C16" s="13"/>
      <c r="D16" s="13"/>
      <c r="E16" s="10"/>
    </row>
    <row r="17" customFormat="false" ht="15" hidden="false" customHeight="true" outlineLevel="0" collapsed="false">
      <c r="A17" s="10"/>
      <c r="B17" s="13"/>
      <c r="C17" s="13"/>
      <c r="D17" s="13"/>
      <c r="E17" s="10"/>
    </row>
    <row r="18" customFormat="false" ht="15" hidden="false" customHeight="true" outlineLevel="0" collapsed="false">
      <c r="A18" s="10"/>
      <c r="B18" s="13"/>
      <c r="C18" s="13"/>
      <c r="D18" s="13"/>
      <c r="E18" s="10"/>
    </row>
    <row r="19" customFormat="false" ht="15" hidden="false" customHeight="true" outlineLevel="0" collapsed="false">
      <c r="A19" s="10"/>
      <c r="B19" s="13"/>
      <c r="C19" s="13"/>
      <c r="D19" s="13"/>
      <c r="E19" s="10"/>
    </row>
    <row r="20" customFormat="false" ht="15" hidden="false" customHeight="true" outlineLevel="0" collapsed="false">
      <c r="A20" s="10"/>
      <c r="B20" s="13"/>
      <c r="C20" s="13"/>
      <c r="D20" s="13"/>
      <c r="E20" s="10"/>
    </row>
    <row r="21" customFormat="false" ht="15" hidden="false" customHeight="true" outlineLevel="0" collapsed="false">
      <c r="A21" s="10"/>
      <c r="B21" s="13"/>
      <c r="C21" s="13"/>
      <c r="D21" s="13"/>
      <c r="E21" s="10"/>
    </row>
    <row r="22" customFormat="false" ht="15" hidden="false" customHeight="true" outlineLevel="0" collapsed="false">
      <c r="A22" s="10"/>
      <c r="B22" s="13"/>
      <c r="C22" s="13"/>
      <c r="D22" s="13"/>
      <c r="E22" s="10"/>
    </row>
    <row r="23" customFormat="false" ht="15" hidden="false" customHeight="true" outlineLevel="0" collapsed="false">
      <c r="A23" s="10"/>
      <c r="B23" s="13"/>
      <c r="C23" s="13"/>
      <c r="D23" s="13"/>
      <c r="E23" s="10"/>
    </row>
    <row r="24" customFormat="false" ht="15" hidden="false" customHeight="true" outlineLevel="0" collapsed="false">
      <c r="A24" s="10"/>
      <c r="B24" s="13"/>
      <c r="C24" s="13"/>
      <c r="D24" s="13"/>
      <c r="E24" s="10"/>
    </row>
    <row r="25" customFormat="false" ht="15" hidden="false" customHeight="true" outlineLevel="0" collapsed="false">
      <c r="A25" s="10"/>
      <c r="B25" s="13"/>
      <c r="C25" s="13"/>
      <c r="D25" s="13"/>
      <c r="E25" s="10"/>
    </row>
    <row r="26" customFormat="false" ht="15" hidden="false" customHeight="true" outlineLevel="0" collapsed="false">
      <c r="A26" s="10"/>
      <c r="B26" s="13"/>
      <c r="C26" s="13"/>
      <c r="D26" s="13"/>
      <c r="E26" s="10"/>
    </row>
    <row r="27" customFormat="false" ht="15" hidden="false" customHeight="true" outlineLevel="0" collapsed="false">
      <c r="A27" s="10"/>
      <c r="B27" s="13"/>
      <c r="C27" s="13"/>
      <c r="D27" s="13"/>
      <c r="E27" s="10"/>
    </row>
    <row r="28" customFormat="false" ht="15" hidden="false" customHeight="true" outlineLevel="0" collapsed="false">
      <c r="A28" s="10"/>
      <c r="B28" s="13"/>
      <c r="C28" s="13"/>
      <c r="D28" s="13"/>
      <c r="E28" s="10"/>
    </row>
    <row r="29" customFormat="false" ht="15" hidden="false" customHeight="true" outlineLevel="0" collapsed="false">
      <c r="A29" s="10"/>
      <c r="B29" s="13"/>
      <c r="C29" s="13"/>
      <c r="D29" s="13"/>
      <c r="E29" s="10"/>
    </row>
    <row r="30" customFormat="false" ht="15" hidden="false" customHeight="true" outlineLevel="0" collapsed="false">
      <c r="A30" s="10"/>
      <c r="B30" s="13"/>
      <c r="C30" s="13"/>
      <c r="D30" s="13"/>
      <c r="E30" s="10"/>
    </row>
    <row r="31" customFormat="false" ht="15" hidden="false" customHeight="true" outlineLevel="0" collapsed="false">
      <c r="A31" s="10"/>
      <c r="B31" s="13"/>
      <c r="C31" s="13"/>
      <c r="D31" s="13"/>
      <c r="E31" s="10"/>
    </row>
    <row r="32" customFormat="false" ht="15" hidden="false" customHeight="true" outlineLevel="0" collapsed="false">
      <c r="A32" s="10"/>
      <c r="B32" s="13"/>
      <c r="C32" s="13"/>
      <c r="D32" s="13"/>
      <c r="E32" s="10"/>
    </row>
    <row r="33" customFormat="false" ht="15" hidden="false" customHeight="true" outlineLevel="0" collapsed="false">
      <c r="A33" s="10"/>
      <c r="B33" s="13"/>
      <c r="C33" s="13"/>
      <c r="D33" s="13"/>
      <c r="E33" s="10"/>
    </row>
    <row r="34" customFormat="false" ht="15" hidden="false" customHeight="true" outlineLevel="0" collapsed="false">
      <c r="A34" s="10"/>
      <c r="B34" s="13"/>
      <c r="C34" s="13"/>
      <c r="D34" s="13"/>
      <c r="E34" s="10"/>
    </row>
    <row r="35" customFormat="false" ht="15" hidden="false" customHeight="true" outlineLevel="0" collapsed="false">
      <c r="A35" s="10"/>
      <c r="B35" s="13"/>
      <c r="C35" s="13"/>
      <c r="D35" s="13"/>
      <c r="E35" s="10"/>
    </row>
    <row r="36" customFormat="false" ht="15" hidden="false" customHeight="true" outlineLevel="0" collapsed="false">
      <c r="A36" s="10"/>
      <c r="B36" s="13"/>
      <c r="C36" s="13"/>
      <c r="D36" s="13"/>
      <c r="E36" s="10"/>
    </row>
    <row r="37" customFormat="false" ht="15" hidden="false" customHeight="true" outlineLevel="0" collapsed="false">
      <c r="A37" s="10"/>
      <c r="B37" s="13"/>
      <c r="C37" s="13"/>
      <c r="D37" s="13"/>
      <c r="E37" s="10"/>
    </row>
    <row r="38" customFormat="false" ht="15" hidden="false" customHeight="true" outlineLevel="0" collapsed="false">
      <c r="A38" s="10"/>
      <c r="B38" s="13"/>
      <c r="C38" s="13"/>
      <c r="D38" s="13"/>
      <c r="E38" s="10"/>
    </row>
    <row r="39" customFormat="false" ht="15" hidden="false" customHeight="true" outlineLevel="0" collapsed="false">
      <c r="A39" s="10"/>
      <c r="B39" s="13"/>
      <c r="C39" s="13"/>
      <c r="D39" s="13"/>
      <c r="E39" s="10"/>
    </row>
    <row r="40" customFormat="false" ht="15" hidden="false" customHeight="true" outlineLevel="0" collapsed="false">
      <c r="A40" s="10"/>
      <c r="B40" s="13"/>
      <c r="C40" s="13"/>
      <c r="D40" s="13"/>
      <c r="E40" s="10"/>
    </row>
    <row r="41" customFormat="false" ht="15" hidden="false" customHeight="true" outlineLevel="0" collapsed="false">
      <c r="A41" s="10"/>
      <c r="B41" s="13"/>
      <c r="C41" s="13"/>
      <c r="D41" s="13"/>
      <c r="E41" s="10"/>
    </row>
    <row r="42" customFormat="false" ht="15" hidden="false" customHeight="true" outlineLevel="0" collapsed="false">
      <c r="A42" s="10"/>
      <c r="B42" s="13"/>
      <c r="C42" s="13"/>
      <c r="D42" s="13"/>
      <c r="E42" s="10"/>
    </row>
    <row r="43" customFormat="false" ht="15" hidden="false" customHeight="true" outlineLevel="0" collapsed="false">
      <c r="A43" s="10"/>
      <c r="B43" s="13"/>
      <c r="C43" s="13"/>
      <c r="D43" s="13"/>
      <c r="E43" s="10"/>
    </row>
    <row r="44" customFormat="false" ht="15" hidden="false" customHeight="true" outlineLevel="0" collapsed="false">
      <c r="A44" s="10"/>
      <c r="B44" s="13"/>
      <c r="C44" s="13"/>
      <c r="D44" s="13"/>
      <c r="E44" s="10"/>
    </row>
    <row r="45" customFormat="false" ht="15" hidden="false" customHeight="true" outlineLevel="0" collapsed="false">
      <c r="A45" s="10"/>
      <c r="B45" s="13"/>
      <c r="C45" s="13"/>
      <c r="D45" s="13"/>
      <c r="E45" s="10"/>
    </row>
    <row r="46" customFormat="false" ht="15" hidden="false" customHeight="true" outlineLevel="0" collapsed="false">
      <c r="A46" s="10"/>
      <c r="B46" s="13"/>
      <c r="C46" s="13"/>
      <c r="D46" s="13"/>
      <c r="E46" s="10"/>
    </row>
    <row r="47" customFormat="false" ht="15" hidden="false" customHeight="true" outlineLevel="0" collapsed="false">
      <c r="A47" s="10"/>
      <c r="B47" s="13"/>
      <c r="C47" s="13"/>
      <c r="D47" s="13"/>
      <c r="E47" s="10"/>
    </row>
    <row r="48" customFormat="false" ht="15" hidden="false" customHeight="true" outlineLevel="0" collapsed="false">
      <c r="A48" s="10"/>
      <c r="B48" s="13"/>
      <c r="C48" s="13"/>
      <c r="D48" s="13"/>
      <c r="E48" s="10"/>
    </row>
    <row r="49" customFormat="false" ht="15" hidden="false" customHeight="true" outlineLevel="0" collapsed="false">
      <c r="A49" s="10"/>
      <c r="B49" s="13"/>
      <c r="C49" s="13"/>
      <c r="D49" s="13"/>
      <c r="E49" s="10"/>
    </row>
    <row r="50" customFormat="false" ht="15" hidden="false" customHeight="true" outlineLevel="0" collapsed="false">
      <c r="A50" s="10"/>
      <c r="B50" s="13"/>
      <c r="C50" s="13"/>
      <c r="D50" s="13"/>
      <c r="E50" s="10"/>
    </row>
    <row r="51" customFormat="false" ht="15" hidden="false" customHeight="true" outlineLevel="0" collapsed="false">
      <c r="A51" s="10"/>
      <c r="B51" s="13"/>
      <c r="C51" s="13"/>
      <c r="D51" s="13"/>
      <c r="E51" s="10"/>
    </row>
    <row r="52" customFormat="false" ht="15" hidden="false" customHeight="true" outlineLevel="0" collapsed="false">
      <c r="A52" s="10"/>
      <c r="B52" s="13"/>
      <c r="C52" s="13"/>
      <c r="D52" s="13"/>
      <c r="E52" s="10"/>
    </row>
    <row r="53" customFormat="false" ht="15" hidden="false" customHeight="true" outlineLevel="0" collapsed="false">
      <c r="A53" s="10"/>
      <c r="B53" s="13"/>
      <c r="C53" s="13"/>
      <c r="D53" s="13"/>
      <c r="E53" s="10"/>
    </row>
    <row r="54" customFormat="false" ht="15" hidden="false" customHeight="true" outlineLevel="0" collapsed="false">
      <c r="A54" s="10"/>
      <c r="B54" s="13"/>
      <c r="C54" s="13"/>
      <c r="D54" s="13"/>
      <c r="E54" s="10"/>
    </row>
    <row r="55" customFormat="false" ht="15" hidden="false" customHeight="true" outlineLevel="0" collapsed="false">
      <c r="A55" s="10"/>
      <c r="B55" s="13"/>
      <c r="C55" s="13"/>
      <c r="D55" s="13"/>
      <c r="E55" s="10"/>
    </row>
    <row r="56" customFormat="false" ht="15" hidden="false" customHeight="true" outlineLevel="0" collapsed="false">
      <c r="A56" s="10"/>
      <c r="B56" s="13"/>
      <c r="C56" s="13"/>
      <c r="D56" s="13"/>
      <c r="E56" s="10"/>
    </row>
    <row r="57" customFormat="false" ht="15" hidden="false" customHeight="true" outlineLevel="0" collapsed="false">
      <c r="A57" s="10"/>
      <c r="B57" s="13"/>
      <c r="C57" s="13"/>
      <c r="D57" s="13"/>
      <c r="E57" s="10"/>
    </row>
    <row r="58" customFormat="false" ht="15" hidden="false" customHeight="true" outlineLevel="0" collapsed="false">
      <c r="A58" s="10"/>
      <c r="B58" s="13"/>
      <c r="C58" s="13"/>
      <c r="D58" s="13"/>
      <c r="E58" s="10"/>
    </row>
    <row r="59" customFormat="false" ht="15" hidden="false" customHeight="true" outlineLevel="0" collapsed="false">
      <c r="A59" s="10"/>
      <c r="B59" s="13"/>
      <c r="C59" s="13"/>
      <c r="D59" s="13"/>
      <c r="E59" s="10"/>
    </row>
    <row r="60" customFormat="false" ht="15" hidden="false" customHeight="true" outlineLevel="0" collapsed="false">
      <c r="A60" s="10"/>
      <c r="B60" s="13"/>
      <c r="C60" s="13"/>
      <c r="D60" s="13"/>
      <c r="E60" s="10"/>
    </row>
    <row r="61" customFormat="false" ht="15" hidden="false" customHeight="true" outlineLevel="0" collapsed="false">
      <c r="A61" s="10"/>
      <c r="B61" s="13"/>
      <c r="C61" s="13"/>
      <c r="D61" s="13"/>
      <c r="E61" s="10"/>
    </row>
    <row r="62" customFormat="false" ht="15" hidden="false" customHeight="true" outlineLevel="0" collapsed="false">
      <c r="A62" s="10"/>
      <c r="B62" s="13"/>
      <c r="C62" s="13"/>
      <c r="D62" s="13"/>
      <c r="E62" s="10"/>
    </row>
    <row r="63" customFormat="false" ht="15" hidden="false" customHeight="true" outlineLevel="0" collapsed="false">
      <c r="A63" s="10"/>
      <c r="B63" s="13"/>
      <c r="C63" s="13"/>
      <c r="D63" s="13"/>
      <c r="E63" s="10"/>
    </row>
    <row r="64" customFormat="false" ht="15" hidden="false" customHeight="true" outlineLevel="0" collapsed="false">
      <c r="A64" s="10"/>
      <c r="B64" s="13"/>
      <c r="C64" s="13"/>
      <c r="D64" s="13"/>
      <c r="E64" s="10"/>
    </row>
    <row r="65" customFormat="false" ht="15" hidden="false" customHeight="true" outlineLevel="0" collapsed="false">
      <c r="A65" s="10"/>
      <c r="B65" s="13"/>
      <c r="C65" s="13"/>
      <c r="D65" s="13"/>
      <c r="E65" s="10"/>
    </row>
    <row r="66" customFormat="false" ht="15" hidden="false" customHeight="true" outlineLevel="0" collapsed="false">
      <c r="A66" s="10"/>
      <c r="B66" s="13"/>
      <c r="C66" s="13"/>
      <c r="D66" s="13"/>
      <c r="E66" s="10"/>
    </row>
    <row r="67" customFormat="false" ht="15" hidden="false" customHeight="true" outlineLevel="0" collapsed="false">
      <c r="A67" s="10"/>
      <c r="B67" s="13"/>
      <c r="C67" s="13"/>
      <c r="D67" s="13"/>
      <c r="E67" s="10"/>
    </row>
    <row r="68" customFormat="false" ht="15" hidden="false" customHeight="true" outlineLevel="0" collapsed="false">
      <c r="A68" s="10"/>
      <c r="B68" s="13"/>
      <c r="C68" s="13"/>
      <c r="D68" s="13"/>
      <c r="E68" s="10"/>
    </row>
    <row r="69" customFormat="false" ht="15" hidden="false" customHeight="true" outlineLevel="0" collapsed="false">
      <c r="A69" s="10"/>
      <c r="B69" s="13"/>
      <c r="C69" s="13"/>
      <c r="D69" s="13"/>
      <c r="E69" s="10"/>
    </row>
    <row r="70" customFormat="false" ht="15" hidden="false" customHeight="true" outlineLevel="0" collapsed="false">
      <c r="A70" s="10"/>
      <c r="B70" s="13"/>
      <c r="C70" s="13"/>
      <c r="D70" s="13"/>
      <c r="E70" s="10"/>
    </row>
    <row r="71" customFormat="false" ht="15" hidden="false" customHeight="true" outlineLevel="0" collapsed="false">
      <c r="A71" s="10"/>
      <c r="B71" s="13"/>
      <c r="C71" s="13"/>
      <c r="D71" s="13"/>
      <c r="E71" s="10"/>
    </row>
    <row r="72" customFormat="false" ht="15" hidden="false" customHeight="true" outlineLevel="0" collapsed="false">
      <c r="A72" s="10"/>
      <c r="B72" s="13"/>
      <c r="C72" s="13"/>
      <c r="D72" s="13"/>
      <c r="E72" s="10"/>
    </row>
    <row r="73" customFormat="false" ht="15" hidden="false" customHeight="true" outlineLevel="0" collapsed="false">
      <c r="A73" s="10"/>
      <c r="B73" s="13"/>
      <c r="C73" s="13"/>
      <c r="D73" s="13"/>
      <c r="E73" s="10"/>
    </row>
    <row r="74" customFormat="false" ht="15" hidden="false" customHeight="true" outlineLevel="0" collapsed="false">
      <c r="A74" s="10"/>
      <c r="B74" s="13"/>
      <c r="C74" s="13"/>
      <c r="D74" s="13"/>
      <c r="E74" s="10"/>
    </row>
    <row r="75" customFormat="false" ht="15" hidden="false" customHeight="true" outlineLevel="0" collapsed="false">
      <c r="A75" s="10"/>
      <c r="B75" s="13"/>
      <c r="C75" s="13"/>
      <c r="D75" s="13"/>
      <c r="E75" s="10"/>
    </row>
    <row r="76" customFormat="false" ht="15" hidden="false" customHeight="true" outlineLevel="0" collapsed="false">
      <c r="A76" s="10"/>
      <c r="B76" s="13"/>
      <c r="C76" s="13"/>
      <c r="D76" s="13"/>
      <c r="E76" s="10"/>
    </row>
    <row r="77" customFormat="false" ht="15" hidden="false" customHeight="true" outlineLevel="0" collapsed="false">
      <c r="A77" s="10"/>
      <c r="B77" s="13"/>
      <c r="C77" s="13"/>
      <c r="D77" s="13"/>
      <c r="E77" s="10"/>
    </row>
    <row r="78" customFormat="false" ht="15" hidden="false" customHeight="true" outlineLevel="0" collapsed="false">
      <c r="A78" s="10"/>
      <c r="B78" s="13"/>
      <c r="C78" s="13"/>
      <c r="D78" s="13"/>
      <c r="E78" s="10"/>
    </row>
    <row r="79" customFormat="false" ht="15" hidden="false" customHeight="true" outlineLevel="0" collapsed="false">
      <c r="A79" s="10"/>
      <c r="B79" s="13"/>
      <c r="C79" s="13"/>
      <c r="D79" s="13"/>
      <c r="E79" s="10"/>
    </row>
    <row r="80" customFormat="false" ht="15" hidden="false" customHeight="true" outlineLevel="0" collapsed="false">
      <c r="A80" s="10"/>
      <c r="B80" s="13"/>
      <c r="C80" s="13"/>
      <c r="D80" s="13"/>
      <c r="E80" s="10"/>
    </row>
    <row r="81" customFormat="false" ht="15" hidden="false" customHeight="true" outlineLevel="0" collapsed="false">
      <c r="A81" s="10"/>
      <c r="B81" s="13"/>
      <c r="C81" s="13"/>
      <c r="D81" s="13"/>
      <c r="E81" s="10"/>
    </row>
    <row r="82" customFormat="false" ht="15" hidden="false" customHeight="true" outlineLevel="0" collapsed="false">
      <c r="A82" s="10"/>
      <c r="B82" s="13"/>
      <c r="C82" s="13"/>
      <c r="D82" s="13"/>
      <c r="E82" s="10"/>
    </row>
    <row r="83" customFormat="false" ht="15" hidden="false" customHeight="true" outlineLevel="0" collapsed="false">
      <c r="A83" s="10"/>
      <c r="B83" s="13"/>
      <c r="C83" s="13"/>
      <c r="D83" s="13"/>
      <c r="E83" s="10"/>
    </row>
    <row r="84" customFormat="false" ht="15" hidden="false" customHeight="true" outlineLevel="0" collapsed="false">
      <c r="A84" s="10"/>
      <c r="B84" s="13"/>
      <c r="C84" s="13"/>
      <c r="D84" s="13"/>
      <c r="E84" s="10"/>
    </row>
    <row r="85" customFormat="false" ht="15" hidden="false" customHeight="true" outlineLevel="0" collapsed="false">
      <c r="A85" s="10"/>
      <c r="B85" s="13"/>
      <c r="C85" s="13"/>
      <c r="D85" s="13"/>
      <c r="E85" s="10"/>
    </row>
    <row r="86" customFormat="false" ht="15" hidden="false" customHeight="true" outlineLevel="0" collapsed="false">
      <c r="A86" s="10"/>
      <c r="B86" s="13"/>
      <c r="C86" s="13"/>
      <c r="D86" s="13"/>
      <c r="E86" s="10"/>
    </row>
    <row r="87" customFormat="false" ht="15" hidden="false" customHeight="true" outlineLevel="0" collapsed="false">
      <c r="A87" s="10"/>
      <c r="B87" s="13"/>
      <c r="C87" s="13"/>
      <c r="D87" s="13"/>
      <c r="E87" s="10"/>
    </row>
    <row r="88" customFormat="false" ht="15" hidden="false" customHeight="true" outlineLevel="0" collapsed="false">
      <c r="A88" s="10"/>
      <c r="B88" s="13"/>
      <c r="C88" s="13"/>
      <c r="D88" s="13"/>
      <c r="E88" s="10"/>
    </row>
    <row r="89" customFormat="false" ht="15" hidden="false" customHeight="true" outlineLevel="0" collapsed="false">
      <c r="A89" s="10"/>
      <c r="B89" s="13"/>
      <c r="C89" s="13"/>
      <c r="D89" s="13"/>
      <c r="E89" s="10"/>
    </row>
    <row r="90" customFormat="false" ht="15" hidden="false" customHeight="true" outlineLevel="0" collapsed="false">
      <c r="A90" s="10"/>
      <c r="B90" s="13"/>
      <c r="C90" s="13"/>
      <c r="D90" s="13"/>
      <c r="E90" s="10"/>
    </row>
    <row r="91" customFormat="false" ht="15" hidden="false" customHeight="true" outlineLevel="0" collapsed="false">
      <c r="A91" s="10"/>
      <c r="B91" s="13"/>
      <c r="C91" s="13"/>
      <c r="D91" s="13"/>
      <c r="E91" s="10"/>
    </row>
    <row r="92" customFormat="false" ht="15" hidden="false" customHeight="true" outlineLevel="0" collapsed="false">
      <c r="A92" s="10"/>
      <c r="B92" s="13"/>
      <c r="C92" s="13"/>
      <c r="D92" s="13"/>
      <c r="E92" s="10"/>
    </row>
    <row r="93" customFormat="false" ht="15" hidden="false" customHeight="true" outlineLevel="0" collapsed="false">
      <c r="A93" s="10"/>
      <c r="B93" s="13"/>
      <c r="C93" s="13"/>
      <c r="D93" s="13"/>
      <c r="E93" s="10"/>
    </row>
    <row r="94" customFormat="false" ht="15" hidden="false" customHeight="true" outlineLevel="0" collapsed="false">
      <c r="A94" s="10"/>
      <c r="B94" s="13"/>
      <c r="C94" s="13"/>
      <c r="D94" s="13"/>
      <c r="E94" s="10"/>
    </row>
    <row r="95" customFormat="false" ht="15" hidden="false" customHeight="true" outlineLevel="0" collapsed="false">
      <c r="A95" s="10"/>
      <c r="B95" s="13"/>
      <c r="C95" s="13"/>
      <c r="D95" s="13"/>
      <c r="E95" s="10"/>
    </row>
    <row r="96" customFormat="false" ht="15" hidden="false" customHeight="true" outlineLevel="0" collapsed="false">
      <c r="A96" s="10"/>
      <c r="B96" s="13"/>
      <c r="C96" s="13"/>
      <c r="D96" s="13"/>
      <c r="E96" s="10"/>
    </row>
    <row r="97" customFormat="false" ht="15" hidden="false" customHeight="true" outlineLevel="0" collapsed="false">
      <c r="A97" s="10"/>
      <c r="B97" s="13"/>
      <c r="C97" s="13"/>
      <c r="D97" s="13"/>
      <c r="E97" s="10"/>
    </row>
    <row r="98" customFormat="false" ht="15" hidden="false" customHeight="true" outlineLevel="0" collapsed="false">
      <c r="A98" s="10"/>
      <c r="B98" s="13"/>
      <c r="C98" s="13"/>
      <c r="D98" s="13"/>
      <c r="E98" s="10"/>
    </row>
    <row r="99" customFormat="false" ht="15" hidden="false" customHeight="true" outlineLevel="0" collapsed="false">
      <c r="A99" s="10"/>
      <c r="B99" s="13"/>
      <c r="C99" s="13"/>
      <c r="D99" s="13"/>
      <c r="E99" s="10"/>
    </row>
    <row r="100" customFormat="false" ht="15" hidden="false" customHeight="true" outlineLevel="0" collapsed="false">
      <c r="A100" s="10"/>
      <c r="B100" s="13"/>
      <c r="C100" s="13"/>
      <c r="D100" s="13"/>
      <c r="E100" s="10"/>
    </row>
    <row r="101" customFormat="false" ht="15" hidden="false" customHeight="true" outlineLevel="0" collapsed="false">
      <c r="A101" s="10"/>
      <c r="B101" s="13"/>
      <c r="C101" s="13"/>
      <c r="D101" s="13"/>
      <c r="E101" s="10"/>
    </row>
    <row r="102" customFormat="false" ht="15" hidden="false" customHeight="true" outlineLevel="0" collapsed="false">
      <c r="A102" s="10"/>
      <c r="B102" s="13"/>
      <c r="C102" s="13"/>
      <c r="D102" s="13"/>
      <c r="E102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20"/>
  </cols>
  <sheetData>
    <row r="1" customFormat="false" ht="25.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9" t="s">
        <v>54</v>
      </c>
      <c r="B2" s="9" t="s">
        <v>29</v>
      </c>
      <c r="C2" s="14" t="s">
        <v>55</v>
      </c>
      <c r="D2" s="9" t="s">
        <v>45</v>
      </c>
      <c r="E2" s="14" t="s">
        <v>56</v>
      </c>
      <c r="F2" s="14" t="s">
        <v>57</v>
      </c>
      <c r="G2" s="14" t="s">
        <v>58</v>
      </c>
      <c r="H2" s="14" t="s">
        <v>59</v>
      </c>
      <c r="I2" s="9" t="s">
        <v>60</v>
      </c>
      <c r="J2" s="9" t="s">
        <v>61</v>
      </c>
      <c r="K2" s="9" t="s">
        <v>34</v>
      </c>
    </row>
    <row r="3" customFormat="false" ht="15" hidden="false" customHeight="true" outlineLevel="0" collapsed="false">
      <c r="A3" s="12" t="n">
        <v>46209</v>
      </c>
      <c r="B3" s="10" t="n">
        <v>1001</v>
      </c>
      <c r="C3" s="15" t="str">
        <f aca="false">IF($B3="","",IFERROR(INDEX(회원명부!$B$3:$B$502,MATCH($B3,회원명부!$A$3:$A$502,0)),"미등록회원"))</f>
        <v>김회원</v>
      </c>
      <c r="D3" s="10" t="inlineStr">
        <is>
          <t>20회권</t>
        </is>
      </c>
      <c r="E3" s="16" t="n">
        <f aca="false">IF($D3="","",IF($J3="환불",0,IFERROR(INDEX(상품목록!$B$3:$B$102,MATCH($D3,상품목록!$A$3:$A$102,0)),0)))</f>
        <v>20</v>
      </c>
      <c r="F3" s="16" t="n">
        <f aca="false">IF($D3="","",IFERROR(INDEX(상품목록!$C$3:$C$102,MATCH($D3,상품목록!$A$3:$A$102,0)),0))</f>
        <v>120</v>
      </c>
      <c r="G3" s="17" t="n">
        <f aca="false">IF(OR($A3="",$F3=""),"",$A3+$F3)</f>
        <v>46329</v>
      </c>
      <c r="H3" s="16" t="n">
        <f aca="false">IF($D3="","",IF($J3="환불",0,IFERROR(INDEX(상품목록!$D$3:$D$102,MATCH($D3,상품목록!$A$3:$A$102,0)),0)))</f>
        <v>560000</v>
      </c>
      <c r="I3" s="10" t="inlineStr">
        <is>
          <t>카드</t>
        </is>
      </c>
      <c r="J3" s="10"/>
      <c r="K3" s="10" t="inlineStr">
        <is>
          <t>← 예시 행입니다. 지우고 쓰세요.</t>
        </is>
      </c>
    </row>
    <row r="4" customFormat="false" ht="15" hidden="false" customHeight="true" outlineLevel="0" collapsed="false">
      <c r="A4" s="12" t="n">
        <v>46237</v>
      </c>
      <c r="B4" s="10" t="n">
        <v>1002</v>
      </c>
      <c r="C4" s="15" t="str">
        <f aca="false">IF($B4="","",IFERROR(INDEX(회원명부!$B$3:$B$502,MATCH($B4,회원명부!$A$3:$A$502,0)),"미등록회원"))</f>
        <v>이회원</v>
      </c>
      <c r="D4" s="10" t="inlineStr">
        <is>
          <t>10회권</t>
        </is>
      </c>
      <c r="E4" s="16" t="n">
        <f aca="false">IF($D4="","",IF($J4="환불",0,IFERROR(INDEX(상품목록!$B$3:$B$102,MATCH($D4,상품목록!$A$3:$A$102,0)),0)))</f>
        <v>10</v>
      </c>
      <c r="F4" s="16" t="n">
        <f aca="false">IF($D4="","",IFERROR(INDEX(상품목록!$C$3:$C$102,MATCH($D4,상품목록!$A$3:$A$102,0)),0))</f>
        <v>60</v>
      </c>
      <c r="G4" s="17" t="n">
        <f aca="false">IF(OR($A4="",$F4=""),"",$A4+$F4)</f>
        <v>46297</v>
      </c>
      <c r="H4" s="16" t="n">
        <f aca="false">IF($D4="","",IF($J4="환불",0,IFERROR(INDEX(상품목록!$D$3:$D$102,MATCH($D4,상품목록!$A$3:$A$102,0)),0)))</f>
        <v>300000</v>
      </c>
      <c r="I4" s="10" t="inlineStr">
        <is>
          <t>계좌이체</t>
        </is>
      </c>
      <c r="J4" s="10"/>
      <c r="K4" s="10"/>
    </row>
    <row r="5" customFormat="false" ht="15" hidden="false" customHeight="true" outlineLevel="0" collapsed="false">
      <c r="A5" s="12" t="n">
        <v>46254</v>
      </c>
      <c r="B5" s="10" t="n">
        <v>1003</v>
      </c>
      <c r="C5" s="15" t="str">
        <f aca="false">IF($B5="","",IFERROR(INDEX(회원명부!$B$3:$B$502,MATCH($B5,회원명부!$A$3:$A$502,0)),"미등록회원"))</f>
        <v>박회원</v>
      </c>
      <c r="D5" s="10" t="inlineStr">
        <is>
          <t>30회권</t>
        </is>
      </c>
      <c r="E5" s="16" t="n">
        <f aca="false">IF($D5="","",IF($J5="환불",0,IFERROR(INDEX(상품목록!$B$3:$B$102,MATCH($D5,상품목록!$A$3:$A$102,0)),0)))</f>
        <v>30</v>
      </c>
      <c r="F5" s="16" t="n">
        <f aca="false">IF($D5="","",IFERROR(INDEX(상품목록!$C$3:$C$102,MATCH($D5,상품목록!$A$3:$A$102,0)),0))</f>
        <v>180</v>
      </c>
      <c r="G5" s="17" t="n">
        <f aca="false">IF(OR($A5="",$F5=""),"",$A5+$F5)</f>
        <v>46434</v>
      </c>
      <c r="H5" s="16" t="n">
        <f aca="false">IF($D5="","",IF($J5="환불",0,IFERROR(INDEX(상품목록!$D$3:$D$102,MATCH($D5,상품목록!$A$3:$A$102,0)),0)))</f>
        <v>780000</v>
      </c>
      <c r="I5" s="10" t="inlineStr">
        <is>
          <t>카드</t>
        </is>
      </c>
      <c r="J5" s="10"/>
      <c r="K5" s="10"/>
    </row>
    <row r="6" customFormat="false" ht="15" hidden="false" customHeight="true" outlineLevel="0" collapsed="false">
      <c r="A6" s="12" t="n">
        <v>46266</v>
      </c>
      <c r="B6" s="10" t="n">
        <v>1001</v>
      </c>
      <c r="C6" s="15" t="str">
        <f aca="false">IF($B6="","",IFERROR(INDEX(회원명부!$B$3:$B$502,MATCH($B6,회원명부!$A$3:$A$502,0)),"미등록회원"))</f>
        <v>김회원</v>
      </c>
      <c r="D6" s="10" t="inlineStr">
        <is>
          <t>1회 이용권</t>
        </is>
      </c>
      <c r="E6" s="16" t="n">
        <f aca="false">IF($D6="","",IF($J6="환불",0,IFERROR(INDEX(상품목록!$B$3:$B$102,MATCH($D6,상품목록!$A$3:$A$102,0)),0)))</f>
        <v>1</v>
      </c>
      <c r="F6" s="16" t="n">
        <f aca="false">IF($D6="","",IFERROR(INDEX(상품목록!$C$3:$C$102,MATCH($D6,상품목록!$A$3:$A$102,0)),0))</f>
        <v>30</v>
      </c>
      <c r="G6" s="17" t="n">
        <f aca="false">IF(OR($A6="",$F6=""),"",$A6+$F6)</f>
        <v>46296</v>
      </c>
      <c r="H6" s="16" t="n">
        <f aca="false">IF($D6="","",IF($J6="환불",0,IFERROR(INDEX(상품목록!$D$3:$D$102,MATCH($D6,상품목록!$A$3:$A$102,0)),0)))</f>
        <v>35000</v>
      </c>
      <c r="I6" s="10" t="inlineStr">
        <is>
          <t>현금</t>
        </is>
      </c>
      <c r="J6" s="10"/>
      <c r="K6" s="10"/>
    </row>
    <row r="7" customFormat="false" ht="15" hidden="false" customHeight="true" outlineLevel="0" collapsed="false">
      <c r="A7" s="12"/>
      <c r="B7" s="10"/>
      <c r="C7" s="15" t="str">
        <f aca="false">IF($B7="","",IFERROR(INDEX(회원명부!$B$3:$B$502,MATCH($B7,회원명부!$A$3:$A$502,0)),"미등록회원"))</f>
        <v/>
      </c>
      <c r="D7" s="10"/>
      <c r="E7" s="16" t="str">
        <f aca="false">IF($D7="","",IF($J7="환불",0,IFERROR(INDEX(상품목록!$B$3:$B$102,MATCH($D7,상품목록!$A$3:$A$102,0)),0)))</f>
        <v/>
      </c>
      <c r="F7" s="16" t="str">
        <f aca="false">IF($D7="","",IFERROR(INDEX(상품목록!$C$3:$C$102,MATCH($D7,상품목록!$A$3:$A$102,0)),0))</f>
        <v/>
      </c>
      <c r="G7" s="17" t="str">
        <f aca="false">IF(OR($A7="",$F7=""),"",$A7+$F7)</f>
        <v/>
      </c>
      <c r="H7" s="16" t="str">
        <f aca="false">IF($D7="","",IF($J7="환불",0,IFERROR(INDEX(상품목록!$D$3:$D$102,MATCH($D7,상품목록!$A$3:$A$102,0)),0)))</f>
        <v/>
      </c>
      <c r="I7" s="10"/>
      <c r="J7" s="10"/>
      <c r="K7" s="10"/>
    </row>
    <row r="8" customFormat="false" ht="15" hidden="false" customHeight="true" outlineLevel="0" collapsed="false">
      <c r="A8" s="12"/>
      <c r="B8" s="10"/>
      <c r="C8" s="15" t="str">
        <f aca="false">IF($B8="","",IFERROR(INDEX(회원명부!$B$3:$B$502,MATCH($B8,회원명부!$A$3:$A$502,0)),"미등록회원"))</f>
        <v/>
      </c>
      <c r="D8" s="10"/>
      <c r="E8" s="16" t="str">
        <f aca="false">IF($D8="","",IF($J8="환불",0,IFERROR(INDEX(상품목록!$B$3:$B$102,MATCH($D8,상품목록!$A$3:$A$102,0)),0)))</f>
        <v/>
      </c>
      <c r="F8" s="16" t="str">
        <f aca="false">IF($D8="","",IFERROR(INDEX(상품목록!$C$3:$C$102,MATCH($D8,상품목록!$A$3:$A$102,0)),0))</f>
        <v/>
      </c>
      <c r="G8" s="17" t="str">
        <f aca="false">IF(OR($A8="",$F8=""),"",$A8+$F8)</f>
        <v/>
      </c>
      <c r="H8" s="16" t="str">
        <f aca="false">IF($D8="","",IF($J8="환불",0,IFERROR(INDEX(상품목록!$D$3:$D$102,MATCH($D8,상품목록!$A$3:$A$102,0)),0)))</f>
        <v/>
      </c>
      <c r="I8" s="10"/>
      <c r="J8" s="10"/>
      <c r="K8" s="10"/>
    </row>
    <row r="9" customFormat="false" ht="15" hidden="false" customHeight="true" outlineLevel="0" collapsed="false">
      <c r="A9" s="12"/>
      <c r="B9" s="10"/>
      <c r="C9" s="15" t="str">
        <f aca="false">IF($B9="","",IFERROR(INDEX(회원명부!$B$3:$B$502,MATCH($B9,회원명부!$A$3:$A$502,0)),"미등록회원"))</f>
        <v/>
      </c>
      <c r="D9" s="10"/>
      <c r="E9" s="16" t="str">
        <f aca="false">IF($D9="","",IF($J9="환불",0,IFERROR(INDEX(상품목록!$B$3:$B$102,MATCH($D9,상품목록!$A$3:$A$102,0)),0)))</f>
        <v/>
      </c>
      <c r="F9" s="16" t="str">
        <f aca="false">IF($D9="","",IFERROR(INDEX(상품목록!$C$3:$C$102,MATCH($D9,상품목록!$A$3:$A$102,0)),0))</f>
        <v/>
      </c>
      <c r="G9" s="17" t="str">
        <f aca="false">IF(OR($A9="",$F9=""),"",$A9+$F9)</f>
        <v/>
      </c>
      <c r="H9" s="16" t="str">
        <f aca="false">IF($D9="","",IF($J9="환불",0,IFERROR(INDEX(상품목록!$D$3:$D$102,MATCH($D9,상품목록!$A$3:$A$102,0)),0)))</f>
        <v/>
      </c>
      <c r="I9" s="10"/>
      <c r="J9" s="10"/>
      <c r="K9" s="10"/>
    </row>
    <row r="10" customFormat="false" ht="15" hidden="false" customHeight="true" outlineLevel="0" collapsed="false">
      <c r="A10" s="12"/>
      <c r="B10" s="10"/>
      <c r="C10" s="15" t="str">
        <f aca="false">IF($B10="","",IFERROR(INDEX(회원명부!$B$3:$B$502,MATCH($B10,회원명부!$A$3:$A$502,0)),"미등록회원"))</f>
        <v/>
      </c>
      <c r="D10" s="10"/>
      <c r="E10" s="16" t="str">
        <f aca="false">IF($D10="","",IF($J10="환불",0,IFERROR(INDEX(상품목록!$B$3:$B$102,MATCH($D10,상품목록!$A$3:$A$102,0)),0)))</f>
        <v/>
      </c>
      <c r="F10" s="16" t="str">
        <f aca="false">IF($D10="","",IFERROR(INDEX(상품목록!$C$3:$C$102,MATCH($D10,상품목록!$A$3:$A$102,0)),0))</f>
        <v/>
      </c>
      <c r="G10" s="17" t="str">
        <f aca="false">IF(OR($A10="",$F10=""),"",$A10+$F10)</f>
        <v/>
      </c>
      <c r="H10" s="16" t="str">
        <f aca="false">IF($D10="","",IF($J10="환불",0,IFERROR(INDEX(상품목록!$D$3:$D$102,MATCH($D10,상품목록!$A$3:$A$102,0)),0)))</f>
        <v/>
      </c>
      <c r="I10" s="10"/>
      <c r="J10" s="10"/>
      <c r="K10" s="10"/>
    </row>
    <row r="11" customFormat="false" ht="15" hidden="false" customHeight="true" outlineLevel="0" collapsed="false">
      <c r="A11" s="12"/>
      <c r="B11" s="10"/>
      <c r="C11" s="15" t="str">
        <f aca="false">IF($B11="","",IFERROR(INDEX(회원명부!$B$3:$B$502,MATCH($B11,회원명부!$A$3:$A$502,0)),"미등록회원"))</f>
        <v/>
      </c>
      <c r="D11" s="10"/>
      <c r="E11" s="16" t="str">
        <f aca="false">IF($D11="","",IF($J11="환불",0,IFERROR(INDEX(상품목록!$B$3:$B$102,MATCH($D11,상품목록!$A$3:$A$102,0)),0)))</f>
        <v/>
      </c>
      <c r="F11" s="16" t="str">
        <f aca="false">IF($D11="","",IFERROR(INDEX(상품목록!$C$3:$C$102,MATCH($D11,상품목록!$A$3:$A$102,0)),0))</f>
        <v/>
      </c>
      <c r="G11" s="17" t="str">
        <f aca="false">IF(OR($A11="",$F11=""),"",$A11+$F11)</f>
        <v/>
      </c>
      <c r="H11" s="16" t="str">
        <f aca="false">IF($D11="","",IF($J11="환불",0,IFERROR(INDEX(상품목록!$D$3:$D$102,MATCH($D11,상품목록!$A$3:$A$102,0)),0)))</f>
        <v/>
      </c>
      <c r="I11" s="10"/>
      <c r="J11" s="10"/>
      <c r="K11" s="10"/>
    </row>
    <row r="12" customFormat="false" ht="15" hidden="false" customHeight="true" outlineLevel="0" collapsed="false">
      <c r="A12" s="12"/>
      <c r="B12" s="10"/>
      <c r="C12" s="15" t="str">
        <f aca="false">IF($B12="","",IFERROR(INDEX(회원명부!$B$3:$B$502,MATCH($B12,회원명부!$A$3:$A$502,0)),"미등록회원"))</f>
        <v/>
      </c>
      <c r="D12" s="10"/>
      <c r="E12" s="16" t="str">
        <f aca="false">IF($D12="","",IF($J12="환불",0,IFERROR(INDEX(상품목록!$B$3:$B$102,MATCH($D12,상품목록!$A$3:$A$102,0)),0)))</f>
        <v/>
      </c>
      <c r="F12" s="16" t="str">
        <f aca="false">IF($D12="","",IFERROR(INDEX(상품목록!$C$3:$C$102,MATCH($D12,상품목록!$A$3:$A$102,0)),0))</f>
        <v/>
      </c>
      <c r="G12" s="17" t="str">
        <f aca="false">IF(OR($A12="",$F12=""),"",$A12+$F12)</f>
        <v/>
      </c>
      <c r="H12" s="16" t="str">
        <f aca="false">IF($D12="","",IF($J12="환불",0,IFERROR(INDEX(상품목록!$D$3:$D$102,MATCH($D12,상품목록!$A$3:$A$102,0)),0)))</f>
        <v/>
      </c>
      <c r="I12" s="10"/>
      <c r="J12" s="10"/>
      <c r="K12" s="10"/>
    </row>
    <row r="13" customFormat="false" ht="15" hidden="false" customHeight="true" outlineLevel="0" collapsed="false">
      <c r="A13" s="12"/>
      <c r="B13" s="10"/>
      <c r="C13" s="15" t="str">
        <f aca="false">IF($B13="","",IFERROR(INDEX(회원명부!$B$3:$B$502,MATCH($B13,회원명부!$A$3:$A$502,0)),"미등록회원"))</f>
        <v/>
      </c>
      <c r="D13" s="10"/>
      <c r="E13" s="16" t="str">
        <f aca="false">IF($D13="","",IF($J13="환불",0,IFERROR(INDEX(상품목록!$B$3:$B$102,MATCH($D13,상품목록!$A$3:$A$102,0)),0)))</f>
        <v/>
      </c>
      <c r="F13" s="16" t="str">
        <f aca="false">IF($D13="","",IFERROR(INDEX(상품목록!$C$3:$C$102,MATCH($D13,상품목록!$A$3:$A$102,0)),0))</f>
        <v/>
      </c>
      <c r="G13" s="17" t="str">
        <f aca="false">IF(OR($A13="",$F13=""),"",$A13+$F13)</f>
        <v/>
      </c>
      <c r="H13" s="16" t="str">
        <f aca="false">IF($D13="","",IF($J13="환불",0,IFERROR(INDEX(상품목록!$D$3:$D$102,MATCH($D13,상품목록!$A$3:$A$102,0)),0)))</f>
        <v/>
      </c>
      <c r="I13" s="10"/>
      <c r="J13" s="10"/>
      <c r="K13" s="10"/>
    </row>
    <row r="14" customFormat="false" ht="15" hidden="false" customHeight="true" outlineLevel="0" collapsed="false">
      <c r="A14" s="12"/>
      <c r="B14" s="10"/>
      <c r="C14" s="15" t="str">
        <f aca="false">IF($B14="","",IFERROR(INDEX(회원명부!$B$3:$B$502,MATCH($B14,회원명부!$A$3:$A$502,0)),"미등록회원"))</f>
        <v/>
      </c>
      <c r="D14" s="10"/>
      <c r="E14" s="16" t="str">
        <f aca="false">IF($D14="","",IF($J14="환불",0,IFERROR(INDEX(상품목록!$B$3:$B$102,MATCH($D14,상품목록!$A$3:$A$102,0)),0)))</f>
        <v/>
      </c>
      <c r="F14" s="16" t="str">
        <f aca="false">IF($D14="","",IFERROR(INDEX(상품목록!$C$3:$C$102,MATCH($D14,상품목록!$A$3:$A$102,0)),0))</f>
        <v/>
      </c>
      <c r="G14" s="17" t="str">
        <f aca="false">IF(OR($A14="",$F14=""),"",$A14+$F14)</f>
        <v/>
      </c>
      <c r="H14" s="16" t="str">
        <f aca="false">IF($D14="","",IF($J14="환불",0,IFERROR(INDEX(상품목록!$D$3:$D$102,MATCH($D14,상품목록!$A$3:$A$102,0)),0)))</f>
        <v/>
      </c>
      <c r="I14" s="10"/>
      <c r="J14" s="10"/>
      <c r="K14" s="10"/>
    </row>
    <row r="15" customFormat="false" ht="15" hidden="false" customHeight="true" outlineLevel="0" collapsed="false">
      <c r="A15" s="12"/>
      <c r="B15" s="10"/>
      <c r="C15" s="15" t="str">
        <f aca="false">IF($B15="","",IFERROR(INDEX(회원명부!$B$3:$B$502,MATCH($B15,회원명부!$A$3:$A$502,0)),"미등록회원"))</f>
        <v/>
      </c>
      <c r="D15" s="10"/>
      <c r="E15" s="16" t="str">
        <f aca="false">IF($D15="","",IF($J15="환불",0,IFERROR(INDEX(상품목록!$B$3:$B$102,MATCH($D15,상품목록!$A$3:$A$102,0)),0)))</f>
        <v/>
      </c>
      <c r="F15" s="16" t="str">
        <f aca="false">IF($D15="","",IFERROR(INDEX(상품목록!$C$3:$C$102,MATCH($D15,상품목록!$A$3:$A$102,0)),0))</f>
        <v/>
      </c>
      <c r="G15" s="17" t="str">
        <f aca="false">IF(OR($A15="",$F15=""),"",$A15+$F15)</f>
        <v/>
      </c>
      <c r="H15" s="16" t="str">
        <f aca="false">IF($D15="","",IF($J15="환불",0,IFERROR(INDEX(상품목록!$D$3:$D$102,MATCH($D15,상품목록!$A$3:$A$102,0)),0)))</f>
        <v/>
      </c>
      <c r="I15" s="10"/>
      <c r="J15" s="10"/>
      <c r="K15" s="10"/>
    </row>
    <row r="16" customFormat="false" ht="15" hidden="false" customHeight="true" outlineLevel="0" collapsed="false">
      <c r="A16" s="12"/>
      <c r="B16" s="10"/>
      <c r="C16" s="15" t="str">
        <f aca="false">IF($B16="","",IFERROR(INDEX(회원명부!$B$3:$B$502,MATCH($B16,회원명부!$A$3:$A$502,0)),"미등록회원"))</f>
        <v/>
      </c>
      <c r="D16" s="10"/>
      <c r="E16" s="16" t="str">
        <f aca="false">IF($D16="","",IF($J16="환불",0,IFERROR(INDEX(상품목록!$B$3:$B$102,MATCH($D16,상품목록!$A$3:$A$102,0)),0)))</f>
        <v/>
      </c>
      <c r="F16" s="16" t="str">
        <f aca="false">IF($D16="","",IFERROR(INDEX(상품목록!$C$3:$C$102,MATCH($D16,상품목록!$A$3:$A$102,0)),0))</f>
        <v/>
      </c>
      <c r="G16" s="17" t="str">
        <f aca="false">IF(OR($A16="",$F16=""),"",$A16+$F16)</f>
        <v/>
      </c>
      <c r="H16" s="16" t="str">
        <f aca="false">IF($D16="","",IF($J16="환불",0,IFERROR(INDEX(상품목록!$D$3:$D$102,MATCH($D16,상품목록!$A$3:$A$102,0)),0)))</f>
        <v/>
      </c>
      <c r="I16" s="10"/>
      <c r="J16" s="10"/>
      <c r="K16" s="10"/>
    </row>
    <row r="17" customFormat="false" ht="15" hidden="false" customHeight="true" outlineLevel="0" collapsed="false">
      <c r="A17" s="12"/>
      <c r="B17" s="10"/>
      <c r="C17" s="15" t="str">
        <f aca="false">IF($B17="","",IFERROR(INDEX(회원명부!$B$3:$B$502,MATCH($B17,회원명부!$A$3:$A$502,0)),"미등록회원"))</f>
        <v/>
      </c>
      <c r="D17" s="10"/>
      <c r="E17" s="16" t="str">
        <f aca="false">IF($D17="","",IF($J17="환불",0,IFERROR(INDEX(상품목록!$B$3:$B$102,MATCH($D17,상품목록!$A$3:$A$102,0)),0)))</f>
        <v/>
      </c>
      <c r="F17" s="16" t="str">
        <f aca="false">IF($D17="","",IFERROR(INDEX(상품목록!$C$3:$C$102,MATCH($D17,상품목록!$A$3:$A$102,0)),0))</f>
        <v/>
      </c>
      <c r="G17" s="17" t="str">
        <f aca="false">IF(OR($A17="",$F17=""),"",$A17+$F17)</f>
        <v/>
      </c>
      <c r="H17" s="16" t="str">
        <f aca="false">IF($D17="","",IF($J17="환불",0,IFERROR(INDEX(상품목록!$D$3:$D$102,MATCH($D17,상품목록!$A$3:$A$102,0)),0)))</f>
        <v/>
      </c>
      <c r="I17" s="10"/>
      <c r="J17" s="10"/>
      <c r="K17" s="10"/>
    </row>
    <row r="18" customFormat="false" ht="15" hidden="false" customHeight="true" outlineLevel="0" collapsed="false">
      <c r="A18" s="12"/>
      <c r="B18" s="10"/>
      <c r="C18" s="15" t="str">
        <f aca="false">IF($B18="","",IFERROR(INDEX(회원명부!$B$3:$B$502,MATCH($B18,회원명부!$A$3:$A$502,0)),"미등록회원"))</f>
        <v/>
      </c>
      <c r="D18" s="10"/>
      <c r="E18" s="16" t="str">
        <f aca="false">IF($D18="","",IF($J18="환불",0,IFERROR(INDEX(상품목록!$B$3:$B$102,MATCH($D18,상품목록!$A$3:$A$102,0)),0)))</f>
        <v/>
      </c>
      <c r="F18" s="16" t="str">
        <f aca="false">IF($D18="","",IFERROR(INDEX(상품목록!$C$3:$C$102,MATCH($D18,상품목록!$A$3:$A$102,0)),0))</f>
        <v/>
      </c>
      <c r="G18" s="17" t="str">
        <f aca="false">IF(OR($A18="",$F18=""),"",$A18+$F18)</f>
        <v/>
      </c>
      <c r="H18" s="16" t="str">
        <f aca="false">IF($D18="","",IF($J18="환불",0,IFERROR(INDEX(상품목록!$D$3:$D$102,MATCH($D18,상품목록!$A$3:$A$102,0)),0)))</f>
        <v/>
      </c>
      <c r="I18" s="10"/>
      <c r="J18" s="10"/>
      <c r="K18" s="10"/>
    </row>
    <row r="19" customFormat="false" ht="15" hidden="false" customHeight="true" outlineLevel="0" collapsed="false">
      <c r="A19" s="12"/>
      <c r="B19" s="10"/>
      <c r="C19" s="15" t="str">
        <f aca="false">IF($B19="","",IFERROR(INDEX(회원명부!$B$3:$B$502,MATCH($B19,회원명부!$A$3:$A$502,0)),"미등록회원"))</f>
        <v/>
      </c>
      <c r="D19" s="10"/>
      <c r="E19" s="16" t="str">
        <f aca="false">IF($D19="","",IF($J19="환불",0,IFERROR(INDEX(상품목록!$B$3:$B$102,MATCH($D19,상품목록!$A$3:$A$102,0)),0)))</f>
        <v/>
      </c>
      <c r="F19" s="16" t="str">
        <f aca="false">IF($D19="","",IFERROR(INDEX(상품목록!$C$3:$C$102,MATCH($D19,상품목록!$A$3:$A$102,0)),0))</f>
        <v/>
      </c>
      <c r="G19" s="17" t="str">
        <f aca="false">IF(OR($A19="",$F19=""),"",$A19+$F19)</f>
        <v/>
      </c>
      <c r="H19" s="16" t="str">
        <f aca="false">IF($D19="","",IF($J19="환불",0,IFERROR(INDEX(상품목록!$D$3:$D$102,MATCH($D19,상품목록!$A$3:$A$102,0)),0)))</f>
        <v/>
      </c>
      <c r="I19" s="10"/>
      <c r="J19" s="10"/>
      <c r="K19" s="10"/>
    </row>
    <row r="20" customFormat="false" ht="15" hidden="false" customHeight="true" outlineLevel="0" collapsed="false">
      <c r="A20" s="12"/>
      <c r="B20" s="10"/>
      <c r="C20" s="15" t="str">
        <f aca="false">IF($B20="","",IFERROR(INDEX(회원명부!$B$3:$B$502,MATCH($B20,회원명부!$A$3:$A$502,0)),"미등록회원"))</f>
        <v/>
      </c>
      <c r="D20" s="10"/>
      <c r="E20" s="16" t="str">
        <f aca="false">IF($D20="","",IF($J20="환불",0,IFERROR(INDEX(상품목록!$B$3:$B$102,MATCH($D20,상품목록!$A$3:$A$102,0)),0)))</f>
        <v/>
      </c>
      <c r="F20" s="16" t="str">
        <f aca="false">IF($D20="","",IFERROR(INDEX(상품목록!$C$3:$C$102,MATCH($D20,상품목록!$A$3:$A$102,0)),0))</f>
        <v/>
      </c>
      <c r="G20" s="17" t="str">
        <f aca="false">IF(OR($A20="",$F20=""),"",$A20+$F20)</f>
        <v/>
      </c>
      <c r="H20" s="16" t="str">
        <f aca="false">IF($D20="","",IF($J20="환불",0,IFERROR(INDEX(상품목록!$D$3:$D$102,MATCH($D20,상품목록!$A$3:$A$102,0)),0)))</f>
        <v/>
      </c>
      <c r="I20" s="10"/>
      <c r="J20" s="10"/>
      <c r="K20" s="10"/>
    </row>
    <row r="21" customFormat="false" ht="15" hidden="false" customHeight="true" outlineLevel="0" collapsed="false">
      <c r="A21" s="12"/>
      <c r="B21" s="10"/>
      <c r="C21" s="15" t="str">
        <f aca="false">IF($B21="","",IFERROR(INDEX(회원명부!$B$3:$B$502,MATCH($B21,회원명부!$A$3:$A$502,0)),"미등록회원"))</f>
        <v/>
      </c>
      <c r="D21" s="10"/>
      <c r="E21" s="16" t="str">
        <f aca="false">IF($D21="","",IF($J21="환불",0,IFERROR(INDEX(상품목록!$B$3:$B$102,MATCH($D21,상품목록!$A$3:$A$102,0)),0)))</f>
        <v/>
      </c>
      <c r="F21" s="16" t="str">
        <f aca="false">IF($D21="","",IFERROR(INDEX(상품목록!$C$3:$C$102,MATCH($D21,상품목록!$A$3:$A$102,0)),0))</f>
        <v/>
      </c>
      <c r="G21" s="17" t="str">
        <f aca="false">IF(OR($A21="",$F21=""),"",$A21+$F21)</f>
        <v/>
      </c>
      <c r="H21" s="16" t="str">
        <f aca="false">IF($D21="","",IF($J21="환불",0,IFERROR(INDEX(상품목록!$D$3:$D$102,MATCH($D21,상품목록!$A$3:$A$102,0)),0)))</f>
        <v/>
      </c>
      <c r="I21" s="10"/>
      <c r="J21" s="10"/>
      <c r="K21" s="10"/>
    </row>
    <row r="22" customFormat="false" ht="15" hidden="false" customHeight="true" outlineLevel="0" collapsed="false">
      <c r="A22" s="12"/>
      <c r="B22" s="10"/>
      <c r="C22" s="15" t="str">
        <f aca="false">IF($B22="","",IFERROR(INDEX(회원명부!$B$3:$B$502,MATCH($B22,회원명부!$A$3:$A$502,0)),"미등록회원"))</f>
        <v/>
      </c>
      <c r="D22" s="10"/>
      <c r="E22" s="16" t="str">
        <f aca="false">IF($D22="","",IF($J22="환불",0,IFERROR(INDEX(상품목록!$B$3:$B$102,MATCH($D22,상품목록!$A$3:$A$102,0)),0)))</f>
        <v/>
      </c>
      <c r="F22" s="16" t="str">
        <f aca="false">IF($D22="","",IFERROR(INDEX(상품목록!$C$3:$C$102,MATCH($D22,상품목록!$A$3:$A$102,0)),0))</f>
        <v/>
      </c>
      <c r="G22" s="17" t="str">
        <f aca="false">IF(OR($A22="",$F22=""),"",$A22+$F22)</f>
        <v/>
      </c>
      <c r="H22" s="16" t="str">
        <f aca="false">IF($D22="","",IF($J22="환불",0,IFERROR(INDEX(상품목록!$D$3:$D$102,MATCH($D22,상품목록!$A$3:$A$102,0)),0)))</f>
        <v/>
      </c>
      <c r="I22" s="10"/>
      <c r="J22" s="10"/>
      <c r="K22" s="10"/>
    </row>
    <row r="23" customFormat="false" ht="15" hidden="false" customHeight="true" outlineLevel="0" collapsed="false">
      <c r="A23" s="12"/>
      <c r="B23" s="10"/>
      <c r="C23" s="15" t="str">
        <f aca="false">IF($B23="","",IFERROR(INDEX(회원명부!$B$3:$B$502,MATCH($B23,회원명부!$A$3:$A$502,0)),"미등록회원"))</f>
        <v/>
      </c>
      <c r="D23" s="10"/>
      <c r="E23" s="16" t="str">
        <f aca="false">IF($D23="","",IF($J23="환불",0,IFERROR(INDEX(상품목록!$B$3:$B$102,MATCH($D23,상품목록!$A$3:$A$102,0)),0)))</f>
        <v/>
      </c>
      <c r="F23" s="16" t="str">
        <f aca="false">IF($D23="","",IFERROR(INDEX(상품목록!$C$3:$C$102,MATCH($D23,상품목록!$A$3:$A$102,0)),0))</f>
        <v/>
      </c>
      <c r="G23" s="17" t="str">
        <f aca="false">IF(OR($A23="",$F23=""),"",$A23+$F23)</f>
        <v/>
      </c>
      <c r="H23" s="16" t="str">
        <f aca="false">IF($D23="","",IF($J23="환불",0,IFERROR(INDEX(상품목록!$D$3:$D$102,MATCH($D23,상품목록!$A$3:$A$102,0)),0)))</f>
        <v/>
      </c>
      <c r="I23" s="10"/>
      <c r="J23" s="10"/>
      <c r="K23" s="10"/>
    </row>
    <row r="24" customFormat="false" ht="15" hidden="false" customHeight="true" outlineLevel="0" collapsed="false">
      <c r="A24" s="12"/>
      <c r="B24" s="10"/>
      <c r="C24" s="15" t="str">
        <f aca="false">IF($B24="","",IFERROR(INDEX(회원명부!$B$3:$B$502,MATCH($B24,회원명부!$A$3:$A$502,0)),"미등록회원"))</f>
        <v/>
      </c>
      <c r="D24" s="10"/>
      <c r="E24" s="16" t="str">
        <f aca="false">IF($D24="","",IF($J24="환불",0,IFERROR(INDEX(상품목록!$B$3:$B$102,MATCH($D24,상품목록!$A$3:$A$102,0)),0)))</f>
        <v/>
      </c>
      <c r="F24" s="16" t="str">
        <f aca="false">IF($D24="","",IFERROR(INDEX(상품목록!$C$3:$C$102,MATCH($D24,상품목록!$A$3:$A$102,0)),0))</f>
        <v/>
      </c>
      <c r="G24" s="17" t="str">
        <f aca="false">IF(OR($A24="",$F24=""),"",$A24+$F24)</f>
        <v/>
      </c>
      <c r="H24" s="16" t="str">
        <f aca="false">IF($D24="","",IF($J24="환불",0,IFERROR(INDEX(상품목록!$D$3:$D$102,MATCH($D24,상품목록!$A$3:$A$102,0)),0)))</f>
        <v/>
      </c>
      <c r="I24" s="10"/>
      <c r="J24" s="10"/>
      <c r="K24" s="10"/>
    </row>
    <row r="25" customFormat="false" ht="15" hidden="false" customHeight="true" outlineLevel="0" collapsed="false">
      <c r="A25" s="12"/>
      <c r="B25" s="10"/>
      <c r="C25" s="15" t="str">
        <f aca="false">IF($B25="","",IFERROR(INDEX(회원명부!$B$3:$B$502,MATCH($B25,회원명부!$A$3:$A$502,0)),"미등록회원"))</f>
        <v/>
      </c>
      <c r="D25" s="10"/>
      <c r="E25" s="16" t="str">
        <f aca="false">IF($D25="","",IF($J25="환불",0,IFERROR(INDEX(상품목록!$B$3:$B$102,MATCH($D25,상품목록!$A$3:$A$102,0)),0)))</f>
        <v/>
      </c>
      <c r="F25" s="16" t="str">
        <f aca="false">IF($D25="","",IFERROR(INDEX(상품목록!$C$3:$C$102,MATCH($D25,상품목록!$A$3:$A$102,0)),0))</f>
        <v/>
      </c>
      <c r="G25" s="17" t="str">
        <f aca="false">IF(OR($A25="",$F25=""),"",$A25+$F25)</f>
        <v/>
      </c>
      <c r="H25" s="16" t="str">
        <f aca="false">IF($D25="","",IF($J25="환불",0,IFERROR(INDEX(상품목록!$D$3:$D$102,MATCH($D25,상품목록!$A$3:$A$102,0)),0)))</f>
        <v/>
      </c>
      <c r="I25" s="10"/>
      <c r="J25" s="10"/>
      <c r="K25" s="10"/>
    </row>
    <row r="26" customFormat="false" ht="15" hidden="false" customHeight="true" outlineLevel="0" collapsed="false">
      <c r="A26" s="12"/>
      <c r="B26" s="10"/>
      <c r="C26" s="15" t="str">
        <f aca="false">IF($B26="","",IFERROR(INDEX(회원명부!$B$3:$B$502,MATCH($B26,회원명부!$A$3:$A$502,0)),"미등록회원"))</f>
        <v/>
      </c>
      <c r="D26" s="10"/>
      <c r="E26" s="16" t="str">
        <f aca="false">IF($D26="","",IF($J26="환불",0,IFERROR(INDEX(상품목록!$B$3:$B$102,MATCH($D26,상품목록!$A$3:$A$102,0)),0)))</f>
        <v/>
      </c>
      <c r="F26" s="16" t="str">
        <f aca="false">IF($D26="","",IFERROR(INDEX(상품목록!$C$3:$C$102,MATCH($D26,상품목록!$A$3:$A$102,0)),0))</f>
        <v/>
      </c>
      <c r="G26" s="17" t="str">
        <f aca="false">IF(OR($A26="",$F26=""),"",$A26+$F26)</f>
        <v/>
      </c>
      <c r="H26" s="16" t="str">
        <f aca="false">IF($D26="","",IF($J26="환불",0,IFERROR(INDEX(상품목록!$D$3:$D$102,MATCH($D26,상품목록!$A$3:$A$102,0)),0)))</f>
        <v/>
      </c>
      <c r="I26" s="10"/>
      <c r="J26" s="10"/>
      <c r="K26" s="10"/>
    </row>
    <row r="27" customFormat="false" ht="15" hidden="false" customHeight="true" outlineLevel="0" collapsed="false">
      <c r="A27" s="12"/>
      <c r="B27" s="10"/>
      <c r="C27" s="15" t="str">
        <f aca="false">IF($B27="","",IFERROR(INDEX(회원명부!$B$3:$B$502,MATCH($B27,회원명부!$A$3:$A$502,0)),"미등록회원"))</f>
        <v/>
      </c>
      <c r="D27" s="10"/>
      <c r="E27" s="16" t="str">
        <f aca="false">IF($D27="","",IF($J27="환불",0,IFERROR(INDEX(상품목록!$B$3:$B$102,MATCH($D27,상품목록!$A$3:$A$102,0)),0)))</f>
        <v/>
      </c>
      <c r="F27" s="16" t="str">
        <f aca="false">IF($D27="","",IFERROR(INDEX(상품목록!$C$3:$C$102,MATCH($D27,상품목록!$A$3:$A$102,0)),0))</f>
        <v/>
      </c>
      <c r="G27" s="17" t="str">
        <f aca="false">IF(OR($A27="",$F27=""),"",$A27+$F27)</f>
        <v/>
      </c>
      <c r="H27" s="16" t="str">
        <f aca="false">IF($D27="","",IF($J27="환불",0,IFERROR(INDEX(상품목록!$D$3:$D$102,MATCH($D27,상품목록!$A$3:$A$102,0)),0)))</f>
        <v/>
      </c>
      <c r="I27" s="10"/>
      <c r="J27" s="10"/>
      <c r="K27" s="10"/>
    </row>
    <row r="28" customFormat="false" ht="15" hidden="false" customHeight="true" outlineLevel="0" collapsed="false">
      <c r="A28" s="12"/>
      <c r="B28" s="10"/>
      <c r="C28" s="15" t="str">
        <f aca="false">IF($B28="","",IFERROR(INDEX(회원명부!$B$3:$B$502,MATCH($B28,회원명부!$A$3:$A$502,0)),"미등록회원"))</f>
        <v/>
      </c>
      <c r="D28" s="10"/>
      <c r="E28" s="16" t="str">
        <f aca="false">IF($D28="","",IF($J28="환불",0,IFERROR(INDEX(상품목록!$B$3:$B$102,MATCH($D28,상품목록!$A$3:$A$102,0)),0)))</f>
        <v/>
      </c>
      <c r="F28" s="16" t="str">
        <f aca="false">IF($D28="","",IFERROR(INDEX(상품목록!$C$3:$C$102,MATCH($D28,상품목록!$A$3:$A$102,0)),0))</f>
        <v/>
      </c>
      <c r="G28" s="17" t="str">
        <f aca="false">IF(OR($A28="",$F28=""),"",$A28+$F28)</f>
        <v/>
      </c>
      <c r="H28" s="16" t="str">
        <f aca="false">IF($D28="","",IF($J28="환불",0,IFERROR(INDEX(상품목록!$D$3:$D$102,MATCH($D28,상품목록!$A$3:$A$102,0)),0)))</f>
        <v/>
      </c>
      <c r="I28" s="10"/>
      <c r="J28" s="10"/>
      <c r="K28" s="10"/>
    </row>
    <row r="29" customFormat="false" ht="15" hidden="false" customHeight="true" outlineLevel="0" collapsed="false">
      <c r="A29" s="12"/>
      <c r="B29" s="10"/>
      <c r="C29" s="15" t="str">
        <f aca="false">IF($B29="","",IFERROR(INDEX(회원명부!$B$3:$B$502,MATCH($B29,회원명부!$A$3:$A$502,0)),"미등록회원"))</f>
        <v/>
      </c>
      <c r="D29" s="10"/>
      <c r="E29" s="16" t="str">
        <f aca="false">IF($D29="","",IF($J29="환불",0,IFERROR(INDEX(상품목록!$B$3:$B$102,MATCH($D29,상품목록!$A$3:$A$102,0)),0)))</f>
        <v/>
      </c>
      <c r="F29" s="16" t="str">
        <f aca="false">IF($D29="","",IFERROR(INDEX(상품목록!$C$3:$C$102,MATCH($D29,상품목록!$A$3:$A$102,0)),0))</f>
        <v/>
      </c>
      <c r="G29" s="17" t="str">
        <f aca="false">IF(OR($A29="",$F29=""),"",$A29+$F29)</f>
        <v/>
      </c>
      <c r="H29" s="16" t="str">
        <f aca="false">IF($D29="","",IF($J29="환불",0,IFERROR(INDEX(상품목록!$D$3:$D$102,MATCH($D29,상품목록!$A$3:$A$102,0)),0)))</f>
        <v/>
      </c>
      <c r="I29" s="10"/>
      <c r="J29" s="10"/>
      <c r="K29" s="10"/>
    </row>
    <row r="30" customFormat="false" ht="15" hidden="false" customHeight="true" outlineLevel="0" collapsed="false">
      <c r="A30" s="12"/>
      <c r="B30" s="10"/>
      <c r="C30" s="15" t="str">
        <f aca="false">IF($B30="","",IFERROR(INDEX(회원명부!$B$3:$B$502,MATCH($B30,회원명부!$A$3:$A$502,0)),"미등록회원"))</f>
        <v/>
      </c>
      <c r="D30" s="10"/>
      <c r="E30" s="16" t="str">
        <f aca="false">IF($D30="","",IF($J30="환불",0,IFERROR(INDEX(상품목록!$B$3:$B$102,MATCH($D30,상품목록!$A$3:$A$102,0)),0)))</f>
        <v/>
      </c>
      <c r="F30" s="16" t="str">
        <f aca="false">IF($D30="","",IFERROR(INDEX(상품목록!$C$3:$C$102,MATCH($D30,상품목록!$A$3:$A$102,0)),0))</f>
        <v/>
      </c>
      <c r="G30" s="17" t="str">
        <f aca="false">IF(OR($A30="",$F30=""),"",$A30+$F30)</f>
        <v/>
      </c>
      <c r="H30" s="16" t="str">
        <f aca="false">IF($D30="","",IF($J30="환불",0,IFERROR(INDEX(상품목록!$D$3:$D$102,MATCH($D30,상품목록!$A$3:$A$102,0)),0)))</f>
        <v/>
      </c>
      <c r="I30" s="10"/>
      <c r="J30" s="10"/>
      <c r="K30" s="10"/>
    </row>
    <row r="31" customFormat="false" ht="15" hidden="false" customHeight="true" outlineLevel="0" collapsed="false">
      <c r="A31" s="12"/>
      <c r="B31" s="10"/>
      <c r="C31" s="15" t="str">
        <f aca="false">IF($B31="","",IFERROR(INDEX(회원명부!$B$3:$B$502,MATCH($B31,회원명부!$A$3:$A$502,0)),"미등록회원"))</f>
        <v/>
      </c>
      <c r="D31" s="10"/>
      <c r="E31" s="16" t="str">
        <f aca="false">IF($D31="","",IF($J31="환불",0,IFERROR(INDEX(상품목록!$B$3:$B$102,MATCH($D31,상품목록!$A$3:$A$102,0)),0)))</f>
        <v/>
      </c>
      <c r="F31" s="16" t="str">
        <f aca="false">IF($D31="","",IFERROR(INDEX(상품목록!$C$3:$C$102,MATCH($D31,상품목록!$A$3:$A$102,0)),0))</f>
        <v/>
      </c>
      <c r="G31" s="17" t="str">
        <f aca="false">IF(OR($A31="",$F31=""),"",$A31+$F31)</f>
        <v/>
      </c>
      <c r="H31" s="16" t="str">
        <f aca="false">IF($D31="","",IF($J31="환불",0,IFERROR(INDEX(상품목록!$D$3:$D$102,MATCH($D31,상품목록!$A$3:$A$102,0)),0)))</f>
        <v/>
      </c>
      <c r="I31" s="10"/>
      <c r="J31" s="10"/>
      <c r="K31" s="10"/>
    </row>
    <row r="32" customFormat="false" ht="15" hidden="false" customHeight="true" outlineLevel="0" collapsed="false">
      <c r="A32" s="12"/>
      <c r="B32" s="10"/>
      <c r="C32" s="15" t="str">
        <f aca="false">IF($B32="","",IFERROR(INDEX(회원명부!$B$3:$B$502,MATCH($B32,회원명부!$A$3:$A$502,0)),"미등록회원"))</f>
        <v/>
      </c>
      <c r="D32" s="10"/>
      <c r="E32" s="16" t="str">
        <f aca="false">IF($D32="","",IF($J32="환불",0,IFERROR(INDEX(상품목록!$B$3:$B$102,MATCH($D32,상품목록!$A$3:$A$102,0)),0)))</f>
        <v/>
      </c>
      <c r="F32" s="16" t="str">
        <f aca="false">IF($D32="","",IFERROR(INDEX(상품목록!$C$3:$C$102,MATCH($D32,상품목록!$A$3:$A$102,0)),0))</f>
        <v/>
      </c>
      <c r="G32" s="17" t="str">
        <f aca="false">IF(OR($A32="",$F32=""),"",$A32+$F32)</f>
        <v/>
      </c>
      <c r="H32" s="16" t="str">
        <f aca="false">IF($D32="","",IF($J32="환불",0,IFERROR(INDEX(상품목록!$D$3:$D$102,MATCH($D32,상품목록!$A$3:$A$102,0)),0)))</f>
        <v/>
      </c>
      <c r="I32" s="10"/>
      <c r="J32" s="10"/>
      <c r="K32" s="10"/>
    </row>
    <row r="33" customFormat="false" ht="15" hidden="false" customHeight="true" outlineLevel="0" collapsed="false">
      <c r="A33" s="12"/>
      <c r="B33" s="10"/>
      <c r="C33" s="15" t="str">
        <f aca="false">IF($B33="","",IFERROR(INDEX(회원명부!$B$3:$B$502,MATCH($B33,회원명부!$A$3:$A$502,0)),"미등록회원"))</f>
        <v/>
      </c>
      <c r="D33" s="10"/>
      <c r="E33" s="16" t="str">
        <f aca="false">IF($D33="","",IF($J33="환불",0,IFERROR(INDEX(상품목록!$B$3:$B$102,MATCH($D33,상품목록!$A$3:$A$102,0)),0)))</f>
        <v/>
      </c>
      <c r="F33" s="16" t="str">
        <f aca="false">IF($D33="","",IFERROR(INDEX(상품목록!$C$3:$C$102,MATCH($D33,상품목록!$A$3:$A$102,0)),0))</f>
        <v/>
      </c>
      <c r="G33" s="17" t="str">
        <f aca="false">IF(OR($A33="",$F33=""),"",$A33+$F33)</f>
        <v/>
      </c>
      <c r="H33" s="16" t="str">
        <f aca="false">IF($D33="","",IF($J33="환불",0,IFERROR(INDEX(상품목록!$D$3:$D$102,MATCH($D33,상품목록!$A$3:$A$102,0)),0)))</f>
        <v/>
      </c>
      <c r="I33" s="10"/>
      <c r="J33" s="10"/>
      <c r="K33" s="10"/>
    </row>
    <row r="34" customFormat="false" ht="15" hidden="false" customHeight="true" outlineLevel="0" collapsed="false">
      <c r="A34" s="12"/>
      <c r="B34" s="10"/>
      <c r="C34" s="15" t="str">
        <f aca="false">IF($B34="","",IFERROR(INDEX(회원명부!$B$3:$B$502,MATCH($B34,회원명부!$A$3:$A$502,0)),"미등록회원"))</f>
        <v/>
      </c>
      <c r="D34" s="10"/>
      <c r="E34" s="16" t="str">
        <f aca="false">IF($D34="","",IF($J34="환불",0,IFERROR(INDEX(상품목록!$B$3:$B$102,MATCH($D34,상품목록!$A$3:$A$102,0)),0)))</f>
        <v/>
      </c>
      <c r="F34" s="16" t="str">
        <f aca="false">IF($D34="","",IFERROR(INDEX(상품목록!$C$3:$C$102,MATCH($D34,상품목록!$A$3:$A$102,0)),0))</f>
        <v/>
      </c>
      <c r="G34" s="17" t="str">
        <f aca="false">IF(OR($A34="",$F34=""),"",$A34+$F34)</f>
        <v/>
      </c>
      <c r="H34" s="16" t="str">
        <f aca="false">IF($D34="","",IF($J34="환불",0,IFERROR(INDEX(상품목록!$D$3:$D$102,MATCH($D34,상품목록!$A$3:$A$102,0)),0)))</f>
        <v/>
      </c>
      <c r="I34" s="10"/>
      <c r="J34" s="10"/>
      <c r="K34" s="10"/>
    </row>
    <row r="35" customFormat="false" ht="15" hidden="false" customHeight="true" outlineLevel="0" collapsed="false">
      <c r="A35" s="12"/>
      <c r="B35" s="10"/>
      <c r="C35" s="15" t="str">
        <f aca="false">IF($B35="","",IFERROR(INDEX(회원명부!$B$3:$B$502,MATCH($B35,회원명부!$A$3:$A$502,0)),"미등록회원"))</f>
        <v/>
      </c>
      <c r="D35" s="10"/>
      <c r="E35" s="16" t="str">
        <f aca="false">IF($D35="","",IF($J35="환불",0,IFERROR(INDEX(상품목록!$B$3:$B$102,MATCH($D35,상품목록!$A$3:$A$102,0)),0)))</f>
        <v/>
      </c>
      <c r="F35" s="16" t="str">
        <f aca="false">IF($D35="","",IFERROR(INDEX(상품목록!$C$3:$C$102,MATCH($D35,상품목록!$A$3:$A$102,0)),0))</f>
        <v/>
      </c>
      <c r="G35" s="17" t="str">
        <f aca="false">IF(OR($A35="",$F35=""),"",$A35+$F35)</f>
        <v/>
      </c>
      <c r="H35" s="16" t="str">
        <f aca="false">IF($D35="","",IF($J35="환불",0,IFERROR(INDEX(상품목록!$D$3:$D$102,MATCH($D35,상품목록!$A$3:$A$102,0)),0)))</f>
        <v/>
      </c>
      <c r="I35" s="10"/>
      <c r="J35" s="10"/>
      <c r="K35" s="10"/>
    </row>
    <row r="36" customFormat="false" ht="15" hidden="false" customHeight="true" outlineLevel="0" collapsed="false">
      <c r="A36" s="12"/>
      <c r="B36" s="10"/>
      <c r="C36" s="15" t="str">
        <f aca="false">IF($B36="","",IFERROR(INDEX(회원명부!$B$3:$B$502,MATCH($B36,회원명부!$A$3:$A$502,0)),"미등록회원"))</f>
        <v/>
      </c>
      <c r="D36" s="10"/>
      <c r="E36" s="16" t="str">
        <f aca="false">IF($D36="","",IF($J36="환불",0,IFERROR(INDEX(상품목록!$B$3:$B$102,MATCH($D36,상품목록!$A$3:$A$102,0)),0)))</f>
        <v/>
      </c>
      <c r="F36" s="16" t="str">
        <f aca="false">IF($D36="","",IFERROR(INDEX(상품목록!$C$3:$C$102,MATCH($D36,상품목록!$A$3:$A$102,0)),0))</f>
        <v/>
      </c>
      <c r="G36" s="17" t="str">
        <f aca="false">IF(OR($A36="",$F36=""),"",$A36+$F36)</f>
        <v/>
      </c>
      <c r="H36" s="16" t="str">
        <f aca="false">IF($D36="","",IF($J36="환불",0,IFERROR(INDEX(상품목록!$D$3:$D$102,MATCH($D36,상품목록!$A$3:$A$102,0)),0)))</f>
        <v/>
      </c>
      <c r="I36" s="10"/>
      <c r="J36" s="10"/>
      <c r="K36" s="10"/>
    </row>
    <row r="37" customFormat="false" ht="15" hidden="false" customHeight="true" outlineLevel="0" collapsed="false">
      <c r="A37" s="12"/>
      <c r="B37" s="10"/>
      <c r="C37" s="15" t="str">
        <f aca="false">IF($B37="","",IFERROR(INDEX(회원명부!$B$3:$B$502,MATCH($B37,회원명부!$A$3:$A$502,0)),"미등록회원"))</f>
        <v/>
      </c>
      <c r="D37" s="10"/>
      <c r="E37" s="16" t="str">
        <f aca="false">IF($D37="","",IF($J37="환불",0,IFERROR(INDEX(상품목록!$B$3:$B$102,MATCH($D37,상품목록!$A$3:$A$102,0)),0)))</f>
        <v/>
      </c>
      <c r="F37" s="16" t="str">
        <f aca="false">IF($D37="","",IFERROR(INDEX(상품목록!$C$3:$C$102,MATCH($D37,상품목록!$A$3:$A$102,0)),0))</f>
        <v/>
      </c>
      <c r="G37" s="17" t="str">
        <f aca="false">IF(OR($A37="",$F37=""),"",$A37+$F37)</f>
        <v/>
      </c>
      <c r="H37" s="16" t="str">
        <f aca="false">IF($D37="","",IF($J37="환불",0,IFERROR(INDEX(상품목록!$D$3:$D$102,MATCH($D37,상품목록!$A$3:$A$102,0)),0)))</f>
        <v/>
      </c>
      <c r="I37" s="10"/>
      <c r="J37" s="10"/>
      <c r="K37" s="10"/>
    </row>
    <row r="38" customFormat="false" ht="15" hidden="false" customHeight="true" outlineLevel="0" collapsed="false">
      <c r="A38" s="12"/>
      <c r="B38" s="10"/>
      <c r="C38" s="15" t="str">
        <f aca="false">IF($B38="","",IFERROR(INDEX(회원명부!$B$3:$B$502,MATCH($B38,회원명부!$A$3:$A$502,0)),"미등록회원"))</f>
        <v/>
      </c>
      <c r="D38" s="10"/>
      <c r="E38" s="16" t="str">
        <f aca="false">IF($D38="","",IF($J38="환불",0,IFERROR(INDEX(상품목록!$B$3:$B$102,MATCH($D38,상품목록!$A$3:$A$102,0)),0)))</f>
        <v/>
      </c>
      <c r="F38" s="16" t="str">
        <f aca="false">IF($D38="","",IFERROR(INDEX(상품목록!$C$3:$C$102,MATCH($D38,상품목록!$A$3:$A$102,0)),0))</f>
        <v/>
      </c>
      <c r="G38" s="17" t="str">
        <f aca="false">IF(OR($A38="",$F38=""),"",$A38+$F38)</f>
        <v/>
      </c>
      <c r="H38" s="16" t="str">
        <f aca="false">IF($D38="","",IF($J38="환불",0,IFERROR(INDEX(상품목록!$D$3:$D$102,MATCH($D38,상품목록!$A$3:$A$102,0)),0)))</f>
        <v/>
      </c>
      <c r="I38" s="10"/>
      <c r="J38" s="10"/>
      <c r="K38" s="10"/>
    </row>
    <row r="39" customFormat="false" ht="15" hidden="false" customHeight="true" outlineLevel="0" collapsed="false">
      <c r="A39" s="12"/>
      <c r="B39" s="10"/>
      <c r="C39" s="15" t="str">
        <f aca="false">IF($B39="","",IFERROR(INDEX(회원명부!$B$3:$B$502,MATCH($B39,회원명부!$A$3:$A$502,0)),"미등록회원"))</f>
        <v/>
      </c>
      <c r="D39" s="10"/>
      <c r="E39" s="16" t="str">
        <f aca="false">IF($D39="","",IF($J39="환불",0,IFERROR(INDEX(상품목록!$B$3:$B$102,MATCH($D39,상품목록!$A$3:$A$102,0)),0)))</f>
        <v/>
      </c>
      <c r="F39" s="16" t="str">
        <f aca="false">IF($D39="","",IFERROR(INDEX(상품목록!$C$3:$C$102,MATCH($D39,상품목록!$A$3:$A$102,0)),0))</f>
        <v/>
      </c>
      <c r="G39" s="17" t="str">
        <f aca="false">IF(OR($A39="",$F39=""),"",$A39+$F39)</f>
        <v/>
      </c>
      <c r="H39" s="16" t="str">
        <f aca="false">IF($D39="","",IF($J39="환불",0,IFERROR(INDEX(상품목록!$D$3:$D$102,MATCH($D39,상품목록!$A$3:$A$102,0)),0)))</f>
        <v/>
      </c>
      <c r="I39" s="10"/>
      <c r="J39" s="10"/>
      <c r="K39" s="10"/>
    </row>
    <row r="40" customFormat="false" ht="15" hidden="false" customHeight="true" outlineLevel="0" collapsed="false">
      <c r="A40" s="12"/>
      <c r="B40" s="10"/>
      <c r="C40" s="15" t="str">
        <f aca="false">IF($B40="","",IFERROR(INDEX(회원명부!$B$3:$B$502,MATCH($B40,회원명부!$A$3:$A$502,0)),"미등록회원"))</f>
        <v/>
      </c>
      <c r="D40" s="10"/>
      <c r="E40" s="16" t="str">
        <f aca="false">IF($D40="","",IF($J40="환불",0,IFERROR(INDEX(상품목록!$B$3:$B$102,MATCH($D40,상품목록!$A$3:$A$102,0)),0)))</f>
        <v/>
      </c>
      <c r="F40" s="16" t="str">
        <f aca="false">IF($D40="","",IFERROR(INDEX(상품목록!$C$3:$C$102,MATCH($D40,상품목록!$A$3:$A$102,0)),0))</f>
        <v/>
      </c>
      <c r="G40" s="17" t="str">
        <f aca="false">IF(OR($A40="",$F40=""),"",$A40+$F40)</f>
        <v/>
      </c>
      <c r="H40" s="16" t="str">
        <f aca="false">IF($D40="","",IF($J40="환불",0,IFERROR(INDEX(상품목록!$D$3:$D$102,MATCH($D40,상품목록!$A$3:$A$102,0)),0)))</f>
        <v/>
      </c>
      <c r="I40" s="10"/>
      <c r="J40" s="10"/>
      <c r="K40" s="10"/>
    </row>
    <row r="41" customFormat="false" ht="15" hidden="false" customHeight="true" outlineLevel="0" collapsed="false">
      <c r="A41" s="12"/>
      <c r="B41" s="10"/>
      <c r="C41" s="15" t="str">
        <f aca="false">IF($B41="","",IFERROR(INDEX(회원명부!$B$3:$B$502,MATCH($B41,회원명부!$A$3:$A$502,0)),"미등록회원"))</f>
        <v/>
      </c>
      <c r="D41" s="10"/>
      <c r="E41" s="16" t="str">
        <f aca="false">IF($D41="","",IF($J41="환불",0,IFERROR(INDEX(상품목록!$B$3:$B$102,MATCH($D41,상품목록!$A$3:$A$102,0)),0)))</f>
        <v/>
      </c>
      <c r="F41" s="16" t="str">
        <f aca="false">IF($D41="","",IFERROR(INDEX(상품목록!$C$3:$C$102,MATCH($D41,상품목록!$A$3:$A$102,0)),0))</f>
        <v/>
      </c>
      <c r="G41" s="17" t="str">
        <f aca="false">IF(OR($A41="",$F41=""),"",$A41+$F41)</f>
        <v/>
      </c>
      <c r="H41" s="16" t="str">
        <f aca="false">IF($D41="","",IF($J41="환불",0,IFERROR(INDEX(상품목록!$D$3:$D$102,MATCH($D41,상품목록!$A$3:$A$102,0)),0)))</f>
        <v/>
      </c>
      <c r="I41" s="10"/>
      <c r="J41" s="10"/>
      <c r="K41" s="10"/>
    </row>
    <row r="42" customFormat="false" ht="15" hidden="false" customHeight="true" outlineLevel="0" collapsed="false">
      <c r="A42" s="12"/>
      <c r="B42" s="10"/>
      <c r="C42" s="15" t="str">
        <f aca="false">IF($B42="","",IFERROR(INDEX(회원명부!$B$3:$B$502,MATCH($B42,회원명부!$A$3:$A$502,0)),"미등록회원"))</f>
        <v/>
      </c>
      <c r="D42" s="10"/>
      <c r="E42" s="16" t="str">
        <f aca="false">IF($D42="","",IF($J42="환불",0,IFERROR(INDEX(상품목록!$B$3:$B$102,MATCH($D42,상품목록!$A$3:$A$102,0)),0)))</f>
        <v/>
      </c>
      <c r="F42" s="16" t="str">
        <f aca="false">IF($D42="","",IFERROR(INDEX(상품목록!$C$3:$C$102,MATCH($D42,상품목록!$A$3:$A$102,0)),0))</f>
        <v/>
      </c>
      <c r="G42" s="17" t="str">
        <f aca="false">IF(OR($A42="",$F42=""),"",$A42+$F42)</f>
        <v/>
      </c>
      <c r="H42" s="16" t="str">
        <f aca="false">IF($D42="","",IF($J42="환불",0,IFERROR(INDEX(상품목록!$D$3:$D$102,MATCH($D42,상품목록!$A$3:$A$102,0)),0)))</f>
        <v/>
      </c>
      <c r="I42" s="10"/>
      <c r="J42" s="10"/>
      <c r="K42" s="10"/>
    </row>
    <row r="43" customFormat="false" ht="15" hidden="false" customHeight="true" outlineLevel="0" collapsed="false">
      <c r="A43" s="12"/>
      <c r="B43" s="10"/>
      <c r="C43" s="15" t="str">
        <f aca="false">IF($B43="","",IFERROR(INDEX(회원명부!$B$3:$B$502,MATCH($B43,회원명부!$A$3:$A$502,0)),"미등록회원"))</f>
        <v/>
      </c>
      <c r="D43" s="10"/>
      <c r="E43" s="16" t="str">
        <f aca="false">IF($D43="","",IF($J43="환불",0,IFERROR(INDEX(상품목록!$B$3:$B$102,MATCH($D43,상품목록!$A$3:$A$102,0)),0)))</f>
        <v/>
      </c>
      <c r="F43" s="16" t="str">
        <f aca="false">IF($D43="","",IFERROR(INDEX(상품목록!$C$3:$C$102,MATCH($D43,상품목록!$A$3:$A$102,0)),0))</f>
        <v/>
      </c>
      <c r="G43" s="17" t="str">
        <f aca="false">IF(OR($A43="",$F43=""),"",$A43+$F43)</f>
        <v/>
      </c>
      <c r="H43" s="16" t="str">
        <f aca="false">IF($D43="","",IF($J43="환불",0,IFERROR(INDEX(상품목록!$D$3:$D$102,MATCH($D43,상품목록!$A$3:$A$102,0)),0)))</f>
        <v/>
      </c>
      <c r="I43" s="10"/>
      <c r="J43" s="10"/>
      <c r="K43" s="10"/>
    </row>
    <row r="44" customFormat="false" ht="15" hidden="false" customHeight="true" outlineLevel="0" collapsed="false">
      <c r="A44" s="12"/>
      <c r="B44" s="10"/>
      <c r="C44" s="15" t="str">
        <f aca="false">IF($B44="","",IFERROR(INDEX(회원명부!$B$3:$B$502,MATCH($B44,회원명부!$A$3:$A$502,0)),"미등록회원"))</f>
        <v/>
      </c>
      <c r="D44" s="10"/>
      <c r="E44" s="16" t="str">
        <f aca="false">IF($D44="","",IF($J44="환불",0,IFERROR(INDEX(상품목록!$B$3:$B$102,MATCH($D44,상품목록!$A$3:$A$102,0)),0)))</f>
        <v/>
      </c>
      <c r="F44" s="16" t="str">
        <f aca="false">IF($D44="","",IFERROR(INDEX(상품목록!$C$3:$C$102,MATCH($D44,상품목록!$A$3:$A$102,0)),0))</f>
        <v/>
      </c>
      <c r="G44" s="17" t="str">
        <f aca="false">IF(OR($A44="",$F44=""),"",$A44+$F44)</f>
        <v/>
      </c>
      <c r="H44" s="16" t="str">
        <f aca="false">IF($D44="","",IF($J44="환불",0,IFERROR(INDEX(상품목록!$D$3:$D$102,MATCH($D44,상품목록!$A$3:$A$102,0)),0)))</f>
        <v/>
      </c>
      <c r="I44" s="10"/>
      <c r="J44" s="10"/>
      <c r="K44" s="10"/>
    </row>
    <row r="45" customFormat="false" ht="15" hidden="false" customHeight="true" outlineLevel="0" collapsed="false">
      <c r="A45" s="12"/>
      <c r="B45" s="10"/>
      <c r="C45" s="15" t="str">
        <f aca="false">IF($B45="","",IFERROR(INDEX(회원명부!$B$3:$B$502,MATCH($B45,회원명부!$A$3:$A$502,0)),"미등록회원"))</f>
        <v/>
      </c>
      <c r="D45" s="10"/>
      <c r="E45" s="16" t="str">
        <f aca="false">IF($D45="","",IF($J45="환불",0,IFERROR(INDEX(상품목록!$B$3:$B$102,MATCH($D45,상품목록!$A$3:$A$102,0)),0)))</f>
        <v/>
      </c>
      <c r="F45" s="16" t="str">
        <f aca="false">IF($D45="","",IFERROR(INDEX(상품목록!$C$3:$C$102,MATCH($D45,상품목록!$A$3:$A$102,0)),0))</f>
        <v/>
      </c>
      <c r="G45" s="17" t="str">
        <f aca="false">IF(OR($A45="",$F45=""),"",$A45+$F45)</f>
        <v/>
      </c>
      <c r="H45" s="16" t="str">
        <f aca="false">IF($D45="","",IF($J45="환불",0,IFERROR(INDEX(상품목록!$D$3:$D$102,MATCH($D45,상품목록!$A$3:$A$102,0)),0)))</f>
        <v/>
      </c>
      <c r="I45" s="10"/>
      <c r="J45" s="10"/>
      <c r="K45" s="10"/>
    </row>
    <row r="46" customFormat="false" ht="15" hidden="false" customHeight="true" outlineLevel="0" collapsed="false">
      <c r="A46" s="12"/>
      <c r="B46" s="10"/>
      <c r="C46" s="15" t="str">
        <f aca="false">IF($B46="","",IFERROR(INDEX(회원명부!$B$3:$B$502,MATCH($B46,회원명부!$A$3:$A$502,0)),"미등록회원"))</f>
        <v/>
      </c>
      <c r="D46" s="10"/>
      <c r="E46" s="16" t="str">
        <f aca="false">IF($D46="","",IF($J46="환불",0,IFERROR(INDEX(상품목록!$B$3:$B$102,MATCH($D46,상품목록!$A$3:$A$102,0)),0)))</f>
        <v/>
      </c>
      <c r="F46" s="16" t="str">
        <f aca="false">IF($D46="","",IFERROR(INDEX(상품목록!$C$3:$C$102,MATCH($D46,상품목록!$A$3:$A$102,0)),0))</f>
        <v/>
      </c>
      <c r="G46" s="17" t="str">
        <f aca="false">IF(OR($A46="",$F46=""),"",$A46+$F46)</f>
        <v/>
      </c>
      <c r="H46" s="16" t="str">
        <f aca="false">IF($D46="","",IF($J46="환불",0,IFERROR(INDEX(상품목록!$D$3:$D$102,MATCH($D46,상품목록!$A$3:$A$102,0)),0)))</f>
        <v/>
      </c>
      <c r="I46" s="10"/>
      <c r="J46" s="10"/>
      <c r="K46" s="10"/>
    </row>
    <row r="47" customFormat="false" ht="15" hidden="false" customHeight="true" outlineLevel="0" collapsed="false">
      <c r="A47" s="12"/>
      <c r="B47" s="10"/>
      <c r="C47" s="15" t="str">
        <f aca="false">IF($B47="","",IFERROR(INDEX(회원명부!$B$3:$B$502,MATCH($B47,회원명부!$A$3:$A$502,0)),"미등록회원"))</f>
        <v/>
      </c>
      <c r="D47" s="10"/>
      <c r="E47" s="16" t="str">
        <f aca="false">IF($D47="","",IF($J47="환불",0,IFERROR(INDEX(상품목록!$B$3:$B$102,MATCH($D47,상품목록!$A$3:$A$102,0)),0)))</f>
        <v/>
      </c>
      <c r="F47" s="16" t="str">
        <f aca="false">IF($D47="","",IFERROR(INDEX(상품목록!$C$3:$C$102,MATCH($D47,상품목록!$A$3:$A$102,0)),0))</f>
        <v/>
      </c>
      <c r="G47" s="17" t="str">
        <f aca="false">IF(OR($A47="",$F47=""),"",$A47+$F47)</f>
        <v/>
      </c>
      <c r="H47" s="16" t="str">
        <f aca="false">IF($D47="","",IF($J47="환불",0,IFERROR(INDEX(상품목록!$D$3:$D$102,MATCH($D47,상품목록!$A$3:$A$102,0)),0)))</f>
        <v/>
      </c>
      <c r="I47" s="10"/>
      <c r="J47" s="10"/>
      <c r="K47" s="10"/>
    </row>
    <row r="48" customFormat="false" ht="15" hidden="false" customHeight="true" outlineLevel="0" collapsed="false">
      <c r="A48" s="12"/>
      <c r="B48" s="10"/>
      <c r="C48" s="15" t="str">
        <f aca="false">IF($B48="","",IFERROR(INDEX(회원명부!$B$3:$B$502,MATCH($B48,회원명부!$A$3:$A$502,0)),"미등록회원"))</f>
        <v/>
      </c>
      <c r="D48" s="10"/>
      <c r="E48" s="16" t="str">
        <f aca="false">IF($D48="","",IF($J48="환불",0,IFERROR(INDEX(상품목록!$B$3:$B$102,MATCH($D48,상품목록!$A$3:$A$102,0)),0)))</f>
        <v/>
      </c>
      <c r="F48" s="16" t="str">
        <f aca="false">IF($D48="","",IFERROR(INDEX(상품목록!$C$3:$C$102,MATCH($D48,상품목록!$A$3:$A$102,0)),0))</f>
        <v/>
      </c>
      <c r="G48" s="17" t="str">
        <f aca="false">IF(OR($A48="",$F48=""),"",$A48+$F48)</f>
        <v/>
      </c>
      <c r="H48" s="16" t="str">
        <f aca="false">IF($D48="","",IF($J48="환불",0,IFERROR(INDEX(상품목록!$D$3:$D$102,MATCH($D48,상품목록!$A$3:$A$102,0)),0)))</f>
        <v/>
      </c>
      <c r="I48" s="10"/>
      <c r="J48" s="10"/>
      <c r="K48" s="10"/>
    </row>
    <row r="49" customFormat="false" ht="15" hidden="false" customHeight="true" outlineLevel="0" collapsed="false">
      <c r="A49" s="12"/>
      <c r="B49" s="10"/>
      <c r="C49" s="15" t="str">
        <f aca="false">IF($B49="","",IFERROR(INDEX(회원명부!$B$3:$B$502,MATCH($B49,회원명부!$A$3:$A$502,0)),"미등록회원"))</f>
        <v/>
      </c>
      <c r="D49" s="10"/>
      <c r="E49" s="16" t="str">
        <f aca="false">IF($D49="","",IF($J49="환불",0,IFERROR(INDEX(상품목록!$B$3:$B$102,MATCH($D49,상품목록!$A$3:$A$102,0)),0)))</f>
        <v/>
      </c>
      <c r="F49" s="16" t="str">
        <f aca="false">IF($D49="","",IFERROR(INDEX(상품목록!$C$3:$C$102,MATCH($D49,상품목록!$A$3:$A$102,0)),0))</f>
        <v/>
      </c>
      <c r="G49" s="17" t="str">
        <f aca="false">IF(OR($A49="",$F49=""),"",$A49+$F49)</f>
        <v/>
      </c>
      <c r="H49" s="16" t="str">
        <f aca="false">IF($D49="","",IF($J49="환불",0,IFERROR(INDEX(상품목록!$D$3:$D$102,MATCH($D49,상품목록!$A$3:$A$102,0)),0)))</f>
        <v/>
      </c>
      <c r="I49" s="10"/>
      <c r="J49" s="10"/>
      <c r="K49" s="10"/>
    </row>
    <row r="50" customFormat="false" ht="15" hidden="false" customHeight="true" outlineLevel="0" collapsed="false">
      <c r="A50" s="12"/>
      <c r="B50" s="10"/>
      <c r="C50" s="15" t="str">
        <f aca="false">IF($B50="","",IFERROR(INDEX(회원명부!$B$3:$B$502,MATCH($B50,회원명부!$A$3:$A$502,0)),"미등록회원"))</f>
        <v/>
      </c>
      <c r="D50" s="10"/>
      <c r="E50" s="16" t="str">
        <f aca="false">IF($D50="","",IF($J50="환불",0,IFERROR(INDEX(상품목록!$B$3:$B$102,MATCH($D50,상품목록!$A$3:$A$102,0)),0)))</f>
        <v/>
      </c>
      <c r="F50" s="16" t="str">
        <f aca="false">IF($D50="","",IFERROR(INDEX(상품목록!$C$3:$C$102,MATCH($D50,상품목록!$A$3:$A$102,0)),0))</f>
        <v/>
      </c>
      <c r="G50" s="17" t="str">
        <f aca="false">IF(OR($A50="",$F50=""),"",$A50+$F50)</f>
        <v/>
      </c>
      <c r="H50" s="16" t="str">
        <f aca="false">IF($D50="","",IF($J50="환불",0,IFERROR(INDEX(상품목록!$D$3:$D$102,MATCH($D50,상품목록!$A$3:$A$102,0)),0)))</f>
        <v/>
      </c>
      <c r="I50" s="10"/>
      <c r="J50" s="10"/>
      <c r="K50" s="10"/>
    </row>
    <row r="51" customFormat="false" ht="15" hidden="false" customHeight="true" outlineLevel="0" collapsed="false">
      <c r="A51" s="12"/>
      <c r="B51" s="10"/>
      <c r="C51" s="15" t="str">
        <f aca="false">IF($B51="","",IFERROR(INDEX(회원명부!$B$3:$B$502,MATCH($B51,회원명부!$A$3:$A$502,0)),"미등록회원"))</f>
        <v/>
      </c>
      <c r="D51" s="10"/>
      <c r="E51" s="16" t="str">
        <f aca="false">IF($D51="","",IF($J51="환불",0,IFERROR(INDEX(상품목록!$B$3:$B$102,MATCH($D51,상품목록!$A$3:$A$102,0)),0)))</f>
        <v/>
      </c>
      <c r="F51" s="16" t="str">
        <f aca="false">IF($D51="","",IFERROR(INDEX(상품목록!$C$3:$C$102,MATCH($D51,상품목록!$A$3:$A$102,0)),0))</f>
        <v/>
      </c>
      <c r="G51" s="17" t="str">
        <f aca="false">IF(OR($A51="",$F51=""),"",$A51+$F51)</f>
        <v/>
      </c>
      <c r="H51" s="16" t="str">
        <f aca="false">IF($D51="","",IF($J51="환불",0,IFERROR(INDEX(상품목록!$D$3:$D$102,MATCH($D51,상품목록!$A$3:$A$102,0)),0)))</f>
        <v/>
      </c>
      <c r="I51" s="10"/>
      <c r="J51" s="10"/>
      <c r="K51" s="10"/>
    </row>
    <row r="52" customFormat="false" ht="15" hidden="false" customHeight="true" outlineLevel="0" collapsed="false">
      <c r="A52" s="12"/>
      <c r="B52" s="10"/>
      <c r="C52" s="15" t="str">
        <f aca="false">IF($B52="","",IFERROR(INDEX(회원명부!$B$3:$B$502,MATCH($B52,회원명부!$A$3:$A$502,0)),"미등록회원"))</f>
        <v/>
      </c>
      <c r="D52" s="10"/>
      <c r="E52" s="16" t="str">
        <f aca="false">IF($D52="","",IF($J52="환불",0,IFERROR(INDEX(상품목록!$B$3:$B$102,MATCH($D52,상품목록!$A$3:$A$102,0)),0)))</f>
        <v/>
      </c>
      <c r="F52" s="16" t="str">
        <f aca="false">IF($D52="","",IFERROR(INDEX(상품목록!$C$3:$C$102,MATCH($D52,상품목록!$A$3:$A$102,0)),0))</f>
        <v/>
      </c>
      <c r="G52" s="17" t="str">
        <f aca="false">IF(OR($A52="",$F52=""),"",$A52+$F52)</f>
        <v/>
      </c>
      <c r="H52" s="16" t="str">
        <f aca="false">IF($D52="","",IF($J52="환불",0,IFERROR(INDEX(상품목록!$D$3:$D$102,MATCH($D52,상품목록!$A$3:$A$102,0)),0)))</f>
        <v/>
      </c>
      <c r="I52" s="10"/>
      <c r="J52" s="10"/>
      <c r="K52" s="10"/>
    </row>
    <row r="53" customFormat="false" ht="15" hidden="false" customHeight="true" outlineLevel="0" collapsed="false">
      <c r="A53" s="12"/>
      <c r="B53" s="10"/>
      <c r="C53" s="15" t="str">
        <f aca="false">IF($B53="","",IFERROR(INDEX(회원명부!$B$3:$B$502,MATCH($B53,회원명부!$A$3:$A$502,0)),"미등록회원"))</f>
        <v/>
      </c>
      <c r="D53" s="10"/>
      <c r="E53" s="16" t="str">
        <f aca="false">IF($D53="","",IF($J53="환불",0,IFERROR(INDEX(상품목록!$B$3:$B$102,MATCH($D53,상품목록!$A$3:$A$102,0)),0)))</f>
        <v/>
      </c>
      <c r="F53" s="16" t="str">
        <f aca="false">IF($D53="","",IFERROR(INDEX(상품목록!$C$3:$C$102,MATCH($D53,상품목록!$A$3:$A$102,0)),0))</f>
        <v/>
      </c>
      <c r="G53" s="17" t="str">
        <f aca="false">IF(OR($A53="",$F53=""),"",$A53+$F53)</f>
        <v/>
      </c>
      <c r="H53" s="16" t="str">
        <f aca="false">IF($D53="","",IF($J53="환불",0,IFERROR(INDEX(상품목록!$D$3:$D$102,MATCH($D53,상품목록!$A$3:$A$102,0)),0)))</f>
        <v/>
      </c>
      <c r="I53" s="10"/>
      <c r="J53" s="10"/>
      <c r="K53" s="10"/>
    </row>
    <row r="54" customFormat="false" ht="15" hidden="false" customHeight="true" outlineLevel="0" collapsed="false">
      <c r="A54" s="12"/>
      <c r="B54" s="10"/>
      <c r="C54" s="15" t="str">
        <f aca="false">IF($B54="","",IFERROR(INDEX(회원명부!$B$3:$B$502,MATCH($B54,회원명부!$A$3:$A$502,0)),"미등록회원"))</f>
        <v/>
      </c>
      <c r="D54" s="10"/>
      <c r="E54" s="16" t="str">
        <f aca="false">IF($D54="","",IF($J54="환불",0,IFERROR(INDEX(상품목록!$B$3:$B$102,MATCH($D54,상품목록!$A$3:$A$102,0)),0)))</f>
        <v/>
      </c>
      <c r="F54" s="16" t="str">
        <f aca="false">IF($D54="","",IFERROR(INDEX(상품목록!$C$3:$C$102,MATCH($D54,상품목록!$A$3:$A$102,0)),0))</f>
        <v/>
      </c>
      <c r="G54" s="17" t="str">
        <f aca="false">IF(OR($A54="",$F54=""),"",$A54+$F54)</f>
        <v/>
      </c>
      <c r="H54" s="16" t="str">
        <f aca="false">IF($D54="","",IF($J54="환불",0,IFERROR(INDEX(상품목록!$D$3:$D$102,MATCH($D54,상품목록!$A$3:$A$102,0)),0)))</f>
        <v/>
      </c>
      <c r="I54" s="10"/>
      <c r="J54" s="10"/>
      <c r="K54" s="10"/>
    </row>
    <row r="55" customFormat="false" ht="15" hidden="false" customHeight="true" outlineLevel="0" collapsed="false">
      <c r="A55" s="12"/>
      <c r="B55" s="10"/>
      <c r="C55" s="15" t="str">
        <f aca="false">IF($B55="","",IFERROR(INDEX(회원명부!$B$3:$B$502,MATCH($B55,회원명부!$A$3:$A$502,0)),"미등록회원"))</f>
        <v/>
      </c>
      <c r="D55" s="10"/>
      <c r="E55" s="16" t="str">
        <f aca="false">IF($D55="","",IF($J55="환불",0,IFERROR(INDEX(상품목록!$B$3:$B$102,MATCH($D55,상품목록!$A$3:$A$102,0)),0)))</f>
        <v/>
      </c>
      <c r="F55" s="16" t="str">
        <f aca="false">IF($D55="","",IFERROR(INDEX(상품목록!$C$3:$C$102,MATCH($D55,상품목록!$A$3:$A$102,0)),0))</f>
        <v/>
      </c>
      <c r="G55" s="17" t="str">
        <f aca="false">IF(OR($A55="",$F55=""),"",$A55+$F55)</f>
        <v/>
      </c>
      <c r="H55" s="16" t="str">
        <f aca="false">IF($D55="","",IF($J55="환불",0,IFERROR(INDEX(상품목록!$D$3:$D$102,MATCH($D55,상품목록!$A$3:$A$102,0)),0)))</f>
        <v/>
      </c>
      <c r="I55" s="10"/>
      <c r="J55" s="10"/>
      <c r="K55" s="10"/>
    </row>
    <row r="56" customFormat="false" ht="15" hidden="false" customHeight="true" outlineLevel="0" collapsed="false">
      <c r="A56" s="12"/>
      <c r="B56" s="10"/>
      <c r="C56" s="15" t="str">
        <f aca="false">IF($B56="","",IFERROR(INDEX(회원명부!$B$3:$B$502,MATCH($B56,회원명부!$A$3:$A$502,0)),"미등록회원"))</f>
        <v/>
      </c>
      <c r="D56" s="10"/>
      <c r="E56" s="16" t="str">
        <f aca="false">IF($D56="","",IF($J56="환불",0,IFERROR(INDEX(상품목록!$B$3:$B$102,MATCH($D56,상품목록!$A$3:$A$102,0)),0)))</f>
        <v/>
      </c>
      <c r="F56" s="16" t="str">
        <f aca="false">IF($D56="","",IFERROR(INDEX(상품목록!$C$3:$C$102,MATCH($D56,상품목록!$A$3:$A$102,0)),0))</f>
        <v/>
      </c>
      <c r="G56" s="17" t="str">
        <f aca="false">IF(OR($A56="",$F56=""),"",$A56+$F56)</f>
        <v/>
      </c>
      <c r="H56" s="16" t="str">
        <f aca="false">IF($D56="","",IF($J56="환불",0,IFERROR(INDEX(상품목록!$D$3:$D$102,MATCH($D56,상품목록!$A$3:$A$102,0)),0)))</f>
        <v/>
      </c>
      <c r="I56" s="10"/>
      <c r="J56" s="10"/>
      <c r="K56" s="10"/>
    </row>
    <row r="57" customFormat="false" ht="15" hidden="false" customHeight="true" outlineLevel="0" collapsed="false">
      <c r="A57" s="12"/>
      <c r="B57" s="10"/>
      <c r="C57" s="15" t="str">
        <f aca="false">IF($B57="","",IFERROR(INDEX(회원명부!$B$3:$B$502,MATCH($B57,회원명부!$A$3:$A$502,0)),"미등록회원"))</f>
        <v/>
      </c>
      <c r="D57" s="10"/>
      <c r="E57" s="16" t="str">
        <f aca="false">IF($D57="","",IF($J57="환불",0,IFERROR(INDEX(상품목록!$B$3:$B$102,MATCH($D57,상품목록!$A$3:$A$102,0)),0)))</f>
        <v/>
      </c>
      <c r="F57" s="16" t="str">
        <f aca="false">IF($D57="","",IFERROR(INDEX(상품목록!$C$3:$C$102,MATCH($D57,상품목록!$A$3:$A$102,0)),0))</f>
        <v/>
      </c>
      <c r="G57" s="17" t="str">
        <f aca="false">IF(OR($A57="",$F57=""),"",$A57+$F57)</f>
        <v/>
      </c>
      <c r="H57" s="16" t="str">
        <f aca="false">IF($D57="","",IF($J57="환불",0,IFERROR(INDEX(상품목록!$D$3:$D$102,MATCH($D57,상품목록!$A$3:$A$102,0)),0)))</f>
        <v/>
      </c>
      <c r="I57" s="10"/>
      <c r="J57" s="10"/>
      <c r="K57" s="10"/>
    </row>
    <row r="58" customFormat="false" ht="15" hidden="false" customHeight="true" outlineLevel="0" collapsed="false">
      <c r="A58" s="12"/>
      <c r="B58" s="10"/>
      <c r="C58" s="15" t="str">
        <f aca="false">IF($B58="","",IFERROR(INDEX(회원명부!$B$3:$B$502,MATCH($B58,회원명부!$A$3:$A$502,0)),"미등록회원"))</f>
        <v/>
      </c>
      <c r="D58" s="10"/>
      <c r="E58" s="16" t="str">
        <f aca="false">IF($D58="","",IF($J58="환불",0,IFERROR(INDEX(상품목록!$B$3:$B$102,MATCH($D58,상품목록!$A$3:$A$102,0)),0)))</f>
        <v/>
      </c>
      <c r="F58" s="16" t="str">
        <f aca="false">IF($D58="","",IFERROR(INDEX(상품목록!$C$3:$C$102,MATCH($D58,상품목록!$A$3:$A$102,0)),0))</f>
        <v/>
      </c>
      <c r="G58" s="17" t="str">
        <f aca="false">IF(OR($A58="",$F58=""),"",$A58+$F58)</f>
        <v/>
      </c>
      <c r="H58" s="16" t="str">
        <f aca="false">IF($D58="","",IF($J58="환불",0,IFERROR(INDEX(상품목록!$D$3:$D$102,MATCH($D58,상품목록!$A$3:$A$102,0)),0)))</f>
        <v/>
      </c>
      <c r="I58" s="10"/>
      <c r="J58" s="10"/>
      <c r="K58" s="10"/>
    </row>
    <row r="59" customFormat="false" ht="15" hidden="false" customHeight="true" outlineLevel="0" collapsed="false">
      <c r="A59" s="12"/>
      <c r="B59" s="10"/>
      <c r="C59" s="15" t="str">
        <f aca="false">IF($B59="","",IFERROR(INDEX(회원명부!$B$3:$B$502,MATCH($B59,회원명부!$A$3:$A$502,0)),"미등록회원"))</f>
        <v/>
      </c>
      <c r="D59" s="10"/>
      <c r="E59" s="16" t="str">
        <f aca="false">IF($D59="","",IF($J59="환불",0,IFERROR(INDEX(상품목록!$B$3:$B$102,MATCH($D59,상품목록!$A$3:$A$102,0)),0)))</f>
        <v/>
      </c>
      <c r="F59" s="16" t="str">
        <f aca="false">IF($D59="","",IFERROR(INDEX(상품목록!$C$3:$C$102,MATCH($D59,상품목록!$A$3:$A$102,0)),0))</f>
        <v/>
      </c>
      <c r="G59" s="17" t="str">
        <f aca="false">IF(OR($A59="",$F59=""),"",$A59+$F59)</f>
        <v/>
      </c>
      <c r="H59" s="16" t="str">
        <f aca="false">IF($D59="","",IF($J59="환불",0,IFERROR(INDEX(상품목록!$D$3:$D$102,MATCH($D59,상품목록!$A$3:$A$102,0)),0)))</f>
        <v/>
      </c>
      <c r="I59" s="10"/>
      <c r="J59" s="10"/>
      <c r="K59" s="10"/>
    </row>
    <row r="60" customFormat="false" ht="15" hidden="false" customHeight="true" outlineLevel="0" collapsed="false">
      <c r="A60" s="12"/>
      <c r="B60" s="10"/>
      <c r="C60" s="15" t="str">
        <f aca="false">IF($B60="","",IFERROR(INDEX(회원명부!$B$3:$B$502,MATCH($B60,회원명부!$A$3:$A$502,0)),"미등록회원"))</f>
        <v/>
      </c>
      <c r="D60" s="10"/>
      <c r="E60" s="16" t="str">
        <f aca="false">IF($D60="","",IF($J60="환불",0,IFERROR(INDEX(상품목록!$B$3:$B$102,MATCH($D60,상품목록!$A$3:$A$102,0)),0)))</f>
        <v/>
      </c>
      <c r="F60" s="16" t="str">
        <f aca="false">IF($D60="","",IFERROR(INDEX(상품목록!$C$3:$C$102,MATCH($D60,상품목록!$A$3:$A$102,0)),0))</f>
        <v/>
      </c>
      <c r="G60" s="17" t="str">
        <f aca="false">IF(OR($A60="",$F60=""),"",$A60+$F60)</f>
        <v/>
      </c>
      <c r="H60" s="16" t="str">
        <f aca="false">IF($D60="","",IF($J60="환불",0,IFERROR(INDEX(상품목록!$D$3:$D$102,MATCH($D60,상품목록!$A$3:$A$102,0)),0)))</f>
        <v/>
      </c>
      <c r="I60" s="10"/>
      <c r="J60" s="10"/>
      <c r="K60" s="10"/>
    </row>
    <row r="61" customFormat="false" ht="15" hidden="false" customHeight="true" outlineLevel="0" collapsed="false">
      <c r="A61" s="12"/>
      <c r="B61" s="10"/>
      <c r="C61" s="15" t="str">
        <f aca="false">IF($B61="","",IFERROR(INDEX(회원명부!$B$3:$B$502,MATCH($B61,회원명부!$A$3:$A$502,0)),"미등록회원"))</f>
        <v/>
      </c>
      <c r="D61" s="10"/>
      <c r="E61" s="16" t="str">
        <f aca="false">IF($D61="","",IF($J61="환불",0,IFERROR(INDEX(상품목록!$B$3:$B$102,MATCH($D61,상품목록!$A$3:$A$102,0)),0)))</f>
        <v/>
      </c>
      <c r="F61" s="16" t="str">
        <f aca="false">IF($D61="","",IFERROR(INDEX(상품목록!$C$3:$C$102,MATCH($D61,상품목록!$A$3:$A$102,0)),0))</f>
        <v/>
      </c>
      <c r="G61" s="17" t="str">
        <f aca="false">IF(OR($A61="",$F61=""),"",$A61+$F61)</f>
        <v/>
      </c>
      <c r="H61" s="16" t="str">
        <f aca="false">IF($D61="","",IF($J61="환불",0,IFERROR(INDEX(상품목록!$D$3:$D$102,MATCH($D61,상품목록!$A$3:$A$102,0)),0)))</f>
        <v/>
      </c>
      <c r="I61" s="10"/>
      <c r="J61" s="10"/>
      <c r="K61" s="10"/>
    </row>
    <row r="62" customFormat="false" ht="15" hidden="false" customHeight="true" outlineLevel="0" collapsed="false">
      <c r="A62" s="12"/>
      <c r="B62" s="10"/>
      <c r="C62" s="15" t="str">
        <f aca="false">IF($B62="","",IFERROR(INDEX(회원명부!$B$3:$B$502,MATCH($B62,회원명부!$A$3:$A$502,0)),"미등록회원"))</f>
        <v/>
      </c>
      <c r="D62" s="10"/>
      <c r="E62" s="16" t="str">
        <f aca="false">IF($D62="","",IF($J62="환불",0,IFERROR(INDEX(상품목록!$B$3:$B$102,MATCH($D62,상품목록!$A$3:$A$102,0)),0)))</f>
        <v/>
      </c>
      <c r="F62" s="16" t="str">
        <f aca="false">IF($D62="","",IFERROR(INDEX(상품목록!$C$3:$C$102,MATCH($D62,상품목록!$A$3:$A$102,0)),0))</f>
        <v/>
      </c>
      <c r="G62" s="17" t="str">
        <f aca="false">IF(OR($A62="",$F62=""),"",$A62+$F62)</f>
        <v/>
      </c>
      <c r="H62" s="16" t="str">
        <f aca="false">IF($D62="","",IF($J62="환불",0,IFERROR(INDEX(상품목록!$D$3:$D$102,MATCH($D62,상품목록!$A$3:$A$102,0)),0)))</f>
        <v/>
      </c>
      <c r="I62" s="10"/>
      <c r="J62" s="10"/>
      <c r="K62" s="10"/>
    </row>
    <row r="63" customFormat="false" ht="15" hidden="false" customHeight="true" outlineLevel="0" collapsed="false">
      <c r="A63" s="12"/>
      <c r="B63" s="10"/>
      <c r="C63" s="15" t="str">
        <f aca="false">IF($B63="","",IFERROR(INDEX(회원명부!$B$3:$B$502,MATCH($B63,회원명부!$A$3:$A$502,0)),"미등록회원"))</f>
        <v/>
      </c>
      <c r="D63" s="10"/>
      <c r="E63" s="16" t="str">
        <f aca="false">IF($D63="","",IF($J63="환불",0,IFERROR(INDEX(상품목록!$B$3:$B$102,MATCH($D63,상품목록!$A$3:$A$102,0)),0)))</f>
        <v/>
      </c>
      <c r="F63" s="16" t="str">
        <f aca="false">IF($D63="","",IFERROR(INDEX(상품목록!$C$3:$C$102,MATCH($D63,상품목록!$A$3:$A$102,0)),0))</f>
        <v/>
      </c>
      <c r="G63" s="17" t="str">
        <f aca="false">IF(OR($A63="",$F63=""),"",$A63+$F63)</f>
        <v/>
      </c>
      <c r="H63" s="16" t="str">
        <f aca="false">IF($D63="","",IF($J63="환불",0,IFERROR(INDEX(상품목록!$D$3:$D$102,MATCH($D63,상품목록!$A$3:$A$102,0)),0)))</f>
        <v/>
      </c>
      <c r="I63" s="10"/>
      <c r="J63" s="10"/>
      <c r="K63" s="10"/>
    </row>
    <row r="64" customFormat="false" ht="15" hidden="false" customHeight="true" outlineLevel="0" collapsed="false">
      <c r="A64" s="12"/>
      <c r="B64" s="10"/>
      <c r="C64" s="15" t="str">
        <f aca="false">IF($B64="","",IFERROR(INDEX(회원명부!$B$3:$B$502,MATCH($B64,회원명부!$A$3:$A$502,0)),"미등록회원"))</f>
        <v/>
      </c>
      <c r="D64" s="10"/>
      <c r="E64" s="16" t="str">
        <f aca="false">IF($D64="","",IF($J64="환불",0,IFERROR(INDEX(상품목록!$B$3:$B$102,MATCH($D64,상품목록!$A$3:$A$102,0)),0)))</f>
        <v/>
      </c>
      <c r="F64" s="16" t="str">
        <f aca="false">IF($D64="","",IFERROR(INDEX(상품목록!$C$3:$C$102,MATCH($D64,상품목록!$A$3:$A$102,0)),0))</f>
        <v/>
      </c>
      <c r="G64" s="17" t="str">
        <f aca="false">IF(OR($A64="",$F64=""),"",$A64+$F64)</f>
        <v/>
      </c>
      <c r="H64" s="16" t="str">
        <f aca="false">IF($D64="","",IF($J64="환불",0,IFERROR(INDEX(상품목록!$D$3:$D$102,MATCH($D64,상품목록!$A$3:$A$102,0)),0)))</f>
        <v/>
      </c>
      <c r="I64" s="10"/>
      <c r="J64" s="10"/>
      <c r="K64" s="10"/>
    </row>
    <row r="65" customFormat="false" ht="15" hidden="false" customHeight="true" outlineLevel="0" collapsed="false">
      <c r="A65" s="12"/>
      <c r="B65" s="10"/>
      <c r="C65" s="15" t="str">
        <f aca="false">IF($B65="","",IFERROR(INDEX(회원명부!$B$3:$B$502,MATCH($B65,회원명부!$A$3:$A$502,0)),"미등록회원"))</f>
        <v/>
      </c>
      <c r="D65" s="10"/>
      <c r="E65" s="16" t="str">
        <f aca="false">IF($D65="","",IF($J65="환불",0,IFERROR(INDEX(상품목록!$B$3:$B$102,MATCH($D65,상품목록!$A$3:$A$102,0)),0)))</f>
        <v/>
      </c>
      <c r="F65" s="16" t="str">
        <f aca="false">IF($D65="","",IFERROR(INDEX(상품목록!$C$3:$C$102,MATCH($D65,상품목록!$A$3:$A$102,0)),0))</f>
        <v/>
      </c>
      <c r="G65" s="17" t="str">
        <f aca="false">IF(OR($A65="",$F65=""),"",$A65+$F65)</f>
        <v/>
      </c>
      <c r="H65" s="16" t="str">
        <f aca="false">IF($D65="","",IF($J65="환불",0,IFERROR(INDEX(상품목록!$D$3:$D$102,MATCH($D65,상품목록!$A$3:$A$102,0)),0)))</f>
        <v/>
      </c>
      <c r="I65" s="10"/>
      <c r="J65" s="10"/>
      <c r="K65" s="10"/>
    </row>
    <row r="66" customFormat="false" ht="15" hidden="false" customHeight="true" outlineLevel="0" collapsed="false">
      <c r="A66" s="12"/>
      <c r="B66" s="10"/>
      <c r="C66" s="15" t="str">
        <f aca="false">IF($B66="","",IFERROR(INDEX(회원명부!$B$3:$B$502,MATCH($B66,회원명부!$A$3:$A$502,0)),"미등록회원"))</f>
        <v/>
      </c>
      <c r="D66" s="10"/>
      <c r="E66" s="16" t="str">
        <f aca="false">IF($D66="","",IF($J66="환불",0,IFERROR(INDEX(상품목록!$B$3:$B$102,MATCH($D66,상품목록!$A$3:$A$102,0)),0)))</f>
        <v/>
      </c>
      <c r="F66" s="16" t="str">
        <f aca="false">IF($D66="","",IFERROR(INDEX(상품목록!$C$3:$C$102,MATCH($D66,상품목록!$A$3:$A$102,0)),0))</f>
        <v/>
      </c>
      <c r="G66" s="17" t="str">
        <f aca="false">IF(OR($A66="",$F66=""),"",$A66+$F66)</f>
        <v/>
      </c>
      <c r="H66" s="16" t="str">
        <f aca="false">IF($D66="","",IF($J66="환불",0,IFERROR(INDEX(상품목록!$D$3:$D$102,MATCH($D66,상품목록!$A$3:$A$102,0)),0)))</f>
        <v/>
      </c>
      <c r="I66" s="10"/>
      <c r="J66" s="10"/>
      <c r="K66" s="10"/>
    </row>
    <row r="67" customFormat="false" ht="15" hidden="false" customHeight="true" outlineLevel="0" collapsed="false">
      <c r="A67" s="12"/>
      <c r="B67" s="10"/>
      <c r="C67" s="15" t="str">
        <f aca="false">IF($B67="","",IFERROR(INDEX(회원명부!$B$3:$B$502,MATCH($B67,회원명부!$A$3:$A$502,0)),"미등록회원"))</f>
        <v/>
      </c>
      <c r="D67" s="10"/>
      <c r="E67" s="16" t="str">
        <f aca="false">IF($D67="","",IF($J67="환불",0,IFERROR(INDEX(상품목록!$B$3:$B$102,MATCH($D67,상품목록!$A$3:$A$102,0)),0)))</f>
        <v/>
      </c>
      <c r="F67" s="16" t="str">
        <f aca="false">IF($D67="","",IFERROR(INDEX(상품목록!$C$3:$C$102,MATCH($D67,상품목록!$A$3:$A$102,0)),0))</f>
        <v/>
      </c>
      <c r="G67" s="17" t="str">
        <f aca="false">IF(OR($A67="",$F67=""),"",$A67+$F67)</f>
        <v/>
      </c>
      <c r="H67" s="16" t="str">
        <f aca="false">IF($D67="","",IF($J67="환불",0,IFERROR(INDEX(상품목록!$D$3:$D$102,MATCH($D67,상품목록!$A$3:$A$102,0)),0)))</f>
        <v/>
      </c>
      <c r="I67" s="10"/>
      <c r="J67" s="10"/>
      <c r="K67" s="10"/>
    </row>
    <row r="68" customFormat="false" ht="15" hidden="false" customHeight="true" outlineLevel="0" collapsed="false">
      <c r="A68" s="12"/>
      <c r="B68" s="10"/>
      <c r="C68" s="15" t="str">
        <f aca="false">IF($B68="","",IFERROR(INDEX(회원명부!$B$3:$B$502,MATCH($B68,회원명부!$A$3:$A$502,0)),"미등록회원"))</f>
        <v/>
      </c>
      <c r="D68" s="10"/>
      <c r="E68" s="16" t="str">
        <f aca="false">IF($D68="","",IF($J68="환불",0,IFERROR(INDEX(상품목록!$B$3:$B$102,MATCH($D68,상품목록!$A$3:$A$102,0)),0)))</f>
        <v/>
      </c>
      <c r="F68" s="16" t="str">
        <f aca="false">IF($D68="","",IFERROR(INDEX(상품목록!$C$3:$C$102,MATCH($D68,상품목록!$A$3:$A$102,0)),0))</f>
        <v/>
      </c>
      <c r="G68" s="17" t="str">
        <f aca="false">IF(OR($A68="",$F68=""),"",$A68+$F68)</f>
        <v/>
      </c>
      <c r="H68" s="16" t="str">
        <f aca="false">IF($D68="","",IF($J68="환불",0,IFERROR(INDEX(상품목록!$D$3:$D$102,MATCH($D68,상품목록!$A$3:$A$102,0)),0)))</f>
        <v/>
      </c>
      <c r="I68" s="10"/>
      <c r="J68" s="10"/>
      <c r="K68" s="10"/>
    </row>
    <row r="69" customFormat="false" ht="15" hidden="false" customHeight="true" outlineLevel="0" collapsed="false">
      <c r="A69" s="12"/>
      <c r="B69" s="10"/>
      <c r="C69" s="15" t="str">
        <f aca="false">IF($B69="","",IFERROR(INDEX(회원명부!$B$3:$B$502,MATCH($B69,회원명부!$A$3:$A$502,0)),"미등록회원"))</f>
        <v/>
      </c>
      <c r="D69" s="10"/>
      <c r="E69" s="16" t="str">
        <f aca="false">IF($D69="","",IF($J69="환불",0,IFERROR(INDEX(상품목록!$B$3:$B$102,MATCH($D69,상품목록!$A$3:$A$102,0)),0)))</f>
        <v/>
      </c>
      <c r="F69" s="16" t="str">
        <f aca="false">IF($D69="","",IFERROR(INDEX(상품목록!$C$3:$C$102,MATCH($D69,상품목록!$A$3:$A$102,0)),0))</f>
        <v/>
      </c>
      <c r="G69" s="17" t="str">
        <f aca="false">IF(OR($A69="",$F69=""),"",$A69+$F69)</f>
        <v/>
      </c>
      <c r="H69" s="16" t="str">
        <f aca="false">IF($D69="","",IF($J69="환불",0,IFERROR(INDEX(상품목록!$D$3:$D$102,MATCH($D69,상품목록!$A$3:$A$102,0)),0)))</f>
        <v/>
      </c>
      <c r="I69" s="10"/>
      <c r="J69" s="10"/>
      <c r="K69" s="10"/>
    </row>
    <row r="70" customFormat="false" ht="15" hidden="false" customHeight="true" outlineLevel="0" collapsed="false">
      <c r="A70" s="12"/>
      <c r="B70" s="10"/>
      <c r="C70" s="15" t="str">
        <f aca="false">IF($B70="","",IFERROR(INDEX(회원명부!$B$3:$B$502,MATCH($B70,회원명부!$A$3:$A$502,0)),"미등록회원"))</f>
        <v/>
      </c>
      <c r="D70" s="10"/>
      <c r="E70" s="16" t="str">
        <f aca="false">IF($D70="","",IF($J70="환불",0,IFERROR(INDEX(상품목록!$B$3:$B$102,MATCH($D70,상품목록!$A$3:$A$102,0)),0)))</f>
        <v/>
      </c>
      <c r="F70" s="16" t="str">
        <f aca="false">IF($D70="","",IFERROR(INDEX(상품목록!$C$3:$C$102,MATCH($D70,상품목록!$A$3:$A$102,0)),0))</f>
        <v/>
      </c>
      <c r="G70" s="17" t="str">
        <f aca="false">IF(OR($A70="",$F70=""),"",$A70+$F70)</f>
        <v/>
      </c>
      <c r="H70" s="16" t="str">
        <f aca="false">IF($D70="","",IF($J70="환불",0,IFERROR(INDEX(상품목록!$D$3:$D$102,MATCH($D70,상품목록!$A$3:$A$102,0)),0)))</f>
        <v/>
      </c>
      <c r="I70" s="10"/>
      <c r="J70" s="10"/>
      <c r="K70" s="10"/>
    </row>
    <row r="71" customFormat="false" ht="15" hidden="false" customHeight="true" outlineLevel="0" collapsed="false">
      <c r="A71" s="12"/>
      <c r="B71" s="10"/>
      <c r="C71" s="15" t="str">
        <f aca="false">IF($B71="","",IFERROR(INDEX(회원명부!$B$3:$B$502,MATCH($B71,회원명부!$A$3:$A$502,0)),"미등록회원"))</f>
        <v/>
      </c>
      <c r="D71" s="10"/>
      <c r="E71" s="16" t="str">
        <f aca="false">IF($D71="","",IF($J71="환불",0,IFERROR(INDEX(상품목록!$B$3:$B$102,MATCH($D71,상품목록!$A$3:$A$102,0)),0)))</f>
        <v/>
      </c>
      <c r="F71" s="16" t="str">
        <f aca="false">IF($D71="","",IFERROR(INDEX(상품목록!$C$3:$C$102,MATCH($D71,상품목록!$A$3:$A$102,0)),0))</f>
        <v/>
      </c>
      <c r="G71" s="17" t="str">
        <f aca="false">IF(OR($A71="",$F71=""),"",$A71+$F71)</f>
        <v/>
      </c>
      <c r="H71" s="16" t="str">
        <f aca="false">IF($D71="","",IF($J71="환불",0,IFERROR(INDEX(상품목록!$D$3:$D$102,MATCH($D71,상품목록!$A$3:$A$102,0)),0)))</f>
        <v/>
      </c>
      <c r="I71" s="10"/>
      <c r="J71" s="10"/>
      <c r="K71" s="10"/>
    </row>
    <row r="72" customFormat="false" ht="15" hidden="false" customHeight="true" outlineLevel="0" collapsed="false">
      <c r="A72" s="12"/>
      <c r="B72" s="10"/>
      <c r="C72" s="15" t="str">
        <f aca="false">IF($B72="","",IFERROR(INDEX(회원명부!$B$3:$B$502,MATCH($B72,회원명부!$A$3:$A$502,0)),"미등록회원"))</f>
        <v/>
      </c>
      <c r="D72" s="10"/>
      <c r="E72" s="16" t="str">
        <f aca="false">IF($D72="","",IF($J72="환불",0,IFERROR(INDEX(상품목록!$B$3:$B$102,MATCH($D72,상품목록!$A$3:$A$102,0)),0)))</f>
        <v/>
      </c>
      <c r="F72" s="16" t="str">
        <f aca="false">IF($D72="","",IFERROR(INDEX(상품목록!$C$3:$C$102,MATCH($D72,상품목록!$A$3:$A$102,0)),0))</f>
        <v/>
      </c>
      <c r="G72" s="17" t="str">
        <f aca="false">IF(OR($A72="",$F72=""),"",$A72+$F72)</f>
        <v/>
      </c>
      <c r="H72" s="16" t="str">
        <f aca="false">IF($D72="","",IF($J72="환불",0,IFERROR(INDEX(상품목록!$D$3:$D$102,MATCH($D72,상품목록!$A$3:$A$102,0)),0)))</f>
        <v/>
      </c>
      <c r="I72" s="10"/>
      <c r="J72" s="10"/>
      <c r="K72" s="10"/>
    </row>
    <row r="73" customFormat="false" ht="15" hidden="false" customHeight="true" outlineLevel="0" collapsed="false">
      <c r="A73" s="12"/>
      <c r="B73" s="10"/>
      <c r="C73" s="15" t="str">
        <f aca="false">IF($B73="","",IFERROR(INDEX(회원명부!$B$3:$B$502,MATCH($B73,회원명부!$A$3:$A$502,0)),"미등록회원"))</f>
        <v/>
      </c>
      <c r="D73" s="10"/>
      <c r="E73" s="16" t="str">
        <f aca="false">IF($D73="","",IF($J73="환불",0,IFERROR(INDEX(상품목록!$B$3:$B$102,MATCH($D73,상품목록!$A$3:$A$102,0)),0)))</f>
        <v/>
      </c>
      <c r="F73" s="16" t="str">
        <f aca="false">IF($D73="","",IFERROR(INDEX(상품목록!$C$3:$C$102,MATCH($D73,상품목록!$A$3:$A$102,0)),0))</f>
        <v/>
      </c>
      <c r="G73" s="17" t="str">
        <f aca="false">IF(OR($A73="",$F73=""),"",$A73+$F73)</f>
        <v/>
      </c>
      <c r="H73" s="16" t="str">
        <f aca="false">IF($D73="","",IF($J73="환불",0,IFERROR(INDEX(상품목록!$D$3:$D$102,MATCH($D73,상품목록!$A$3:$A$102,0)),0)))</f>
        <v/>
      </c>
      <c r="I73" s="10"/>
      <c r="J73" s="10"/>
      <c r="K73" s="10"/>
    </row>
    <row r="74" customFormat="false" ht="15" hidden="false" customHeight="true" outlineLevel="0" collapsed="false">
      <c r="A74" s="12"/>
      <c r="B74" s="10"/>
      <c r="C74" s="15" t="str">
        <f aca="false">IF($B74="","",IFERROR(INDEX(회원명부!$B$3:$B$502,MATCH($B74,회원명부!$A$3:$A$502,0)),"미등록회원"))</f>
        <v/>
      </c>
      <c r="D74" s="10"/>
      <c r="E74" s="16" t="str">
        <f aca="false">IF($D74="","",IF($J74="환불",0,IFERROR(INDEX(상품목록!$B$3:$B$102,MATCH($D74,상품목록!$A$3:$A$102,0)),0)))</f>
        <v/>
      </c>
      <c r="F74" s="16" t="str">
        <f aca="false">IF($D74="","",IFERROR(INDEX(상품목록!$C$3:$C$102,MATCH($D74,상품목록!$A$3:$A$102,0)),0))</f>
        <v/>
      </c>
      <c r="G74" s="17" t="str">
        <f aca="false">IF(OR($A74="",$F74=""),"",$A74+$F74)</f>
        <v/>
      </c>
      <c r="H74" s="16" t="str">
        <f aca="false">IF($D74="","",IF($J74="환불",0,IFERROR(INDEX(상품목록!$D$3:$D$102,MATCH($D74,상품목록!$A$3:$A$102,0)),0)))</f>
        <v/>
      </c>
      <c r="I74" s="10"/>
      <c r="J74" s="10"/>
      <c r="K74" s="10"/>
    </row>
    <row r="75" customFormat="false" ht="15" hidden="false" customHeight="true" outlineLevel="0" collapsed="false">
      <c r="A75" s="12"/>
      <c r="B75" s="10"/>
      <c r="C75" s="15" t="str">
        <f aca="false">IF($B75="","",IFERROR(INDEX(회원명부!$B$3:$B$502,MATCH($B75,회원명부!$A$3:$A$502,0)),"미등록회원"))</f>
        <v/>
      </c>
      <c r="D75" s="10"/>
      <c r="E75" s="16" t="str">
        <f aca="false">IF($D75="","",IF($J75="환불",0,IFERROR(INDEX(상품목록!$B$3:$B$102,MATCH($D75,상품목록!$A$3:$A$102,0)),0)))</f>
        <v/>
      </c>
      <c r="F75" s="16" t="str">
        <f aca="false">IF($D75="","",IFERROR(INDEX(상품목록!$C$3:$C$102,MATCH($D75,상품목록!$A$3:$A$102,0)),0))</f>
        <v/>
      </c>
      <c r="G75" s="17" t="str">
        <f aca="false">IF(OR($A75="",$F75=""),"",$A75+$F75)</f>
        <v/>
      </c>
      <c r="H75" s="16" t="str">
        <f aca="false">IF($D75="","",IF($J75="환불",0,IFERROR(INDEX(상품목록!$D$3:$D$102,MATCH($D75,상품목록!$A$3:$A$102,0)),0)))</f>
        <v/>
      </c>
      <c r="I75" s="10"/>
      <c r="J75" s="10"/>
      <c r="K75" s="10"/>
    </row>
    <row r="76" customFormat="false" ht="15" hidden="false" customHeight="true" outlineLevel="0" collapsed="false">
      <c r="A76" s="12"/>
      <c r="B76" s="10"/>
      <c r="C76" s="15" t="str">
        <f aca="false">IF($B76="","",IFERROR(INDEX(회원명부!$B$3:$B$502,MATCH($B76,회원명부!$A$3:$A$502,0)),"미등록회원"))</f>
        <v/>
      </c>
      <c r="D76" s="10"/>
      <c r="E76" s="16" t="str">
        <f aca="false">IF($D76="","",IF($J76="환불",0,IFERROR(INDEX(상품목록!$B$3:$B$102,MATCH($D76,상품목록!$A$3:$A$102,0)),0)))</f>
        <v/>
      </c>
      <c r="F76" s="16" t="str">
        <f aca="false">IF($D76="","",IFERROR(INDEX(상품목록!$C$3:$C$102,MATCH($D76,상품목록!$A$3:$A$102,0)),0))</f>
        <v/>
      </c>
      <c r="G76" s="17" t="str">
        <f aca="false">IF(OR($A76="",$F76=""),"",$A76+$F76)</f>
        <v/>
      </c>
      <c r="H76" s="16" t="str">
        <f aca="false">IF($D76="","",IF($J76="환불",0,IFERROR(INDEX(상품목록!$D$3:$D$102,MATCH($D76,상품목록!$A$3:$A$102,0)),0)))</f>
        <v/>
      </c>
      <c r="I76" s="10"/>
      <c r="J76" s="10"/>
      <c r="K76" s="10"/>
    </row>
    <row r="77" customFormat="false" ht="15" hidden="false" customHeight="true" outlineLevel="0" collapsed="false">
      <c r="A77" s="12"/>
      <c r="B77" s="10"/>
      <c r="C77" s="15" t="str">
        <f aca="false">IF($B77="","",IFERROR(INDEX(회원명부!$B$3:$B$502,MATCH($B77,회원명부!$A$3:$A$502,0)),"미등록회원"))</f>
        <v/>
      </c>
      <c r="D77" s="10"/>
      <c r="E77" s="16" t="str">
        <f aca="false">IF($D77="","",IF($J77="환불",0,IFERROR(INDEX(상품목록!$B$3:$B$102,MATCH($D77,상품목록!$A$3:$A$102,0)),0)))</f>
        <v/>
      </c>
      <c r="F77" s="16" t="str">
        <f aca="false">IF($D77="","",IFERROR(INDEX(상품목록!$C$3:$C$102,MATCH($D77,상품목록!$A$3:$A$102,0)),0))</f>
        <v/>
      </c>
      <c r="G77" s="17" t="str">
        <f aca="false">IF(OR($A77="",$F77=""),"",$A77+$F77)</f>
        <v/>
      </c>
      <c r="H77" s="16" t="str">
        <f aca="false">IF($D77="","",IF($J77="환불",0,IFERROR(INDEX(상품목록!$D$3:$D$102,MATCH($D77,상품목록!$A$3:$A$102,0)),0)))</f>
        <v/>
      </c>
      <c r="I77" s="10"/>
      <c r="J77" s="10"/>
      <c r="K77" s="10"/>
    </row>
    <row r="78" customFormat="false" ht="15" hidden="false" customHeight="true" outlineLevel="0" collapsed="false">
      <c r="A78" s="12"/>
      <c r="B78" s="10"/>
      <c r="C78" s="15" t="str">
        <f aca="false">IF($B78="","",IFERROR(INDEX(회원명부!$B$3:$B$502,MATCH($B78,회원명부!$A$3:$A$502,0)),"미등록회원"))</f>
        <v/>
      </c>
      <c r="D78" s="10"/>
      <c r="E78" s="16" t="str">
        <f aca="false">IF($D78="","",IF($J78="환불",0,IFERROR(INDEX(상품목록!$B$3:$B$102,MATCH($D78,상품목록!$A$3:$A$102,0)),0)))</f>
        <v/>
      </c>
      <c r="F78" s="16" t="str">
        <f aca="false">IF($D78="","",IFERROR(INDEX(상품목록!$C$3:$C$102,MATCH($D78,상품목록!$A$3:$A$102,0)),0))</f>
        <v/>
      </c>
      <c r="G78" s="17" t="str">
        <f aca="false">IF(OR($A78="",$F78=""),"",$A78+$F78)</f>
        <v/>
      </c>
      <c r="H78" s="16" t="str">
        <f aca="false">IF($D78="","",IF($J78="환불",0,IFERROR(INDEX(상품목록!$D$3:$D$102,MATCH($D78,상품목록!$A$3:$A$102,0)),0)))</f>
        <v/>
      </c>
      <c r="I78" s="10"/>
      <c r="J78" s="10"/>
      <c r="K78" s="10"/>
    </row>
    <row r="79" customFormat="false" ht="15" hidden="false" customHeight="true" outlineLevel="0" collapsed="false">
      <c r="A79" s="12"/>
      <c r="B79" s="10"/>
      <c r="C79" s="15" t="str">
        <f aca="false">IF($B79="","",IFERROR(INDEX(회원명부!$B$3:$B$502,MATCH($B79,회원명부!$A$3:$A$502,0)),"미등록회원"))</f>
        <v/>
      </c>
      <c r="D79" s="10"/>
      <c r="E79" s="16" t="str">
        <f aca="false">IF($D79="","",IF($J79="환불",0,IFERROR(INDEX(상품목록!$B$3:$B$102,MATCH($D79,상품목록!$A$3:$A$102,0)),0)))</f>
        <v/>
      </c>
      <c r="F79" s="16" t="str">
        <f aca="false">IF($D79="","",IFERROR(INDEX(상품목록!$C$3:$C$102,MATCH($D79,상품목록!$A$3:$A$102,0)),0))</f>
        <v/>
      </c>
      <c r="G79" s="17" t="str">
        <f aca="false">IF(OR($A79="",$F79=""),"",$A79+$F79)</f>
        <v/>
      </c>
      <c r="H79" s="16" t="str">
        <f aca="false">IF($D79="","",IF($J79="환불",0,IFERROR(INDEX(상품목록!$D$3:$D$102,MATCH($D79,상품목록!$A$3:$A$102,0)),0)))</f>
        <v/>
      </c>
      <c r="I79" s="10"/>
      <c r="J79" s="10"/>
      <c r="K79" s="10"/>
    </row>
    <row r="80" customFormat="false" ht="15" hidden="false" customHeight="true" outlineLevel="0" collapsed="false">
      <c r="A80" s="12"/>
      <c r="B80" s="10"/>
      <c r="C80" s="15" t="str">
        <f aca="false">IF($B80="","",IFERROR(INDEX(회원명부!$B$3:$B$502,MATCH($B80,회원명부!$A$3:$A$502,0)),"미등록회원"))</f>
        <v/>
      </c>
      <c r="D80" s="10"/>
      <c r="E80" s="16" t="str">
        <f aca="false">IF($D80="","",IF($J80="환불",0,IFERROR(INDEX(상품목록!$B$3:$B$102,MATCH($D80,상품목록!$A$3:$A$102,0)),0)))</f>
        <v/>
      </c>
      <c r="F80" s="16" t="str">
        <f aca="false">IF($D80="","",IFERROR(INDEX(상품목록!$C$3:$C$102,MATCH($D80,상품목록!$A$3:$A$102,0)),0))</f>
        <v/>
      </c>
      <c r="G80" s="17" t="str">
        <f aca="false">IF(OR($A80="",$F80=""),"",$A80+$F80)</f>
        <v/>
      </c>
      <c r="H80" s="16" t="str">
        <f aca="false">IF($D80="","",IF($J80="환불",0,IFERROR(INDEX(상품목록!$D$3:$D$102,MATCH($D80,상품목록!$A$3:$A$102,0)),0)))</f>
        <v/>
      </c>
      <c r="I80" s="10"/>
      <c r="J80" s="10"/>
      <c r="K80" s="10"/>
    </row>
    <row r="81" customFormat="false" ht="15" hidden="false" customHeight="true" outlineLevel="0" collapsed="false">
      <c r="A81" s="12"/>
      <c r="B81" s="10"/>
      <c r="C81" s="15" t="str">
        <f aca="false">IF($B81="","",IFERROR(INDEX(회원명부!$B$3:$B$502,MATCH($B81,회원명부!$A$3:$A$502,0)),"미등록회원"))</f>
        <v/>
      </c>
      <c r="D81" s="10"/>
      <c r="E81" s="16" t="str">
        <f aca="false">IF($D81="","",IF($J81="환불",0,IFERROR(INDEX(상품목록!$B$3:$B$102,MATCH($D81,상품목록!$A$3:$A$102,0)),0)))</f>
        <v/>
      </c>
      <c r="F81" s="16" t="str">
        <f aca="false">IF($D81="","",IFERROR(INDEX(상품목록!$C$3:$C$102,MATCH($D81,상품목록!$A$3:$A$102,0)),0))</f>
        <v/>
      </c>
      <c r="G81" s="17" t="str">
        <f aca="false">IF(OR($A81="",$F81=""),"",$A81+$F81)</f>
        <v/>
      </c>
      <c r="H81" s="16" t="str">
        <f aca="false">IF($D81="","",IF($J81="환불",0,IFERROR(INDEX(상품목록!$D$3:$D$102,MATCH($D81,상품목록!$A$3:$A$102,0)),0)))</f>
        <v/>
      </c>
      <c r="I81" s="10"/>
      <c r="J81" s="10"/>
      <c r="K81" s="10"/>
    </row>
    <row r="82" customFormat="false" ht="15" hidden="false" customHeight="true" outlineLevel="0" collapsed="false">
      <c r="A82" s="12"/>
      <c r="B82" s="10"/>
      <c r="C82" s="15" t="str">
        <f aca="false">IF($B82="","",IFERROR(INDEX(회원명부!$B$3:$B$502,MATCH($B82,회원명부!$A$3:$A$502,0)),"미등록회원"))</f>
        <v/>
      </c>
      <c r="D82" s="10"/>
      <c r="E82" s="16" t="str">
        <f aca="false">IF($D82="","",IF($J82="환불",0,IFERROR(INDEX(상품목록!$B$3:$B$102,MATCH($D82,상품목록!$A$3:$A$102,0)),0)))</f>
        <v/>
      </c>
      <c r="F82" s="16" t="str">
        <f aca="false">IF($D82="","",IFERROR(INDEX(상품목록!$C$3:$C$102,MATCH($D82,상품목록!$A$3:$A$102,0)),0))</f>
        <v/>
      </c>
      <c r="G82" s="17" t="str">
        <f aca="false">IF(OR($A82="",$F82=""),"",$A82+$F82)</f>
        <v/>
      </c>
      <c r="H82" s="16" t="str">
        <f aca="false">IF($D82="","",IF($J82="환불",0,IFERROR(INDEX(상품목록!$D$3:$D$102,MATCH($D82,상품목록!$A$3:$A$102,0)),0)))</f>
        <v/>
      </c>
      <c r="I82" s="10"/>
      <c r="J82" s="10"/>
      <c r="K82" s="10"/>
    </row>
    <row r="83" customFormat="false" ht="15" hidden="false" customHeight="true" outlineLevel="0" collapsed="false">
      <c r="A83" s="12"/>
      <c r="B83" s="10"/>
      <c r="C83" s="15" t="str">
        <f aca="false">IF($B83="","",IFERROR(INDEX(회원명부!$B$3:$B$502,MATCH($B83,회원명부!$A$3:$A$502,0)),"미등록회원"))</f>
        <v/>
      </c>
      <c r="D83" s="10"/>
      <c r="E83" s="16" t="str">
        <f aca="false">IF($D83="","",IF($J83="환불",0,IFERROR(INDEX(상품목록!$B$3:$B$102,MATCH($D83,상품목록!$A$3:$A$102,0)),0)))</f>
        <v/>
      </c>
      <c r="F83" s="16" t="str">
        <f aca="false">IF($D83="","",IFERROR(INDEX(상품목록!$C$3:$C$102,MATCH($D83,상품목록!$A$3:$A$102,0)),0))</f>
        <v/>
      </c>
      <c r="G83" s="17" t="str">
        <f aca="false">IF(OR($A83="",$F83=""),"",$A83+$F83)</f>
        <v/>
      </c>
      <c r="H83" s="16" t="str">
        <f aca="false">IF($D83="","",IF($J83="환불",0,IFERROR(INDEX(상품목록!$D$3:$D$102,MATCH($D83,상품목록!$A$3:$A$102,0)),0)))</f>
        <v/>
      </c>
      <c r="I83" s="10"/>
      <c r="J83" s="10"/>
      <c r="K83" s="10"/>
    </row>
    <row r="84" customFormat="false" ht="15" hidden="false" customHeight="true" outlineLevel="0" collapsed="false">
      <c r="A84" s="12"/>
      <c r="B84" s="10"/>
      <c r="C84" s="15" t="str">
        <f aca="false">IF($B84="","",IFERROR(INDEX(회원명부!$B$3:$B$502,MATCH($B84,회원명부!$A$3:$A$502,0)),"미등록회원"))</f>
        <v/>
      </c>
      <c r="D84" s="10"/>
      <c r="E84" s="16" t="str">
        <f aca="false">IF($D84="","",IF($J84="환불",0,IFERROR(INDEX(상품목록!$B$3:$B$102,MATCH($D84,상품목록!$A$3:$A$102,0)),0)))</f>
        <v/>
      </c>
      <c r="F84" s="16" t="str">
        <f aca="false">IF($D84="","",IFERROR(INDEX(상품목록!$C$3:$C$102,MATCH($D84,상품목록!$A$3:$A$102,0)),0))</f>
        <v/>
      </c>
      <c r="G84" s="17" t="str">
        <f aca="false">IF(OR($A84="",$F84=""),"",$A84+$F84)</f>
        <v/>
      </c>
      <c r="H84" s="16" t="str">
        <f aca="false">IF($D84="","",IF($J84="환불",0,IFERROR(INDEX(상품목록!$D$3:$D$102,MATCH($D84,상품목록!$A$3:$A$102,0)),0)))</f>
        <v/>
      </c>
      <c r="I84" s="10"/>
      <c r="J84" s="10"/>
      <c r="K84" s="10"/>
    </row>
    <row r="85" customFormat="false" ht="15" hidden="false" customHeight="true" outlineLevel="0" collapsed="false">
      <c r="A85" s="12"/>
      <c r="B85" s="10"/>
      <c r="C85" s="15" t="str">
        <f aca="false">IF($B85="","",IFERROR(INDEX(회원명부!$B$3:$B$502,MATCH($B85,회원명부!$A$3:$A$502,0)),"미등록회원"))</f>
        <v/>
      </c>
      <c r="D85" s="10"/>
      <c r="E85" s="16" t="str">
        <f aca="false">IF($D85="","",IF($J85="환불",0,IFERROR(INDEX(상품목록!$B$3:$B$102,MATCH($D85,상품목록!$A$3:$A$102,0)),0)))</f>
        <v/>
      </c>
      <c r="F85" s="16" t="str">
        <f aca="false">IF($D85="","",IFERROR(INDEX(상품목록!$C$3:$C$102,MATCH($D85,상품목록!$A$3:$A$102,0)),0))</f>
        <v/>
      </c>
      <c r="G85" s="17" t="str">
        <f aca="false">IF(OR($A85="",$F85=""),"",$A85+$F85)</f>
        <v/>
      </c>
      <c r="H85" s="16" t="str">
        <f aca="false">IF($D85="","",IF($J85="환불",0,IFERROR(INDEX(상품목록!$D$3:$D$102,MATCH($D85,상품목록!$A$3:$A$102,0)),0)))</f>
        <v/>
      </c>
      <c r="I85" s="10"/>
      <c r="J85" s="10"/>
      <c r="K85" s="10"/>
    </row>
    <row r="86" customFormat="false" ht="15" hidden="false" customHeight="true" outlineLevel="0" collapsed="false">
      <c r="A86" s="12"/>
      <c r="B86" s="10"/>
      <c r="C86" s="15" t="str">
        <f aca="false">IF($B86="","",IFERROR(INDEX(회원명부!$B$3:$B$502,MATCH($B86,회원명부!$A$3:$A$502,0)),"미등록회원"))</f>
        <v/>
      </c>
      <c r="D86" s="10"/>
      <c r="E86" s="16" t="str">
        <f aca="false">IF($D86="","",IF($J86="환불",0,IFERROR(INDEX(상품목록!$B$3:$B$102,MATCH($D86,상품목록!$A$3:$A$102,0)),0)))</f>
        <v/>
      </c>
      <c r="F86" s="16" t="str">
        <f aca="false">IF($D86="","",IFERROR(INDEX(상품목록!$C$3:$C$102,MATCH($D86,상품목록!$A$3:$A$102,0)),0))</f>
        <v/>
      </c>
      <c r="G86" s="17" t="str">
        <f aca="false">IF(OR($A86="",$F86=""),"",$A86+$F86)</f>
        <v/>
      </c>
      <c r="H86" s="16" t="str">
        <f aca="false">IF($D86="","",IF($J86="환불",0,IFERROR(INDEX(상품목록!$D$3:$D$102,MATCH($D86,상품목록!$A$3:$A$102,0)),0)))</f>
        <v/>
      </c>
      <c r="I86" s="10"/>
      <c r="J86" s="10"/>
      <c r="K86" s="10"/>
    </row>
    <row r="87" customFormat="false" ht="15" hidden="false" customHeight="true" outlineLevel="0" collapsed="false">
      <c r="A87" s="12"/>
      <c r="B87" s="10"/>
      <c r="C87" s="15" t="str">
        <f aca="false">IF($B87="","",IFERROR(INDEX(회원명부!$B$3:$B$502,MATCH($B87,회원명부!$A$3:$A$502,0)),"미등록회원"))</f>
        <v/>
      </c>
      <c r="D87" s="10"/>
      <c r="E87" s="16" t="str">
        <f aca="false">IF($D87="","",IF($J87="환불",0,IFERROR(INDEX(상품목록!$B$3:$B$102,MATCH($D87,상품목록!$A$3:$A$102,0)),0)))</f>
        <v/>
      </c>
      <c r="F87" s="16" t="str">
        <f aca="false">IF($D87="","",IFERROR(INDEX(상품목록!$C$3:$C$102,MATCH($D87,상품목록!$A$3:$A$102,0)),0))</f>
        <v/>
      </c>
      <c r="G87" s="17" t="str">
        <f aca="false">IF(OR($A87="",$F87=""),"",$A87+$F87)</f>
        <v/>
      </c>
      <c r="H87" s="16" t="str">
        <f aca="false">IF($D87="","",IF($J87="환불",0,IFERROR(INDEX(상품목록!$D$3:$D$102,MATCH($D87,상품목록!$A$3:$A$102,0)),0)))</f>
        <v/>
      </c>
      <c r="I87" s="10"/>
      <c r="J87" s="10"/>
      <c r="K87" s="10"/>
    </row>
    <row r="88" customFormat="false" ht="15" hidden="false" customHeight="true" outlineLevel="0" collapsed="false">
      <c r="A88" s="12"/>
      <c r="B88" s="10"/>
      <c r="C88" s="15" t="str">
        <f aca="false">IF($B88="","",IFERROR(INDEX(회원명부!$B$3:$B$502,MATCH($B88,회원명부!$A$3:$A$502,0)),"미등록회원"))</f>
        <v/>
      </c>
      <c r="D88" s="10"/>
      <c r="E88" s="16" t="str">
        <f aca="false">IF($D88="","",IF($J88="환불",0,IFERROR(INDEX(상품목록!$B$3:$B$102,MATCH($D88,상품목록!$A$3:$A$102,0)),0)))</f>
        <v/>
      </c>
      <c r="F88" s="16" t="str">
        <f aca="false">IF($D88="","",IFERROR(INDEX(상품목록!$C$3:$C$102,MATCH($D88,상품목록!$A$3:$A$102,0)),0))</f>
        <v/>
      </c>
      <c r="G88" s="17" t="str">
        <f aca="false">IF(OR($A88="",$F88=""),"",$A88+$F88)</f>
        <v/>
      </c>
      <c r="H88" s="16" t="str">
        <f aca="false">IF($D88="","",IF($J88="환불",0,IFERROR(INDEX(상품목록!$D$3:$D$102,MATCH($D88,상품목록!$A$3:$A$102,0)),0)))</f>
        <v/>
      </c>
      <c r="I88" s="10"/>
      <c r="J88" s="10"/>
      <c r="K88" s="10"/>
    </row>
    <row r="89" customFormat="false" ht="15" hidden="false" customHeight="true" outlineLevel="0" collapsed="false">
      <c r="A89" s="12"/>
      <c r="B89" s="10"/>
      <c r="C89" s="15" t="str">
        <f aca="false">IF($B89="","",IFERROR(INDEX(회원명부!$B$3:$B$502,MATCH($B89,회원명부!$A$3:$A$502,0)),"미등록회원"))</f>
        <v/>
      </c>
      <c r="D89" s="10"/>
      <c r="E89" s="16" t="str">
        <f aca="false">IF($D89="","",IF($J89="환불",0,IFERROR(INDEX(상품목록!$B$3:$B$102,MATCH($D89,상품목록!$A$3:$A$102,0)),0)))</f>
        <v/>
      </c>
      <c r="F89" s="16" t="str">
        <f aca="false">IF($D89="","",IFERROR(INDEX(상품목록!$C$3:$C$102,MATCH($D89,상품목록!$A$3:$A$102,0)),0))</f>
        <v/>
      </c>
      <c r="G89" s="17" t="str">
        <f aca="false">IF(OR($A89="",$F89=""),"",$A89+$F89)</f>
        <v/>
      </c>
      <c r="H89" s="16" t="str">
        <f aca="false">IF($D89="","",IF($J89="환불",0,IFERROR(INDEX(상품목록!$D$3:$D$102,MATCH($D89,상품목록!$A$3:$A$102,0)),0)))</f>
        <v/>
      </c>
      <c r="I89" s="10"/>
      <c r="J89" s="10"/>
      <c r="K89" s="10"/>
    </row>
    <row r="90" customFormat="false" ht="15" hidden="false" customHeight="true" outlineLevel="0" collapsed="false">
      <c r="A90" s="12"/>
      <c r="B90" s="10"/>
      <c r="C90" s="15" t="str">
        <f aca="false">IF($B90="","",IFERROR(INDEX(회원명부!$B$3:$B$502,MATCH($B90,회원명부!$A$3:$A$502,0)),"미등록회원"))</f>
        <v/>
      </c>
      <c r="D90" s="10"/>
      <c r="E90" s="16" t="str">
        <f aca="false">IF($D90="","",IF($J90="환불",0,IFERROR(INDEX(상품목록!$B$3:$B$102,MATCH($D90,상품목록!$A$3:$A$102,0)),0)))</f>
        <v/>
      </c>
      <c r="F90" s="16" t="str">
        <f aca="false">IF($D90="","",IFERROR(INDEX(상품목록!$C$3:$C$102,MATCH($D90,상품목록!$A$3:$A$102,0)),0))</f>
        <v/>
      </c>
      <c r="G90" s="17" t="str">
        <f aca="false">IF(OR($A90="",$F90=""),"",$A90+$F90)</f>
        <v/>
      </c>
      <c r="H90" s="16" t="str">
        <f aca="false">IF($D90="","",IF($J90="환불",0,IFERROR(INDEX(상품목록!$D$3:$D$102,MATCH($D90,상품목록!$A$3:$A$102,0)),0)))</f>
        <v/>
      </c>
      <c r="I90" s="10"/>
      <c r="J90" s="10"/>
      <c r="K90" s="10"/>
    </row>
    <row r="91" customFormat="false" ht="15" hidden="false" customHeight="true" outlineLevel="0" collapsed="false">
      <c r="A91" s="12"/>
      <c r="B91" s="10"/>
      <c r="C91" s="15" t="str">
        <f aca="false">IF($B91="","",IFERROR(INDEX(회원명부!$B$3:$B$502,MATCH($B91,회원명부!$A$3:$A$502,0)),"미등록회원"))</f>
        <v/>
      </c>
      <c r="D91" s="10"/>
      <c r="E91" s="16" t="str">
        <f aca="false">IF($D91="","",IF($J91="환불",0,IFERROR(INDEX(상품목록!$B$3:$B$102,MATCH($D91,상품목록!$A$3:$A$102,0)),0)))</f>
        <v/>
      </c>
      <c r="F91" s="16" t="str">
        <f aca="false">IF($D91="","",IFERROR(INDEX(상품목록!$C$3:$C$102,MATCH($D91,상품목록!$A$3:$A$102,0)),0))</f>
        <v/>
      </c>
      <c r="G91" s="17" t="str">
        <f aca="false">IF(OR($A91="",$F91=""),"",$A91+$F91)</f>
        <v/>
      </c>
      <c r="H91" s="16" t="str">
        <f aca="false">IF($D91="","",IF($J91="환불",0,IFERROR(INDEX(상품목록!$D$3:$D$102,MATCH($D91,상품목록!$A$3:$A$102,0)),0)))</f>
        <v/>
      </c>
      <c r="I91" s="10"/>
      <c r="J91" s="10"/>
      <c r="K91" s="10"/>
    </row>
    <row r="92" customFormat="false" ht="15" hidden="false" customHeight="true" outlineLevel="0" collapsed="false">
      <c r="A92" s="12"/>
      <c r="B92" s="10"/>
      <c r="C92" s="15" t="str">
        <f aca="false">IF($B92="","",IFERROR(INDEX(회원명부!$B$3:$B$502,MATCH($B92,회원명부!$A$3:$A$502,0)),"미등록회원"))</f>
        <v/>
      </c>
      <c r="D92" s="10"/>
      <c r="E92" s="16" t="str">
        <f aca="false">IF($D92="","",IF($J92="환불",0,IFERROR(INDEX(상품목록!$B$3:$B$102,MATCH($D92,상품목록!$A$3:$A$102,0)),0)))</f>
        <v/>
      </c>
      <c r="F92" s="16" t="str">
        <f aca="false">IF($D92="","",IFERROR(INDEX(상품목록!$C$3:$C$102,MATCH($D92,상품목록!$A$3:$A$102,0)),0))</f>
        <v/>
      </c>
      <c r="G92" s="17" t="str">
        <f aca="false">IF(OR($A92="",$F92=""),"",$A92+$F92)</f>
        <v/>
      </c>
      <c r="H92" s="16" t="str">
        <f aca="false">IF($D92="","",IF($J92="환불",0,IFERROR(INDEX(상품목록!$D$3:$D$102,MATCH($D92,상품목록!$A$3:$A$102,0)),0)))</f>
        <v/>
      </c>
      <c r="I92" s="10"/>
      <c r="J92" s="10"/>
      <c r="K92" s="10"/>
    </row>
    <row r="93" customFormat="false" ht="15" hidden="false" customHeight="true" outlineLevel="0" collapsed="false">
      <c r="A93" s="12"/>
      <c r="B93" s="10"/>
      <c r="C93" s="15" t="str">
        <f aca="false">IF($B93="","",IFERROR(INDEX(회원명부!$B$3:$B$502,MATCH($B93,회원명부!$A$3:$A$502,0)),"미등록회원"))</f>
        <v/>
      </c>
      <c r="D93" s="10"/>
      <c r="E93" s="16" t="str">
        <f aca="false">IF($D93="","",IF($J93="환불",0,IFERROR(INDEX(상품목록!$B$3:$B$102,MATCH($D93,상품목록!$A$3:$A$102,0)),0)))</f>
        <v/>
      </c>
      <c r="F93" s="16" t="str">
        <f aca="false">IF($D93="","",IFERROR(INDEX(상품목록!$C$3:$C$102,MATCH($D93,상품목록!$A$3:$A$102,0)),0))</f>
        <v/>
      </c>
      <c r="G93" s="17" t="str">
        <f aca="false">IF(OR($A93="",$F93=""),"",$A93+$F93)</f>
        <v/>
      </c>
      <c r="H93" s="16" t="str">
        <f aca="false">IF($D93="","",IF($J93="환불",0,IFERROR(INDEX(상품목록!$D$3:$D$102,MATCH($D93,상품목록!$A$3:$A$102,0)),0)))</f>
        <v/>
      </c>
      <c r="I93" s="10"/>
      <c r="J93" s="10"/>
      <c r="K93" s="10"/>
    </row>
    <row r="94" customFormat="false" ht="15" hidden="false" customHeight="true" outlineLevel="0" collapsed="false">
      <c r="A94" s="12"/>
      <c r="B94" s="10"/>
      <c r="C94" s="15" t="str">
        <f aca="false">IF($B94="","",IFERROR(INDEX(회원명부!$B$3:$B$502,MATCH($B94,회원명부!$A$3:$A$502,0)),"미등록회원"))</f>
        <v/>
      </c>
      <c r="D94" s="10"/>
      <c r="E94" s="16" t="str">
        <f aca="false">IF($D94="","",IF($J94="환불",0,IFERROR(INDEX(상품목록!$B$3:$B$102,MATCH($D94,상품목록!$A$3:$A$102,0)),0)))</f>
        <v/>
      </c>
      <c r="F94" s="16" t="str">
        <f aca="false">IF($D94="","",IFERROR(INDEX(상품목록!$C$3:$C$102,MATCH($D94,상품목록!$A$3:$A$102,0)),0))</f>
        <v/>
      </c>
      <c r="G94" s="17" t="str">
        <f aca="false">IF(OR($A94="",$F94=""),"",$A94+$F94)</f>
        <v/>
      </c>
      <c r="H94" s="16" t="str">
        <f aca="false">IF($D94="","",IF($J94="환불",0,IFERROR(INDEX(상품목록!$D$3:$D$102,MATCH($D94,상품목록!$A$3:$A$102,0)),0)))</f>
        <v/>
      </c>
      <c r="I94" s="10"/>
      <c r="J94" s="10"/>
      <c r="K94" s="10"/>
    </row>
    <row r="95" customFormat="false" ht="15" hidden="false" customHeight="true" outlineLevel="0" collapsed="false">
      <c r="A95" s="12"/>
      <c r="B95" s="10"/>
      <c r="C95" s="15" t="str">
        <f aca="false">IF($B95="","",IFERROR(INDEX(회원명부!$B$3:$B$502,MATCH($B95,회원명부!$A$3:$A$502,0)),"미등록회원"))</f>
        <v/>
      </c>
      <c r="D95" s="10"/>
      <c r="E95" s="16" t="str">
        <f aca="false">IF($D95="","",IF($J95="환불",0,IFERROR(INDEX(상품목록!$B$3:$B$102,MATCH($D95,상품목록!$A$3:$A$102,0)),0)))</f>
        <v/>
      </c>
      <c r="F95" s="16" t="str">
        <f aca="false">IF($D95="","",IFERROR(INDEX(상품목록!$C$3:$C$102,MATCH($D95,상품목록!$A$3:$A$102,0)),0))</f>
        <v/>
      </c>
      <c r="G95" s="17" t="str">
        <f aca="false">IF(OR($A95="",$F95=""),"",$A95+$F95)</f>
        <v/>
      </c>
      <c r="H95" s="16" t="str">
        <f aca="false">IF($D95="","",IF($J95="환불",0,IFERROR(INDEX(상품목록!$D$3:$D$102,MATCH($D95,상품목록!$A$3:$A$102,0)),0)))</f>
        <v/>
      </c>
      <c r="I95" s="10"/>
      <c r="J95" s="10"/>
      <c r="K95" s="10"/>
    </row>
    <row r="96" customFormat="false" ht="15" hidden="false" customHeight="true" outlineLevel="0" collapsed="false">
      <c r="A96" s="12"/>
      <c r="B96" s="10"/>
      <c r="C96" s="15" t="str">
        <f aca="false">IF($B96="","",IFERROR(INDEX(회원명부!$B$3:$B$502,MATCH($B96,회원명부!$A$3:$A$502,0)),"미등록회원"))</f>
        <v/>
      </c>
      <c r="D96" s="10"/>
      <c r="E96" s="16" t="str">
        <f aca="false">IF($D96="","",IF($J96="환불",0,IFERROR(INDEX(상품목록!$B$3:$B$102,MATCH($D96,상품목록!$A$3:$A$102,0)),0)))</f>
        <v/>
      </c>
      <c r="F96" s="16" t="str">
        <f aca="false">IF($D96="","",IFERROR(INDEX(상품목록!$C$3:$C$102,MATCH($D96,상품목록!$A$3:$A$102,0)),0))</f>
        <v/>
      </c>
      <c r="G96" s="17" t="str">
        <f aca="false">IF(OR($A96="",$F96=""),"",$A96+$F96)</f>
        <v/>
      </c>
      <c r="H96" s="16" t="str">
        <f aca="false">IF($D96="","",IF($J96="환불",0,IFERROR(INDEX(상품목록!$D$3:$D$102,MATCH($D96,상품목록!$A$3:$A$102,0)),0)))</f>
        <v/>
      </c>
      <c r="I96" s="10"/>
      <c r="J96" s="10"/>
      <c r="K96" s="10"/>
    </row>
    <row r="97" customFormat="false" ht="15" hidden="false" customHeight="true" outlineLevel="0" collapsed="false">
      <c r="A97" s="12"/>
      <c r="B97" s="10"/>
      <c r="C97" s="15" t="str">
        <f aca="false">IF($B97="","",IFERROR(INDEX(회원명부!$B$3:$B$502,MATCH($B97,회원명부!$A$3:$A$502,0)),"미등록회원"))</f>
        <v/>
      </c>
      <c r="D97" s="10"/>
      <c r="E97" s="16" t="str">
        <f aca="false">IF($D97="","",IF($J97="환불",0,IFERROR(INDEX(상품목록!$B$3:$B$102,MATCH($D97,상품목록!$A$3:$A$102,0)),0)))</f>
        <v/>
      </c>
      <c r="F97" s="16" t="str">
        <f aca="false">IF($D97="","",IFERROR(INDEX(상품목록!$C$3:$C$102,MATCH($D97,상품목록!$A$3:$A$102,0)),0))</f>
        <v/>
      </c>
      <c r="G97" s="17" t="str">
        <f aca="false">IF(OR($A97="",$F97=""),"",$A97+$F97)</f>
        <v/>
      </c>
      <c r="H97" s="16" t="str">
        <f aca="false">IF($D97="","",IF($J97="환불",0,IFERROR(INDEX(상품목록!$D$3:$D$102,MATCH($D97,상품목록!$A$3:$A$102,0)),0)))</f>
        <v/>
      </c>
      <c r="I97" s="10"/>
      <c r="J97" s="10"/>
      <c r="K97" s="10"/>
    </row>
    <row r="98" customFormat="false" ht="15" hidden="false" customHeight="true" outlineLevel="0" collapsed="false">
      <c r="A98" s="12"/>
      <c r="B98" s="10"/>
      <c r="C98" s="15" t="str">
        <f aca="false">IF($B98="","",IFERROR(INDEX(회원명부!$B$3:$B$502,MATCH($B98,회원명부!$A$3:$A$502,0)),"미등록회원"))</f>
        <v/>
      </c>
      <c r="D98" s="10"/>
      <c r="E98" s="16" t="str">
        <f aca="false">IF($D98="","",IF($J98="환불",0,IFERROR(INDEX(상품목록!$B$3:$B$102,MATCH($D98,상품목록!$A$3:$A$102,0)),0)))</f>
        <v/>
      </c>
      <c r="F98" s="16" t="str">
        <f aca="false">IF($D98="","",IFERROR(INDEX(상품목록!$C$3:$C$102,MATCH($D98,상품목록!$A$3:$A$102,0)),0))</f>
        <v/>
      </c>
      <c r="G98" s="17" t="str">
        <f aca="false">IF(OR($A98="",$F98=""),"",$A98+$F98)</f>
        <v/>
      </c>
      <c r="H98" s="16" t="str">
        <f aca="false">IF($D98="","",IF($J98="환불",0,IFERROR(INDEX(상품목록!$D$3:$D$102,MATCH($D98,상품목록!$A$3:$A$102,0)),0)))</f>
        <v/>
      </c>
      <c r="I98" s="10"/>
      <c r="J98" s="10"/>
      <c r="K98" s="10"/>
    </row>
    <row r="99" customFormat="false" ht="15" hidden="false" customHeight="true" outlineLevel="0" collapsed="false">
      <c r="A99" s="12"/>
      <c r="B99" s="10"/>
      <c r="C99" s="15" t="str">
        <f aca="false">IF($B99="","",IFERROR(INDEX(회원명부!$B$3:$B$502,MATCH($B99,회원명부!$A$3:$A$502,0)),"미등록회원"))</f>
        <v/>
      </c>
      <c r="D99" s="10"/>
      <c r="E99" s="16" t="str">
        <f aca="false">IF($D99="","",IF($J99="환불",0,IFERROR(INDEX(상품목록!$B$3:$B$102,MATCH($D99,상품목록!$A$3:$A$102,0)),0)))</f>
        <v/>
      </c>
      <c r="F99" s="16" t="str">
        <f aca="false">IF($D99="","",IFERROR(INDEX(상품목록!$C$3:$C$102,MATCH($D99,상품목록!$A$3:$A$102,0)),0))</f>
        <v/>
      </c>
      <c r="G99" s="17" t="str">
        <f aca="false">IF(OR($A99="",$F99=""),"",$A99+$F99)</f>
        <v/>
      </c>
      <c r="H99" s="16" t="str">
        <f aca="false">IF($D99="","",IF($J99="환불",0,IFERROR(INDEX(상품목록!$D$3:$D$102,MATCH($D99,상품목록!$A$3:$A$102,0)),0)))</f>
        <v/>
      </c>
      <c r="I99" s="10"/>
      <c r="J99" s="10"/>
      <c r="K99" s="10"/>
    </row>
    <row r="100" customFormat="false" ht="15" hidden="false" customHeight="true" outlineLevel="0" collapsed="false">
      <c r="A100" s="12"/>
      <c r="B100" s="10"/>
      <c r="C100" s="15" t="str">
        <f aca="false">IF($B100="","",IFERROR(INDEX(회원명부!$B$3:$B$502,MATCH($B100,회원명부!$A$3:$A$502,0)),"미등록회원"))</f>
        <v/>
      </c>
      <c r="D100" s="10"/>
      <c r="E100" s="16" t="str">
        <f aca="false">IF($D100="","",IF($J100="환불",0,IFERROR(INDEX(상품목록!$B$3:$B$102,MATCH($D100,상품목록!$A$3:$A$102,0)),0)))</f>
        <v/>
      </c>
      <c r="F100" s="16" t="str">
        <f aca="false">IF($D100="","",IFERROR(INDEX(상품목록!$C$3:$C$102,MATCH($D100,상품목록!$A$3:$A$102,0)),0))</f>
        <v/>
      </c>
      <c r="G100" s="17" t="str">
        <f aca="false">IF(OR($A100="",$F100=""),"",$A100+$F100)</f>
        <v/>
      </c>
      <c r="H100" s="16" t="str">
        <f aca="false">IF($D100="","",IF($J100="환불",0,IFERROR(INDEX(상품목록!$D$3:$D$102,MATCH($D100,상품목록!$A$3:$A$102,0)),0)))</f>
        <v/>
      </c>
      <c r="I100" s="10"/>
      <c r="J100" s="10"/>
      <c r="K100" s="10"/>
    </row>
    <row r="101" customFormat="false" ht="15" hidden="false" customHeight="true" outlineLevel="0" collapsed="false">
      <c r="A101" s="12"/>
      <c r="B101" s="10"/>
      <c r="C101" s="15" t="str">
        <f aca="false">IF($B101="","",IFERROR(INDEX(회원명부!$B$3:$B$502,MATCH($B101,회원명부!$A$3:$A$502,0)),"미등록회원"))</f>
        <v/>
      </c>
      <c r="D101" s="10"/>
      <c r="E101" s="16" t="str">
        <f aca="false">IF($D101="","",IF($J101="환불",0,IFERROR(INDEX(상품목록!$B$3:$B$102,MATCH($D101,상품목록!$A$3:$A$102,0)),0)))</f>
        <v/>
      </c>
      <c r="F101" s="16" t="str">
        <f aca="false">IF($D101="","",IFERROR(INDEX(상품목록!$C$3:$C$102,MATCH($D101,상품목록!$A$3:$A$102,0)),0))</f>
        <v/>
      </c>
      <c r="G101" s="17" t="str">
        <f aca="false">IF(OR($A101="",$F101=""),"",$A101+$F101)</f>
        <v/>
      </c>
      <c r="H101" s="16" t="str">
        <f aca="false">IF($D101="","",IF($J101="환불",0,IFERROR(INDEX(상품목록!$D$3:$D$102,MATCH($D101,상품목록!$A$3:$A$102,0)),0)))</f>
        <v/>
      </c>
      <c r="I101" s="10"/>
      <c r="J101" s="10"/>
      <c r="K101" s="10"/>
    </row>
    <row r="102" customFormat="false" ht="15" hidden="false" customHeight="true" outlineLevel="0" collapsed="false">
      <c r="A102" s="12"/>
      <c r="B102" s="10"/>
      <c r="C102" s="15" t="str">
        <f aca="false">IF($B102="","",IFERROR(INDEX(회원명부!$B$3:$B$502,MATCH($B102,회원명부!$A$3:$A$502,0)),"미등록회원"))</f>
        <v/>
      </c>
      <c r="D102" s="10"/>
      <c r="E102" s="16" t="str">
        <f aca="false">IF($D102="","",IF($J102="환불",0,IFERROR(INDEX(상품목록!$B$3:$B$102,MATCH($D102,상품목록!$A$3:$A$102,0)),0)))</f>
        <v/>
      </c>
      <c r="F102" s="16" t="str">
        <f aca="false">IF($D102="","",IFERROR(INDEX(상품목록!$C$3:$C$102,MATCH($D102,상품목록!$A$3:$A$102,0)),0))</f>
        <v/>
      </c>
      <c r="G102" s="17" t="str">
        <f aca="false">IF(OR($A102="",$F102=""),"",$A102+$F102)</f>
        <v/>
      </c>
      <c r="H102" s="16" t="str">
        <f aca="false">IF($D102="","",IF($J102="환불",0,IFERROR(INDEX(상품목록!$D$3:$D$102,MATCH($D102,상품목록!$A$3:$A$102,0)),0)))</f>
        <v/>
      </c>
      <c r="I102" s="10"/>
      <c r="J102" s="10"/>
      <c r="K102" s="10"/>
    </row>
    <row r="103" customFormat="false" ht="15" hidden="false" customHeight="true" outlineLevel="0" collapsed="false">
      <c r="A103" s="12"/>
      <c r="B103" s="10"/>
      <c r="C103" s="15" t="str">
        <f aca="false">IF($B103="","",IFERROR(INDEX(회원명부!$B$3:$B$502,MATCH($B103,회원명부!$A$3:$A$502,0)),"미등록회원"))</f>
        <v/>
      </c>
      <c r="D103" s="10"/>
      <c r="E103" s="16" t="str">
        <f aca="false">IF($D103="","",IF($J103="환불",0,IFERROR(INDEX(상품목록!$B$3:$B$102,MATCH($D103,상품목록!$A$3:$A$102,0)),0)))</f>
        <v/>
      </c>
      <c r="F103" s="16" t="str">
        <f aca="false">IF($D103="","",IFERROR(INDEX(상품목록!$C$3:$C$102,MATCH($D103,상품목록!$A$3:$A$102,0)),0))</f>
        <v/>
      </c>
      <c r="G103" s="17" t="str">
        <f aca="false">IF(OR($A103="",$F103=""),"",$A103+$F103)</f>
        <v/>
      </c>
      <c r="H103" s="16" t="str">
        <f aca="false">IF($D103="","",IF($J103="환불",0,IFERROR(INDEX(상품목록!$D$3:$D$102,MATCH($D103,상품목록!$A$3:$A$102,0)),0)))</f>
        <v/>
      </c>
      <c r="I103" s="10"/>
      <c r="J103" s="10"/>
      <c r="K103" s="10"/>
    </row>
    <row r="104" customFormat="false" ht="15" hidden="false" customHeight="true" outlineLevel="0" collapsed="false">
      <c r="A104" s="12"/>
      <c r="B104" s="10"/>
      <c r="C104" s="15" t="str">
        <f aca="false">IF($B104="","",IFERROR(INDEX(회원명부!$B$3:$B$502,MATCH($B104,회원명부!$A$3:$A$502,0)),"미등록회원"))</f>
        <v/>
      </c>
      <c r="D104" s="10"/>
      <c r="E104" s="16" t="str">
        <f aca="false">IF($D104="","",IF($J104="환불",0,IFERROR(INDEX(상품목록!$B$3:$B$102,MATCH($D104,상품목록!$A$3:$A$102,0)),0)))</f>
        <v/>
      </c>
      <c r="F104" s="16" t="str">
        <f aca="false">IF($D104="","",IFERROR(INDEX(상품목록!$C$3:$C$102,MATCH($D104,상품목록!$A$3:$A$102,0)),0))</f>
        <v/>
      </c>
      <c r="G104" s="17" t="str">
        <f aca="false">IF(OR($A104="",$F104=""),"",$A104+$F104)</f>
        <v/>
      </c>
      <c r="H104" s="16" t="str">
        <f aca="false">IF($D104="","",IF($J104="환불",0,IFERROR(INDEX(상품목록!$D$3:$D$102,MATCH($D104,상품목록!$A$3:$A$102,0)),0)))</f>
        <v/>
      </c>
      <c r="I104" s="10"/>
      <c r="J104" s="10"/>
      <c r="K104" s="10"/>
    </row>
    <row r="105" customFormat="false" ht="15" hidden="false" customHeight="true" outlineLevel="0" collapsed="false">
      <c r="A105" s="12"/>
      <c r="B105" s="10"/>
      <c r="C105" s="15" t="str">
        <f aca="false">IF($B105="","",IFERROR(INDEX(회원명부!$B$3:$B$502,MATCH($B105,회원명부!$A$3:$A$502,0)),"미등록회원"))</f>
        <v/>
      </c>
      <c r="D105" s="10"/>
      <c r="E105" s="16" t="str">
        <f aca="false">IF($D105="","",IF($J105="환불",0,IFERROR(INDEX(상품목록!$B$3:$B$102,MATCH($D105,상품목록!$A$3:$A$102,0)),0)))</f>
        <v/>
      </c>
      <c r="F105" s="16" t="str">
        <f aca="false">IF($D105="","",IFERROR(INDEX(상품목록!$C$3:$C$102,MATCH($D105,상품목록!$A$3:$A$102,0)),0))</f>
        <v/>
      </c>
      <c r="G105" s="17" t="str">
        <f aca="false">IF(OR($A105="",$F105=""),"",$A105+$F105)</f>
        <v/>
      </c>
      <c r="H105" s="16" t="str">
        <f aca="false">IF($D105="","",IF($J105="환불",0,IFERROR(INDEX(상품목록!$D$3:$D$102,MATCH($D105,상품목록!$A$3:$A$102,0)),0)))</f>
        <v/>
      </c>
      <c r="I105" s="10"/>
      <c r="J105" s="10"/>
      <c r="K105" s="10"/>
    </row>
    <row r="106" customFormat="false" ht="15" hidden="false" customHeight="true" outlineLevel="0" collapsed="false">
      <c r="A106" s="12"/>
      <c r="B106" s="10"/>
      <c r="C106" s="15" t="str">
        <f aca="false">IF($B106="","",IFERROR(INDEX(회원명부!$B$3:$B$502,MATCH($B106,회원명부!$A$3:$A$502,0)),"미등록회원"))</f>
        <v/>
      </c>
      <c r="D106" s="10"/>
      <c r="E106" s="16" t="str">
        <f aca="false">IF($D106="","",IF($J106="환불",0,IFERROR(INDEX(상품목록!$B$3:$B$102,MATCH($D106,상품목록!$A$3:$A$102,0)),0)))</f>
        <v/>
      </c>
      <c r="F106" s="16" t="str">
        <f aca="false">IF($D106="","",IFERROR(INDEX(상품목록!$C$3:$C$102,MATCH($D106,상품목록!$A$3:$A$102,0)),0))</f>
        <v/>
      </c>
      <c r="G106" s="17" t="str">
        <f aca="false">IF(OR($A106="",$F106=""),"",$A106+$F106)</f>
        <v/>
      </c>
      <c r="H106" s="16" t="str">
        <f aca="false">IF($D106="","",IF($J106="환불",0,IFERROR(INDEX(상품목록!$D$3:$D$102,MATCH($D106,상품목록!$A$3:$A$102,0)),0)))</f>
        <v/>
      </c>
      <c r="I106" s="10"/>
      <c r="J106" s="10"/>
      <c r="K106" s="10"/>
    </row>
    <row r="107" customFormat="false" ht="15" hidden="false" customHeight="true" outlineLevel="0" collapsed="false">
      <c r="A107" s="12"/>
      <c r="B107" s="10"/>
      <c r="C107" s="15" t="str">
        <f aca="false">IF($B107="","",IFERROR(INDEX(회원명부!$B$3:$B$502,MATCH($B107,회원명부!$A$3:$A$502,0)),"미등록회원"))</f>
        <v/>
      </c>
      <c r="D107" s="10"/>
      <c r="E107" s="16" t="str">
        <f aca="false">IF($D107="","",IF($J107="환불",0,IFERROR(INDEX(상품목록!$B$3:$B$102,MATCH($D107,상품목록!$A$3:$A$102,0)),0)))</f>
        <v/>
      </c>
      <c r="F107" s="16" t="str">
        <f aca="false">IF($D107="","",IFERROR(INDEX(상품목록!$C$3:$C$102,MATCH($D107,상품목록!$A$3:$A$102,0)),0))</f>
        <v/>
      </c>
      <c r="G107" s="17" t="str">
        <f aca="false">IF(OR($A107="",$F107=""),"",$A107+$F107)</f>
        <v/>
      </c>
      <c r="H107" s="16" t="str">
        <f aca="false">IF($D107="","",IF($J107="환불",0,IFERROR(INDEX(상품목록!$D$3:$D$102,MATCH($D107,상품목록!$A$3:$A$102,0)),0)))</f>
        <v/>
      </c>
      <c r="I107" s="10"/>
      <c r="J107" s="10"/>
      <c r="K107" s="10"/>
    </row>
    <row r="108" customFormat="false" ht="15" hidden="false" customHeight="true" outlineLevel="0" collapsed="false">
      <c r="A108" s="12"/>
      <c r="B108" s="10"/>
      <c r="C108" s="15" t="str">
        <f aca="false">IF($B108="","",IFERROR(INDEX(회원명부!$B$3:$B$502,MATCH($B108,회원명부!$A$3:$A$502,0)),"미등록회원"))</f>
        <v/>
      </c>
      <c r="D108" s="10"/>
      <c r="E108" s="16" t="str">
        <f aca="false">IF($D108="","",IF($J108="환불",0,IFERROR(INDEX(상품목록!$B$3:$B$102,MATCH($D108,상품목록!$A$3:$A$102,0)),0)))</f>
        <v/>
      </c>
      <c r="F108" s="16" t="str">
        <f aca="false">IF($D108="","",IFERROR(INDEX(상품목록!$C$3:$C$102,MATCH($D108,상품목록!$A$3:$A$102,0)),0))</f>
        <v/>
      </c>
      <c r="G108" s="17" t="str">
        <f aca="false">IF(OR($A108="",$F108=""),"",$A108+$F108)</f>
        <v/>
      </c>
      <c r="H108" s="16" t="str">
        <f aca="false">IF($D108="","",IF($J108="환불",0,IFERROR(INDEX(상품목록!$D$3:$D$102,MATCH($D108,상품목록!$A$3:$A$102,0)),0)))</f>
        <v/>
      </c>
      <c r="I108" s="10"/>
      <c r="J108" s="10"/>
      <c r="K108" s="10"/>
    </row>
    <row r="109" customFormat="false" ht="15" hidden="false" customHeight="true" outlineLevel="0" collapsed="false">
      <c r="A109" s="12"/>
      <c r="B109" s="10"/>
      <c r="C109" s="15" t="str">
        <f aca="false">IF($B109="","",IFERROR(INDEX(회원명부!$B$3:$B$502,MATCH($B109,회원명부!$A$3:$A$502,0)),"미등록회원"))</f>
        <v/>
      </c>
      <c r="D109" s="10"/>
      <c r="E109" s="16" t="str">
        <f aca="false">IF($D109="","",IF($J109="환불",0,IFERROR(INDEX(상품목록!$B$3:$B$102,MATCH($D109,상품목록!$A$3:$A$102,0)),0)))</f>
        <v/>
      </c>
      <c r="F109" s="16" t="str">
        <f aca="false">IF($D109="","",IFERROR(INDEX(상품목록!$C$3:$C$102,MATCH($D109,상품목록!$A$3:$A$102,0)),0))</f>
        <v/>
      </c>
      <c r="G109" s="17" t="str">
        <f aca="false">IF(OR($A109="",$F109=""),"",$A109+$F109)</f>
        <v/>
      </c>
      <c r="H109" s="16" t="str">
        <f aca="false">IF($D109="","",IF($J109="환불",0,IFERROR(INDEX(상품목록!$D$3:$D$102,MATCH($D109,상품목록!$A$3:$A$102,0)),0)))</f>
        <v/>
      </c>
      <c r="I109" s="10"/>
      <c r="J109" s="10"/>
      <c r="K109" s="10"/>
    </row>
    <row r="110" customFormat="false" ht="15" hidden="false" customHeight="true" outlineLevel="0" collapsed="false">
      <c r="A110" s="12"/>
      <c r="B110" s="10"/>
      <c r="C110" s="15" t="str">
        <f aca="false">IF($B110="","",IFERROR(INDEX(회원명부!$B$3:$B$502,MATCH($B110,회원명부!$A$3:$A$502,0)),"미등록회원"))</f>
        <v/>
      </c>
      <c r="D110" s="10"/>
      <c r="E110" s="16" t="str">
        <f aca="false">IF($D110="","",IF($J110="환불",0,IFERROR(INDEX(상품목록!$B$3:$B$102,MATCH($D110,상품목록!$A$3:$A$102,0)),0)))</f>
        <v/>
      </c>
      <c r="F110" s="16" t="str">
        <f aca="false">IF($D110="","",IFERROR(INDEX(상품목록!$C$3:$C$102,MATCH($D110,상품목록!$A$3:$A$102,0)),0))</f>
        <v/>
      </c>
      <c r="G110" s="17" t="str">
        <f aca="false">IF(OR($A110="",$F110=""),"",$A110+$F110)</f>
        <v/>
      </c>
      <c r="H110" s="16" t="str">
        <f aca="false">IF($D110="","",IF($J110="환불",0,IFERROR(INDEX(상품목록!$D$3:$D$102,MATCH($D110,상품목록!$A$3:$A$102,0)),0)))</f>
        <v/>
      </c>
      <c r="I110" s="10"/>
      <c r="J110" s="10"/>
      <c r="K110" s="10"/>
    </row>
    <row r="111" customFormat="false" ht="15" hidden="false" customHeight="true" outlineLevel="0" collapsed="false">
      <c r="A111" s="12"/>
      <c r="B111" s="10"/>
      <c r="C111" s="15" t="str">
        <f aca="false">IF($B111="","",IFERROR(INDEX(회원명부!$B$3:$B$502,MATCH($B111,회원명부!$A$3:$A$502,0)),"미등록회원"))</f>
        <v/>
      </c>
      <c r="D111" s="10"/>
      <c r="E111" s="16" t="str">
        <f aca="false">IF($D111="","",IF($J111="환불",0,IFERROR(INDEX(상품목록!$B$3:$B$102,MATCH($D111,상품목록!$A$3:$A$102,0)),0)))</f>
        <v/>
      </c>
      <c r="F111" s="16" t="str">
        <f aca="false">IF($D111="","",IFERROR(INDEX(상품목록!$C$3:$C$102,MATCH($D111,상품목록!$A$3:$A$102,0)),0))</f>
        <v/>
      </c>
      <c r="G111" s="17" t="str">
        <f aca="false">IF(OR($A111="",$F111=""),"",$A111+$F111)</f>
        <v/>
      </c>
      <c r="H111" s="16" t="str">
        <f aca="false">IF($D111="","",IF($J111="환불",0,IFERROR(INDEX(상품목록!$D$3:$D$102,MATCH($D111,상품목록!$A$3:$A$102,0)),0)))</f>
        <v/>
      </c>
      <c r="I111" s="10"/>
      <c r="J111" s="10"/>
      <c r="K111" s="10"/>
    </row>
    <row r="112" customFormat="false" ht="15" hidden="false" customHeight="true" outlineLevel="0" collapsed="false">
      <c r="A112" s="12"/>
      <c r="B112" s="10"/>
      <c r="C112" s="15" t="str">
        <f aca="false">IF($B112="","",IFERROR(INDEX(회원명부!$B$3:$B$502,MATCH($B112,회원명부!$A$3:$A$502,0)),"미등록회원"))</f>
        <v/>
      </c>
      <c r="D112" s="10"/>
      <c r="E112" s="16" t="str">
        <f aca="false">IF($D112="","",IF($J112="환불",0,IFERROR(INDEX(상품목록!$B$3:$B$102,MATCH($D112,상품목록!$A$3:$A$102,0)),0)))</f>
        <v/>
      </c>
      <c r="F112" s="16" t="str">
        <f aca="false">IF($D112="","",IFERROR(INDEX(상품목록!$C$3:$C$102,MATCH($D112,상품목록!$A$3:$A$102,0)),0))</f>
        <v/>
      </c>
      <c r="G112" s="17" t="str">
        <f aca="false">IF(OR($A112="",$F112=""),"",$A112+$F112)</f>
        <v/>
      </c>
      <c r="H112" s="16" t="str">
        <f aca="false">IF($D112="","",IF($J112="환불",0,IFERROR(INDEX(상품목록!$D$3:$D$102,MATCH($D112,상품목록!$A$3:$A$102,0)),0)))</f>
        <v/>
      </c>
      <c r="I112" s="10"/>
      <c r="J112" s="10"/>
      <c r="K112" s="10"/>
    </row>
    <row r="113" customFormat="false" ht="15" hidden="false" customHeight="true" outlineLevel="0" collapsed="false">
      <c r="A113" s="12"/>
      <c r="B113" s="10"/>
      <c r="C113" s="15" t="str">
        <f aca="false">IF($B113="","",IFERROR(INDEX(회원명부!$B$3:$B$502,MATCH($B113,회원명부!$A$3:$A$502,0)),"미등록회원"))</f>
        <v/>
      </c>
      <c r="D113" s="10"/>
      <c r="E113" s="16" t="str">
        <f aca="false">IF($D113="","",IF($J113="환불",0,IFERROR(INDEX(상품목록!$B$3:$B$102,MATCH($D113,상품목록!$A$3:$A$102,0)),0)))</f>
        <v/>
      </c>
      <c r="F113" s="16" t="str">
        <f aca="false">IF($D113="","",IFERROR(INDEX(상품목록!$C$3:$C$102,MATCH($D113,상품목록!$A$3:$A$102,0)),0))</f>
        <v/>
      </c>
      <c r="G113" s="17" t="str">
        <f aca="false">IF(OR($A113="",$F113=""),"",$A113+$F113)</f>
        <v/>
      </c>
      <c r="H113" s="16" t="str">
        <f aca="false">IF($D113="","",IF($J113="환불",0,IFERROR(INDEX(상품목록!$D$3:$D$102,MATCH($D113,상품목록!$A$3:$A$102,0)),0)))</f>
        <v/>
      </c>
      <c r="I113" s="10"/>
      <c r="J113" s="10"/>
      <c r="K113" s="10"/>
    </row>
    <row r="114" customFormat="false" ht="15" hidden="false" customHeight="true" outlineLevel="0" collapsed="false">
      <c r="A114" s="12"/>
      <c r="B114" s="10"/>
      <c r="C114" s="15" t="str">
        <f aca="false">IF($B114="","",IFERROR(INDEX(회원명부!$B$3:$B$502,MATCH($B114,회원명부!$A$3:$A$502,0)),"미등록회원"))</f>
        <v/>
      </c>
      <c r="D114" s="10"/>
      <c r="E114" s="16" t="str">
        <f aca="false">IF($D114="","",IF($J114="환불",0,IFERROR(INDEX(상품목록!$B$3:$B$102,MATCH($D114,상품목록!$A$3:$A$102,0)),0)))</f>
        <v/>
      </c>
      <c r="F114" s="16" t="str">
        <f aca="false">IF($D114="","",IFERROR(INDEX(상품목록!$C$3:$C$102,MATCH($D114,상품목록!$A$3:$A$102,0)),0))</f>
        <v/>
      </c>
      <c r="G114" s="17" t="str">
        <f aca="false">IF(OR($A114="",$F114=""),"",$A114+$F114)</f>
        <v/>
      </c>
      <c r="H114" s="16" t="str">
        <f aca="false">IF($D114="","",IF($J114="환불",0,IFERROR(INDEX(상품목록!$D$3:$D$102,MATCH($D114,상품목록!$A$3:$A$102,0)),0)))</f>
        <v/>
      </c>
      <c r="I114" s="10"/>
      <c r="J114" s="10"/>
      <c r="K114" s="10"/>
    </row>
    <row r="115" customFormat="false" ht="15" hidden="false" customHeight="true" outlineLevel="0" collapsed="false">
      <c r="A115" s="12"/>
      <c r="B115" s="10"/>
      <c r="C115" s="15" t="str">
        <f aca="false">IF($B115="","",IFERROR(INDEX(회원명부!$B$3:$B$502,MATCH($B115,회원명부!$A$3:$A$502,0)),"미등록회원"))</f>
        <v/>
      </c>
      <c r="D115" s="10"/>
      <c r="E115" s="16" t="str">
        <f aca="false">IF($D115="","",IF($J115="환불",0,IFERROR(INDEX(상품목록!$B$3:$B$102,MATCH($D115,상품목록!$A$3:$A$102,0)),0)))</f>
        <v/>
      </c>
      <c r="F115" s="16" t="str">
        <f aca="false">IF($D115="","",IFERROR(INDEX(상품목록!$C$3:$C$102,MATCH($D115,상품목록!$A$3:$A$102,0)),0))</f>
        <v/>
      </c>
      <c r="G115" s="17" t="str">
        <f aca="false">IF(OR($A115="",$F115=""),"",$A115+$F115)</f>
        <v/>
      </c>
      <c r="H115" s="16" t="str">
        <f aca="false">IF($D115="","",IF($J115="환불",0,IFERROR(INDEX(상품목록!$D$3:$D$102,MATCH($D115,상품목록!$A$3:$A$102,0)),0)))</f>
        <v/>
      </c>
      <c r="I115" s="10"/>
      <c r="J115" s="10"/>
      <c r="K115" s="10"/>
    </row>
    <row r="116" customFormat="false" ht="15" hidden="false" customHeight="true" outlineLevel="0" collapsed="false">
      <c r="A116" s="12"/>
      <c r="B116" s="10"/>
      <c r="C116" s="15" t="str">
        <f aca="false">IF($B116="","",IFERROR(INDEX(회원명부!$B$3:$B$502,MATCH($B116,회원명부!$A$3:$A$502,0)),"미등록회원"))</f>
        <v/>
      </c>
      <c r="D116" s="10"/>
      <c r="E116" s="16" t="str">
        <f aca="false">IF($D116="","",IF($J116="환불",0,IFERROR(INDEX(상품목록!$B$3:$B$102,MATCH($D116,상품목록!$A$3:$A$102,0)),0)))</f>
        <v/>
      </c>
      <c r="F116" s="16" t="str">
        <f aca="false">IF($D116="","",IFERROR(INDEX(상품목록!$C$3:$C$102,MATCH($D116,상품목록!$A$3:$A$102,0)),0))</f>
        <v/>
      </c>
      <c r="G116" s="17" t="str">
        <f aca="false">IF(OR($A116="",$F116=""),"",$A116+$F116)</f>
        <v/>
      </c>
      <c r="H116" s="16" t="str">
        <f aca="false">IF($D116="","",IF($J116="환불",0,IFERROR(INDEX(상품목록!$D$3:$D$102,MATCH($D116,상품목록!$A$3:$A$102,0)),0)))</f>
        <v/>
      </c>
      <c r="I116" s="10"/>
      <c r="J116" s="10"/>
      <c r="K116" s="10"/>
    </row>
    <row r="117" customFormat="false" ht="15" hidden="false" customHeight="true" outlineLevel="0" collapsed="false">
      <c r="A117" s="12"/>
      <c r="B117" s="10"/>
      <c r="C117" s="15" t="str">
        <f aca="false">IF($B117="","",IFERROR(INDEX(회원명부!$B$3:$B$502,MATCH($B117,회원명부!$A$3:$A$502,0)),"미등록회원"))</f>
        <v/>
      </c>
      <c r="D117" s="10"/>
      <c r="E117" s="16" t="str">
        <f aca="false">IF($D117="","",IF($J117="환불",0,IFERROR(INDEX(상품목록!$B$3:$B$102,MATCH($D117,상품목록!$A$3:$A$102,0)),0)))</f>
        <v/>
      </c>
      <c r="F117" s="16" t="str">
        <f aca="false">IF($D117="","",IFERROR(INDEX(상품목록!$C$3:$C$102,MATCH($D117,상품목록!$A$3:$A$102,0)),0))</f>
        <v/>
      </c>
      <c r="G117" s="17" t="str">
        <f aca="false">IF(OR($A117="",$F117=""),"",$A117+$F117)</f>
        <v/>
      </c>
      <c r="H117" s="16" t="str">
        <f aca="false">IF($D117="","",IF($J117="환불",0,IFERROR(INDEX(상품목록!$D$3:$D$102,MATCH($D117,상품목록!$A$3:$A$102,0)),0)))</f>
        <v/>
      </c>
      <c r="I117" s="10"/>
      <c r="J117" s="10"/>
      <c r="K117" s="10"/>
    </row>
    <row r="118" customFormat="false" ht="15" hidden="false" customHeight="true" outlineLevel="0" collapsed="false">
      <c r="A118" s="12"/>
      <c r="B118" s="10"/>
      <c r="C118" s="15" t="str">
        <f aca="false">IF($B118="","",IFERROR(INDEX(회원명부!$B$3:$B$502,MATCH($B118,회원명부!$A$3:$A$502,0)),"미등록회원"))</f>
        <v/>
      </c>
      <c r="D118" s="10"/>
      <c r="E118" s="16" t="str">
        <f aca="false">IF($D118="","",IF($J118="환불",0,IFERROR(INDEX(상품목록!$B$3:$B$102,MATCH($D118,상품목록!$A$3:$A$102,0)),0)))</f>
        <v/>
      </c>
      <c r="F118" s="16" t="str">
        <f aca="false">IF($D118="","",IFERROR(INDEX(상품목록!$C$3:$C$102,MATCH($D118,상품목록!$A$3:$A$102,0)),0))</f>
        <v/>
      </c>
      <c r="G118" s="17" t="str">
        <f aca="false">IF(OR($A118="",$F118=""),"",$A118+$F118)</f>
        <v/>
      </c>
      <c r="H118" s="16" t="str">
        <f aca="false">IF($D118="","",IF($J118="환불",0,IFERROR(INDEX(상품목록!$D$3:$D$102,MATCH($D118,상품목록!$A$3:$A$102,0)),0)))</f>
        <v/>
      </c>
      <c r="I118" s="10"/>
      <c r="J118" s="10"/>
      <c r="K118" s="10"/>
    </row>
    <row r="119" customFormat="false" ht="15" hidden="false" customHeight="true" outlineLevel="0" collapsed="false">
      <c r="A119" s="12"/>
      <c r="B119" s="10"/>
      <c r="C119" s="15" t="str">
        <f aca="false">IF($B119="","",IFERROR(INDEX(회원명부!$B$3:$B$502,MATCH($B119,회원명부!$A$3:$A$502,0)),"미등록회원"))</f>
        <v/>
      </c>
      <c r="D119" s="10"/>
      <c r="E119" s="16" t="str">
        <f aca="false">IF($D119="","",IF($J119="환불",0,IFERROR(INDEX(상품목록!$B$3:$B$102,MATCH($D119,상품목록!$A$3:$A$102,0)),0)))</f>
        <v/>
      </c>
      <c r="F119" s="16" t="str">
        <f aca="false">IF($D119="","",IFERROR(INDEX(상품목록!$C$3:$C$102,MATCH($D119,상품목록!$A$3:$A$102,0)),0))</f>
        <v/>
      </c>
      <c r="G119" s="17" t="str">
        <f aca="false">IF(OR($A119="",$F119=""),"",$A119+$F119)</f>
        <v/>
      </c>
      <c r="H119" s="16" t="str">
        <f aca="false">IF($D119="","",IF($J119="환불",0,IFERROR(INDEX(상품목록!$D$3:$D$102,MATCH($D119,상품목록!$A$3:$A$102,0)),0)))</f>
        <v/>
      </c>
      <c r="I119" s="10"/>
      <c r="J119" s="10"/>
      <c r="K119" s="10"/>
    </row>
    <row r="120" customFormat="false" ht="15" hidden="false" customHeight="true" outlineLevel="0" collapsed="false">
      <c r="A120" s="12"/>
      <c r="B120" s="10"/>
      <c r="C120" s="15" t="str">
        <f aca="false">IF($B120="","",IFERROR(INDEX(회원명부!$B$3:$B$502,MATCH($B120,회원명부!$A$3:$A$502,0)),"미등록회원"))</f>
        <v/>
      </c>
      <c r="D120" s="10"/>
      <c r="E120" s="16" t="str">
        <f aca="false">IF($D120="","",IF($J120="환불",0,IFERROR(INDEX(상품목록!$B$3:$B$102,MATCH($D120,상품목록!$A$3:$A$102,0)),0)))</f>
        <v/>
      </c>
      <c r="F120" s="16" t="str">
        <f aca="false">IF($D120="","",IFERROR(INDEX(상품목록!$C$3:$C$102,MATCH($D120,상품목록!$A$3:$A$102,0)),0))</f>
        <v/>
      </c>
      <c r="G120" s="17" t="str">
        <f aca="false">IF(OR($A120="",$F120=""),"",$A120+$F120)</f>
        <v/>
      </c>
      <c r="H120" s="16" t="str">
        <f aca="false">IF($D120="","",IF($J120="환불",0,IFERROR(INDEX(상품목록!$D$3:$D$102,MATCH($D120,상품목록!$A$3:$A$102,0)),0)))</f>
        <v/>
      </c>
      <c r="I120" s="10"/>
      <c r="J120" s="10"/>
      <c r="K120" s="10"/>
    </row>
    <row r="121" customFormat="false" ht="15" hidden="false" customHeight="true" outlineLevel="0" collapsed="false">
      <c r="A121" s="12"/>
      <c r="B121" s="10"/>
      <c r="C121" s="15" t="str">
        <f aca="false">IF($B121="","",IFERROR(INDEX(회원명부!$B$3:$B$502,MATCH($B121,회원명부!$A$3:$A$502,0)),"미등록회원"))</f>
        <v/>
      </c>
      <c r="D121" s="10"/>
      <c r="E121" s="16" t="str">
        <f aca="false">IF($D121="","",IF($J121="환불",0,IFERROR(INDEX(상품목록!$B$3:$B$102,MATCH($D121,상품목록!$A$3:$A$102,0)),0)))</f>
        <v/>
      </c>
      <c r="F121" s="16" t="str">
        <f aca="false">IF($D121="","",IFERROR(INDEX(상품목록!$C$3:$C$102,MATCH($D121,상품목록!$A$3:$A$102,0)),0))</f>
        <v/>
      </c>
      <c r="G121" s="17" t="str">
        <f aca="false">IF(OR($A121="",$F121=""),"",$A121+$F121)</f>
        <v/>
      </c>
      <c r="H121" s="16" t="str">
        <f aca="false">IF($D121="","",IF($J121="환불",0,IFERROR(INDEX(상품목록!$D$3:$D$102,MATCH($D121,상품목록!$A$3:$A$102,0)),0)))</f>
        <v/>
      </c>
      <c r="I121" s="10"/>
      <c r="J121" s="10"/>
      <c r="K121" s="10"/>
    </row>
    <row r="122" customFormat="false" ht="15" hidden="false" customHeight="true" outlineLevel="0" collapsed="false">
      <c r="A122" s="12"/>
      <c r="B122" s="10"/>
      <c r="C122" s="15" t="str">
        <f aca="false">IF($B122="","",IFERROR(INDEX(회원명부!$B$3:$B$502,MATCH($B122,회원명부!$A$3:$A$502,0)),"미등록회원"))</f>
        <v/>
      </c>
      <c r="D122" s="10"/>
      <c r="E122" s="16" t="str">
        <f aca="false">IF($D122="","",IF($J122="환불",0,IFERROR(INDEX(상품목록!$B$3:$B$102,MATCH($D122,상품목록!$A$3:$A$102,0)),0)))</f>
        <v/>
      </c>
      <c r="F122" s="16" t="str">
        <f aca="false">IF($D122="","",IFERROR(INDEX(상품목록!$C$3:$C$102,MATCH($D122,상품목록!$A$3:$A$102,0)),0))</f>
        <v/>
      </c>
      <c r="G122" s="17" t="str">
        <f aca="false">IF(OR($A122="",$F122=""),"",$A122+$F122)</f>
        <v/>
      </c>
      <c r="H122" s="16" t="str">
        <f aca="false">IF($D122="","",IF($J122="환불",0,IFERROR(INDEX(상품목록!$D$3:$D$102,MATCH($D122,상품목록!$A$3:$A$102,0)),0)))</f>
        <v/>
      </c>
      <c r="I122" s="10"/>
      <c r="J122" s="10"/>
      <c r="K122" s="10"/>
    </row>
    <row r="123" customFormat="false" ht="15" hidden="false" customHeight="true" outlineLevel="0" collapsed="false">
      <c r="A123" s="12"/>
      <c r="B123" s="10"/>
      <c r="C123" s="15" t="str">
        <f aca="false">IF($B123="","",IFERROR(INDEX(회원명부!$B$3:$B$502,MATCH($B123,회원명부!$A$3:$A$502,0)),"미등록회원"))</f>
        <v/>
      </c>
      <c r="D123" s="10"/>
      <c r="E123" s="16" t="str">
        <f aca="false">IF($D123="","",IF($J123="환불",0,IFERROR(INDEX(상품목록!$B$3:$B$102,MATCH($D123,상품목록!$A$3:$A$102,0)),0)))</f>
        <v/>
      </c>
      <c r="F123" s="16" t="str">
        <f aca="false">IF($D123="","",IFERROR(INDEX(상품목록!$C$3:$C$102,MATCH($D123,상품목록!$A$3:$A$102,0)),0))</f>
        <v/>
      </c>
      <c r="G123" s="17" t="str">
        <f aca="false">IF(OR($A123="",$F123=""),"",$A123+$F123)</f>
        <v/>
      </c>
      <c r="H123" s="16" t="str">
        <f aca="false">IF($D123="","",IF($J123="환불",0,IFERROR(INDEX(상품목록!$D$3:$D$102,MATCH($D123,상품목록!$A$3:$A$102,0)),0)))</f>
        <v/>
      </c>
      <c r="I123" s="10"/>
      <c r="J123" s="10"/>
      <c r="K123" s="10"/>
    </row>
    <row r="124" customFormat="false" ht="15" hidden="false" customHeight="true" outlineLevel="0" collapsed="false">
      <c r="A124" s="12"/>
      <c r="B124" s="10"/>
      <c r="C124" s="15" t="str">
        <f aca="false">IF($B124="","",IFERROR(INDEX(회원명부!$B$3:$B$502,MATCH($B124,회원명부!$A$3:$A$502,0)),"미등록회원"))</f>
        <v/>
      </c>
      <c r="D124" s="10"/>
      <c r="E124" s="16" t="str">
        <f aca="false">IF($D124="","",IF($J124="환불",0,IFERROR(INDEX(상품목록!$B$3:$B$102,MATCH($D124,상품목록!$A$3:$A$102,0)),0)))</f>
        <v/>
      </c>
      <c r="F124" s="16" t="str">
        <f aca="false">IF($D124="","",IFERROR(INDEX(상품목록!$C$3:$C$102,MATCH($D124,상품목록!$A$3:$A$102,0)),0))</f>
        <v/>
      </c>
      <c r="G124" s="17" t="str">
        <f aca="false">IF(OR($A124="",$F124=""),"",$A124+$F124)</f>
        <v/>
      </c>
      <c r="H124" s="16" t="str">
        <f aca="false">IF($D124="","",IF($J124="환불",0,IFERROR(INDEX(상품목록!$D$3:$D$102,MATCH($D124,상품목록!$A$3:$A$102,0)),0)))</f>
        <v/>
      </c>
      <c r="I124" s="10"/>
      <c r="J124" s="10"/>
      <c r="K124" s="10"/>
    </row>
    <row r="125" customFormat="false" ht="15" hidden="false" customHeight="true" outlineLevel="0" collapsed="false">
      <c r="A125" s="12"/>
      <c r="B125" s="10"/>
      <c r="C125" s="15" t="str">
        <f aca="false">IF($B125="","",IFERROR(INDEX(회원명부!$B$3:$B$502,MATCH($B125,회원명부!$A$3:$A$502,0)),"미등록회원"))</f>
        <v/>
      </c>
      <c r="D125" s="10"/>
      <c r="E125" s="16" t="str">
        <f aca="false">IF($D125="","",IF($J125="환불",0,IFERROR(INDEX(상품목록!$B$3:$B$102,MATCH($D125,상품목록!$A$3:$A$102,0)),0)))</f>
        <v/>
      </c>
      <c r="F125" s="16" t="str">
        <f aca="false">IF($D125="","",IFERROR(INDEX(상품목록!$C$3:$C$102,MATCH($D125,상품목록!$A$3:$A$102,0)),0))</f>
        <v/>
      </c>
      <c r="G125" s="17" t="str">
        <f aca="false">IF(OR($A125="",$F125=""),"",$A125+$F125)</f>
        <v/>
      </c>
      <c r="H125" s="16" t="str">
        <f aca="false">IF($D125="","",IF($J125="환불",0,IFERROR(INDEX(상품목록!$D$3:$D$102,MATCH($D125,상품목록!$A$3:$A$102,0)),0)))</f>
        <v/>
      </c>
      <c r="I125" s="10"/>
      <c r="J125" s="10"/>
      <c r="K125" s="10"/>
    </row>
    <row r="126" customFormat="false" ht="15" hidden="false" customHeight="true" outlineLevel="0" collapsed="false">
      <c r="A126" s="12"/>
      <c r="B126" s="10"/>
      <c r="C126" s="15" t="str">
        <f aca="false">IF($B126="","",IFERROR(INDEX(회원명부!$B$3:$B$502,MATCH($B126,회원명부!$A$3:$A$502,0)),"미등록회원"))</f>
        <v/>
      </c>
      <c r="D126" s="10"/>
      <c r="E126" s="16" t="str">
        <f aca="false">IF($D126="","",IF($J126="환불",0,IFERROR(INDEX(상품목록!$B$3:$B$102,MATCH($D126,상품목록!$A$3:$A$102,0)),0)))</f>
        <v/>
      </c>
      <c r="F126" s="16" t="str">
        <f aca="false">IF($D126="","",IFERROR(INDEX(상품목록!$C$3:$C$102,MATCH($D126,상품목록!$A$3:$A$102,0)),0))</f>
        <v/>
      </c>
      <c r="G126" s="17" t="str">
        <f aca="false">IF(OR($A126="",$F126=""),"",$A126+$F126)</f>
        <v/>
      </c>
      <c r="H126" s="16" t="str">
        <f aca="false">IF($D126="","",IF($J126="환불",0,IFERROR(INDEX(상품목록!$D$3:$D$102,MATCH($D126,상품목록!$A$3:$A$102,0)),0)))</f>
        <v/>
      </c>
      <c r="I126" s="10"/>
      <c r="J126" s="10"/>
      <c r="K126" s="10"/>
    </row>
    <row r="127" customFormat="false" ht="15" hidden="false" customHeight="true" outlineLevel="0" collapsed="false">
      <c r="A127" s="12"/>
      <c r="B127" s="10"/>
      <c r="C127" s="15" t="str">
        <f aca="false">IF($B127="","",IFERROR(INDEX(회원명부!$B$3:$B$502,MATCH($B127,회원명부!$A$3:$A$502,0)),"미등록회원"))</f>
        <v/>
      </c>
      <c r="D127" s="10"/>
      <c r="E127" s="16" t="str">
        <f aca="false">IF($D127="","",IF($J127="환불",0,IFERROR(INDEX(상품목록!$B$3:$B$102,MATCH($D127,상품목록!$A$3:$A$102,0)),0)))</f>
        <v/>
      </c>
      <c r="F127" s="16" t="str">
        <f aca="false">IF($D127="","",IFERROR(INDEX(상품목록!$C$3:$C$102,MATCH($D127,상품목록!$A$3:$A$102,0)),0))</f>
        <v/>
      </c>
      <c r="G127" s="17" t="str">
        <f aca="false">IF(OR($A127="",$F127=""),"",$A127+$F127)</f>
        <v/>
      </c>
      <c r="H127" s="16" t="str">
        <f aca="false">IF($D127="","",IF($J127="환불",0,IFERROR(INDEX(상품목록!$D$3:$D$102,MATCH($D127,상품목록!$A$3:$A$102,0)),0)))</f>
        <v/>
      </c>
      <c r="I127" s="10"/>
      <c r="J127" s="10"/>
      <c r="K127" s="10"/>
    </row>
    <row r="128" customFormat="false" ht="15" hidden="false" customHeight="true" outlineLevel="0" collapsed="false">
      <c r="A128" s="12"/>
      <c r="B128" s="10"/>
      <c r="C128" s="15" t="str">
        <f aca="false">IF($B128="","",IFERROR(INDEX(회원명부!$B$3:$B$502,MATCH($B128,회원명부!$A$3:$A$502,0)),"미등록회원"))</f>
        <v/>
      </c>
      <c r="D128" s="10"/>
      <c r="E128" s="16" t="str">
        <f aca="false">IF($D128="","",IF($J128="환불",0,IFERROR(INDEX(상품목록!$B$3:$B$102,MATCH($D128,상품목록!$A$3:$A$102,0)),0)))</f>
        <v/>
      </c>
      <c r="F128" s="16" t="str">
        <f aca="false">IF($D128="","",IFERROR(INDEX(상품목록!$C$3:$C$102,MATCH($D128,상품목록!$A$3:$A$102,0)),0))</f>
        <v/>
      </c>
      <c r="G128" s="17" t="str">
        <f aca="false">IF(OR($A128="",$F128=""),"",$A128+$F128)</f>
        <v/>
      </c>
      <c r="H128" s="16" t="str">
        <f aca="false">IF($D128="","",IF($J128="환불",0,IFERROR(INDEX(상품목록!$D$3:$D$102,MATCH($D128,상품목록!$A$3:$A$102,0)),0)))</f>
        <v/>
      </c>
      <c r="I128" s="10"/>
      <c r="J128" s="10"/>
      <c r="K128" s="10"/>
    </row>
    <row r="129" customFormat="false" ht="15" hidden="false" customHeight="true" outlineLevel="0" collapsed="false">
      <c r="A129" s="12"/>
      <c r="B129" s="10"/>
      <c r="C129" s="15" t="str">
        <f aca="false">IF($B129="","",IFERROR(INDEX(회원명부!$B$3:$B$502,MATCH($B129,회원명부!$A$3:$A$502,0)),"미등록회원"))</f>
        <v/>
      </c>
      <c r="D129" s="10"/>
      <c r="E129" s="16" t="str">
        <f aca="false">IF($D129="","",IF($J129="환불",0,IFERROR(INDEX(상품목록!$B$3:$B$102,MATCH($D129,상품목록!$A$3:$A$102,0)),0)))</f>
        <v/>
      </c>
      <c r="F129" s="16" t="str">
        <f aca="false">IF($D129="","",IFERROR(INDEX(상품목록!$C$3:$C$102,MATCH($D129,상품목록!$A$3:$A$102,0)),0))</f>
        <v/>
      </c>
      <c r="G129" s="17" t="str">
        <f aca="false">IF(OR($A129="",$F129=""),"",$A129+$F129)</f>
        <v/>
      </c>
      <c r="H129" s="16" t="str">
        <f aca="false">IF($D129="","",IF($J129="환불",0,IFERROR(INDEX(상품목록!$D$3:$D$102,MATCH($D129,상품목록!$A$3:$A$102,0)),0)))</f>
        <v/>
      </c>
      <c r="I129" s="10"/>
      <c r="J129" s="10"/>
      <c r="K129" s="10"/>
    </row>
    <row r="130" customFormat="false" ht="15" hidden="false" customHeight="true" outlineLevel="0" collapsed="false">
      <c r="A130" s="12"/>
      <c r="B130" s="10"/>
      <c r="C130" s="15" t="str">
        <f aca="false">IF($B130="","",IFERROR(INDEX(회원명부!$B$3:$B$502,MATCH($B130,회원명부!$A$3:$A$502,0)),"미등록회원"))</f>
        <v/>
      </c>
      <c r="D130" s="10"/>
      <c r="E130" s="16" t="str">
        <f aca="false">IF($D130="","",IF($J130="환불",0,IFERROR(INDEX(상품목록!$B$3:$B$102,MATCH($D130,상품목록!$A$3:$A$102,0)),0)))</f>
        <v/>
      </c>
      <c r="F130" s="16" t="str">
        <f aca="false">IF($D130="","",IFERROR(INDEX(상품목록!$C$3:$C$102,MATCH($D130,상품목록!$A$3:$A$102,0)),0))</f>
        <v/>
      </c>
      <c r="G130" s="17" t="str">
        <f aca="false">IF(OR($A130="",$F130=""),"",$A130+$F130)</f>
        <v/>
      </c>
      <c r="H130" s="16" t="str">
        <f aca="false">IF($D130="","",IF($J130="환불",0,IFERROR(INDEX(상품목록!$D$3:$D$102,MATCH($D130,상품목록!$A$3:$A$102,0)),0)))</f>
        <v/>
      </c>
      <c r="I130" s="10"/>
      <c r="J130" s="10"/>
      <c r="K130" s="10"/>
    </row>
    <row r="131" customFormat="false" ht="15" hidden="false" customHeight="true" outlineLevel="0" collapsed="false">
      <c r="A131" s="12"/>
      <c r="B131" s="10"/>
      <c r="C131" s="15" t="str">
        <f aca="false">IF($B131="","",IFERROR(INDEX(회원명부!$B$3:$B$502,MATCH($B131,회원명부!$A$3:$A$502,0)),"미등록회원"))</f>
        <v/>
      </c>
      <c r="D131" s="10"/>
      <c r="E131" s="16" t="str">
        <f aca="false">IF($D131="","",IF($J131="환불",0,IFERROR(INDEX(상품목록!$B$3:$B$102,MATCH($D131,상품목록!$A$3:$A$102,0)),0)))</f>
        <v/>
      </c>
      <c r="F131" s="16" t="str">
        <f aca="false">IF($D131="","",IFERROR(INDEX(상품목록!$C$3:$C$102,MATCH($D131,상품목록!$A$3:$A$102,0)),0))</f>
        <v/>
      </c>
      <c r="G131" s="17" t="str">
        <f aca="false">IF(OR($A131="",$F131=""),"",$A131+$F131)</f>
        <v/>
      </c>
      <c r="H131" s="16" t="str">
        <f aca="false">IF($D131="","",IF($J131="환불",0,IFERROR(INDEX(상품목록!$D$3:$D$102,MATCH($D131,상품목록!$A$3:$A$102,0)),0)))</f>
        <v/>
      </c>
      <c r="I131" s="10"/>
      <c r="J131" s="10"/>
      <c r="K131" s="10"/>
    </row>
    <row r="132" customFormat="false" ht="15" hidden="false" customHeight="true" outlineLevel="0" collapsed="false">
      <c r="A132" s="12"/>
      <c r="B132" s="10"/>
      <c r="C132" s="15" t="str">
        <f aca="false">IF($B132="","",IFERROR(INDEX(회원명부!$B$3:$B$502,MATCH($B132,회원명부!$A$3:$A$502,0)),"미등록회원"))</f>
        <v/>
      </c>
      <c r="D132" s="10"/>
      <c r="E132" s="16" t="str">
        <f aca="false">IF($D132="","",IF($J132="환불",0,IFERROR(INDEX(상품목록!$B$3:$B$102,MATCH($D132,상품목록!$A$3:$A$102,0)),0)))</f>
        <v/>
      </c>
      <c r="F132" s="16" t="str">
        <f aca="false">IF($D132="","",IFERROR(INDEX(상품목록!$C$3:$C$102,MATCH($D132,상품목록!$A$3:$A$102,0)),0))</f>
        <v/>
      </c>
      <c r="G132" s="17" t="str">
        <f aca="false">IF(OR($A132="",$F132=""),"",$A132+$F132)</f>
        <v/>
      </c>
      <c r="H132" s="16" t="str">
        <f aca="false">IF($D132="","",IF($J132="환불",0,IFERROR(INDEX(상품목록!$D$3:$D$102,MATCH($D132,상품목록!$A$3:$A$102,0)),0)))</f>
        <v/>
      </c>
      <c r="I132" s="10"/>
      <c r="J132" s="10"/>
      <c r="K132" s="10"/>
    </row>
    <row r="133" customFormat="false" ht="15" hidden="false" customHeight="true" outlineLevel="0" collapsed="false">
      <c r="A133" s="12"/>
      <c r="B133" s="10"/>
      <c r="C133" s="15" t="str">
        <f aca="false">IF($B133="","",IFERROR(INDEX(회원명부!$B$3:$B$502,MATCH($B133,회원명부!$A$3:$A$502,0)),"미등록회원"))</f>
        <v/>
      </c>
      <c r="D133" s="10"/>
      <c r="E133" s="16" t="str">
        <f aca="false">IF($D133="","",IF($J133="환불",0,IFERROR(INDEX(상품목록!$B$3:$B$102,MATCH($D133,상품목록!$A$3:$A$102,0)),0)))</f>
        <v/>
      </c>
      <c r="F133" s="16" t="str">
        <f aca="false">IF($D133="","",IFERROR(INDEX(상품목록!$C$3:$C$102,MATCH($D133,상품목록!$A$3:$A$102,0)),0))</f>
        <v/>
      </c>
      <c r="G133" s="17" t="str">
        <f aca="false">IF(OR($A133="",$F133=""),"",$A133+$F133)</f>
        <v/>
      </c>
      <c r="H133" s="16" t="str">
        <f aca="false">IF($D133="","",IF($J133="환불",0,IFERROR(INDEX(상품목록!$D$3:$D$102,MATCH($D133,상품목록!$A$3:$A$102,0)),0)))</f>
        <v/>
      </c>
      <c r="I133" s="10"/>
      <c r="J133" s="10"/>
      <c r="K133" s="10"/>
    </row>
    <row r="134" customFormat="false" ht="15" hidden="false" customHeight="true" outlineLevel="0" collapsed="false">
      <c r="A134" s="12"/>
      <c r="B134" s="10"/>
      <c r="C134" s="15" t="str">
        <f aca="false">IF($B134="","",IFERROR(INDEX(회원명부!$B$3:$B$502,MATCH($B134,회원명부!$A$3:$A$502,0)),"미등록회원"))</f>
        <v/>
      </c>
      <c r="D134" s="10"/>
      <c r="E134" s="16" t="str">
        <f aca="false">IF($D134="","",IF($J134="환불",0,IFERROR(INDEX(상품목록!$B$3:$B$102,MATCH($D134,상품목록!$A$3:$A$102,0)),0)))</f>
        <v/>
      </c>
      <c r="F134" s="16" t="str">
        <f aca="false">IF($D134="","",IFERROR(INDEX(상품목록!$C$3:$C$102,MATCH($D134,상품목록!$A$3:$A$102,0)),0))</f>
        <v/>
      </c>
      <c r="G134" s="17" t="str">
        <f aca="false">IF(OR($A134="",$F134=""),"",$A134+$F134)</f>
        <v/>
      </c>
      <c r="H134" s="16" t="str">
        <f aca="false">IF($D134="","",IF($J134="환불",0,IFERROR(INDEX(상품목록!$D$3:$D$102,MATCH($D134,상품목록!$A$3:$A$102,0)),0)))</f>
        <v/>
      </c>
      <c r="I134" s="10"/>
      <c r="J134" s="10"/>
      <c r="K134" s="10"/>
    </row>
    <row r="135" customFormat="false" ht="15" hidden="false" customHeight="true" outlineLevel="0" collapsed="false">
      <c r="A135" s="12"/>
      <c r="B135" s="10"/>
      <c r="C135" s="15" t="str">
        <f aca="false">IF($B135="","",IFERROR(INDEX(회원명부!$B$3:$B$502,MATCH($B135,회원명부!$A$3:$A$502,0)),"미등록회원"))</f>
        <v/>
      </c>
      <c r="D135" s="10"/>
      <c r="E135" s="16" t="str">
        <f aca="false">IF($D135="","",IF($J135="환불",0,IFERROR(INDEX(상품목록!$B$3:$B$102,MATCH($D135,상품목록!$A$3:$A$102,0)),0)))</f>
        <v/>
      </c>
      <c r="F135" s="16" t="str">
        <f aca="false">IF($D135="","",IFERROR(INDEX(상품목록!$C$3:$C$102,MATCH($D135,상품목록!$A$3:$A$102,0)),0))</f>
        <v/>
      </c>
      <c r="G135" s="17" t="str">
        <f aca="false">IF(OR($A135="",$F135=""),"",$A135+$F135)</f>
        <v/>
      </c>
      <c r="H135" s="16" t="str">
        <f aca="false">IF($D135="","",IF($J135="환불",0,IFERROR(INDEX(상품목록!$D$3:$D$102,MATCH($D135,상품목록!$A$3:$A$102,0)),0)))</f>
        <v/>
      </c>
      <c r="I135" s="10"/>
      <c r="J135" s="10"/>
      <c r="K135" s="10"/>
    </row>
    <row r="136" customFormat="false" ht="15" hidden="false" customHeight="true" outlineLevel="0" collapsed="false">
      <c r="A136" s="12"/>
      <c r="B136" s="10"/>
      <c r="C136" s="15" t="str">
        <f aca="false">IF($B136="","",IFERROR(INDEX(회원명부!$B$3:$B$502,MATCH($B136,회원명부!$A$3:$A$502,0)),"미등록회원"))</f>
        <v/>
      </c>
      <c r="D136" s="10"/>
      <c r="E136" s="16" t="str">
        <f aca="false">IF($D136="","",IF($J136="환불",0,IFERROR(INDEX(상품목록!$B$3:$B$102,MATCH($D136,상품목록!$A$3:$A$102,0)),0)))</f>
        <v/>
      </c>
      <c r="F136" s="16" t="str">
        <f aca="false">IF($D136="","",IFERROR(INDEX(상품목록!$C$3:$C$102,MATCH($D136,상품목록!$A$3:$A$102,0)),0))</f>
        <v/>
      </c>
      <c r="G136" s="17" t="str">
        <f aca="false">IF(OR($A136="",$F136=""),"",$A136+$F136)</f>
        <v/>
      </c>
      <c r="H136" s="16" t="str">
        <f aca="false">IF($D136="","",IF($J136="환불",0,IFERROR(INDEX(상품목록!$D$3:$D$102,MATCH($D136,상품목록!$A$3:$A$102,0)),0)))</f>
        <v/>
      </c>
      <c r="I136" s="10"/>
      <c r="J136" s="10"/>
      <c r="K136" s="10"/>
    </row>
    <row r="137" customFormat="false" ht="15" hidden="false" customHeight="true" outlineLevel="0" collapsed="false">
      <c r="A137" s="12"/>
      <c r="B137" s="10"/>
      <c r="C137" s="15" t="str">
        <f aca="false">IF($B137="","",IFERROR(INDEX(회원명부!$B$3:$B$502,MATCH($B137,회원명부!$A$3:$A$502,0)),"미등록회원"))</f>
        <v/>
      </c>
      <c r="D137" s="10"/>
      <c r="E137" s="16" t="str">
        <f aca="false">IF($D137="","",IF($J137="환불",0,IFERROR(INDEX(상품목록!$B$3:$B$102,MATCH($D137,상품목록!$A$3:$A$102,0)),0)))</f>
        <v/>
      </c>
      <c r="F137" s="16" t="str">
        <f aca="false">IF($D137="","",IFERROR(INDEX(상품목록!$C$3:$C$102,MATCH($D137,상품목록!$A$3:$A$102,0)),0))</f>
        <v/>
      </c>
      <c r="G137" s="17" t="str">
        <f aca="false">IF(OR($A137="",$F137=""),"",$A137+$F137)</f>
        <v/>
      </c>
      <c r="H137" s="16" t="str">
        <f aca="false">IF($D137="","",IF($J137="환불",0,IFERROR(INDEX(상품목록!$D$3:$D$102,MATCH($D137,상품목록!$A$3:$A$102,0)),0)))</f>
        <v/>
      </c>
      <c r="I137" s="10"/>
      <c r="J137" s="10"/>
      <c r="K137" s="10"/>
    </row>
    <row r="138" customFormat="false" ht="15" hidden="false" customHeight="true" outlineLevel="0" collapsed="false">
      <c r="A138" s="12"/>
      <c r="B138" s="10"/>
      <c r="C138" s="15" t="str">
        <f aca="false">IF($B138="","",IFERROR(INDEX(회원명부!$B$3:$B$502,MATCH($B138,회원명부!$A$3:$A$502,0)),"미등록회원"))</f>
        <v/>
      </c>
      <c r="D138" s="10"/>
      <c r="E138" s="16" t="str">
        <f aca="false">IF($D138="","",IF($J138="환불",0,IFERROR(INDEX(상품목록!$B$3:$B$102,MATCH($D138,상품목록!$A$3:$A$102,0)),0)))</f>
        <v/>
      </c>
      <c r="F138" s="16" t="str">
        <f aca="false">IF($D138="","",IFERROR(INDEX(상품목록!$C$3:$C$102,MATCH($D138,상품목록!$A$3:$A$102,0)),0))</f>
        <v/>
      </c>
      <c r="G138" s="17" t="str">
        <f aca="false">IF(OR($A138="",$F138=""),"",$A138+$F138)</f>
        <v/>
      </c>
      <c r="H138" s="16" t="str">
        <f aca="false">IF($D138="","",IF($J138="환불",0,IFERROR(INDEX(상품목록!$D$3:$D$102,MATCH($D138,상품목록!$A$3:$A$102,0)),0)))</f>
        <v/>
      </c>
      <c r="I138" s="10"/>
      <c r="J138" s="10"/>
      <c r="K138" s="10"/>
    </row>
    <row r="139" customFormat="false" ht="15" hidden="false" customHeight="true" outlineLevel="0" collapsed="false">
      <c r="A139" s="12"/>
      <c r="B139" s="10"/>
      <c r="C139" s="15" t="str">
        <f aca="false">IF($B139="","",IFERROR(INDEX(회원명부!$B$3:$B$502,MATCH($B139,회원명부!$A$3:$A$502,0)),"미등록회원"))</f>
        <v/>
      </c>
      <c r="D139" s="10"/>
      <c r="E139" s="16" t="str">
        <f aca="false">IF($D139="","",IF($J139="환불",0,IFERROR(INDEX(상품목록!$B$3:$B$102,MATCH($D139,상품목록!$A$3:$A$102,0)),0)))</f>
        <v/>
      </c>
      <c r="F139" s="16" t="str">
        <f aca="false">IF($D139="","",IFERROR(INDEX(상품목록!$C$3:$C$102,MATCH($D139,상품목록!$A$3:$A$102,0)),0))</f>
        <v/>
      </c>
      <c r="G139" s="17" t="str">
        <f aca="false">IF(OR($A139="",$F139=""),"",$A139+$F139)</f>
        <v/>
      </c>
      <c r="H139" s="16" t="str">
        <f aca="false">IF($D139="","",IF($J139="환불",0,IFERROR(INDEX(상품목록!$D$3:$D$102,MATCH($D139,상품목록!$A$3:$A$102,0)),0)))</f>
        <v/>
      </c>
      <c r="I139" s="10"/>
      <c r="J139" s="10"/>
      <c r="K139" s="10"/>
    </row>
    <row r="140" customFormat="false" ht="15" hidden="false" customHeight="true" outlineLevel="0" collapsed="false">
      <c r="A140" s="12"/>
      <c r="B140" s="10"/>
      <c r="C140" s="15" t="str">
        <f aca="false">IF($B140="","",IFERROR(INDEX(회원명부!$B$3:$B$502,MATCH($B140,회원명부!$A$3:$A$502,0)),"미등록회원"))</f>
        <v/>
      </c>
      <c r="D140" s="10"/>
      <c r="E140" s="16" t="str">
        <f aca="false">IF($D140="","",IF($J140="환불",0,IFERROR(INDEX(상품목록!$B$3:$B$102,MATCH($D140,상품목록!$A$3:$A$102,0)),0)))</f>
        <v/>
      </c>
      <c r="F140" s="16" t="str">
        <f aca="false">IF($D140="","",IFERROR(INDEX(상품목록!$C$3:$C$102,MATCH($D140,상품목록!$A$3:$A$102,0)),0))</f>
        <v/>
      </c>
      <c r="G140" s="17" t="str">
        <f aca="false">IF(OR($A140="",$F140=""),"",$A140+$F140)</f>
        <v/>
      </c>
      <c r="H140" s="16" t="str">
        <f aca="false">IF($D140="","",IF($J140="환불",0,IFERROR(INDEX(상품목록!$D$3:$D$102,MATCH($D140,상품목록!$A$3:$A$102,0)),0)))</f>
        <v/>
      </c>
      <c r="I140" s="10"/>
      <c r="J140" s="10"/>
      <c r="K140" s="10"/>
    </row>
    <row r="141" customFormat="false" ht="15" hidden="false" customHeight="true" outlineLevel="0" collapsed="false">
      <c r="A141" s="12"/>
      <c r="B141" s="10"/>
      <c r="C141" s="15" t="str">
        <f aca="false">IF($B141="","",IFERROR(INDEX(회원명부!$B$3:$B$502,MATCH($B141,회원명부!$A$3:$A$502,0)),"미등록회원"))</f>
        <v/>
      </c>
      <c r="D141" s="10"/>
      <c r="E141" s="16" t="str">
        <f aca="false">IF($D141="","",IF($J141="환불",0,IFERROR(INDEX(상품목록!$B$3:$B$102,MATCH($D141,상품목록!$A$3:$A$102,0)),0)))</f>
        <v/>
      </c>
      <c r="F141" s="16" t="str">
        <f aca="false">IF($D141="","",IFERROR(INDEX(상품목록!$C$3:$C$102,MATCH($D141,상품목록!$A$3:$A$102,0)),0))</f>
        <v/>
      </c>
      <c r="G141" s="17" t="str">
        <f aca="false">IF(OR($A141="",$F141=""),"",$A141+$F141)</f>
        <v/>
      </c>
      <c r="H141" s="16" t="str">
        <f aca="false">IF($D141="","",IF($J141="환불",0,IFERROR(INDEX(상품목록!$D$3:$D$102,MATCH($D141,상품목록!$A$3:$A$102,0)),0)))</f>
        <v/>
      </c>
      <c r="I141" s="10"/>
      <c r="J141" s="10"/>
      <c r="K141" s="10"/>
    </row>
    <row r="142" customFormat="false" ht="15" hidden="false" customHeight="true" outlineLevel="0" collapsed="false">
      <c r="A142" s="12"/>
      <c r="B142" s="10"/>
      <c r="C142" s="15" t="str">
        <f aca="false">IF($B142="","",IFERROR(INDEX(회원명부!$B$3:$B$502,MATCH($B142,회원명부!$A$3:$A$502,0)),"미등록회원"))</f>
        <v/>
      </c>
      <c r="D142" s="10"/>
      <c r="E142" s="16" t="str">
        <f aca="false">IF($D142="","",IF($J142="환불",0,IFERROR(INDEX(상품목록!$B$3:$B$102,MATCH($D142,상품목록!$A$3:$A$102,0)),0)))</f>
        <v/>
      </c>
      <c r="F142" s="16" t="str">
        <f aca="false">IF($D142="","",IFERROR(INDEX(상품목록!$C$3:$C$102,MATCH($D142,상품목록!$A$3:$A$102,0)),0))</f>
        <v/>
      </c>
      <c r="G142" s="17" t="str">
        <f aca="false">IF(OR($A142="",$F142=""),"",$A142+$F142)</f>
        <v/>
      </c>
      <c r="H142" s="16" t="str">
        <f aca="false">IF($D142="","",IF($J142="환불",0,IFERROR(INDEX(상품목록!$D$3:$D$102,MATCH($D142,상품목록!$A$3:$A$102,0)),0)))</f>
        <v/>
      </c>
      <c r="I142" s="10"/>
      <c r="J142" s="10"/>
      <c r="K142" s="10"/>
    </row>
    <row r="143" customFormat="false" ht="15" hidden="false" customHeight="true" outlineLevel="0" collapsed="false">
      <c r="A143" s="12"/>
      <c r="B143" s="10"/>
      <c r="C143" s="15" t="str">
        <f aca="false">IF($B143="","",IFERROR(INDEX(회원명부!$B$3:$B$502,MATCH($B143,회원명부!$A$3:$A$502,0)),"미등록회원"))</f>
        <v/>
      </c>
      <c r="D143" s="10"/>
      <c r="E143" s="16" t="str">
        <f aca="false">IF($D143="","",IF($J143="환불",0,IFERROR(INDEX(상품목록!$B$3:$B$102,MATCH($D143,상품목록!$A$3:$A$102,0)),0)))</f>
        <v/>
      </c>
      <c r="F143" s="16" t="str">
        <f aca="false">IF($D143="","",IFERROR(INDEX(상품목록!$C$3:$C$102,MATCH($D143,상품목록!$A$3:$A$102,0)),0))</f>
        <v/>
      </c>
      <c r="G143" s="17" t="str">
        <f aca="false">IF(OR($A143="",$F143=""),"",$A143+$F143)</f>
        <v/>
      </c>
      <c r="H143" s="16" t="str">
        <f aca="false">IF($D143="","",IF($J143="환불",0,IFERROR(INDEX(상품목록!$D$3:$D$102,MATCH($D143,상품목록!$A$3:$A$102,0)),0)))</f>
        <v/>
      </c>
      <c r="I143" s="10"/>
      <c r="J143" s="10"/>
      <c r="K143" s="10"/>
    </row>
    <row r="144" customFormat="false" ht="15" hidden="false" customHeight="true" outlineLevel="0" collapsed="false">
      <c r="A144" s="12"/>
      <c r="B144" s="10"/>
      <c r="C144" s="15" t="str">
        <f aca="false">IF($B144="","",IFERROR(INDEX(회원명부!$B$3:$B$502,MATCH($B144,회원명부!$A$3:$A$502,0)),"미등록회원"))</f>
        <v/>
      </c>
      <c r="D144" s="10"/>
      <c r="E144" s="16" t="str">
        <f aca="false">IF($D144="","",IF($J144="환불",0,IFERROR(INDEX(상품목록!$B$3:$B$102,MATCH($D144,상품목록!$A$3:$A$102,0)),0)))</f>
        <v/>
      </c>
      <c r="F144" s="16" t="str">
        <f aca="false">IF($D144="","",IFERROR(INDEX(상품목록!$C$3:$C$102,MATCH($D144,상품목록!$A$3:$A$102,0)),0))</f>
        <v/>
      </c>
      <c r="G144" s="17" t="str">
        <f aca="false">IF(OR($A144="",$F144=""),"",$A144+$F144)</f>
        <v/>
      </c>
      <c r="H144" s="16" t="str">
        <f aca="false">IF($D144="","",IF($J144="환불",0,IFERROR(INDEX(상품목록!$D$3:$D$102,MATCH($D144,상품목록!$A$3:$A$102,0)),0)))</f>
        <v/>
      </c>
      <c r="I144" s="10"/>
      <c r="J144" s="10"/>
      <c r="K144" s="10"/>
    </row>
    <row r="145" customFormat="false" ht="15" hidden="false" customHeight="true" outlineLevel="0" collapsed="false">
      <c r="A145" s="12"/>
      <c r="B145" s="10"/>
      <c r="C145" s="15" t="str">
        <f aca="false">IF($B145="","",IFERROR(INDEX(회원명부!$B$3:$B$502,MATCH($B145,회원명부!$A$3:$A$502,0)),"미등록회원"))</f>
        <v/>
      </c>
      <c r="D145" s="10"/>
      <c r="E145" s="16" t="str">
        <f aca="false">IF($D145="","",IF($J145="환불",0,IFERROR(INDEX(상품목록!$B$3:$B$102,MATCH($D145,상품목록!$A$3:$A$102,0)),0)))</f>
        <v/>
      </c>
      <c r="F145" s="16" t="str">
        <f aca="false">IF($D145="","",IFERROR(INDEX(상품목록!$C$3:$C$102,MATCH($D145,상품목록!$A$3:$A$102,0)),0))</f>
        <v/>
      </c>
      <c r="G145" s="17" t="str">
        <f aca="false">IF(OR($A145="",$F145=""),"",$A145+$F145)</f>
        <v/>
      </c>
      <c r="H145" s="16" t="str">
        <f aca="false">IF($D145="","",IF($J145="환불",0,IFERROR(INDEX(상품목록!$D$3:$D$102,MATCH($D145,상품목록!$A$3:$A$102,0)),0)))</f>
        <v/>
      </c>
      <c r="I145" s="10"/>
      <c r="J145" s="10"/>
      <c r="K145" s="10"/>
    </row>
    <row r="146" customFormat="false" ht="15" hidden="false" customHeight="true" outlineLevel="0" collapsed="false">
      <c r="A146" s="12"/>
      <c r="B146" s="10"/>
      <c r="C146" s="15" t="str">
        <f aca="false">IF($B146="","",IFERROR(INDEX(회원명부!$B$3:$B$502,MATCH($B146,회원명부!$A$3:$A$502,0)),"미등록회원"))</f>
        <v/>
      </c>
      <c r="D146" s="10"/>
      <c r="E146" s="16" t="str">
        <f aca="false">IF($D146="","",IF($J146="환불",0,IFERROR(INDEX(상품목록!$B$3:$B$102,MATCH($D146,상품목록!$A$3:$A$102,0)),0)))</f>
        <v/>
      </c>
      <c r="F146" s="16" t="str">
        <f aca="false">IF($D146="","",IFERROR(INDEX(상품목록!$C$3:$C$102,MATCH($D146,상품목록!$A$3:$A$102,0)),0))</f>
        <v/>
      </c>
      <c r="G146" s="17" t="str">
        <f aca="false">IF(OR($A146="",$F146=""),"",$A146+$F146)</f>
        <v/>
      </c>
      <c r="H146" s="16" t="str">
        <f aca="false">IF($D146="","",IF($J146="환불",0,IFERROR(INDEX(상품목록!$D$3:$D$102,MATCH($D146,상품목록!$A$3:$A$102,0)),0)))</f>
        <v/>
      </c>
      <c r="I146" s="10"/>
      <c r="J146" s="10"/>
      <c r="K146" s="10"/>
    </row>
    <row r="147" customFormat="false" ht="15" hidden="false" customHeight="true" outlineLevel="0" collapsed="false">
      <c r="A147" s="12"/>
      <c r="B147" s="10"/>
      <c r="C147" s="15" t="str">
        <f aca="false">IF($B147="","",IFERROR(INDEX(회원명부!$B$3:$B$502,MATCH($B147,회원명부!$A$3:$A$502,0)),"미등록회원"))</f>
        <v/>
      </c>
      <c r="D147" s="10"/>
      <c r="E147" s="16" t="str">
        <f aca="false">IF($D147="","",IF($J147="환불",0,IFERROR(INDEX(상품목록!$B$3:$B$102,MATCH($D147,상품목록!$A$3:$A$102,0)),0)))</f>
        <v/>
      </c>
      <c r="F147" s="16" t="str">
        <f aca="false">IF($D147="","",IFERROR(INDEX(상품목록!$C$3:$C$102,MATCH($D147,상품목록!$A$3:$A$102,0)),0))</f>
        <v/>
      </c>
      <c r="G147" s="17" t="str">
        <f aca="false">IF(OR($A147="",$F147=""),"",$A147+$F147)</f>
        <v/>
      </c>
      <c r="H147" s="16" t="str">
        <f aca="false">IF($D147="","",IF($J147="환불",0,IFERROR(INDEX(상품목록!$D$3:$D$102,MATCH($D147,상품목록!$A$3:$A$102,0)),0)))</f>
        <v/>
      </c>
      <c r="I147" s="10"/>
      <c r="J147" s="10"/>
      <c r="K147" s="10"/>
    </row>
    <row r="148" customFormat="false" ht="15" hidden="false" customHeight="true" outlineLevel="0" collapsed="false">
      <c r="A148" s="12"/>
      <c r="B148" s="10"/>
      <c r="C148" s="15" t="str">
        <f aca="false">IF($B148="","",IFERROR(INDEX(회원명부!$B$3:$B$502,MATCH($B148,회원명부!$A$3:$A$502,0)),"미등록회원"))</f>
        <v/>
      </c>
      <c r="D148" s="10"/>
      <c r="E148" s="16" t="str">
        <f aca="false">IF($D148="","",IF($J148="환불",0,IFERROR(INDEX(상품목록!$B$3:$B$102,MATCH($D148,상품목록!$A$3:$A$102,0)),0)))</f>
        <v/>
      </c>
      <c r="F148" s="16" t="str">
        <f aca="false">IF($D148="","",IFERROR(INDEX(상품목록!$C$3:$C$102,MATCH($D148,상품목록!$A$3:$A$102,0)),0))</f>
        <v/>
      </c>
      <c r="G148" s="17" t="str">
        <f aca="false">IF(OR($A148="",$F148=""),"",$A148+$F148)</f>
        <v/>
      </c>
      <c r="H148" s="16" t="str">
        <f aca="false">IF($D148="","",IF($J148="환불",0,IFERROR(INDEX(상품목록!$D$3:$D$102,MATCH($D148,상품목록!$A$3:$A$102,0)),0)))</f>
        <v/>
      </c>
      <c r="I148" s="10"/>
      <c r="J148" s="10"/>
      <c r="K148" s="10"/>
    </row>
    <row r="149" customFormat="false" ht="15" hidden="false" customHeight="true" outlineLevel="0" collapsed="false">
      <c r="A149" s="12"/>
      <c r="B149" s="10"/>
      <c r="C149" s="15" t="str">
        <f aca="false">IF($B149="","",IFERROR(INDEX(회원명부!$B$3:$B$502,MATCH($B149,회원명부!$A$3:$A$502,0)),"미등록회원"))</f>
        <v/>
      </c>
      <c r="D149" s="10"/>
      <c r="E149" s="16" t="str">
        <f aca="false">IF($D149="","",IF($J149="환불",0,IFERROR(INDEX(상품목록!$B$3:$B$102,MATCH($D149,상품목록!$A$3:$A$102,0)),0)))</f>
        <v/>
      </c>
      <c r="F149" s="16" t="str">
        <f aca="false">IF($D149="","",IFERROR(INDEX(상품목록!$C$3:$C$102,MATCH($D149,상품목록!$A$3:$A$102,0)),0))</f>
        <v/>
      </c>
      <c r="G149" s="17" t="str">
        <f aca="false">IF(OR($A149="",$F149=""),"",$A149+$F149)</f>
        <v/>
      </c>
      <c r="H149" s="16" t="str">
        <f aca="false">IF($D149="","",IF($J149="환불",0,IFERROR(INDEX(상품목록!$D$3:$D$102,MATCH($D149,상품목록!$A$3:$A$102,0)),0)))</f>
        <v/>
      </c>
      <c r="I149" s="10"/>
      <c r="J149" s="10"/>
      <c r="K149" s="10"/>
    </row>
    <row r="150" customFormat="false" ht="15" hidden="false" customHeight="true" outlineLevel="0" collapsed="false">
      <c r="A150" s="12"/>
      <c r="B150" s="10"/>
      <c r="C150" s="15" t="str">
        <f aca="false">IF($B150="","",IFERROR(INDEX(회원명부!$B$3:$B$502,MATCH($B150,회원명부!$A$3:$A$502,0)),"미등록회원"))</f>
        <v/>
      </c>
      <c r="D150" s="10"/>
      <c r="E150" s="16" t="str">
        <f aca="false">IF($D150="","",IF($J150="환불",0,IFERROR(INDEX(상품목록!$B$3:$B$102,MATCH($D150,상품목록!$A$3:$A$102,0)),0)))</f>
        <v/>
      </c>
      <c r="F150" s="16" t="str">
        <f aca="false">IF($D150="","",IFERROR(INDEX(상품목록!$C$3:$C$102,MATCH($D150,상품목록!$A$3:$A$102,0)),0))</f>
        <v/>
      </c>
      <c r="G150" s="17" t="str">
        <f aca="false">IF(OR($A150="",$F150=""),"",$A150+$F150)</f>
        <v/>
      </c>
      <c r="H150" s="16" t="str">
        <f aca="false">IF($D150="","",IF($J150="환불",0,IFERROR(INDEX(상품목록!$D$3:$D$102,MATCH($D150,상품목록!$A$3:$A$102,0)),0)))</f>
        <v/>
      </c>
      <c r="I150" s="10"/>
      <c r="J150" s="10"/>
      <c r="K150" s="10"/>
    </row>
    <row r="151" customFormat="false" ht="15" hidden="false" customHeight="true" outlineLevel="0" collapsed="false">
      <c r="A151" s="12"/>
      <c r="B151" s="10"/>
      <c r="C151" s="15" t="str">
        <f aca="false">IF($B151="","",IFERROR(INDEX(회원명부!$B$3:$B$502,MATCH($B151,회원명부!$A$3:$A$502,0)),"미등록회원"))</f>
        <v/>
      </c>
      <c r="D151" s="10"/>
      <c r="E151" s="16" t="str">
        <f aca="false">IF($D151="","",IF($J151="환불",0,IFERROR(INDEX(상품목록!$B$3:$B$102,MATCH($D151,상품목록!$A$3:$A$102,0)),0)))</f>
        <v/>
      </c>
      <c r="F151" s="16" t="str">
        <f aca="false">IF($D151="","",IFERROR(INDEX(상품목록!$C$3:$C$102,MATCH($D151,상품목록!$A$3:$A$102,0)),0))</f>
        <v/>
      </c>
      <c r="G151" s="17" t="str">
        <f aca="false">IF(OR($A151="",$F151=""),"",$A151+$F151)</f>
        <v/>
      </c>
      <c r="H151" s="16" t="str">
        <f aca="false">IF($D151="","",IF($J151="환불",0,IFERROR(INDEX(상품목록!$D$3:$D$102,MATCH($D151,상품목록!$A$3:$A$102,0)),0)))</f>
        <v/>
      </c>
      <c r="I151" s="10"/>
      <c r="J151" s="10"/>
      <c r="K151" s="10"/>
    </row>
    <row r="152" customFormat="false" ht="15" hidden="false" customHeight="true" outlineLevel="0" collapsed="false">
      <c r="A152" s="12"/>
      <c r="B152" s="10"/>
      <c r="C152" s="15" t="str">
        <f aca="false">IF($B152="","",IFERROR(INDEX(회원명부!$B$3:$B$502,MATCH($B152,회원명부!$A$3:$A$502,0)),"미등록회원"))</f>
        <v/>
      </c>
      <c r="D152" s="10"/>
      <c r="E152" s="16" t="str">
        <f aca="false">IF($D152="","",IF($J152="환불",0,IFERROR(INDEX(상품목록!$B$3:$B$102,MATCH($D152,상품목록!$A$3:$A$102,0)),0)))</f>
        <v/>
      </c>
      <c r="F152" s="16" t="str">
        <f aca="false">IF($D152="","",IFERROR(INDEX(상품목록!$C$3:$C$102,MATCH($D152,상품목록!$A$3:$A$102,0)),0))</f>
        <v/>
      </c>
      <c r="G152" s="17" t="str">
        <f aca="false">IF(OR($A152="",$F152=""),"",$A152+$F152)</f>
        <v/>
      </c>
      <c r="H152" s="16" t="str">
        <f aca="false">IF($D152="","",IF($J152="환불",0,IFERROR(INDEX(상품목록!$D$3:$D$102,MATCH($D152,상품목록!$A$3:$A$102,0)),0)))</f>
        <v/>
      </c>
      <c r="I152" s="10"/>
      <c r="J152" s="10"/>
      <c r="K152" s="10"/>
    </row>
    <row r="153" customFormat="false" ht="15" hidden="false" customHeight="true" outlineLevel="0" collapsed="false">
      <c r="A153" s="12"/>
      <c r="B153" s="10"/>
      <c r="C153" s="15" t="str">
        <f aca="false">IF($B153="","",IFERROR(INDEX(회원명부!$B$3:$B$502,MATCH($B153,회원명부!$A$3:$A$502,0)),"미등록회원"))</f>
        <v/>
      </c>
      <c r="D153" s="10"/>
      <c r="E153" s="16" t="str">
        <f aca="false">IF($D153="","",IF($J153="환불",0,IFERROR(INDEX(상품목록!$B$3:$B$102,MATCH($D153,상품목록!$A$3:$A$102,0)),0)))</f>
        <v/>
      </c>
      <c r="F153" s="16" t="str">
        <f aca="false">IF($D153="","",IFERROR(INDEX(상품목록!$C$3:$C$102,MATCH($D153,상품목록!$A$3:$A$102,0)),0))</f>
        <v/>
      </c>
      <c r="G153" s="17" t="str">
        <f aca="false">IF(OR($A153="",$F153=""),"",$A153+$F153)</f>
        <v/>
      </c>
      <c r="H153" s="16" t="str">
        <f aca="false">IF($D153="","",IF($J153="환불",0,IFERROR(INDEX(상품목록!$D$3:$D$102,MATCH($D153,상품목록!$A$3:$A$102,0)),0)))</f>
        <v/>
      </c>
      <c r="I153" s="10"/>
      <c r="J153" s="10"/>
      <c r="K153" s="10"/>
    </row>
    <row r="154" customFormat="false" ht="15" hidden="false" customHeight="true" outlineLevel="0" collapsed="false">
      <c r="A154" s="12"/>
      <c r="B154" s="10"/>
      <c r="C154" s="15" t="str">
        <f aca="false">IF($B154="","",IFERROR(INDEX(회원명부!$B$3:$B$502,MATCH($B154,회원명부!$A$3:$A$502,0)),"미등록회원"))</f>
        <v/>
      </c>
      <c r="D154" s="10"/>
      <c r="E154" s="16" t="str">
        <f aca="false">IF($D154="","",IF($J154="환불",0,IFERROR(INDEX(상품목록!$B$3:$B$102,MATCH($D154,상품목록!$A$3:$A$102,0)),0)))</f>
        <v/>
      </c>
      <c r="F154" s="16" t="str">
        <f aca="false">IF($D154="","",IFERROR(INDEX(상품목록!$C$3:$C$102,MATCH($D154,상품목록!$A$3:$A$102,0)),0))</f>
        <v/>
      </c>
      <c r="G154" s="17" t="str">
        <f aca="false">IF(OR($A154="",$F154=""),"",$A154+$F154)</f>
        <v/>
      </c>
      <c r="H154" s="16" t="str">
        <f aca="false">IF($D154="","",IF($J154="환불",0,IFERROR(INDEX(상품목록!$D$3:$D$102,MATCH($D154,상품목록!$A$3:$A$102,0)),0)))</f>
        <v/>
      </c>
      <c r="I154" s="10"/>
      <c r="J154" s="10"/>
      <c r="K154" s="10"/>
    </row>
    <row r="155" customFormat="false" ht="15" hidden="false" customHeight="true" outlineLevel="0" collapsed="false">
      <c r="A155" s="12"/>
      <c r="B155" s="10"/>
      <c r="C155" s="15" t="str">
        <f aca="false">IF($B155="","",IFERROR(INDEX(회원명부!$B$3:$B$502,MATCH($B155,회원명부!$A$3:$A$502,0)),"미등록회원"))</f>
        <v/>
      </c>
      <c r="D155" s="10"/>
      <c r="E155" s="16" t="str">
        <f aca="false">IF($D155="","",IF($J155="환불",0,IFERROR(INDEX(상품목록!$B$3:$B$102,MATCH($D155,상품목록!$A$3:$A$102,0)),0)))</f>
        <v/>
      </c>
      <c r="F155" s="16" t="str">
        <f aca="false">IF($D155="","",IFERROR(INDEX(상품목록!$C$3:$C$102,MATCH($D155,상품목록!$A$3:$A$102,0)),0))</f>
        <v/>
      </c>
      <c r="G155" s="17" t="str">
        <f aca="false">IF(OR($A155="",$F155=""),"",$A155+$F155)</f>
        <v/>
      </c>
      <c r="H155" s="16" t="str">
        <f aca="false">IF($D155="","",IF($J155="환불",0,IFERROR(INDEX(상품목록!$D$3:$D$102,MATCH($D155,상품목록!$A$3:$A$102,0)),0)))</f>
        <v/>
      </c>
      <c r="I155" s="10"/>
      <c r="J155" s="10"/>
      <c r="K155" s="10"/>
    </row>
    <row r="156" customFormat="false" ht="15" hidden="false" customHeight="true" outlineLevel="0" collapsed="false">
      <c r="A156" s="12"/>
      <c r="B156" s="10"/>
      <c r="C156" s="15" t="str">
        <f aca="false">IF($B156="","",IFERROR(INDEX(회원명부!$B$3:$B$502,MATCH($B156,회원명부!$A$3:$A$502,0)),"미등록회원"))</f>
        <v/>
      </c>
      <c r="D156" s="10"/>
      <c r="E156" s="16" t="str">
        <f aca="false">IF($D156="","",IF($J156="환불",0,IFERROR(INDEX(상품목록!$B$3:$B$102,MATCH($D156,상품목록!$A$3:$A$102,0)),0)))</f>
        <v/>
      </c>
      <c r="F156" s="16" t="str">
        <f aca="false">IF($D156="","",IFERROR(INDEX(상품목록!$C$3:$C$102,MATCH($D156,상품목록!$A$3:$A$102,0)),0))</f>
        <v/>
      </c>
      <c r="G156" s="17" t="str">
        <f aca="false">IF(OR($A156="",$F156=""),"",$A156+$F156)</f>
        <v/>
      </c>
      <c r="H156" s="16" t="str">
        <f aca="false">IF($D156="","",IF($J156="환불",0,IFERROR(INDEX(상품목록!$D$3:$D$102,MATCH($D156,상품목록!$A$3:$A$102,0)),0)))</f>
        <v/>
      </c>
      <c r="I156" s="10"/>
      <c r="J156" s="10"/>
      <c r="K156" s="10"/>
    </row>
    <row r="157" customFormat="false" ht="15" hidden="false" customHeight="true" outlineLevel="0" collapsed="false">
      <c r="A157" s="12"/>
      <c r="B157" s="10"/>
      <c r="C157" s="15" t="str">
        <f aca="false">IF($B157="","",IFERROR(INDEX(회원명부!$B$3:$B$502,MATCH($B157,회원명부!$A$3:$A$502,0)),"미등록회원"))</f>
        <v/>
      </c>
      <c r="D157" s="10"/>
      <c r="E157" s="16" t="str">
        <f aca="false">IF($D157="","",IF($J157="환불",0,IFERROR(INDEX(상품목록!$B$3:$B$102,MATCH($D157,상품목록!$A$3:$A$102,0)),0)))</f>
        <v/>
      </c>
      <c r="F157" s="16" t="str">
        <f aca="false">IF($D157="","",IFERROR(INDEX(상품목록!$C$3:$C$102,MATCH($D157,상품목록!$A$3:$A$102,0)),0))</f>
        <v/>
      </c>
      <c r="G157" s="17" t="str">
        <f aca="false">IF(OR($A157="",$F157=""),"",$A157+$F157)</f>
        <v/>
      </c>
      <c r="H157" s="16" t="str">
        <f aca="false">IF($D157="","",IF($J157="환불",0,IFERROR(INDEX(상품목록!$D$3:$D$102,MATCH($D157,상품목록!$A$3:$A$102,0)),0)))</f>
        <v/>
      </c>
      <c r="I157" s="10"/>
      <c r="J157" s="10"/>
      <c r="K157" s="10"/>
    </row>
    <row r="158" customFormat="false" ht="15" hidden="false" customHeight="true" outlineLevel="0" collapsed="false">
      <c r="A158" s="12"/>
      <c r="B158" s="10"/>
      <c r="C158" s="15" t="str">
        <f aca="false">IF($B158="","",IFERROR(INDEX(회원명부!$B$3:$B$502,MATCH($B158,회원명부!$A$3:$A$502,0)),"미등록회원"))</f>
        <v/>
      </c>
      <c r="D158" s="10"/>
      <c r="E158" s="16" t="str">
        <f aca="false">IF($D158="","",IF($J158="환불",0,IFERROR(INDEX(상품목록!$B$3:$B$102,MATCH($D158,상품목록!$A$3:$A$102,0)),0)))</f>
        <v/>
      </c>
      <c r="F158" s="16" t="str">
        <f aca="false">IF($D158="","",IFERROR(INDEX(상품목록!$C$3:$C$102,MATCH($D158,상품목록!$A$3:$A$102,0)),0))</f>
        <v/>
      </c>
      <c r="G158" s="17" t="str">
        <f aca="false">IF(OR($A158="",$F158=""),"",$A158+$F158)</f>
        <v/>
      </c>
      <c r="H158" s="16" t="str">
        <f aca="false">IF($D158="","",IF($J158="환불",0,IFERROR(INDEX(상품목록!$D$3:$D$102,MATCH($D158,상품목록!$A$3:$A$102,0)),0)))</f>
        <v/>
      </c>
      <c r="I158" s="10"/>
      <c r="J158" s="10"/>
      <c r="K158" s="10"/>
    </row>
    <row r="159" customFormat="false" ht="15" hidden="false" customHeight="true" outlineLevel="0" collapsed="false">
      <c r="A159" s="12"/>
      <c r="B159" s="10"/>
      <c r="C159" s="15" t="str">
        <f aca="false">IF($B159="","",IFERROR(INDEX(회원명부!$B$3:$B$502,MATCH($B159,회원명부!$A$3:$A$502,0)),"미등록회원"))</f>
        <v/>
      </c>
      <c r="D159" s="10"/>
      <c r="E159" s="16" t="str">
        <f aca="false">IF($D159="","",IF($J159="환불",0,IFERROR(INDEX(상품목록!$B$3:$B$102,MATCH($D159,상품목록!$A$3:$A$102,0)),0)))</f>
        <v/>
      </c>
      <c r="F159" s="16" t="str">
        <f aca="false">IF($D159="","",IFERROR(INDEX(상품목록!$C$3:$C$102,MATCH($D159,상품목록!$A$3:$A$102,0)),0))</f>
        <v/>
      </c>
      <c r="G159" s="17" t="str">
        <f aca="false">IF(OR($A159="",$F159=""),"",$A159+$F159)</f>
        <v/>
      </c>
      <c r="H159" s="16" t="str">
        <f aca="false">IF($D159="","",IF($J159="환불",0,IFERROR(INDEX(상품목록!$D$3:$D$102,MATCH($D159,상품목록!$A$3:$A$102,0)),0)))</f>
        <v/>
      </c>
      <c r="I159" s="10"/>
      <c r="J159" s="10"/>
      <c r="K159" s="10"/>
    </row>
    <row r="160" customFormat="false" ht="15" hidden="false" customHeight="true" outlineLevel="0" collapsed="false">
      <c r="A160" s="12"/>
      <c r="B160" s="10"/>
      <c r="C160" s="15" t="str">
        <f aca="false">IF($B160="","",IFERROR(INDEX(회원명부!$B$3:$B$502,MATCH($B160,회원명부!$A$3:$A$502,0)),"미등록회원"))</f>
        <v/>
      </c>
      <c r="D160" s="10"/>
      <c r="E160" s="16" t="str">
        <f aca="false">IF($D160="","",IF($J160="환불",0,IFERROR(INDEX(상품목록!$B$3:$B$102,MATCH($D160,상품목록!$A$3:$A$102,0)),0)))</f>
        <v/>
      </c>
      <c r="F160" s="16" t="str">
        <f aca="false">IF($D160="","",IFERROR(INDEX(상품목록!$C$3:$C$102,MATCH($D160,상품목록!$A$3:$A$102,0)),0))</f>
        <v/>
      </c>
      <c r="G160" s="17" t="str">
        <f aca="false">IF(OR($A160="",$F160=""),"",$A160+$F160)</f>
        <v/>
      </c>
      <c r="H160" s="16" t="str">
        <f aca="false">IF($D160="","",IF($J160="환불",0,IFERROR(INDEX(상품목록!$D$3:$D$102,MATCH($D160,상품목록!$A$3:$A$102,0)),0)))</f>
        <v/>
      </c>
      <c r="I160" s="10"/>
      <c r="J160" s="10"/>
      <c r="K160" s="10"/>
    </row>
    <row r="161" customFormat="false" ht="15" hidden="false" customHeight="true" outlineLevel="0" collapsed="false">
      <c r="A161" s="12"/>
      <c r="B161" s="10"/>
      <c r="C161" s="15" t="str">
        <f aca="false">IF($B161="","",IFERROR(INDEX(회원명부!$B$3:$B$502,MATCH($B161,회원명부!$A$3:$A$502,0)),"미등록회원"))</f>
        <v/>
      </c>
      <c r="D161" s="10"/>
      <c r="E161" s="16" t="str">
        <f aca="false">IF($D161="","",IF($J161="환불",0,IFERROR(INDEX(상품목록!$B$3:$B$102,MATCH($D161,상품목록!$A$3:$A$102,0)),0)))</f>
        <v/>
      </c>
      <c r="F161" s="16" t="str">
        <f aca="false">IF($D161="","",IFERROR(INDEX(상품목록!$C$3:$C$102,MATCH($D161,상품목록!$A$3:$A$102,0)),0))</f>
        <v/>
      </c>
      <c r="G161" s="17" t="str">
        <f aca="false">IF(OR($A161="",$F161=""),"",$A161+$F161)</f>
        <v/>
      </c>
      <c r="H161" s="16" t="str">
        <f aca="false">IF($D161="","",IF($J161="환불",0,IFERROR(INDEX(상품목록!$D$3:$D$102,MATCH($D161,상품목록!$A$3:$A$102,0)),0)))</f>
        <v/>
      </c>
      <c r="I161" s="10"/>
      <c r="J161" s="10"/>
      <c r="K161" s="10"/>
    </row>
    <row r="162" customFormat="false" ht="15" hidden="false" customHeight="true" outlineLevel="0" collapsed="false">
      <c r="A162" s="12"/>
      <c r="B162" s="10"/>
      <c r="C162" s="15" t="str">
        <f aca="false">IF($B162="","",IFERROR(INDEX(회원명부!$B$3:$B$502,MATCH($B162,회원명부!$A$3:$A$502,0)),"미등록회원"))</f>
        <v/>
      </c>
      <c r="D162" s="10"/>
      <c r="E162" s="16" t="str">
        <f aca="false">IF($D162="","",IF($J162="환불",0,IFERROR(INDEX(상품목록!$B$3:$B$102,MATCH($D162,상품목록!$A$3:$A$102,0)),0)))</f>
        <v/>
      </c>
      <c r="F162" s="16" t="str">
        <f aca="false">IF($D162="","",IFERROR(INDEX(상품목록!$C$3:$C$102,MATCH($D162,상품목록!$A$3:$A$102,0)),0))</f>
        <v/>
      </c>
      <c r="G162" s="17" t="str">
        <f aca="false">IF(OR($A162="",$F162=""),"",$A162+$F162)</f>
        <v/>
      </c>
      <c r="H162" s="16" t="str">
        <f aca="false">IF($D162="","",IF($J162="환불",0,IFERROR(INDEX(상품목록!$D$3:$D$102,MATCH($D162,상품목록!$A$3:$A$102,0)),0)))</f>
        <v/>
      </c>
      <c r="I162" s="10"/>
      <c r="J162" s="10"/>
      <c r="K162" s="10"/>
    </row>
    <row r="163" customFormat="false" ht="15" hidden="false" customHeight="true" outlineLevel="0" collapsed="false">
      <c r="A163" s="12"/>
      <c r="B163" s="10"/>
      <c r="C163" s="15" t="str">
        <f aca="false">IF($B163="","",IFERROR(INDEX(회원명부!$B$3:$B$502,MATCH($B163,회원명부!$A$3:$A$502,0)),"미등록회원"))</f>
        <v/>
      </c>
      <c r="D163" s="10"/>
      <c r="E163" s="16" t="str">
        <f aca="false">IF($D163="","",IF($J163="환불",0,IFERROR(INDEX(상품목록!$B$3:$B$102,MATCH($D163,상품목록!$A$3:$A$102,0)),0)))</f>
        <v/>
      </c>
      <c r="F163" s="16" t="str">
        <f aca="false">IF($D163="","",IFERROR(INDEX(상품목록!$C$3:$C$102,MATCH($D163,상품목록!$A$3:$A$102,0)),0))</f>
        <v/>
      </c>
      <c r="G163" s="17" t="str">
        <f aca="false">IF(OR($A163="",$F163=""),"",$A163+$F163)</f>
        <v/>
      </c>
      <c r="H163" s="16" t="str">
        <f aca="false">IF($D163="","",IF($J163="환불",0,IFERROR(INDEX(상품목록!$D$3:$D$102,MATCH($D163,상품목록!$A$3:$A$102,0)),0)))</f>
        <v/>
      </c>
      <c r="I163" s="10"/>
      <c r="J163" s="10"/>
      <c r="K163" s="10"/>
    </row>
    <row r="164" customFormat="false" ht="15" hidden="false" customHeight="true" outlineLevel="0" collapsed="false">
      <c r="A164" s="12"/>
      <c r="B164" s="10"/>
      <c r="C164" s="15" t="str">
        <f aca="false">IF($B164="","",IFERROR(INDEX(회원명부!$B$3:$B$502,MATCH($B164,회원명부!$A$3:$A$502,0)),"미등록회원"))</f>
        <v/>
      </c>
      <c r="D164" s="10"/>
      <c r="E164" s="16" t="str">
        <f aca="false">IF($D164="","",IF($J164="환불",0,IFERROR(INDEX(상품목록!$B$3:$B$102,MATCH($D164,상품목록!$A$3:$A$102,0)),0)))</f>
        <v/>
      </c>
      <c r="F164" s="16" t="str">
        <f aca="false">IF($D164="","",IFERROR(INDEX(상품목록!$C$3:$C$102,MATCH($D164,상품목록!$A$3:$A$102,0)),0))</f>
        <v/>
      </c>
      <c r="G164" s="17" t="str">
        <f aca="false">IF(OR($A164="",$F164=""),"",$A164+$F164)</f>
        <v/>
      </c>
      <c r="H164" s="16" t="str">
        <f aca="false">IF($D164="","",IF($J164="환불",0,IFERROR(INDEX(상품목록!$D$3:$D$102,MATCH($D164,상품목록!$A$3:$A$102,0)),0)))</f>
        <v/>
      </c>
      <c r="I164" s="10"/>
      <c r="J164" s="10"/>
      <c r="K164" s="10"/>
    </row>
    <row r="165" customFormat="false" ht="15" hidden="false" customHeight="true" outlineLevel="0" collapsed="false">
      <c r="A165" s="12"/>
      <c r="B165" s="10"/>
      <c r="C165" s="15" t="str">
        <f aca="false">IF($B165="","",IFERROR(INDEX(회원명부!$B$3:$B$502,MATCH($B165,회원명부!$A$3:$A$502,0)),"미등록회원"))</f>
        <v/>
      </c>
      <c r="D165" s="10"/>
      <c r="E165" s="16" t="str">
        <f aca="false">IF($D165="","",IF($J165="환불",0,IFERROR(INDEX(상품목록!$B$3:$B$102,MATCH($D165,상품목록!$A$3:$A$102,0)),0)))</f>
        <v/>
      </c>
      <c r="F165" s="16" t="str">
        <f aca="false">IF($D165="","",IFERROR(INDEX(상품목록!$C$3:$C$102,MATCH($D165,상품목록!$A$3:$A$102,0)),0))</f>
        <v/>
      </c>
      <c r="G165" s="17" t="str">
        <f aca="false">IF(OR($A165="",$F165=""),"",$A165+$F165)</f>
        <v/>
      </c>
      <c r="H165" s="16" t="str">
        <f aca="false">IF($D165="","",IF($J165="환불",0,IFERROR(INDEX(상품목록!$D$3:$D$102,MATCH($D165,상품목록!$A$3:$A$102,0)),0)))</f>
        <v/>
      </c>
      <c r="I165" s="10"/>
      <c r="J165" s="10"/>
      <c r="K165" s="10"/>
    </row>
    <row r="166" customFormat="false" ht="15" hidden="false" customHeight="true" outlineLevel="0" collapsed="false">
      <c r="A166" s="12"/>
      <c r="B166" s="10"/>
      <c r="C166" s="15" t="str">
        <f aca="false">IF($B166="","",IFERROR(INDEX(회원명부!$B$3:$B$502,MATCH($B166,회원명부!$A$3:$A$502,0)),"미등록회원"))</f>
        <v/>
      </c>
      <c r="D166" s="10"/>
      <c r="E166" s="16" t="str">
        <f aca="false">IF($D166="","",IF($J166="환불",0,IFERROR(INDEX(상품목록!$B$3:$B$102,MATCH($D166,상품목록!$A$3:$A$102,0)),0)))</f>
        <v/>
      </c>
      <c r="F166" s="16" t="str">
        <f aca="false">IF($D166="","",IFERROR(INDEX(상품목록!$C$3:$C$102,MATCH($D166,상품목록!$A$3:$A$102,0)),0))</f>
        <v/>
      </c>
      <c r="G166" s="17" t="str">
        <f aca="false">IF(OR($A166="",$F166=""),"",$A166+$F166)</f>
        <v/>
      </c>
      <c r="H166" s="16" t="str">
        <f aca="false">IF($D166="","",IF($J166="환불",0,IFERROR(INDEX(상품목록!$D$3:$D$102,MATCH($D166,상품목록!$A$3:$A$102,0)),0)))</f>
        <v/>
      </c>
      <c r="I166" s="10"/>
      <c r="J166" s="10"/>
      <c r="K166" s="10"/>
    </row>
    <row r="167" customFormat="false" ht="15" hidden="false" customHeight="true" outlineLevel="0" collapsed="false">
      <c r="A167" s="12"/>
      <c r="B167" s="10"/>
      <c r="C167" s="15" t="str">
        <f aca="false">IF($B167="","",IFERROR(INDEX(회원명부!$B$3:$B$502,MATCH($B167,회원명부!$A$3:$A$502,0)),"미등록회원"))</f>
        <v/>
      </c>
      <c r="D167" s="10"/>
      <c r="E167" s="16" t="str">
        <f aca="false">IF($D167="","",IF($J167="환불",0,IFERROR(INDEX(상품목록!$B$3:$B$102,MATCH($D167,상품목록!$A$3:$A$102,0)),0)))</f>
        <v/>
      </c>
      <c r="F167" s="16" t="str">
        <f aca="false">IF($D167="","",IFERROR(INDEX(상품목록!$C$3:$C$102,MATCH($D167,상품목록!$A$3:$A$102,0)),0))</f>
        <v/>
      </c>
      <c r="G167" s="17" t="str">
        <f aca="false">IF(OR($A167="",$F167=""),"",$A167+$F167)</f>
        <v/>
      </c>
      <c r="H167" s="16" t="str">
        <f aca="false">IF($D167="","",IF($J167="환불",0,IFERROR(INDEX(상품목록!$D$3:$D$102,MATCH($D167,상품목록!$A$3:$A$102,0)),0)))</f>
        <v/>
      </c>
      <c r="I167" s="10"/>
      <c r="J167" s="10"/>
      <c r="K167" s="10"/>
    </row>
    <row r="168" customFormat="false" ht="15" hidden="false" customHeight="true" outlineLevel="0" collapsed="false">
      <c r="A168" s="12"/>
      <c r="B168" s="10"/>
      <c r="C168" s="15" t="str">
        <f aca="false">IF($B168="","",IFERROR(INDEX(회원명부!$B$3:$B$502,MATCH($B168,회원명부!$A$3:$A$502,0)),"미등록회원"))</f>
        <v/>
      </c>
      <c r="D168" s="10"/>
      <c r="E168" s="16" t="str">
        <f aca="false">IF($D168="","",IF($J168="환불",0,IFERROR(INDEX(상품목록!$B$3:$B$102,MATCH($D168,상품목록!$A$3:$A$102,0)),0)))</f>
        <v/>
      </c>
      <c r="F168" s="16" t="str">
        <f aca="false">IF($D168="","",IFERROR(INDEX(상품목록!$C$3:$C$102,MATCH($D168,상품목록!$A$3:$A$102,0)),0))</f>
        <v/>
      </c>
      <c r="G168" s="17" t="str">
        <f aca="false">IF(OR($A168="",$F168=""),"",$A168+$F168)</f>
        <v/>
      </c>
      <c r="H168" s="16" t="str">
        <f aca="false">IF($D168="","",IF($J168="환불",0,IFERROR(INDEX(상품목록!$D$3:$D$102,MATCH($D168,상품목록!$A$3:$A$102,0)),0)))</f>
        <v/>
      </c>
      <c r="I168" s="10"/>
      <c r="J168" s="10"/>
      <c r="K168" s="10"/>
    </row>
    <row r="169" customFormat="false" ht="15" hidden="false" customHeight="true" outlineLevel="0" collapsed="false">
      <c r="A169" s="12"/>
      <c r="B169" s="10"/>
      <c r="C169" s="15" t="str">
        <f aca="false">IF($B169="","",IFERROR(INDEX(회원명부!$B$3:$B$502,MATCH($B169,회원명부!$A$3:$A$502,0)),"미등록회원"))</f>
        <v/>
      </c>
      <c r="D169" s="10"/>
      <c r="E169" s="16" t="str">
        <f aca="false">IF($D169="","",IF($J169="환불",0,IFERROR(INDEX(상품목록!$B$3:$B$102,MATCH($D169,상품목록!$A$3:$A$102,0)),0)))</f>
        <v/>
      </c>
      <c r="F169" s="16" t="str">
        <f aca="false">IF($D169="","",IFERROR(INDEX(상품목록!$C$3:$C$102,MATCH($D169,상품목록!$A$3:$A$102,0)),0))</f>
        <v/>
      </c>
      <c r="G169" s="17" t="str">
        <f aca="false">IF(OR($A169="",$F169=""),"",$A169+$F169)</f>
        <v/>
      </c>
      <c r="H169" s="16" t="str">
        <f aca="false">IF($D169="","",IF($J169="환불",0,IFERROR(INDEX(상품목록!$D$3:$D$102,MATCH($D169,상품목록!$A$3:$A$102,0)),0)))</f>
        <v/>
      </c>
      <c r="I169" s="10"/>
      <c r="J169" s="10"/>
      <c r="K169" s="10"/>
    </row>
    <row r="170" customFormat="false" ht="15" hidden="false" customHeight="true" outlineLevel="0" collapsed="false">
      <c r="A170" s="12"/>
      <c r="B170" s="10"/>
      <c r="C170" s="15" t="str">
        <f aca="false">IF($B170="","",IFERROR(INDEX(회원명부!$B$3:$B$502,MATCH($B170,회원명부!$A$3:$A$502,0)),"미등록회원"))</f>
        <v/>
      </c>
      <c r="D170" s="10"/>
      <c r="E170" s="16" t="str">
        <f aca="false">IF($D170="","",IF($J170="환불",0,IFERROR(INDEX(상품목록!$B$3:$B$102,MATCH($D170,상품목록!$A$3:$A$102,0)),0)))</f>
        <v/>
      </c>
      <c r="F170" s="16" t="str">
        <f aca="false">IF($D170="","",IFERROR(INDEX(상품목록!$C$3:$C$102,MATCH($D170,상품목록!$A$3:$A$102,0)),0))</f>
        <v/>
      </c>
      <c r="G170" s="17" t="str">
        <f aca="false">IF(OR($A170="",$F170=""),"",$A170+$F170)</f>
        <v/>
      </c>
      <c r="H170" s="16" t="str">
        <f aca="false">IF($D170="","",IF($J170="환불",0,IFERROR(INDEX(상품목록!$D$3:$D$102,MATCH($D170,상품목록!$A$3:$A$102,0)),0)))</f>
        <v/>
      </c>
      <c r="I170" s="10"/>
      <c r="J170" s="10"/>
      <c r="K170" s="10"/>
    </row>
    <row r="171" customFormat="false" ht="15" hidden="false" customHeight="true" outlineLevel="0" collapsed="false">
      <c r="A171" s="12"/>
      <c r="B171" s="10"/>
      <c r="C171" s="15" t="str">
        <f aca="false">IF($B171="","",IFERROR(INDEX(회원명부!$B$3:$B$502,MATCH($B171,회원명부!$A$3:$A$502,0)),"미등록회원"))</f>
        <v/>
      </c>
      <c r="D171" s="10"/>
      <c r="E171" s="16" t="str">
        <f aca="false">IF($D171="","",IF($J171="환불",0,IFERROR(INDEX(상품목록!$B$3:$B$102,MATCH($D171,상품목록!$A$3:$A$102,0)),0)))</f>
        <v/>
      </c>
      <c r="F171" s="16" t="str">
        <f aca="false">IF($D171="","",IFERROR(INDEX(상품목록!$C$3:$C$102,MATCH($D171,상품목록!$A$3:$A$102,0)),0))</f>
        <v/>
      </c>
      <c r="G171" s="17" t="str">
        <f aca="false">IF(OR($A171="",$F171=""),"",$A171+$F171)</f>
        <v/>
      </c>
      <c r="H171" s="16" t="str">
        <f aca="false">IF($D171="","",IF($J171="환불",0,IFERROR(INDEX(상품목록!$D$3:$D$102,MATCH($D171,상품목록!$A$3:$A$102,0)),0)))</f>
        <v/>
      </c>
      <c r="I171" s="10"/>
      <c r="J171" s="10"/>
      <c r="K171" s="10"/>
    </row>
    <row r="172" customFormat="false" ht="15" hidden="false" customHeight="true" outlineLevel="0" collapsed="false">
      <c r="A172" s="12"/>
      <c r="B172" s="10"/>
      <c r="C172" s="15" t="str">
        <f aca="false">IF($B172="","",IFERROR(INDEX(회원명부!$B$3:$B$502,MATCH($B172,회원명부!$A$3:$A$502,0)),"미등록회원"))</f>
        <v/>
      </c>
      <c r="D172" s="10"/>
      <c r="E172" s="16" t="str">
        <f aca="false">IF($D172="","",IF($J172="환불",0,IFERROR(INDEX(상품목록!$B$3:$B$102,MATCH($D172,상품목록!$A$3:$A$102,0)),0)))</f>
        <v/>
      </c>
      <c r="F172" s="16" t="str">
        <f aca="false">IF($D172="","",IFERROR(INDEX(상품목록!$C$3:$C$102,MATCH($D172,상품목록!$A$3:$A$102,0)),0))</f>
        <v/>
      </c>
      <c r="G172" s="17" t="str">
        <f aca="false">IF(OR($A172="",$F172=""),"",$A172+$F172)</f>
        <v/>
      </c>
      <c r="H172" s="16" t="str">
        <f aca="false">IF($D172="","",IF($J172="환불",0,IFERROR(INDEX(상품목록!$D$3:$D$102,MATCH($D172,상품목록!$A$3:$A$102,0)),0)))</f>
        <v/>
      </c>
      <c r="I172" s="10"/>
      <c r="J172" s="10"/>
      <c r="K172" s="10"/>
    </row>
    <row r="173" customFormat="false" ht="15" hidden="false" customHeight="true" outlineLevel="0" collapsed="false">
      <c r="A173" s="12"/>
      <c r="B173" s="10"/>
      <c r="C173" s="15" t="str">
        <f aca="false">IF($B173="","",IFERROR(INDEX(회원명부!$B$3:$B$502,MATCH($B173,회원명부!$A$3:$A$502,0)),"미등록회원"))</f>
        <v/>
      </c>
      <c r="D173" s="10"/>
      <c r="E173" s="16" t="str">
        <f aca="false">IF($D173="","",IF($J173="환불",0,IFERROR(INDEX(상품목록!$B$3:$B$102,MATCH($D173,상품목록!$A$3:$A$102,0)),0)))</f>
        <v/>
      </c>
      <c r="F173" s="16" t="str">
        <f aca="false">IF($D173="","",IFERROR(INDEX(상품목록!$C$3:$C$102,MATCH($D173,상품목록!$A$3:$A$102,0)),0))</f>
        <v/>
      </c>
      <c r="G173" s="17" t="str">
        <f aca="false">IF(OR($A173="",$F173=""),"",$A173+$F173)</f>
        <v/>
      </c>
      <c r="H173" s="16" t="str">
        <f aca="false">IF($D173="","",IF($J173="환불",0,IFERROR(INDEX(상품목록!$D$3:$D$102,MATCH($D173,상품목록!$A$3:$A$102,0)),0)))</f>
        <v/>
      </c>
      <c r="I173" s="10"/>
      <c r="J173" s="10"/>
      <c r="K173" s="10"/>
    </row>
    <row r="174" customFormat="false" ht="15" hidden="false" customHeight="true" outlineLevel="0" collapsed="false">
      <c r="A174" s="12"/>
      <c r="B174" s="10"/>
      <c r="C174" s="15" t="str">
        <f aca="false">IF($B174="","",IFERROR(INDEX(회원명부!$B$3:$B$502,MATCH($B174,회원명부!$A$3:$A$502,0)),"미등록회원"))</f>
        <v/>
      </c>
      <c r="D174" s="10"/>
      <c r="E174" s="16" t="str">
        <f aca="false">IF($D174="","",IF($J174="환불",0,IFERROR(INDEX(상품목록!$B$3:$B$102,MATCH($D174,상품목록!$A$3:$A$102,0)),0)))</f>
        <v/>
      </c>
      <c r="F174" s="16" t="str">
        <f aca="false">IF($D174="","",IFERROR(INDEX(상품목록!$C$3:$C$102,MATCH($D174,상품목록!$A$3:$A$102,0)),0))</f>
        <v/>
      </c>
      <c r="G174" s="17" t="str">
        <f aca="false">IF(OR($A174="",$F174=""),"",$A174+$F174)</f>
        <v/>
      </c>
      <c r="H174" s="16" t="str">
        <f aca="false">IF($D174="","",IF($J174="환불",0,IFERROR(INDEX(상품목록!$D$3:$D$102,MATCH($D174,상품목록!$A$3:$A$102,0)),0)))</f>
        <v/>
      </c>
      <c r="I174" s="10"/>
      <c r="J174" s="10"/>
      <c r="K174" s="10"/>
    </row>
    <row r="175" customFormat="false" ht="15" hidden="false" customHeight="true" outlineLevel="0" collapsed="false">
      <c r="A175" s="12"/>
      <c r="B175" s="10"/>
      <c r="C175" s="15" t="str">
        <f aca="false">IF($B175="","",IFERROR(INDEX(회원명부!$B$3:$B$502,MATCH($B175,회원명부!$A$3:$A$502,0)),"미등록회원"))</f>
        <v/>
      </c>
      <c r="D175" s="10"/>
      <c r="E175" s="16" t="str">
        <f aca="false">IF($D175="","",IF($J175="환불",0,IFERROR(INDEX(상품목록!$B$3:$B$102,MATCH($D175,상품목록!$A$3:$A$102,0)),0)))</f>
        <v/>
      </c>
      <c r="F175" s="16" t="str">
        <f aca="false">IF($D175="","",IFERROR(INDEX(상품목록!$C$3:$C$102,MATCH($D175,상품목록!$A$3:$A$102,0)),0))</f>
        <v/>
      </c>
      <c r="G175" s="17" t="str">
        <f aca="false">IF(OR($A175="",$F175=""),"",$A175+$F175)</f>
        <v/>
      </c>
      <c r="H175" s="16" t="str">
        <f aca="false">IF($D175="","",IF($J175="환불",0,IFERROR(INDEX(상품목록!$D$3:$D$102,MATCH($D175,상품목록!$A$3:$A$102,0)),0)))</f>
        <v/>
      </c>
      <c r="I175" s="10"/>
      <c r="J175" s="10"/>
      <c r="K175" s="10"/>
    </row>
    <row r="176" customFormat="false" ht="15" hidden="false" customHeight="true" outlineLevel="0" collapsed="false">
      <c r="A176" s="12"/>
      <c r="B176" s="10"/>
      <c r="C176" s="15" t="str">
        <f aca="false">IF($B176="","",IFERROR(INDEX(회원명부!$B$3:$B$502,MATCH($B176,회원명부!$A$3:$A$502,0)),"미등록회원"))</f>
        <v/>
      </c>
      <c r="D176" s="10"/>
      <c r="E176" s="16" t="str">
        <f aca="false">IF($D176="","",IF($J176="환불",0,IFERROR(INDEX(상품목록!$B$3:$B$102,MATCH($D176,상품목록!$A$3:$A$102,0)),0)))</f>
        <v/>
      </c>
      <c r="F176" s="16" t="str">
        <f aca="false">IF($D176="","",IFERROR(INDEX(상품목록!$C$3:$C$102,MATCH($D176,상품목록!$A$3:$A$102,0)),0))</f>
        <v/>
      </c>
      <c r="G176" s="17" t="str">
        <f aca="false">IF(OR($A176="",$F176=""),"",$A176+$F176)</f>
        <v/>
      </c>
      <c r="H176" s="16" t="str">
        <f aca="false">IF($D176="","",IF($J176="환불",0,IFERROR(INDEX(상품목록!$D$3:$D$102,MATCH($D176,상품목록!$A$3:$A$102,0)),0)))</f>
        <v/>
      </c>
      <c r="I176" s="10"/>
      <c r="J176" s="10"/>
      <c r="K176" s="10"/>
    </row>
    <row r="177" customFormat="false" ht="15" hidden="false" customHeight="true" outlineLevel="0" collapsed="false">
      <c r="A177" s="12"/>
      <c r="B177" s="10"/>
      <c r="C177" s="15" t="str">
        <f aca="false">IF($B177="","",IFERROR(INDEX(회원명부!$B$3:$B$502,MATCH($B177,회원명부!$A$3:$A$502,0)),"미등록회원"))</f>
        <v/>
      </c>
      <c r="D177" s="10"/>
      <c r="E177" s="16" t="str">
        <f aca="false">IF($D177="","",IF($J177="환불",0,IFERROR(INDEX(상품목록!$B$3:$B$102,MATCH($D177,상품목록!$A$3:$A$102,0)),0)))</f>
        <v/>
      </c>
      <c r="F177" s="16" t="str">
        <f aca="false">IF($D177="","",IFERROR(INDEX(상품목록!$C$3:$C$102,MATCH($D177,상품목록!$A$3:$A$102,0)),0))</f>
        <v/>
      </c>
      <c r="G177" s="17" t="str">
        <f aca="false">IF(OR($A177="",$F177=""),"",$A177+$F177)</f>
        <v/>
      </c>
      <c r="H177" s="16" t="str">
        <f aca="false">IF($D177="","",IF($J177="환불",0,IFERROR(INDEX(상품목록!$D$3:$D$102,MATCH($D177,상품목록!$A$3:$A$102,0)),0)))</f>
        <v/>
      </c>
      <c r="I177" s="10"/>
      <c r="J177" s="10"/>
      <c r="K177" s="10"/>
    </row>
    <row r="178" customFormat="false" ht="15" hidden="false" customHeight="true" outlineLevel="0" collapsed="false">
      <c r="A178" s="12"/>
      <c r="B178" s="10"/>
      <c r="C178" s="15" t="str">
        <f aca="false">IF($B178="","",IFERROR(INDEX(회원명부!$B$3:$B$502,MATCH($B178,회원명부!$A$3:$A$502,0)),"미등록회원"))</f>
        <v/>
      </c>
      <c r="D178" s="10"/>
      <c r="E178" s="16" t="str">
        <f aca="false">IF($D178="","",IF($J178="환불",0,IFERROR(INDEX(상품목록!$B$3:$B$102,MATCH($D178,상품목록!$A$3:$A$102,0)),0)))</f>
        <v/>
      </c>
      <c r="F178" s="16" t="str">
        <f aca="false">IF($D178="","",IFERROR(INDEX(상품목록!$C$3:$C$102,MATCH($D178,상품목록!$A$3:$A$102,0)),0))</f>
        <v/>
      </c>
      <c r="G178" s="17" t="str">
        <f aca="false">IF(OR($A178="",$F178=""),"",$A178+$F178)</f>
        <v/>
      </c>
      <c r="H178" s="16" t="str">
        <f aca="false">IF($D178="","",IF($J178="환불",0,IFERROR(INDEX(상품목록!$D$3:$D$102,MATCH($D178,상품목록!$A$3:$A$102,0)),0)))</f>
        <v/>
      </c>
      <c r="I178" s="10"/>
      <c r="J178" s="10"/>
      <c r="K178" s="10"/>
    </row>
    <row r="179" customFormat="false" ht="15" hidden="false" customHeight="true" outlineLevel="0" collapsed="false">
      <c r="A179" s="12"/>
      <c r="B179" s="10"/>
      <c r="C179" s="15" t="str">
        <f aca="false">IF($B179="","",IFERROR(INDEX(회원명부!$B$3:$B$502,MATCH($B179,회원명부!$A$3:$A$502,0)),"미등록회원"))</f>
        <v/>
      </c>
      <c r="D179" s="10"/>
      <c r="E179" s="16" t="str">
        <f aca="false">IF($D179="","",IF($J179="환불",0,IFERROR(INDEX(상품목록!$B$3:$B$102,MATCH($D179,상품목록!$A$3:$A$102,0)),0)))</f>
        <v/>
      </c>
      <c r="F179" s="16" t="str">
        <f aca="false">IF($D179="","",IFERROR(INDEX(상품목록!$C$3:$C$102,MATCH($D179,상품목록!$A$3:$A$102,0)),0))</f>
        <v/>
      </c>
      <c r="G179" s="17" t="str">
        <f aca="false">IF(OR($A179="",$F179=""),"",$A179+$F179)</f>
        <v/>
      </c>
      <c r="H179" s="16" t="str">
        <f aca="false">IF($D179="","",IF($J179="환불",0,IFERROR(INDEX(상품목록!$D$3:$D$102,MATCH($D179,상품목록!$A$3:$A$102,0)),0)))</f>
        <v/>
      </c>
      <c r="I179" s="10"/>
      <c r="J179" s="10"/>
      <c r="K179" s="10"/>
    </row>
    <row r="180" customFormat="false" ht="15" hidden="false" customHeight="true" outlineLevel="0" collapsed="false">
      <c r="A180" s="12"/>
      <c r="B180" s="10"/>
      <c r="C180" s="15" t="str">
        <f aca="false">IF($B180="","",IFERROR(INDEX(회원명부!$B$3:$B$502,MATCH($B180,회원명부!$A$3:$A$502,0)),"미등록회원"))</f>
        <v/>
      </c>
      <c r="D180" s="10"/>
      <c r="E180" s="16" t="str">
        <f aca="false">IF($D180="","",IF($J180="환불",0,IFERROR(INDEX(상품목록!$B$3:$B$102,MATCH($D180,상품목록!$A$3:$A$102,0)),0)))</f>
        <v/>
      </c>
      <c r="F180" s="16" t="str">
        <f aca="false">IF($D180="","",IFERROR(INDEX(상품목록!$C$3:$C$102,MATCH($D180,상품목록!$A$3:$A$102,0)),0))</f>
        <v/>
      </c>
      <c r="G180" s="17" t="str">
        <f aca="false">IF(OR($A180="",$F180=""),"",$A180+$F180)</f>
        <v/>
      </c>
      <c r="H180" s="16" t="str">
        <f aca="false">IF($D180="","",IF($J180="환불",0,IFERROR(INDEX(상품목록!$D$3:$D$102,MATCH($D180,상품목록!$A$3:$A$102,0)),0)))</f>
        <v/>
      </c>
      <c r="I180" s="10"/>
      <c r="J180" s="10"/>
      <c r="K180" s="10"/>
    </row>
    <row r="181" customFormat="false" ht="15" hidden="false" customHeight="true" outlineLevel="0" collapsed="false">
      <c r="A181" s="12"/>
      <c r="B181" s="10"/>
      <c r="C181" s="15" t="str">
        <f aca="false">IF($B181="","",IFERROR(INDEX(회원명부!$B$3:$B$502,MATCH($B181,회원명부!$A$3:$A$502,0)),"미등록회원"))</f>
        <v/>
      </c>
      <c r="D181" s="10"/>
      <c r="E181" s="16" t="str">
        <f aca="false">IF($D181="","",IF($J181="환불",0,IFERROR(INDEX(상품목록!$B$3:$B$102,MATCH($D181,상품목록!$A$3:$A$102,0)),0)))</f>
        <v/>
      </c>
      <c r="F181" s="16" t="str">
        <f aca="false">IF($D181="","",IFERROR(INDEX(상품목록!$C$3:$C$102,MATCH($D181,상품목록!$A$3:$A$102,0)),0))</f>
        <v/>
      </c>
      <c r="G181" s="17" t="str">
        <f aca="false">IF(OR($A181="",$F181=""),"",$A181+$F181)</f>
        <v/>
      </c>
      <c r="H181" s="16" t="str">
        <f aca="false">IF($D181="","",IF($J181="환불",0,IFERROR(INDEX(상품목록!$D$3:$D$102,MATCH($D181,상품목록!$A$3:$A$102,0)),0)))</f>
        <v/>
      </c>
      <c r="I181" s="10"/>
      <c r="J181" s="10"/>
      <c r="K181" s="10"/>
    </row>
    <row r="182" customFormat="false" ht="15" hidden="false" customHeight="true" outlineLevel="0" collapsed="false">
      <c r="A182" s="12"/>
      <c r="B182" s="10"/>
      <c r="C182" s="15" t="str">
        <f aca="false">IF($B182="","",IFERROR(INDEX(회원명부!$B$3:$B$502,MATCH($B182,회원명부!$A$3:$A$502,0)),"미등록회원"))</f>
        <v/>
      </c>
      <c r="D182" s="10"/>
      <c r="E182" s="16" t="str">
        <f aca="false">IF($D182="","",IF($J182="환불",0,IFERROR(INDEX(상품목록!$B$3:$B$102,MATCH($D182,상품목록!$A$3:$A$102,0)),0)))</f>
        <v/>
      </c>
      <c r="F182" s="16" t="str">
        <f aca="false">IF($D182="","",IFERROR(INDEX(상품목록!$C$3:$C$102,MATCH($D182,상품목록!$A$3:$A$102,0)),0))</f>
        <v/>
      </c>
      <c r="G182" s="17" t="str">
        <f aca="false">IF(OR($A182="",$F182=""),"",$A182+$F182)</f>
        <v/>
      </c>
      <c r="H182" s="16" t="str">
        <f aca="false">IF($D182="","",IF($J182="환불",0,IFERROR(INDEX(상품목록!$D$3:$D$102,MATCH($D182,상품목록!$A$3:$A$102,0)),0)))</f>
        <v/>
      </c>
      <c r="I182" s="10"/>
      <c r="J182" s="10"/>
      <c r="K182" s="10"/>
    </row>
    <row r="183" customFormat="false" ht="15" hidden="false" customHeight="true" outlineLevel="0" collapsed="false">
      <c r="A183" s="12"/>
      <c r="B183" s="10"/>
      <c r="C183" s="15" t="str">
        <f aca="false">IF($B183="","",IFERROR(INDEX(회원명부!$B$3:$B$502,MATCH($B183,회원명부!$A$3:$A$502,0)),"미등록회원"))</f>
        <v/>
      </c>
      <c r="D183" s="10"/>
      <c r="E183" s="16" t="str">
        <f aca="false">IF($D183="","",IF($J183="환불",0,IFERROR(INDEX(상품목록!$B$3:$B$102,MATCH($D183,상품목록!$A$3:$A$102,0)),0)))</f>
        <v/>
      </c>
      <c r="F183" s="16" t="str">
        <f aca="false">IF($D183="","",IFERROR(INDEX(상품목록!$C$3:$C$102,MATCH($D183,상품목록!$A$3:$A$102,0)),0))</f>
        <v/>
      </c>
      <c r="G183" s="17" t="str">
        <f aca="false">IF(OR($A183="",$F183=""),"",$A183+$F183)</f>
        <v/>
      </c>
      <c r="H183" s="16" t="str">
        <f aca="false">IF($D183="","",IF($J183="환불",0,IFERROR(INDEX(상품목록!$D$3:$D$102,MATCH($D183,상품목록!$A$3:$A$102,0)),0)))</f>
        <v/>
      </c>
      <c r="I183" s="10"/>
      <c r="J183" s="10"/>
      <c r="K183" s="10"/>
    </row>
    <row r="184" customFormat="false" ht="15" hidden="false" customHeight="true" outlineLevel="0" collapsed="false">
      <c r="A184" s="12"/>
      <c r="B184" s="10"/>
      <c r="C184" s="15" t="str">
        <f aca="false">IF($B184="","",IFERROR(INDEX(회원명부!$B$3:$B$502,MATCH($B184,회원명부!$A$3:$A$502,0)),"미등록회원"))</f>
        <v/>
      </c>
      <c r="D184" s="10"/>
      <c r="E184" s="16" t="str">
        <f aca="false">IF($D184="","",IF($J184="환불",0,IFERROR(INDEX(상품목록!$B$3:$B$102,MATCH($D184,상품목록!$A$3:$A$102,0)),0)))</f>
        <v/>
      </c>
      <c r="F184" s="16" t="str">
        <f aca="false">IF($D184="","",IFERROR(INDEX(상품목록!$C$3:$C$102,MATCH($D184,상품목록!$A$3:$A$102,0)),0))</f>
        <v/>
      </c>
      <c r="G184" s="17" t="str">
        <f aca="false">IF(OR($A184="",$F184=""),"",$A184+$F184)</f>
        <v/>
      </c>
      <c r="H184" s="16" t="str">
        <f aca="false">IF($D184="","",IF($J184="환불",0,IFERROR(INDEX(상품목록!$D$3:$D$102,MATCH($D184,상품목록!$A$3:$A$102,0)),0)))</f>
        <v/>
      </c>
      <c r="I184" s="10"/>
      <c r="J184" s="10"/>
      <c r="K184" s="10"/>
    </row>
    <row r="185" customFormat="false" ht="15" hidden="false" customHeight="true" outlineLevel="0" collapsed="false">
      <c r="A185" s="12"/>
      <c r="B185" s="10"/>
      <c r="C185" s="15" t="str">
        <f aca="false">IF($B185="","",IFERROR(INDEX(회원명부!$B$3:$B$502,MATCH($B185,회원명부!$A$3:$A$502,0)),"미등록회원"))</f>
        <v/>
      </c>
      <c r="D185" s="10"/>
      <c r="E185" s="16" t="str">
        <f aca="false">IF($D185="","",IF($J185="환불",0,IFERROR(INDEX(상품목록!$B$3:$B$102,MATCH($D185,상품목록!$A$3:$A$102,0)),0)))</f>
        <v/>
      </c>
      <c r="F185" s="16" t="str">
        <f aca="false">IF($D185="","",IFERROR(INDEX(상품목록!$C$3:$C$102,MATCH($D185,상품목록!$A$3:$A$102,0)),0))</f>
        <v/>
      </c>
      <c r="G185" s="17" t="str">
        <f aca="false">IF(OR($A185="",$F185=""),"",$A185+$F185)</f>
        <v/>
      </c>
      <c r="H185" s="16" t="str">
        <f aca="false">IF($D185="","",IF($J185="환불",0,IFERROR(INDEX(상품목록!$D$3:$D$102,MATCH($D185,상품목록!$A$3:$A$102,0)),0)))</f>
        <v/>
      </c>
      <c r="I185" s="10"/>
      <c r="J185" s="10"/>
      <c r="K185" s="10"/>
    </row>
    <row r="186" customFormat="false" ht="15" hidden="false" customHeight="true" outlineLevel="0" collapsed="false">
      <c r="A186" s="12"/>
      <c r="B186" s="10"/>
      <c r="C186" s="15" t="str">
        <f aca="false">IF($B186="","",IFERROR(INDEX(회원명부!$B$3:$B$502,MATCH($B186,회원명부!$A$3:$A$502,0)),"미등록회원"))</f>
        <v/>
      </c>
      <c r="D186" s="10"/>
      <c r="E186" s="16" t="str">
        <f aca="false">IF($D186="","",IF($J186="환불",0,IFERROR(INDEX(상품목록!$B$3:$B$102,MATCH($D186,상품목록!$A$3:$A$102,0)),0)))</f>
        <v/>
      </c>
      <c r="F186" s="16" t="str">
        <f aca="false">IF($D186="","",IFERROR(INDEX(상품목록!$C$3:$C$102,MATCH($D186,상품목록!$A$3:$A$102,0)),0))</f>
        <v/>
      </c>
      <c r="G186" s="17" t="str">
        <f aca="false">IF(OR($A186="",$F186=""),"",$A186+$F186)</f>
        <v/>
      </c>
      <c r="H186" s="16" t="str">
        <f aca="false">IF($D186="","",IF($J186="환불",0,IFERROR(INDEX(상품목록!$D$3:$D$102,MATCH($D186,상품목록!$A$3:$A$102,0)),0)))</f>
        <v/>
      </c>
      <c r="I186" s="10"/>
      <c r="J186" s="10"/>
      <c r="K186" s="10"/>
    </row>
    <row r="187" customFormat="false" ht="15" hidden="false" customHeight="true" outlineLevel="0" collapsed="false">
      <c r="A187" s="12"/>
      <c r="B187" s="10"/>
      <c r="C187" s="15" t="str">
        <f aca="false">IF($B187="","",IFERROR(INDEX(회원명부!$B$3:$B$502,MATCH($B187,회원명부!$A$3:$A$502,0)),"미등록회원"))</f>
        <v/>
      </c>
      <c r="D187" s="10"/>
      <c r="E187" s="16" t="str">
        <f aca="false">IF($D187="","",IF($J187="환불",0,IFERROR(INDEX(상품목록!$B$3:$B$102,MATCH($D187,상품목록!$A$3:$A$102,0)),0)))</f>
        <v/>
      </c>
      <c r="F187" s="16" t="str">
        <f aca="false">IF($D187="","",IFERROR(INDEX(상품목록!$C$3:$C$102,MATCH($D187,상품목록!$A$3:$A$102,0)),0))</f>
        <v/>
      </c>
      <c r="G187" s="17" t="str">
        <f aca="false">IF(OR($A187="",$F187=""),"",$A187+$F187)</f>
        <v/>
      </c>
      <c r="H187" s="16" t="str">
        <f aca="false">IF($D187="","",IF($J187="환불",0,IFERROR(INDEX(상품목록!$D$3:$D$102,MATCH($D187,상품목록!$A$3:$A$102,0)),0)))</f>
        <v/>
      </c>
      <c r="I187" s="10"/>
      <c r="J187" s="10"/>
      <c r="K187" s="10"/>
    </row>
    <row r="188" customFormat="false" ht="15" hidden="false" customHeight="true" outlineLevel="0" collapsed="false">
      <c r="A188" s="12"/>
      <c r="B188" s="10"/>
      <c r="C188" s="15" t="str">
        <f aca="false">IF($B188="","",IFERROR(INDEX(회원명부!$B$3:$B$502,MATCH($B188,회원명부!$A$3:$A$502,0)),"미등록회원"))</f>
        <v/>
      </c>
      <c r="D188" s="10"/>
      <c r="E188" s="16" t="str">
        <f aca="false">IF($D188="","",IF($J188="환불",0,IFERROR(INDEX(상품목록!$B$3:$B$102,MATCH($D188,상품목록!$A$3:$A$102,0)),0)))</f>
        <v/>
      </c>
      <c r="F188" s="16" t="str">
        <f aca="false">IF($D188="","",IFERROR(INDEX(상품목록!$C$3:$C$102,MATCH($D188,상품목록!$A$3:$A$102,0)),0))</f>
        <v/>
      </c>
      <c r="G188" s="17" t="str">
        <f aca="false">IF(OR($A188="",$F188=""),"",$A188+$F188)</f>
        <v/>
      </c>
      <c r="H188" s="16" t="str">
        <f aca="false">IF($D188="","",IF($J188="환불",0,IFERROR(INDEX(상품목록!$D$3:$D$102,MATCH($D188,상품목록!$A$3:$A$102,0)),0)))</f>
        <v/>
      </c>
      <c r="I188" s="10"/>
      <c r="J188" s="10"/>
      <c r="K188" s="10"/>
    </row>
    <row r="189" customFormat="false" ht="15" hidden="false" customHeight="true" outlineLevel="0" collapsed="false">
      <c r="A189" s="12"/>
      <c r="B189" s="10"/>
      <c r="C189" s="15" t="str">
        <f aca="false">IF($B189="","",IFERROR(INDEX(회원명부!$B$3:$B$502,MATCH($B189,회원명부!$A$3:$A$502,0)),"미등록회원"))</f>
        <v/>
      </c>
      <c r="D189" s="10"/>
      <c r="E189" s="16" t="str">
        <f aca="false">IF($D189="","",IF($J189="환불",0,IFERROR(INDEX(상품목록!$B$3:$B$102,MATCH($D189,상품목록!$A$3:$A$102,0)),0)))</f>
        <v/>
      </c>
      <c r="F189" s="16" t="str">
        <f aca="false">IF($D189="","",IFERROR(INDEX(상품목록!$C$3:$C$102,MATCH($D189,상품목록!$A$3:$A$102,0)),0))</f>
        <v/>
      </c>
      <c r="G189" s="17" t="str">
        <f aca="false">IF(OR($A189="",$F189=""),"",$A189+$F189)</f>
        <v/>
      </c>
      <c r="H189" s="16" t="str">
        <f aca="false">IF($D189="","",IF($J189="환불",0,IFERROR(INDEX(상품목록!$D$3:$D$102,MATCH($D189,상품목록!$A$3:$A$102,0)),0)))</f>
        <v/>
      </c>
      <c r="I189" s="10"/>
      <c r="J189" s="10"/>
      <c r="K189" s="10"/>
    </row>
    <row r="190" customFormat="false" ht="15" hidden="false" customHeight="true" outlineLevel="0" collapsed="false">
      <c r="A190" s="12"/>
      <c r="B190" s="10"/>
      <c r="C190" s="15" t="str">
        <f aca="false">IF($B190="","",IFERROR(INDEX(회원명부!$B$3:$B$502,MATCH($B190,회원명부!$A$3:$A$502,0)),"미등록회원"))</f>
        <v/>
      </c>
      <c r="D190" s="10"/>
      <c r="E190" s="16" t="str">
        <f aca="false">IF($D190="","",IF($J190="환불",0,IFERROR(INDEX(상품목록!$B$3:$B$102,MATCH($D190,상품목록!$A$3:$A$102,0)),0)))</f>
        <v/>
      </c>
      <c r="F190" s="16" t="str">
        <f aca="false">IF($D190="","",IFERROR(INDEX(상품목록!$C$3:$C$102,MATCH($D190,상품목록!$A$3:$A$102,0)),0))</f>
        <v/>
      </c>
      <c r="G190" s="17" t="str">
        <f aca="false">IF(OR($A190="",$F190=""),"",$A190+$F190)</f>
        <v/>
      </c>
      <c r="H190" s="16" t="str">
        <f aca="false">IF($D190="","",IF($J190="환불",0,IFERROR(INDEX(상품목록!$D$3:$D$102,MATCH($D190,상품목록!$A$3:$A$102,0)),0)))</f>
        <v/>
      </c>
      <c r="I190" s="10"/>
      <c r="J190" s="10"/>
      <c r="K190" s="10"/>
    </row>
    <row r="191" customFormat="false" ht="15" hidden="false" customHeight="true" outlineLevel="0" collapsed="false">
      <c r="A191" s="12"/>
      <c r="B191" s="10"/>
      <c r="C191" s="15" t="str">
        <f aca="false">IF($B191="","",IFERROR(INDEX(회원명부!$B$3:$B$502,MATCH($B191,회원명부!$A$3:$A$502,0)),"미등록회원"))</f>
        <v/>
      </c>
      <c r="D191" s="10"/>
      <c r="E191" s="16" t="str">
        <f aca="false">IF($D191="","",IF($J191="환불",0,IFERROR(INDEX(상품목록!$B$3:$B$102,MATCH($D191,상품목록!$A$3:$A$102,0)),0)))</f>
        <v/>
      </c>
      <c r="F191" s="16" t="str">
        <f aca="false">IF($D191="","",IFERROR(INDEX(상품목록!$C$3:$C$102,MATCH($D191,상품목록!$A$3:$A$102,0)),0))</f>
        <v/>
      </c>
      <c r="G191" s="17" t="str">
        <f aca="false">IF(OR($A191="",$F191=""),"",$A191+$F191)</f>
        <v/>
      </c>
      <c r="H191" s="16" t="str">
        <f aca="false">IF($D191="","",IF($J191="환불",0,IFERROR(INDEX(상품목록!$D$3:$D$102,MATCH($D191,상품목록!$A$3:$A$102,0)),0)))</f>
        <v/>
      </c>
      <c r="I191" s="10"/>
      <c r="J191" s="10"/>
      <c r="K191" s="10"/>
    </row>
    <row r="192" customFormat="false" ht="15" hidden="false" customHeight="true" outlineLevel="0" collapsed="false">
      <c r="A192" s="12"/>
      <c r="B192" s="10"/>
      <c r="C192" s="15" t="str">
        <f aca="false">IF($B192="","",IFERROR(INDEX(회원명부!$B$3:$B$502,MATCH($B192,회원명부!$A$3:$A$502,0)),"미등록회원"))</f>
        <v/>
      </c>
      <c r="D192" s="10"/>
      <c r="E192" s="16" t="str">
        <f aca="false">IF($D192="","",IF($J192="환불",0,IFERROR(INDEX(상품목록!$B$3:$B$102,MATCH($D192,상품목록!$A$3:$A$102,0)),0)))</f>
        <v/>
      </c>
      <c r="F192" s="16" t="str">
        <f aca="false">IF($D192="","",IFERROR(INDEX(상품목록!$C$3:$C$102,MATCH($D192,상품목록!$A$3:$A$102,0)),0))</f>
        <v/>
      </c>
      <c r="G192" s="17" t="str">
        <f aca="false">IF(OR($A192="",$F192=""),"",$A192+$F192)</f>
        <v/>
      </c>
      <c r="H192" s="16" t="str">
        <f aca="false">IF($D192="","",IF($J192="환불",0,IFERROR(INDEX(상품목록!$D$3:$D$102,MATCH($D192,상품목록!$A$3:$A$102,0)),0)))</f>
        <v/>
      </c>
      <c r="I192" s="10"/>
      <c r="J192" s="10"/>
      <c r="K192" s="10"/>
    </row>
    <row r="193" customFormat="false" ht="15" hidden="false" customHeight="true" outlineLevel="0" collapsed="false">
      <c r="A193" s="12"/>
      <c r="B193" s="10"/>
      <c r="C193" s="15" t="str">
        <f aca="false">IF($B193="","",IFERROR(INDEX(회원명부!$B$3:$B$502,MATCH($B193,회원명부!$A$3:$A$502,0)),"미등록회원"))</f>
        <v/>
      </c>
      <c r="D193" s="10"/>
      <c r="E193" s="16" t="str">
        <f aca="false">IF($D193="","",IF($J193="환불",0,IFERROR(INDEX(상품목록!$B$3:$B$102,MATCH($D193,상품목록!$A$3:$A$102,0)),0)))</f>
        <v/>
      </c>
      <c r="F193" s="16" t="str">
        <f aca="false">IF($D193="","",IFERROR(INDEX(상품목록!$C$3:$C$102,MATCH($D193,상품목록!$A$3:$A$102,0)),0))</f>
        <v/>
      </c>
      <c r="G193" s="17" t="str">
        <f aca="false">IF(OR($A193="",$F193=""),"",$A193+$F193)</f>
        <v/>
      </c>
      <c r="H193" s="16" t="str">
        <f aca="false">IF($D193="","",IF($J193="환불",0,IFERROR(INDEX(상품목록!$D$3:$D$102,MATCH($D193,상품목록!$A$3:$A$102,0)),0)))</f>
        <v/>
      </c>
      <c r="I193" s="10"/>
      <c r="J193" s="10"/>
      <c r="K193" s="10"/>
    </row>
    <row r="194" customFormat="false" ht="15" hidden="false" customHeight="true" outlineLevel="0" collapsed="false">
      <c r="A194" s="12"/>
      <c r="B194" s="10"/>
      <c r="C194" s="15" t="str">
        <f aca="false">IF($B194="","",IFERROR(INDEX(회원명부!$B$3:$B$502,MATCH($B194,회원명부!$A$3:$A$502,0)),"미등록회원"))</f>
        <v/>
      </c>
      <c r="D194" s="10"/>
      <c r="E194" s="16" t="str">
        <f aca="false">IF($D194="","",IF($J194="환불",0,IFERROR(INDEX(상품목록!$B$3:$B$102,MATCH($D194,상품목록!$A$3:$A$102,0)),0)))</f>
        <v/>
      </c>
      <c r="F194" s="16" t="str">
        <f aca="false">IF($D194="","",IFERROR(INDEX(상품목록!$C$3:$C$102,MATCH($D194,상품목록!$A$3:$A$102,0)),0))</f>
        <v/>
      </c>
      <c r="G194" s="17" t="str">
        <f aca="false">IF(OR($A194="",$F194=""),"",$A194+$F194)</f>
        <v/>
      </c>
      <c r="H194" s="16" t="str">
        <f aca="false">IF($D194="","",IF($J194="환불",0,IFERROR(INDEX(상품목록!$D$3:$D$102,MATCH($D194,상품목록!$A$3:$A$102,0)),0)))</f>
        <v/>
      </c>
      <c r="I194" s="10"/>
      <c r="J194" s="10"/>
      <c r="K194" s="10"/>
    </row>
    <row r="195" customFormat="false" ht="15" hidden="false" customHeight="true" outlineLevel="0" collapsed="false">
      <c r="A195" s="12"/>
      <c r="B195" s="10"/>
      <c r="C195" s="15" t="str">
        <f aca="false">IF($B195="","",IFERROR(INDEX(회원명부!$B$3:$B$502,MATCH($B195,회원명부!$A$3:$A$502,0)),"미등록회원"))</f>
        <v/>
      </c>
      <c r="D195" s="10"/>
      <c r="E195" s="16" t="str">
        <f aca="false">IF($D195="","",IF($J195="환불",0,IFERROR(INDEX(상품목록!$B$3:$B$102,MATCH($D195,상품목록!$A$3:$A$102,0)),0)))</f>
        <v/>
      </c>
      <c r="F195" s="16" t="str">
        <f aca="false">IF($D195="","",IFERROR(INDEX(상품목록!$C$3:$C$102,MATCH($D195,상품목록!$A$3:$A$102,0)),0))</f>
        <v/>
      </c>
      <c r="G195" s="17" t="str">
        <f aca="false">IF(OR($A195="",$F195=""),"",$A195+$F195)</f>
        <v/>
      </c>
      <c r="H195" s="16" t="str">
        <f aca="false">IF($D195="","",IF($J195="환불",0,IFERROR(INDEX(상품목록!$D$3:$D$102,MATCH($D195,상품목록!$A$3:$A$102,0)),0)))</f>
        <v/>
      </c>
      <c r="I195" s="10"/>
      <c r="J195" s="10"/>
      <c r="K195" s="10"/>
    </row>
    <row r="196" customFormat="false" ht="15" hidden="false" customHeight="true" outlineLevel="0" collapsed="false">
      <c r="A196" s="12"/>
      <c r="B196" s="10"/>
      <c r="C196" s="15" t="str">
        <f aca="false">IF($B196="","",IFERROR(INDEX(회원명부!$B$3:$B$502,MATCH($B196,회원명부!$A$3:$A$502,0)),"미등록회원"))</f>
        <v/>
      </c>
      <c r="D196" s="10"/>
      <c r="E196" s="16" t="str">
        <f aca="false">IF($D196="","",IF($J196="환불",0,IFERROR(INDEX(상품목록!$B$3:$B$102,MATCH($D196,상품목록!$A$3:$A$102,0)),0)))</f>
        <v/>
      </c>
      <c r="F196" s="16" t="str">
        <f aca="false">IF($D196="","",IFERROR(INDEX(상품목록!$C$3:$C$102,MATCH($D196,상품목록!$A$3:$A$102,0)),0))</f>
        <v/>
      </c>
      <c r="G196" s="17" t="str">
        <f aca="false">IF(OR($A196="",$F196=""),"",$A196+$F196)</f>
        <v/>
      </c>
      <c r="H196" s="16" t="str">
        <f aca="false">IF($D196="","",IF($J196="환불",0,IFERROR(INDEX(상품목록!$D$3:$D$102,MATCH($D196,상품목록!$A$3:$A$102,0)),0)))</f>
        <v/>
      </c>
      <c r="I196" s="10"/>
      <c r="J196" s="10"/>
      <c r="K196" s="10"/>
    </row>
    <row r="197" customFormat="false" ht="15" hidden="false" customHeight="true" outlineLevel="0" collapsed="false">
      <c r="A197" s="12"/>
      <c r="B197" s="10"/>
      <c r="C197" s="15" t="str">
        <f aca="false">IF($B197="","",IFERROR(INDEX(회원명부!$B$3:$B$502,MATCH($B197,회원명부!$A$3:$A$502,0)),"미등록회원"))</f>
        <v/>
      </c>
      <c r="D197" s="10"/>
      <c r="E197" s="16" t="str">
        <f aca="false">IF($D197="","",IF($J197="환불",0,IFERROR(INDEX(상품목록!$B$3:$B$102,MATCH($D197,상품목록!$A$3:$A$102,0)),0)))</f>
        <v/>
      </c>
      <c r="F197" s="16" t="str">
        <f aca="false">IF($D197="","",IFERROR(INDEX(상품목록!$C$3:$C$102,MATCH($D197,상품목록!$A$3:$A$102,0)),0))</f>
        <v/>
      </c>
      <c r="G197" s="17" t="str">
        <f aca="false">IF(OR($A197="",$F197=""),"",$A197+$F197)</f>
        <v/>
      </c>
      <c r="H197" s="16" t="str">
        <f aca="false">IF($D197="","",IF($J197="환불",0,IFERROR(INDEX(상품목록!$D$3:$D$102,MATCH($D197,상품목록!$A$3:$A$102,0)),0)))</f>
        <v/>
      </c>
      <c r="I197" s="10"/>
      <c r="J197" s="10"/>
      <c r="K197" s="10"/>
    </row>
    <row r="198" customFormat="false" ht="15" hidden="false" customHeight="true" outlineLevel="0" collapsed="false">
      <c r="A198" s="12"/>
      <c r="B198" s="10"/>
      <c r="C198" s="15" t="str">
        <f aca="false">IF($B198="","",IFERROR(INDEX(회원명부!$B$3:$B$502,MATCH($B198,회원명부!$A$3:$A$502,0)),"미등록회원"))</f>
        <v/>
      </c>
      <c r="D198" s="10"/>
      <c r="E198" s="16" t="str">
        <f aca="false">IF($D198="","",IF($J198="환불",0,IFERROR(INDEX(상품목록!$B$3:$B$102,MATCH($D198,상품목록!$A$3:$A$102,0)),0)))</f>
        <v/>
      </c>
      <c r="F198" s="16" t="str">
        <f aca="false">IF($D198="","",IFERROR(INDEX(상품목록!$C$3:$C$102,MATCH($D198,상품목록!$A$3:$A$102,0)),0))</f>
        <v/>
      </c>
      <c r="G198" s="17" t="str">
        <f aca="false">IF(OR($A198="",$F198=""),"",$A198+$F198)</f>
        <v/>
      </c>
      <c r="H198" s="16" t="str">
        <f aca="false">IF($D198="","",IF($J198="환불",0,IFERROR(INDEX(상품목록!$D$3:$D$102,MATCH($D198,상품목록!$A$3:$A$102,0)),0)))</f>
        <v/>
      </c>
      <c r="I198" s="10"/>
      <c r="J198" s="10"/>
      <c r="K198" s="10"/>
    </row>
    <row r="199" customFormat="false" ht="15" hidden="false" customHeight="true" outlineLevel="0" collapsed="false">
      <c r="A199" s="12"/>
      <c r="B199" s="10"/>
      <c r="C199" s="15" t="str">
        <f aca="false">IF($B199="","",IFERROR(INDEX(회원명부!$B$3:$B$502,MATCH($B199,회원명부!$A$3:$A$502,0)),"미등록회원"))</f>
        <v/>
      </c>
      <c r="D199" s="10"/>
      <c r="E199" s="16" t="str">
        <f aca="false">IF($D199="","",IF($J199="환불",0,IFERROR(INDEX(상품목록!$B$3:$B$102,MATCH($D199,상품목록!$A$3:$A$102,0)),0)))</f>
        <v/>
      </c>
      <c r="F199" s="16" t="str">
        <f aca="false">IF($D199="","",IFERROR(INDEX(상품목록!$C$3:$C$102,MATCH($D199,상품목록!$A$3:$A$102,0)),0))</f>
        <v/>
      </c>
      <c r="G199" s="17" t="str">
        <f aca="false">IF(OR($A199="",$F199=""),"",$A199+$F199)</f>
        <v/>
      </c>
      <c r="H199" s="16" t="str">
        <f aca="false">IF($D199="","",IF($J199="환불",0,IFERROR(INDEX(상품목록!$D$3:$D$102,MATCH($D199,상품목록!$A$3:$A$102,0)),0)))</f>
        <v/>
      </c>
      <c r="I199" s="10"/>
      <c r="J199" s="10"/>
      <c r="K199" s="10"/>
    </row>
    <row r="200" customFormat="false" ht="15" hidden="false" customHeight="true" outlineLevel="0" collapsed="false">
      <c r="A200" s="12"/>
      <c r="B200" s="10"/>
      <c r="C200" s="15" t="str">
        <f aca="false">IF($B200="","",IFERROR(INDEX(회원명부!$B$3:$B$502,MATCH($B200,회원명부!$A$3:$A$502,0)),"미등록회원"))</f>
        <v/>
      </c>
      <c r="D200" s="10"/>
      <c r="E200" s="16" t="str">
        <f aca="false">IF($D200="","",IF($J200="환불",0,IFERROR(INDEX(상품목록!$B$3:$B$102,MATCH($D200,상품목록!$A$3:$A$102,0)),0)))</f>
        <v/>
      </c>
      <c r="F200" s="16" t="str">
        <f aca="false">IF($D200="","",IFERROR(INDEX(상품목록!$C$3:$C$102,MATCH($D200,상품목록!$A$3:$A$102,0)),0))</f>
        <v/>
      </c>
      <c r="G200" s="17" t="str">
        <f aca="false">IF(OR($A200="",$F200=""),"",$A200+$F200)</f>
        <v/>
      </c>
      <c r="H200" s="16" t="str">
        <f aca="false">IF($D200="","",IF($J200="환불",0,IFERROR(INDEX(상품목록!$D$3:$D$102,MATCH($D200,상품목록!$A$3:$A$102,0)),0)))</f>
        <v/>
      </c>
      <c r="I200" s="10"/>
      <c r="J200" s="10"/>
      <c r="K200" s="10"/>
    </row>
    <row r="201" customFormat="false" ht="15" hidden="false" customHeight="true" outlineLevel="0" collapsed="false">
      <c r="A201" s="12"/>
      <c r="B201" s="10"/>
      <c r="C201" s="15" t="str">
        <f aca="false">IF($B201="","",IFERROR(INDEX(회원명부!$B$3:$B$502,MATCH($B201,회원명부!$A$3:$A$502,0)),"미등록회원"))</f>
        <v/>
      </c>
      <c r="D201" s="10"/>
      <c r="E201" s="16" t="str">
        <f aca="false">IF($D201="","",IF($J201="환불",0,IFERROR(INDEX(상품목록!$B$3:$B$102,MATCH($D201,상품목록!$A$3:$A$102,0)),0)))</f>
        <v/>
      </c>
      <c r="F201" s="16" t="str">
        <f aca="false">IF($D201="","",IFERROR(INDEX(상품목록!$C$3:$C$102,MATCH($D201,상품목록!$A$3:$A$102,0)),0))</f>
        <v/>
      </c>
      <c r="G201" s="17" t="str">
        <f aca="false">IF(OR($A201="",$F201=""),"",$A201+$F201)</f>
        <v/>
      </c>
      <c r="H201" s="16" t="str">
        <f aca="false">IF($D201="","",IF($J201="환불",0,IFERROR(INDEX(상품목록!$D$3:$D$102,MATCH($D201,상품목록!$A$3:$A$102,0)),0)))</f>
        <v/>
      </c>
      <c r="I201" s="10"/>
      <c r="J201" s="10"/>
      <c r="K201" s="10"/>
    </row>
    <row r="202" customFormat="false" ht="15" hidden="false" customHeight="true" outlineLevel="0" collapsed="false">
      <c r="A202" s="12"/>
      <c r="B202" s="10"/>
      <c r="C202" s="15" t="str">
        <f aca="false">IF($B202="","",IFERROR(INDEX(회원명부!$B$3:$B$502,MATCH($B202,회원명부!$A$3:$A$502,0)),"미등록회원"))</f>
        <v/>
      </c>
      <c r="D202" s="10"/>
      <c r="E202" s="16" t="str">
        <f aca="false">IF($D202="","",IF($J202="환불",0,IFERROR(INDEX(상품목록!$B$3:$B$102,MATCH($D202,상품목록!$A$3:$A$102,0)),0)))</f>
        <v/>
      </c>
      <c r="F202" s="16" t="str">
        <f aca="false">IF($D202="","",IFERROR(INDEX(상품목록!$C$3:$C$102,MATCH($D202,상품목록!$A$3:$A$102,0)),0))</f>
        <v/>
      </c>
      <c r="G202" s="17" t="str">
        <f aca="false">IF(OR($A202="",$F202=""),"",$A202+$F202)</f>
        <v/>
      </c>
      <c r="H202" s="16" t="str">
        <f aca="false">IF($D202="","",IF($J202="환불",0,IFERROR(INDEX(상품목록!$D$3:$D$102,MATCH($D202,상품목록!$A$3:$A$102,0)),0)))</f>
        <v/>
      </c>
      <c r="I202" s="10"/>
      <c r="J202" s="10"/>
      <c r="K202" s="10"/>
    </row>
    <row r="203" customFormat="false" ht="15" hidden="false" customHeight="true" outlineLevel="0" collapsed="false">
      <c r="A203" s="12"/>
      <c r="B203" s="10"/>
      <c r="C203" s="15" t="str">
        <f aca="false">IF($B203="","",IFERROR(INDEX(회원명부!$B$3:$B$502,MATCH($B203,회원명부!$A$3:$A$502,0)),"미등록회원"))</f>
        <v/>
      </c>
      <c r="D203" s="10"/>
      <c r="E203" s="16" t="str">
        <f aca="false">IF($D203="","",IF($J203="환불",0,IFERROR(INDEX(상품목록!$B$3:$B$102,MATCH($D203,상품목록!$A$3:$A$102,0)),0)))</f>
        <v/>
      </c>
      <c r="F203" s="16" t="str">
        <f aca="false">IF($D203="","",IFERROR(INDEX(상품목록!$C$3:$C$102,MATCH($D203,상품목록!$A$3:$A$102,0)),0))</f>
        <v/>
      </c>
      <c r="G203" s="17" t="str">
        <f aca="false">IF(OR($A203="",$F203=""),"",$A203+$F203)</f>
        <v/>
      </c>
      <c r="H203" s="16" t="str">
        <f aca="false">IF($D203="","",IF($J203="환불",0,IFERROR(INDEX(상품목록!$D$3:$D$102,MATCH($D203,상품목록!$A$3:$A$102,0)),0)))</f>
        <v/>
      </c>
      <c r="I203" s="10"/>
      <c r="J203" s="10"/>
      <c r="K203" s="10"/>
    </row>
    <row r="204" customFormat="false" ht="15" hidden="false" customHeight="true" outlineLevel="0" collapsed="false">
      <c r="A204" s="12"/>
      <c r="B204" s="10"/>
      <c r="C204" s="15" t="str">
        <f aca="false">IF($B204="","",IFERROR(INDEX(회원명부!$B$3:$B$502,MATCH($B204,회원명부!$A$3:$A$502,0)),"미등록회원"))</f>
        <v/>
      </c>
      <c r="D204" s="10"/>
      <c r="E204" s="16" t="str">
        <f aca="false">IF($D204="","",IF($J204="환불",0,IFERROR(INDEX(상품목록!$B$3:$B$102,MATCH($D204,상품목록!$A$3:$A$102,0)),0)))</f>
        <v/>
      </c>
      <c r="F204" s="16" t="str">
        <f aca="false">IF($D204="","",IFERROR(INDEX(상품목록!$C$3:$C$102,MATCH($D204,상품목록!$A$3:$A$102,0)),0))</f>
        <v/>
      </c>
      <c r="G204" s="17" t="str">
        <f aca="false">IF(OR($A204="",$F204=""),"",$A204+$F204)</f>
        <v/>
      </c>
      <c r="H204" s="16" t="str">
        <f aca="false">IF($D204="","",IF($J204="환불",0,IFERROR(INDEX(상품목록!$D$3:$D$102,MATCH($D204,상품목록!$A$3:$A$102,0)),0)))</f>
        <v/>
      </c>
      <c r="I204" s="10"/>
      <c r="J204" s="10"/>
      <c r="K204" s="10"/>
    </row>
    <row r="205" customFormat="false" ht="15" hidden="false" customHeight="true" outlineLevel="0" collapsed="false">
      <c r="A205" s="12"/>
      <c r="B205" s="10"/>
      <c r="C205" s="15" t="str">
        <f aca="false">IF($B205="","",IFERROR(INDEX(회원명부!$B$3:$B$502,MATCH($B205,회원명부!$A$3:$A$502,0)),"미등록회원"))</f>
        <v/>
      </c>
      <c r="D205" s="10"/>
      <c r="E205" s="16" t="str">
        <f aca="false">IF($D205="","",IF($J205="환불",0,IFERROR(INDEX(상품목록!$B$3:$B$102,MATCH($D205,상품목록!$A$3:$A$102,0)),0)))</f>
        <v/>
      </c>
      <c r="F205" s="16" t="str">
        <f aca="false">IF($D205="","",IFERROR(INDEX(상품목록!$C$3:$C$102,MATCH($D205,상품목록!$A$3:$A$102,0)),0))</f>
        <v/>
      </c>
      <c r="G205" s="17" t="str">
        <f aca="false">IF(OR($A205="",$F205=""),"",$A205+$F205)</f>
        <v/>
      </c>
      <c r="H205" s="16" t="str">
        <f aca="false">IF($D205="","",IF($J205="환불",0,IFERROR(INDEX(상품목록!$D$3:$D$102,MATCH($D205,상품목록!$A$3:$A$102,0)),0)))</f>
        <v/>
      </c>
      <c r="I205" s="10"/>
      <c r="J205" s="10"/>
      <c r="K205" s="10"/>
    </row>
    <row r="206" customFormat="false" ht="15" hidden="false" customHeight="true" outlineLevel="0" collapsed="false">
      <c r="A206" s="12"/>
      <c r="B206" s="10"/>
      <c r="C206" s="15" t="str">
        <f aca="false">IF($B206="","",IFERROR(INDEX(회원명부!$B$3:$B$502,MATCH($B206,회원명부!$A$3:$A$502,0)),"미등록회원"))</f>
        <v/>
      </c>
      <c r="D206" s="10"/>
      <c r="E206" s="16" t="str">
        <f aca="false">IF($D206="","",IF($J206="환불",0,IFERROR(INDEX(상품목록!$B$3:$B$102,MATCH($D206,상품목록!$A$3:$A$102,0)),0)))</f>
        <v/>
      </c>
      <c r="F206" s="16" t="str">
        <f aca="false">IF($D206="","",IFERROR(INDEX(상품목록!$C$3:$C$102,MATCH($D206,상품목록!$A$3:$A$102,0)),0))</f>
        <v/>
      </c>
      <c r="G206" s="17" t="str">
        <f aca="false">IF(OR($A206="",$F206=""),"",$A206+$F206)</f>
        <v/>
      </c>
      <c r="H206" s="16" t="str">
        <f aca="false">IF($D206="","",IF($J206="환불",0,IFERROR(INDEX(상품목록!$D$3:$D$102,MATCH($D206,상품목록!$A$3:$A$102,0)),0)))</f>
        <v/>
      </c>
      <c r="I206" s="10"/>
      <c r="J206" s="10"/>
      <c r="K206" s="10"/>
    </row>
    <row r="207" customFormat="false" ht="15" hidden="false" customHeight="true" outlineLevel="0" collapsed="false">
      <c r="A207" s="12"/>
      <c r="B207" s="10"/>
      <c r="C207" s="15" t="str">
        <f aca="false">IF($B207="","",IFERROR(INDEX(회원명부!$B$3:$B$502,MATCH($B207,회원명부!$A$3:$A$502,0)),"미등록회원"))</f>
        <v/>
      </c>
      <c r="D207" s="10"/>
      <c r="E207" s="16" t="str">
        <f aca="false">IF($D207="","",IF($J207="환불",0,IFERROR(INDEX(상품목록!$B$3:$B$102,MATCH($D207,상품목록!$A$3:$A$102,0)),0)))</f>
        <v/>
      </c>
      <c r="F207" s="16" t="str">
        <f aca="false">IF($D207="","",IFERROR(INDEX(상품목록!$C$3:$C$102,MATCH($D207,상품목록!$A$3:$A$102,0)),0))</f>
        <v/>
      </c>
      <c r="G207" s="17" t="str">
        <f aca="false">IF(OR($A207="",$F207=""),"",$A207+$F207)</f>
        <v/>
      </c>
      <c r="H207" s="16" t="str">
        <f aca="false">IF($D207="","",IF($J207="환불",0,IFERROR(INDEX(상품목록!$D$3:$D$102,MATCH($D207,상품목록!$A$3:$A$102,0)),0)))</f>
        <v/>
      </c>
      <c r="I207" s="10"/>
      <c r="J207" s="10"/>
      <c r="K207" s="10"/>
    </row>
    <row r="208" customFormat="false" ht="15" hidden="false" customHeight="true" outlineLevel="0" collapsed="false">
      <c r="A208" s="12"/>
      <c r="B208" s="10"/>
      <c r="C208" s="15" t="str">
        <f aca="false">IF($B208="","",IFERROR(INDEX(회원명부!$B$3:$B$502,MATCH($B208,회원명부!$A$3:$A$502,0)),"미등록회원"))</f>
        <v/>
      </c>
      <c r="D208" s="10"/>
      <c r="E208" s="16" t="str">
        <f aca="false">IF($D208="","",IF($J208="환불",0,IFERROR(INDEX(상품목록!$B$3:$B$102,MATCH($D208,상품목록!$A$3:$A$102,0)),0)))</f>
        <v/>
      </c>
      <c r="F208" s="16" t="str">
        <f aca="false">IF($D208="","",IFERROR(INDEX(상품목록!$C$3:$C$102,MATCH($D208,상품목록!$A$3:$A$102,0)),0))</f>
        <v/>
      </c>
      <c r="G208" s="17" t="str">
        <f aca="false">IF(OR($A208="",$F208=""),"",$A208+$F208)</f>
        <v/>
      </c>
      <c r="H208" s="16" t="str">
        <f aca="false">IF($D208="","",IF($J208="환불",0,IFERROR(INDEX(상품목록!$D$3:$D$102,MATCH($D208,상품목록!$A$3:$A$102,0)),0)))</f>
        <v/>
      </c>
      <c r="I208" s="10"/>
      <c r="J208" s="10"/>
      <c r="K208" s="10"/>
    </row>
    <row r="209" customFormat="false" ht="15" hidden="false" customHeight="true" outlineLevel="0" collapsed="false">
      <c r="A209" s="12"/>
      <c r="B209" s="10"/>
      <c r="C209" s="15" t="str">
        <f aca="false">IF($B209="","",IFERROR(INDEX(회원명부!$B$3:$B$502,MATCH($B209,회원명부!$A$3:$A$502,0)),"미등록회원"))</f>
        <v/>
      </c>
      <c r="D209" s="10"/>
      <c r="E209" s="16" t="str">
        <f aca="false">IF($D209="","",IF($J209="환불",0,IFERROR(INDEX(상품목록!$B$3:$B$102,MATCH($D209,상품목록!$A$3:$A$102,0)),0)))</f>
        <v/>
      </c>
      <c r="F209" s="16" t="str">
        <f aca="false">IF($D209="","",IFERROR(INDEX(상품목록!$C$3:$C$102,MATCH($D209,상품목록!$A$3:$A$102,0)),0))</f>
        <v/>
      </c>
      <c r="G209" s="17" t="str">
        <f aca="false">IF(OR($A209="",$F209=""),"",$A209+$F209)</f>
        <v/>
      </c>
      <c r="H209" s="16" t="str">
        <f aca="false">IF($D209="","",IF($J209="환불",0,IFERROR(INDEX(상품목록!$D$3:$D$102,MATCH($D209,상품목록!$A$3:$A$102,0)),0)))</f>
        <v/>
      </c>
      <c r="I209" s="10"/>
      <c r="J209" s="10"/>
      <c r="K209" s="10"/>
    </row>
    <row r="210" customFormat="false" ht="15" hidden="false" customHeight="true" outlineLevel="0" collapsed="false">
      <c r="A210" s="12"/>
      <c r="B210" s="10"/>
      <c r="C210" s="15" t="str">
        <f aca="false">IF($B210="","",IFERROR(INDEX(회원명부!$B$3:$B$502,MATCH($B210,회원명부!$A$3:$A$502,0)),"미등록회원"))</f>
        <v/>
      </c>
      <c r="D210" s="10"/>
      <c r="E210" s="16" t="str">
        <f aca="false">IF($D210="","",IF($J210="환불",0,IFERROR(INDEX(상품목록!$B$3:$B$102,MATCH($D210,상품목록!$A$3:$A$102,0)),0)))</f>
        <v/>
      </c>
      <c r="F210" s="16" t="str">
        <f aca="false">IF($D210="","",IFERROR(INDEX(상품목록!$C$3:$C$102,MATCH($D210,상품목록!$A$3:$A$102,0)),0))</f>
        <v/>
      </c>
      <c r="G210" s="17" t="str">
        <f aca="false">IF(OR($A210="",$F210=""),"",$A210+$F210)</f>
        <v/>
      </c>
      <c r="H210" s="16" t="str">
        <f aca="false">IF($D210="","",IF($J210="환불",0,IFERROR(INDEX(상품목록!$D$3:$D$102,MATCH($D210,상품목록!$A$3:$A$102,0)),0)))</f>
        <v/>
      </c>
      <c r="I210" s="10"/>
      <c r="J210" s="10"/>
      <c r="K210" s="10"/>
    </row>
    <row r="211" customFormat="false" ht="15" hidden="false" customHeight="true" outlineLevel="0" collapsed="false">
      <c r="A211" s="12"/>
      <c r="B211" s="10"/>
      <c r="C211" s="15" t="str">
        <f aca="false">IF($B211="","",IFERROR(INDEX(회원명부!$B$3:$B$502,MATCH($B211,회원명부!$A$3:$A$502,0)),"미등록회원"))</f>
        <v/>
      </c>
      <c r="D211" s="10"/>
      <c r="E211" s="16" t="str">
        <f aca="false">IF($D211="","",IF($J211="환불",0,IFERROR(INDEX(상품목록!$B$3:$B$102,MATCH($D211,상품목록!$A$3:$A$102,0)),0)))</f>
        <v/>
      </c>
      <c r="F211" s="16" t="str">
        <f aca="false">IF($D211="","",IFERROR(INDEX(상품목록!$C$3:$C$102,MATCH($D211,상품목록!$A$3:$A$102,0)),0))</f>
        <v/>
      </c>
      <c r="G211" s="17" t="str">
        <f aca="false">IF(OR($A211="",$F211=""),"",$A211+$F211)</f>
        <v/>
      </c>
      <c r="H211" s="16" t="str">
        <f aca="false">IF($D211="","",IF($J211="환불",0,IFERROR(INDEX(상품목록!$D$3:$D$102,MATCH($D211,상품목록!$A$3:$A$102,0)),0)))</f>
        <v/>
      </c>
      <c r="I211" s="10"/>
      <c r="J211" s="10"/>
      <c r="K211" s="10"/>
    </row>
    <row r="212" customFormat="false" ht="15" hidden="false" customHeight="true" outlineLevel="0" collapsed="false">
      <c r="A212" s="12"/>
      <c r="B212" s="10"/>
      <c r="C212" s="15" t="str">
        <f aca="false">IF($B212="","",IFERROR(INDEX(회원명부!$B$3:$B$502,MATCH($B212,회원명부!$A$3:$A$502,0)),"미등록회원"))</f>
        <v/>
      </c>
      <c r="D212" s="10"/>
      <c r="E212" s="16" t="str">
        <f aca="false">IF($D212="","",IF($J212="환불",0,IFERROR(INDEX(상품목록!$B$3:$B$102,MATCH($D212,상품목록!$A$3:$A$102,0)),0)))</f>
        <v/>
      </c>
      <c r="F212" s="16" t="str">
        <f aca="false">IF($D212="","",IFERROR(INDEX(상품목록!$C$3:$C$102,MATCH($D212,상품목록!$A$3:$A$102,0)),0))</f>
        <v/>
      </c>
      <c r="G212" s="17" t="str">
        <f aca="false">IF(OR($A212="",$F212=""),"",$A212+$F212)</f>
        <v/>
      </c>
      <c r="H212" s="16" t="str">
        <f aca="false">IF($D212="","",IF($J212="환불",0,IFERROR(INDEX(상품목록!$D$3:$D$102,MATCH($D212,상품목록!$A$3:$A$102,0)),0)))</f>
        <v/>
      </c>
      <c r="I212" s="10"/>
      <c r="J212" s="10"/>
      <c r="K212" s="10"/>
    </row>
    <row r="213" customFormat="false" ht="15" hidden="false" customHeight="true" outlineLevel="0" collapsed="false">
      <c r="A213" s="12"/>
      <c r="B213" s="10"/>
      <c r="C213" s="15" t="str">
        <f aca="false">IF($B213="","",IFERROR(INDEX(회원명부!$B$3:$B$502,MATCH($B213,회원명부!$A$3:$A$502,0)),"미등록회원"))</f>
        <v/>
      </c>
      <c r="D213" s="10"/>
      <c r="E213" s="16" t="str">
        <f aca="false">IF($D213="","",IF($J213="환불",0,IFERROR(INDEX(상품목록!$B$3:$B$102,MATCH($D213,상품목록!$A$3:$A$102,0)),0)))</f>
        <v/>
      </c>
      <c r="F213" s="16" t="str">
        <f aca="false">IF($D213="","",IFERROR(INDEX(상품목록!$C$3:$C$102,MATCH($D213,상품목록!$A$3:$A$102,0)),0))</f>
        <v/>
      </c>
      <c r="G213" s="17" t="str">
        <f aca="false">IF(OR($A213="",$F213=""),"",$A213+$F213)</f>
        <v/>
      </c>
      <c r="H213" s="16" t="str">
        <f aca="false">IF($D213="","",IF($J213="환불",0,IFERROR(INDEX(상품목록!$D$3:$D$102,MATCH($D213,상품목록!$A$3:$A$102,0)),0)))</f>
        <v/>
      </c>
      <c r="I213" s="10"/>
      <c r="J213" s="10"/>
      <c r="K213" s="10"/>
    </row>
    <row r="214" customFormat="false" ht="15" hidden="false" customHeight="true" outlineLevel="0" collapsed="false">
      <c r="A214" s="12"/>
      <c r="B214" s="10"/>
      <c r="C214" s="15" t="str">
        <f aca="false">IF($B214="","",IFERROR(INDEX(회원명부!$B$3:$B$502,MATCH($B214,회원명부!$A$3:$A$502,0)),"미등록회원"))</f>
        <v/>
      </c>
      <c r="D214" s="10"/>
      <c r="E214" s="16" t="str">
        <f aca="false">IF($D214="","",IF($J214="환불",0,IFERROR(INDEX(상품목록!$B$3:$B$102,MATCH($D214,상품목록!$A$3:$A$102,0)),0)))</f>
        <v/>
      </c>
      <c r="F214" s="16" t="str">
        <f aca="false">IF($D214="","",IFERROR(INDEX(상품목록!$C$3:$C$102,MATCH($D214,상품목록!$A$3:$A$102,0)),0))</f>
        <v/>
      </c>
      <c r="G214" s="17" t="str">
        <f aca="false">IF(OR($A214="",$F214=""),"",$A214+$F214)</f>
        <v/>
      </c>
      <c r="H214" s="16" t="str">
        <f aca="false">IF($D214="","",IF($J214="환불",0,IFERROR(INDEX(상품목록!$D$3:$D$102,MATCH($D214,상품목록!$A$3:$A$102,0)),0)))</f>
        <v/>
      </c>
      <c r="I214" s="10"/>
      <c r="J214" s="10"/>
      <c r="K214" s="10"/>
    </row>
    <row r="215" customFormat="false" ht="15" hidden="false" customHeight="true" outlineLevel="0" collapsed="false">
      <c r="A215" s="12"/>
      <c r="B215" s="10"/>
      <c r="C215" s="15" t="str">
        <f aca="false">IF($B215="","",IFERROR(INDEX(회원명부!$B$3:$B$502,MATCH($B215,회원명부!$A$3:$A$502,0)),"미등록회원"))</f>
        <v/>
      </c>
      <c r="D215" s="10"/>
      <c r="E215" s="16" t="str">
        <f aca="false">IF($D215="","",IF($J215="환불",0,IFERROR(INDEX(상품목록!$B$3:$B$102,MATCH($D215,상품목록!$A$3:$A$102,0)),0)))</f>
        <v/>
      </c>
      <c r="F215" s="16" t="str">
        <f aca="false">IF($D215="","",IFERROR(INDEX(상품목록!$C$3:$C$102,MATCH($D215,상품목록!$A$3:$A$102,0)),0))</f>
        <v/>
      </c>
      <c r="G215" s="17" t="str">
        <f aca="false">IF(OR($A215="",$F215=""),"",$A215+$F215)</f>
        <v/>
      </c>
      <c r="H215" s="16" t="str">
        <f aca="false">IF($D215="","",IF($J215="환불",0,IFERROR(INDEX(상품목록!$D$3:$D$102,MATCH($D215,상품목록!$A$3:$A$102,0)),0)))</f>
        <v/>
      </c>
      <c r="I215" s="10"/>
      <c r="J215" s="10"/>
      <c r="K215" s="10"/>
    </row>
    <row r="216" customFormat="false" ht="15" hidden="false" customHeight="true" outlineLevel="0" collapsed="false">
      <c r="A216" s="12"/>
      <c r="B216" s="10"/>
      <c r="C216" s="15" t="str">
        <f aca="false">IF($B216="","",IFERROR(INDEX(회원명부!$B$3:$B$502,MATCH($B216,회원명부!$A$3:$A$502,0)),"미등록회원"))</f>
        <v/>
      </c>
      <c r="D216" s="10"/>
      <c r="E216" s="16" t="str">
        <f aca="false">IF($D216="","",IF($J216="환불",0,IFERROR(INDEX(상품목록!$B$3:$B$102,MATCH($D216,상품목록!$A$3:$A$102,0)),0)))</f>
        <v/>
      </c>
      <c r="F216" s="16" t="str">
        <f aca="false">IF($D216="","",IFERROR(INDEX(상품목록!$C$3:$C$102,MATCH($D216,상품목록!$A$3:$A$102,0)),0))</f>
        <v/>
      </c>
      <c r="G216" s="17" t="str">
        <f aca="false">IF(OR($A216="",$F216=""),"",$A216+$F216)</f>
        <v/>
      </c>
      <c r="H216" s="16" t="str">
        <f aca="false">IF($D216="","",IF($J216="환불",0,IFERROR(INDEX(상품목록!$D$3:$D$102,MATCH($D216,상품목록!$A$3:$A$102,0)),0)))</f>
        <v/>
      </c>
      <c r="I216" s="10"/>
      <c r="J216" s="10"/>
      <c r="K216" s="10"/>
    </row>
    <row r="217" customFormat="false" ht="15" hidden="false" customHeight="true" outlineLevel="0" collapsed="false">
      <c r="A217" s="12"/>
      <c r="B217" s="10"/>
      <c r="C217" s="15" t="str">
        <f aca="false">IF($B217="","",IFERROR(INDEX(회원명부!$B$3:$B$502,MATCH($B217,회원명부!$A$3:$A$502,0)),"미등록회원"))</f>
        <v/>
      </c>
      <c r="D217" s="10"/>
      <c r="E217" s="16" t="str">
        <f aca="false">IF($D217="","",IF($J217="환불",0,IFERROR(INDEX(상품목록!$B$3:$B$102,MATCH($D217,상품목록!$A$3:$A$102,0)),0)))</f>
        <v/>
      </c>
      <c r="F217" s="16" t="str">
        <f aca="false">IF($D217="","",IFERROR(INDEX(상품목록!$C$3:$C$102,MATCH($D217,상품목록!$A$3:$A$102,0)),0))</f>
        <v/>
      </c>
      <c r="G217" s="17" t="str">
        <f aca="false">IF(OR($A217="",$F217=""),"",$A217+$F217)</f>
        <v/>
      </c>
      <c r="H217" s="16" t="str">
        <f aca="false">IF($D217="","",IF($J217="환불",0,IFERROR(INDEX(상품목록!$D$3:$D$102,MATCH($D217,상품목록!$A$3:$A$102,0)),0)))</f>
        <v/>
      </c>
      <c r="I217" s="10"/>
      <c r="J217" s="10"/>
      <c r="K217" s="10"/>
    </row>
    <row r="218" customFormat="false" ht="15" hidden="false" customHeight="true" outlineLevel="0" collapsed="false">
      <c r="A218" s="12"/>
      <c r="B218" s="10"/>
      <c r="C218" s="15" t="str">
        <f aca="false">IF($B218="","",IFERROR(INDEX(회원명부!$B$3:$B$502,MATCH($B218,회원명부!$A$3:$A$502,0)),"미등록회원"))</f>
        <v/>
      </c>
      <c r="D218" s="10"/>
      <c r="E218" s="16" t="str">
        <f aca="false">IF($D218="","",IF($J218="환불",0,IFERROR(INDEX(상품목록!$B$3:$B$102,MATCH($D218,상품목록!$A$3:$A$102,0)),0)))</f>
        <v/>
      </c>
      <c r="F218" s="16" t="str">
        <f aca="false">IF($D218="","",IFERROR(INDEX(상품목록!$C$3:$C$102,MATCH($D218,상품목록!$A$3:$A$102,0)),0))</f>
        <v/>
      </c>
      <c r="G218" s="17" t="str">
        <f aca="false">IF(OR($A218="",$F218=""),"",$A218+$F218)</f>
        <v/>
      </c>
      <c r="H218" s="16" t="str">
        <f aca="false">IF($D218="","",IF($J218="환불",0,IFERROR(INDEX(상품목록!$D$3:$D$102,MATCH($D218,상품목록!$A$3:$A$102,0)),0)))</f>
        <v/>
      </c>
      <c r="I218" s="10"/>
      <c r="J218" s="10"/>
      <c r="K218" s="10"/>
    </row>
    <row r="219" customFormat="false" ht="15" hidden="false" customHeight="true" outlineLevel="0" collapsed="false">
      <c r="A219" s="12"/>
      <c r="B219" s="10"/>
      <c r="C219" s="15" t="str">
        <f aca="false">IF($B219="","",IFERROR(INDEX(회원명부!$B$3:$B$502,MATCH($B219,회원명부!$A$3:$A$502,0)),"미등록회원"))</f>
        <v/>
      </c>
      <c r="D219" s="10"/>
      <c r="E219" s="16" t="str">
        <f aca="false">IF($D219="","",IF($J219="환불",0,IFERROR(INDEX(상품목록!$B$3:$B$102,MATCH($D219,상품목록!$A$3:$A$102,0)),0)))</f>
        <v/>
      </c>
      <c r="F219" s="16" t="str">
        <f aca="false">IF($D219="","",IFERROR(INDEX(상품목록!$C$3:$C$102,MATCH($D219,상품목록!$A$3:$A$102,0)),0))</f>
        <v/>
      </c>
      <c r="G219" s="17" t="str">
        <f aca="false">IF(OR($A219="",$F219=""),"",$A219+$F219)</f>
        <v/>
      </c>
      <c r="H219" s="16" t="str">
        <f aca="false">IF($D219="","",IF($J219="환불",0,IFERROR(INDEX(상품목록!$D$3:$D$102,MATCH($D219,상품목록!$A$3:$A$102,0)),0)))</f>
        <v/>
      </c>
      <c r="I219" s="10"/>
      <c r="J219" s="10"/>
      <c r="K219" s="10"/>
    </row>
    <row r="220" customFormat="false" ht="15" hidden="false" customHeight="true" outlineLevel="0" collapsed="false">
      <c r="A220" s="12"/>
      <c r="B220" s="10"/>
      <c r="C220" s="15" t="str">
        <f aca="false">IF($B220="","",IFERROR(INDEX(회원명부!$B$3:$B$502,MATCH($B220,회원명부!$A$3:$A$502,0)),"미등록회원"))</f>
        <v/>
      </c>
      <c r="D220" s="10"/>
      <c r="E220" s="16" t="str">
        <f aca="false">IF($D220="","",IF($J220="환불",0,IFERROR(INDEX(상품목록!$B$3:$B$102,MATCH($D220,상품목록!$A$3:$A$102,0)),0)))</f>
        <v/>
      </c>
      <c r="F220" s="16" t="str">
        <f aca="false">IF($D220="","",IFERROR(INDEX(상품목록!$C$3:$C$102,MATCH($D220,상품목록!$A$3:$A$102,0)),0))</f>
        <v/>
      </c>
      <c r="G220" s="17" t="str">
        <f aca="false">IF(OR($A220="",$F220=""),"",$A220+$F220)</f>
        <v/>
      </c>
      <c r="H220" s="16" t="str">
        <f aca="false">IF($D220="","",IF($J220="환불",0,IFERROR(INDEX(상품목록!$D$3:$D$102,MATCH($D220,상품목록!$A$3:$A$102,0)),0)))</f>
        <v/>
      </c>
      <c r="I220" s="10"/>
      <c r="J220" s="10"/>
      <c r="K220" s="10"/>
    </row>
    <row r="221" customFormat="false" ht="15" hidden="false" customHeight="true" outlineLevel="0" collapsed="false">
      <c r="A221" s="12"/>
      <c r="B221" s="10"/>
      <c r="C221" s="15" t="str">
        <f aca="false">IF($B221="","",IFERROR(INDEX(회원명부!$B$3:$B$502,MATCH($B221,회원명부!$A$3:$A$502,0)),"미등록회원"))</f>
        <v/>
      </c>
      <c r="D221" s="10"/>
      <c r="E221" s="16" t="str">
        <f aca="false">IF($D221="","",IF($J221="환불",0,IFERROR(INDEX(상품목록!$B$3:$B$102,MATCH($D221,상품목록!$A$3:$A$102,0)),0)))</f>
        <v/>
      </c>
      <c r="F221" s="16" t="str">
        <f aca="false">IF($D221="","",IFERROR(INDEX(상품목록!$C$3:$C$102,MATCH($D221,상품목록!$A$3:$A$102,0)),0))</f>
        <v/>
      </c>
      <c r="G221" s="17" t="str">
        <f aca="false">IF(OR($A221="",$F221=""),"",$A221+$F221)</f>
        <v/>
      </c>
      <c r="H221" s="16" t="str">
        <f aca="false">IF($D221="","",IF($J221="환불",0,IFERROR(INDEX(상품목록!$D$3:$D$102,MATCH($D221,상품목록!$A$3:$A$102,0)),0)))</f>
        <v/>
      </c>
      <c r="I221" s="10"/>
      <c r="J221" s="10"/>
      <c r="K221" s="10"/>
    </row>
    <row r="222" customFormat="false" ht="15" hidden="false" customHeight="true" outlineLevel="0" collapsed="false">
      <c r="A222" s="12"/>
      <c r="B222" s="10"/>
      <c r="C222" s="15" t="str">
        <f aca="false">IF($B222="","",IFERROR(INDEX(회원명부!$B$3:$B$502,MATCH($B222,회원명부!$A$3:$A$502,0)),"미등록회원"))</f>
        <v/>
      </c>
      <c r="D222" s="10"/>
      <c r="E222" s="16" t="str">
        <f aca="false">IF($D222="","",IF($J222="환불",0,IFERROR(INDEX(상품목록!$B$3:$B$102,MATCH($D222,상품목록!$A$3:$A$102,0)),0)))</f>
        <v/>
      </c>
      <c r="F222" s="16" t="str">
        <f aca="false">IF($D222="","",IFERROR(INDEX(상품목록!$C$3:$C$102,MATCH($D222,상품목록!$A$3:$A$102,0)),0))</f>
        <v/>
      </c>
      <c r="G222" s="17" t="str">
        <f aca="false">IF(OR($A222="",$F222=""),"",$A222+$F222)</f>
        <v/>
      </c>
      <c r="H222" s="16" t="str">
        <f aca="false">IF($D222="","",IF($J222="환불",0,IFERROR(INDEX(상품목록!$D$3:$D$102,MATCH($D222,상품목록!$A$3:$A$102,0)),0)))</f>
        <v/>
      </c>
      <c r="I222" s="10"/>
      <c r="J222" s="10"/>
      <c r="K222" s="10"/>
    </row>
    <row r="223" customFormat="false" ht="15" hidden="false" customHeight="true" outlineLevel="0" collapsed="false">
      <c r="A223" s="12"/>
      <c r="B223" s="10"/>
      <c r="C223" s="15" t="str">
        <f aca="false">IF($B223="","",IFERROR(INDEX(회원명부!$B$3:$B$502,MATCH($B223,회원명부!$A$3:$A$502,0)),"미등록회원"))</f>
        <v/>
      </c>
      <c r="D223" s="10"/>
      <c r="E223" s="16" t="str">
        <f aca="false">IF($D223="","",IF($J223="환불",0,IFERROR(INDEX(상품목록!$B$3:$B$102,MATCH($D223,상품목록!$A$3:$A$102,0)),0)))</f>
        <v/>
      </c>
      <c r="F223" s="16" t="str">
        <f aca="false">IF($D223="","",IFERROR(INDEX(상품목록!$C$3:$C$102,MATCH($D223,상품목록!$A$3:$A$102,0)),0))</f>
        <v/>
      </c>
      <c r="G223" s="17" t="str">
        <f aca="false">IF(OR($A223="",$F223=""),"",$A223+$F223)</f>
        <v/>
      </c>
      <c r="H223" s="16" t="str">
        <f aca="false">IF($D223="","",IF($J223="환불",0,IFERROR(INDEX(상품목록!$D$3:$D$102,MATCH($D223,상품목록!$A$3:$A$102,0)),0)))</f>
        <v/>
      </c>
      <c r="I223" s="10"/>
      <c r="J223" s="10"/>
      <c r="K223" s="10"/>
    </row>
    <row r="224" customFormat="false" ht="15" hidden="false" customHeight="true" outlineLevel="0" collapsed="false">
      <c r="A224" s="12"/>
      <c r="B224" s="10"/>
      <c r="C224" s="15" t="str">
        <f aca="false">IF($B224="","",IFERROR(INDEX(회원명부!$B$3:$B$502,MATCH($B224,회원명부!$A$3:$A$502,0)),"미등록회원"))</f>
        <v/>
      </c>
      <c r="D224" s="10"/>
      <c r="E224" s="16" t="str">
        <f aca="false">IF($D224="","",IF($J224="환불",0,IFERROR(INDEX(상품목록!$B$3:$B$102,MATCH($D224,상품목록!$A$3:$A$102,0)),0)))</f>
        <v/>
      </c>
      <c r="F224" s="16" t="str">
        <f aca="false">IF($D224="","",IFERROR(INDEX(상품목록!$C$3:$C$102,MATCH($D224,상품목록!$A$3:$A$102,0)),0))</f>
        <v/>
      </c>
      <c r="G224" s="17" t="str">
        <f aca="false">IF(OR($A224="",$F224=""),"",$A224+$F224)</f>
        <v/>
      </c>
      <c r="H224" s="16" t="str">
        <f aca="false">IF($D224="","",IF($J224="환불",0,IFERROR(INDEX(상품목록!$D$3:$D$102,MATCH($D224,상품목록!$A$3:$A$102,0)),0)))</f>
        <v/>
      </c>
      <c r="I224" s="10"/>
      <c r="J224" s="10"/>
      <c r="K224" s="10"/>
    </row>
    <row r="225" customFormat="false" ht="15" hidden="false" customHeight="true" outlineLevel="0" collapsed="false">
      <c r="A225" s="12"/>
      <c r="B225" s="10"/>
      <c r="C225" s="15" t="str">
        <f aca="false">IF($B225="","",IFERROR(INDEX(회원명부!$B$3:$B$502,MATCH($B225,회원명부!$A$3:$A$502,0)),"미등록회원"))</f>
        <v/>
      </c>
      <c r="D225" s="10"/>
      <c r="E225" s="16" t="str">
        <f aca="false">IF($D225="","",IF($J225="환불",0,IFERROR(INDEX(상품목록!$B$3:$B$102,MATCH($D225,상품목록!$A$3:$A$102,0)),0)))</f>
        <v/>
      </c>
      <c r="F225" s="16" t="str">
        <f aca="false">IF($D225="","",IFERROR(INDEX(상품목록!$C$3:$C$102,MATCH($D225,상품목록!$A$3:$A$102,0)),0))</f>
        <v/>
      </c>
      <c r="G225" s="17" t="str">
        <f aca="false">IF(OR($A225="",$F225=""),"",$A225+$F225)</f>
        <v/>
      </c>
      <c r="H225" s="16" t="str">
        <f aca="false">IF($D225="","",IF($J225="환불",0,IFERROR(INDEX(상품목록!$D$3:$D$102,MATCH($D225,상품목록!$A$3:$A$102,0)),0)))</f>
        <v/>
      </c>
      <c r="I225" s="10"/>
      <c r="J225" s="10"/>
      <c r="K225" s="10"/>
    </row>
    <row r="226" customFormat="false" ht="15" hidden="false" customHeight="true" outlineLevel="0" collapsed="false">
      <c r="A226" s="12"/>
      <c r="B226" s="10"/>
      <c r="C226" s="15" t="str">
        <f aca="false">IF($B226="","",IFERROR(INDEX(회원명부!$B$3:$B$502,MATCH($B226,회원명부!$A$3:$A$502,0)),"미등록회원"))</f>
        <v/>
      </c>
      <c r="D226" s="10"/>
      <c r="E226" s="16" t="str">
        <f aca="false">IF($D226="","",IF($J226="환불",0,IFERROR(INDEX(상품목록!$B$3:$B$102,MATCH($D226,상품목록!$A$3:$A$102,0)),0)))</f>
        <v/>
      </c>
      <c r="F226" s="16" t="str">
        <f aca="false">IF($D226="","",IFERROR(INDEX(상품목록!$C$3:$C$102,MATCH($D226,상품목록!$A$3:$A$102,0)),0))</f>
        <v/>
      </c>
      <c r="G226" s="17" t="str">
        <f aca="false">IF(OR($A226="",$F226=""),"",$A226+$F226)</f>
        <v/>
      </c>
      <c r="H226" s="16" t="str">
        <f aca="false">IF($D226="","",IF($J226="환불",0,IFERROR(INDEX(상품목록!$D$3:$D$102,MATCH($D226,상품목록!$A$3:$A$102,0)),0)))</f>
        <v/>
      </c>
      <c r="I226" s="10"/>
      <c r="J226" s="10"/>
      <c r="K226" s="10"/>
    </row>
    <row r="227" customFormat="false" ht="15" hidden="false" customHeight="true" outlineLevel="0" collapsed="false">
      <c r="A227" s="12"/>
      <c r="B227" s="10"/>
      <c r="C227" s="15" t="str">
        <f aca="false">IF($B227="","",IFERROR(INDEX(회원명부!$B$3:$B$502,MATCH($B227,회원명부!$A$3:$A$502,0)),"미등록회원"))</f>
        <v/>
      </c>
      <c r="D227" s="10"/>
      <c r="E227" s="16" t="str">
        <f aca="false">IF($D227="","",IF($J227="환불",0,IFERROR(INDEX(상품목록!$B$3:$B$102,MATCH($D227,상품목록!$A$3:$A$102,0)),0)))</f>
        <v/>
      </c>
      <c r="F227" s="16" t="str">
        <f aca="false">IF($D227="","",IFERROR(INDEX(상품목록!$C$3:$C$102,MATCH($D227,상품목록!$A$3:$A$102,0)),0))</f>
        <v/>
      </c>
      <c r="G227" s="17" t="str">
        <f aca="false">IF(OR($A227="",$F227=""),"",$A227+$F227)</f>
        <v/>
      </c>
      <c r="H227" s="16" t="str">
        <f aca="false">IF($D227="","",IF($J227="환불",0,IFERROR(INDEX(상품목록!$D$3:$D$102,MATCH($D227,상품목록!$A$3:$A$102,0)),0)))</f>
        <v/>
      </c>
      <c r="I227" s="10"/>
      <c r="J227" s="10"/>
      <c r="K227" s="10"/>
    </row>
    <row r="228" customFormat="false" ht="15" hidden="false" customHeight="true" outlineLevel="0" collapsed="false">
      <c r="A228" s="12"/>
      <c r="B228" s="10"/>
      <c r="C228" s="15" t="str">
        <f aca="false">IF($B228="","",IFERROR(INDEX(회원명부!$B$3:$B$502,MATCH($B228,회원명부!$A$3:$A$502,0)),"미등록회원"))</f>
        <v/>
      </c>
      <c r="D228" s="10"/>
      <c r="E228" s="16" t="str">
        <f aca="false">IF($D228="","",IF($J228="환불",0,IFERROR(INDEX(상품목록!$B$3:$B$102,MATCH($D228,상품목록!$A$3:$A$102,0)),0)))</f>
        <v/>
      </c>
      <c r="F228" s="16" t="str">
        <f aca="false">IF($D228="","",IFERROR(INDEX(상품목록!$C$3:$C$102,MATCH($D228,상품목록!$A$3:$A$102,0)),0))</f>
        <v/>
      </c>
      <c r="G228" s="17" t="str">
        <f aca="false">IF(OR($A228="",$F228=""),"",$A228+$F228)</f>
        <v/>
      </c>
      <c r="H228" s="16" t="str">
        <f aca="false">IF($D228="","",IF($J228="환불",0,IFERROR(INDEX(상품목록!$D$3:$D$102,MATCH($D228,상품목록!$A$3:$A$102,0)),0)))</f>
        <v/>
      </c>
      <c r="I228" s="10"/>
      <c r="J228" s="10"/>
      <c r="K228" s="10"/>
    </row>
    <row r="229" customFormat="false" ht="15" hidden="false" customHeight="true" outlineLevel="0" collapsed="false">
      <c r="A229" s="12"/>
      <c r="B229" s="10"/>
      <c r="C229" s="15" t="str">
        <f aca="false">IF($B229="","",IFERROR(INDEX(회원명부!$B$3:$B$502,MATCH($B229,회원명부!$A$3:$A$502,0)),"미등록회원"))</f>
        <v/>
      </c>
      <c r="D229" s="10"/>
      <c r="E229" s="16" t="str">
        <f aca="false">IF($D229="","",IF($J229="환불",0,IFERROR(INDEX(상품목록!$B$3:$B$102,MATCH($D229,상품목록!$A$3:$A$102,0)),0)))</f>
        <v/>
      </c>
      <c r="F229" s="16" t="str">
        <f aca="false">IF($D229="","",IFERROR(INDEX(상품목록!$C$3:$C$102,MATCH($D229,상품목록!$A$3:$A$102,0)),0))</f>
        <v/>
      </c>
      <c r="G229" s="17" t="str">
        <f aca="false">IF(OR($A229="",$F229=""),"",$A229+$F229)</f>
        <v/>
      </c>
      <c r="H229" s="16" t="str">
        <f aca="false">IF($D229="","",IF($J229="환불",0,IFERROR(INDEX(상품목록!$D$3:$D$102,MATCH($D229,상품목록!$A$3:$A$102,0)),0)))</f>
        <v/>
      </c>
      <c r="I229" s="10"/>
      <c r="J229" s="10"/>
      <c r="K229" s="10"/>
    </row>
    <row r="230" customFormat="false" ht="15" hidden="false" customHeight="true" outlineLevel="0" collapsed="false">
      <c r="A230" s="12"/>
      <c r="B230" s="10"/>
      <c r="C230" s="15" t="str">
        <f aca="false">IF($B230="","",IFERROR(INDEX(회원명부!$B$3:$B$502,MATCH($B230,회원명부!$A$3:$A$502,0)),"미등록회원"))</f>
        <v/>
      </c>
      <c r="D230" s="10"/>
      <c r="E230" s="16" t="str">
        <f aca="false">IF($D230="","",IF($J230="환불",0,IFERROR(INDEX(상품목록!$B$3:$B$102,MATCH($D230,상품목록!$A$3:$A$102,0)),0)))</f>
        <v/>
      </c>
      <c r="F230" s="16" t="str">
        <f aca="false">IF($D230="","",IFERROR(INDEX(상품목록!$C$3:$C$102,MATCH($D230,상품목록!$A$3:$A$102,0)),0))</f>
        <v/>
      </c>
      <c r="G230" s="17" t="str">
        <f aca="false">IF(OR($A230="",$F230=""),"",$A230+$F230)</f>
        <v/>
      </c>
      <c r="H230" s="16" t="str">
        <f aca="false">IF($D230="","",IF($J230="환불",0,IFERROR(INDEX(상품목록!$D$3:$D$102,MATCH($D230,상품목록!$A$3:$A$102,0)),0)))</f>
        <v/>
      </c>
      <c r="I230" s="10"/>
      <c r="J230" s="10"/>
      <c r="K230" s="10"/>
    </row>
    <row r="231" customFormat="false" ht="15" hidden="false" customHeight="true" outlineLevel="0" collapsed="false">
      <c r="A231" s="12"/>
      <c r="B231" s="10"/>
      <c r="C231" s="15" t="str">
        <f aca="false">IF($B231="","",IFERROR(INDEX(회원명부!$B$3:$B$502,MATCH($B231,회원명부!$A$3:$A$502,0)),"미등록회원"))</f>
        <v/>
      </c>
      <c r="D231" s="10"/>
      <c r="E231" s="16" t="str">
        <f aca="false">IF($D231="","",IF($J231="환불",0,IFERROR(INDEX(상품목록!$B$3:$B$102,MATCH($D231,상품목록!$A$3:$A$102,0)),0)))</f>
        <v/>
      </c>
      <c r="F231" s="16" t="str">
        <f aca="false">IF($D231="","",IFERROR(INDEX(상품목록!$C$3:$C$102,MATCH($D231,상품목록!$A$3:$A$102,0)),0))</f>
        <v/>
      </c>
      <c r="G231" s="17" t="str">
        <f aca="false">IF(OR($A231="",$F231=""),"",$A231+$F231)</f>
        <v/>
      </c>
      <c r="H231" s="16" t="str">
        <f aca="false">IF($D231="","",IF($J231="환불",0,IFERROR(INDEX(상품목록!$D$3:$D$102,MATCH($D231,상품목록!$A$3:$A$102,0)),0)))</f>
        <v/>
      </c>
      <c r="I231" s="10"/>
      <c r="J231" s="10"/>
      <c r="K231" s="10"/>
    </row>
    <row r="232" customFormat="false" ht="15" hidden="false" customHeight="true" outlineLevel="0" collapsed="false">
      <c r="A232" s="12"/>
      <c r="B232" s="10"/>
      <c r="C232" s="15" t="str">
        <f aca="false">IF($B232="","",IFERROR(INDEX(회원명부!$B$3:$B$502,MATCH($B232,회원명부!$A$3:$A$502,0)),"미등록회원"))</f>
        <v/>
      </c>
      <c r="D232" s="10"/>
      <c r="E232" s="16" t="str">
        <f aca="false">IF($D232="","",IF($J232="환불",0,IFERROR(INDEX(상품목록!$B$3:$B$102,MATCH($D232,상품목록!$A$3:$A$102,0)),0)))</f>
        <v/>
      </c>
      <c r="F232" s="16" t="str">
        <f aca="false">IF($D232="","",IFERROR(INDEX(상품목록!$C$3:$C$102,MATCH($D232,상품목록!$A$3:$A$102,0)),0))</f>
        <v/>
      </c>
      <c r="G232" s="17" t="str">
        <f aca="false">IF(OR($A232="",$F232=""),"",$A232+$F232)</f>
        <v/>
      </c>
      <c r="H232" s="16" t="str">
        <f aca="false">IF($D232="","",IF($J232="환불",0,IFERROR(INDEX(상품목록!$D$3:$D$102,MATCH($D232,상품목록!$A$3:$A$102,0)),0)))</f>
        <v/>
      </c>
      <c r="I232" s="10"/>
      <c r="J232" s="10"/>
      <c r="K232" s="10"/>
    </row>
    <row r="233" customFormat="false" ht="15" hidden="false" customHeight="true" outlineLevel="0" collapsed="false">
      <c r="A233" s="12"/>
      <c r="B233" s="10"/>
      <c r="C233" s="15" t="str">
        <f aca="false">IF($B233="","",IFERROR(INDEX(회원명부!$B$3:$B$502,MATCH($B233,회원명부!$A$3:$A$502,0)),"미등록회원"))</f>
        <v/>
      </c>
      <c r="D233" s="10"/>
      <c r="E233" s="16" t="str">
        <f aca="false">IF($D233="","",IF($J233="환불",0,IFERROR(INDEX(상품목록!$B$3:$B$102,MATCH($D233,상품목록!$A$3:$A$102,0)),0)))</f>
        <v/>
      </c>
      <c r="F233" s="16" t="str">
        <f aca="false">IF($D233="","",IFERROR(INDEX(상품목록!$C$3:$C$102,MATCH($D233,상품목록!$A$3:$A$102,0)),0))</f>
        <v/>
      </c>
      <c r="G233" s="17" t="str">
        <f aca="false">IF(OR($A233="",$F233=""),"",$A233+$F233)</f>
        <v/>
      </c>
      <c r="H233" s="16" t="str">
        <f aca="false">IF($D233="","",IF($J233="환불",0,IFERROR(INDEX(상품목록!$D$3:$D$102,MATCH($D233,상품목록!$A$3:$A$102,0)),0)))</f>
        <v/>
      </c>
      <c r="I233" s="10"/>
      <c r="J233" s="10"/>
      <c r="K233" s="10"/>
    </row>
    <row r="234" customFormat="false" ht="15" hidden="false" customHeight="true" outlineLevel="0" collapsed="false">
      <c r="A234" s="12"/>
      <c r="B234" s="10"/>
      <c r="C234" s="15" t="str">
        <f aca="false">IF($B234="","",IFERROR(INDEX(회원명부!$B$3:$B$502,MATCH($B234,회원명부!$A$3:$A$502,0)),"미등록회원"))</f>
        <v/>
      </c>
      <c r="D234" s="10"/>
      <c r="E234" s="16" t="str">
        <f aca="false">IF($D234="","",IF($J234="환불",0,IFERROR(INDEX(상품목록!$B$3:$B$102,MATCH($D234,상품목록!$A$3:$A$102,0)),0)))</f>
        <v/>
      </c>
      <c r="F234" s="16" t="str">
        <f aca="false">IF($D234="","",IFERROR(INDEX(상품목록!$C$3:$C$102,MATCH($D234,상품목록!$A$3:$A$102,0)),0))</f>
        <v/>
      </c>
      <c r="G234" s="17" t="str">
        <f aca="false">IF(OR($A234="",$F234=""),"",$A234+$F234)</f>
        <v/>
      </c>
      <c r="H234" s="16" t="str">
        <f aca="false">IF($D234="","",IF($J234="환불",0,IFERROR(INDEX(상품목록!$D$3:$D$102,MATCH($D234,상품목록!$A$3:$A$102,0)),0)))</f>
        <v/>
      </c>
      <c r="I234" s="10"/>
      <c r="J234" s="10"/>
      <c r="K234" s="10"/>
    </row>
    <row r="235" customFormat="false" ht="15" hidden="false" customHeight="true" outlineLevel="0" collapsed="false">
      <c r="A235" s="12"/>
      <c r="B235" s="10"/>
      <c r="C235" s="15" t="str">
        <f aca="false">IF($B235="","",IFERROR(INDEX(회원명부!$B$3:$B$502,MATCH($B235,회원명부!$A$3:$A$502,0)),"미등록회원"))</f>
        <v/>
      </c>
      <c r="D235" s="10"/>
      <c r="E235" s="16" t="str">
        <f aca="false">IF($D235="","",IF($J235="환불",0,IFERROR(INDEX(상품목록!$B$3:$B$102,MATCH($D235,상품목록!$A$3:$A$102,0)),0)))</f>
        <v/>
      </c>
      <c r="F235" s="16" t="str">
        <f aca="false">IF($D235="","",IFERROR(INDEX(상품목록!$C$3:$C$102,MATCH($D235,상품목록!$A$3:$A$102,0)),0))</f>
        <v/>
      </c>
      <c r="G235" s="17" t="str">
        <f aca="false">IF(OR($A235="",$F235=""),"",$A235+$F235)</f>
        <v/>
      </c>
      <c r="H235" s="16" t="str">
        <f aca="false">IF($D235="","",IF($J235="환불",0,IFERROR(INDEX(상품목록!$D$3:$D$102,MATCH($D235,상품목록!$A$3:$A$102,0)),0)))</f>
        <v/>
      </c>
      <c r="I235" s="10"/>
      <c r="J235" s="10"/>
      <c r="K235" s="10"/>
    </row>
    <row r="236" customFormat="false" ht="15" hidden="false" customHeight="true" outlineLevel="0" collapsed="false">
      <c r="A236" s="12"/>
      <c r="B236" s="10"/>
      <c r="C236" s="15" t="str">
        <f aca="false">IF($B236="","",IFERROR(INDEX(회원명부!$B$3:$B$502,MATCH($B236,회원명부!$A$3:$A$502,0)),"미등록회원"))</f>
        <v/>
      </c>
      <c r="D236" s="10"/>
      <c r="E236" s="16" t="str">
        <f aca="false">IF($D236="","",IF($J236="환불",0,IFERROR(INDEX(상품목록!$B$3:$B$102,MATCH($D236,상품목록!$A$3:$A$102,0)),0)))</f>
        <v/>
      </c>
      <c r="F236" s="16" t="str">
        <f aca="false">IF($D236="","",IFERROR(INDEX(상품목록!$C$3:$C$102,MATCH($D236,상품목록!$A$3:$A$102,0)),0))</f>
        <v/>
      </c>
      <c r="G236" s="17" t="str">
        <f aca="false">IF(OR($A236="",$F236=""),"",$A236+$F236)</f>
        <v/>
      </c>
      <c r="H236" s="16" t="str">
        <f aca="false">IF($D236="","",IF($J236="환불",0,IFERROR(INDEX(상품목록!$D$3:$D$102,MATCH($D236,상품목록!$A$3:$A$102,0)),0)))</f>
        <v/>
      </c>
      <c r="I236" s="10"/>
      <c r="J236" s="10"/>
      <c r="K236" s="10"/>
    </row>
    <row r="237" customFormat="false" ht="15" hidden="false" customHeight="true" outlineLevel="0" collapsed="false">
      <c r="A237" s="12"/>
      <c r="B237" s="10"/>
      <c r="C237" s="15" t="str">
        <f aca="false">IF($B237="","",IFERROR(INDEX(회원명부!$B$3:$B$502,MATCH($B237,회원명부!$A$3:$A$502,0)),"미등록회원"))</f>
        <v/>
      </c>
      <c r="D237" s="10"/>
      <c r="E237" s="16" t="str">
        <f aca="false">IF($D237="","",IF($J237="환불",0,IFERROR(INDEX(상품목록!$B$3:$B$102,MATCH($D237,상품목록!$A$3:$A$102,0)),0)))</f>
        <v/>
      </c>
      <c r="F237" s="16" t="str">
        <f aca="false">IF($D237="","",IFERROR(INDEX(상품목록!$C$3:$C$102,MATCH($D237,상품목록!$A$3:$A$102,0)),0))</f>
        <v/>
      </c>
      <c r="G237" s="17" t="str">
        <f aca="false">IF(OR($A237="",$F237=""),"",$A237+$F237)</f>
        <v/>
      </c>
      <c r="H237" s="16" t="str">
        <f aca="false">IF($D237="","",IF($J237="환불",0,IFERROR(INDEX(상품목록!$D$3:$D$102,MATCH($D237,상품목록!$A$3:$A$102,0)),0)))</f>
        <v/>
      </c>
      <c r="I237" s="10"/>
      <c r="J237" s="10"/>
      <c r="K237" s="10"/>
    </row>
    <row r="238" customFormat="false" ht="15" hidden="false" customHeight="true" outlineLevel="0" collapsed="false">
      <c r="A238" s="12"/>
      <c r="B238" s="10"/>
      <c r="C238" s="15" t="str">
        <f aca="false">IF($B238="","",IFERROR(INDEX(회원명부!$B$3:$B$502,MATCH($B238,회원명부!$A$3:$A$502,0)),"미등록회원"))</f>
        <v/>
      </c>
      <c r="D238" s="10"/>
      <c r="E238" s="16" t="str">
        <f aca="false">IF($D238="","",IF($J238="환불",0,IFERROR(INDEX(상품목록!$B$3:$B$102,MATCH($D238,상품목록!$A$3:$A$102,0)),0)))</f>
        <v/>
      </c>
      <c r="F238" s="16" t="str">
        <f aca="false">IF($D238="","",IFERROR(INDEX(상품목록!$C$3:$C$102,MATCH($D238,상품목록!$A$3:$A$102,0)),0))</f>
        <v/>
      </c>
      <c r="G238" s="17" t="str">
        <f aca="false">IF(OR($A238="",$F238=""),"",$A238+$F238)</f>
        <v/>
      </c>
      <c r="H238" s="16" t="str">
        <f aca="false">IF($D238="","",IF($J238="환불",0,IFERROR(INDEX(상품목록!$D$3:$D$102,MATCH($D238,상품목록!$A$3:$A$102,0)),0)))</f>
        <v/>
      </c>
      <c r="I238" s="10"/>
      <c r="J238" s="10"/>
      <c r="K238" s="10"/>
    </row>
    <row r="239" customFormat="false" ht="15" hidden="false" customHeight="true" outlineLevel="0" collapsed="false">
      <c r="A239" s="12"/>
      <c r="B239" s="10"/>
      <c r="C239" s="15" t="str">
        <f aca="false">IF($B239="","",IFERROR(INDEX(회원명부!$B$3:$B$502,MATCH($B239,회원명부!$A$3:$A$502,0)),"미등록회원"))</f>
        <v/>
      </c>
      <c r="D239" s="10"/>
      <c r="E239" s="16" t="str">
        <f aca="false">IF($D239="","",IF($J239="환불",0,IFERROR(INDEX(상품목록!$B$3:$B$102,MATCH($D239,상품목록!$A$3:$A$102,0)),0)))</f>
        <v/>
      </c>
      <c r="F239" s="16" t="str">
        <f aca="false">IF($D239="","",IFERROR(INDEX(상품목록!$C$3:$C$102,MATCH($D239,상품목록!$A$3:$A$102,0)),0))</f>
        <v/>
      </c>
      <c r="G239" s="17" t="str">
        <f aca="false">IF(OR($A239="",$F239=""),"",$A239+$F239)</f>
        <v/>
      </c>
      <c r="H239" s="16" t="str">
        <f aca="false">IF($D239="","",IF($J239="환불",0,IFERROR(INDEX(상품목록!$D$3:$D$102,MATCH($D239,상품목록!$A$3:$A$102,0)),0)))</f>
        <v/>
      </c>
      <c r="I239" s="10"/>
      <c r="J239" s="10"/>
      <c r="K239" s="10"/>
    </row>
    <row r="240" customFormat="false" ht="15" hidden="false" customHeight="true" outlineLevel="0" collapsed="false">
      <c r="A240" s="12"/>
      <c r="B240" s="10"/>
      <c r="C240" s="15" t="str">
        <f aca="false">IF($B240="","",IFERROR(INDEX(회원명부!$B$3:$B$502,MATCH($B240,회원명부!$A$3:$A$502,0)),"미등록회원"))</f>
        <v/>
      </c>
      <c r="D240" s="10"/>
      <c r="E240" s="16" t="str">
        <f aca="false">IF($D240="","",IF($J240="환불",0,IFERROR(INDEX(상품목록!$B$3:$B$102,MATCH($D240,상품목록!$A$3:$A$102,0)),0)))</f>
        <v/>
      </c>
      <c r="F240" s="16" t="str">
        <f aca="false">IF($D240="","",IFERROR(INDEX(상품목록!$C$3:$C$102,MATCH($D240,상품목록!$A$3:$A$102,0)),0))</f>
        <v/>
      </c>
      <c r="G240" s="17" t="str">
        <f aca="false">IF(OR($A240="",$F240=""),"",$A240+$F240)</f>
        <v/>
      </c>
      <c r="H240" s="16" t="str">
        <f aca="false">IF($D240="","",IF($J240="환불",0,IFERROR(INDEX(상품목록!$D$3:$D$102,MATCH($D240,상품목록!$A$3:$A$102,0)),0)))</f>
        <v/>
      </c>
      <c r="I240" s="10"/>
      <c r="J240" s="10"/>
      <c r="K240" s="10"/>
    </row>
    <row r="241" customFormat="false" ht="15" hidden="false" customHeight="true" outlineLevel="0" collapsed="false">
      <c r="A241" s="12"/>
      <c r="B241" s="10"/>
      <c r="C241" s="15" t="str">
        <f aca="false">IF($B241="","",IFERROR(INDEX(회원명부!$B$3:$B$502,MATCH($B241,회원명부!$A$3:$A$502,0)),"미등록회원"))</f>
        <v/>
      </c>
      <c r="D241" s="10"/>
      <c r="E241" s="16" t="str">
        <f aca="false">IF($D241="","",IF($J241="환불",0,IFERROR(INDEX(상품목록!$B$3:$B$102,MATCH($D241,상품목록!$A$3:$A$102,0)),0)))</f>
        <v/>
      </c>
      <c r="F241" s="16" t="str">
        <f aca="false">IF($D241="","",IFERROR(INDEX(상품목록!$C$3:$C$102,MATCH($D241,상품목록!$A$3:$A$102,0)),0))</f>
        <v/>
      </c>
      <c r="G241" s="17" t="str">
        <f aca="false">IF(OR($A241="",$F241=""),"",$A241+$F241)</f>
        <v/>
      </c>
      <c r="H241" s="16" t="str">
        <f aca="false">IF($D241="","",IF($J241="환불",0,IFERROR(INDEX(상품목록!$D$3:$D$102,MATCH($D241,상품목록!$A$3:$A$102,0)),0)))</f>
        <v/>
      </c>
      <c r="I241" s="10"/>
      <c r="J241" s="10"/>
      <c r="K241" s="10"/>
    </row>
    <row r="242" customFormat="false" ht="15" hidden="false" customHeight="true" outlineLevel="0" collapsed="false">
      <c r="A242" s="12"/>
      <c r="B242" s="10"/>
      <c r="C242" s="15" t="str">
        <f aca="false">IF($B242="","",IFERROR(INDEX(회원명부!$B$3:$B$502,MATCH($B242,회원명부!$A$3:$A$502,0)),"미등록회원"))</f>
        <v/>
      </c>
      <c r="D242" s="10"/>
      <c r="E242" s="16" t="str">
        <f aca="false">IF($D242="","",IF($J242="환불",0,IFERROR(INDEX(상품목록!$B$3:$B$102,MATCH($D242,상품목록!$A$3:$A$102,0)),0)))</f>
        <v/>
      </c>
      <c r="F242" s="16" t="str">
        <f aca="false">IF($D242="","",IFERROR(INDEX(상품목록!$C$3:$C$102,MATCH($D242,상품목록!$A$3:$A$102,0)),0))</f>
        <v/>
      </c>
      <c r="G242" s="17" t="str">
        <f aca="false">IF(OR($A242="",$F242=""),"",$A242+$F242)</f>
        <v/>
      </c>
      <c r="H242" s="16" t="str">
        <f aca="false">IF($D242="","",IF($J242="환불",0,IFERROR(INDEX(상품목록!$D$3:$D$102,MATCH($D242,상품목록!$A$3:$A$102,0)),0)))</f>
        <v/>
      </c>
      <c r="I242" s="10"/>
      <c r="J242" s="10"/>
      <c r="K242" s="10"/>
    </row>
    <row r="243" customFormat="false" ht="15" hidden="false" customHeight="true" outlineLevel="0" collapsed="false">
      <c r="A243" s="12"/>
      <c r="B243" s="10"/>
      <c r="C243" s="15" t="str">
        <f aca="false">IF($B243="","",IFERROR(INDEX(회원명부!$B$3:$B$502,MATCH($B243,회원명부!$A$3:$A$502,0)),"미등록회원"))</f>
        <v/>
      </c>
      <c r="D243" s="10"/>
      <c r="E243" s="16" t="str">
        <f aca="false">IF($D243="","",IF($J243="환불",0,IFERROR(INDEX(상품목록!$B$3:$B$102,MATCH($D243,상품목록!$A$3:$A$102,0)),0)))</f>
        <v/>
      </c>
      <c r="F243" s="16" t="str">
        <f aca="false">IF($D243="","",IFERROR(INDEX(상품목록!$C$3:$C$102,MATCH($D243,상품목록!$A$3:$A$102,0)),0))</f>
        <v/>
      </c>
      <c r="G243" s="17" t="str">
        <f aca="false">IF(OR($A243="",$F243=""),"",$A243+$F243)</f>
        <v/>
      </c>
      <c r="H243" s="16" t="str">
        <f aca="false">IF($D243="","",IF($J243="환불",0,IFERROR(INDEX(상품목록!$D$3:$D$102,MATCH($D243,상품목록!$A$3:$A$102,0)),0)))</f>
        <v/>
      </c>
      <c r="I243" s="10"/>
      <c r="J243" s="10"/>
      <c r="K243" s="10"/>
    </row>
    <row r="244" customFormat="false" ht="15" hidden="false" customHeight="true" outlineLevel="0" collapsed="false">
      <c r="A244" s="12"/>
      <c r="B244" s="10"/>
      <c r="C244" s="15" t="str">
        <f aca="false">IF($B244="","",IFERROR(INDEX(회원명부!$B$3:$B$502,MATCH($B244,회원명부!$A$3:$A$502,0)),"미등록회원"))</f>
        <v/>
      </c>
      <c r="D244" s="10"/>
      <c r="E244" s="16" t="str">
        <f aca="false">IF($D244="","",IF($J244="환불",0,IFERROR(INDEX(상품목록!$B$3:$B$102,MATCH($D244,상품목록!$A$3:$A$102,0)),0)))</f>
        <v/>
      </c>
      <c r="F244" s="16" t="str">
        <f aca="false">IF($D244="","",IFERROR(INDEX(상품목록!$C$3:$C$102,MATCH($D244,상품목록!$A$3:$A$102,0)),0))</f>
        <v/>
      </c>
      <c r="G244" s="17" t="str">
        <f aca="false">IF(OR($A244="",$F244=""),"",$A244+$F244)</f>
        <v/>
      </c>
      <c r="H244" s="16" t="str">
        <f aca="false">IF($D244="","",IF($J244="환불",0,IFERROR(INDEX(상품목록!$D$3:$D$102,MATCH($D244,상품목록!$A$3:$A$102,0)),0)))</f>
        <v/>
      </c>
      <c r="I244" s="10"/>
      <c r="J244" s="10"/>
      <c r="K244" s="10"/>
    </row>
    <row r="245" customFormat="false" ht="15" hidden="false" customHeight="true" outlineLevel="0" collapsed="false">
      <c r="A245" s="12"/>
      <c r="B245" s="10"/>
      <c r="C245" s="15" t="str">
        <f aca="false">IF($B245="","",IFERROR(INDEX(회원명부!$B$3:$B$502,MATCH($B245,회원명부!$A$3:$A$502,0)),"미등록회원"))</f>
        <v/>
      </c>
      <c r="D245" s="10"/>
      <c r="E245" s="16" t="str">
        <f aca="false">IF($D245="","",IF($J245="환불",0,IFERROR(INDEX(상품목록!$B$3:$B$102,MATCH($D245,상품목록!$A$3:$A$102,0)),0)))</f>
        <v/>
      </c>
      <c r="F245" s="16" t="str">
        <f aca="false">IF($D245="","",IFERROR(INDEX(상품목록!$C$3:$C$102,MATCH($D245,상품목록!$A$3:$A$102,0)),0))</f>
        <v/>
      </c>
      <c r="G245" s="17" t="str">
        <f aca="false">IF(OR($A245="",$F245=""),"",$A245+$F245)</f>
        <v/>
      </c>
      <c r="H245" s="16" t="str">
        <f aca="false">IF($D245="","",IF($J245="환불",0,IFERROR(INDEX(상품목록!$D$3:$D$102,MATCH($D245,상품목록!$A$3:$A$102,0)),0)))</f>
        <v/>
      </c>
      <c r="I245" s="10"/>
      <c r="J245" s="10"/>
      <c r="K245" s="10"/>
    </row>
    <row r="246" customFormat="false" ht="15" hidden="false" customHeight="true" outlineLevel="0" collapsed="false">
      <c r="A246" s="12"/>
      <c r="B246" s="10"/>
      <c r="C246" s="15" t="str">
        <f aca="false">IF($B246="","",IFERROR(INDEX(회원명부!$B$3:$B$502,MATCH($B246,회원명부!$A$3:$A$502,0)),"미등록회원"))</f>
        <v/>
      </c>
      <c r="D246" s="10"/>
      <c r="E246" s="16" t="str">
        <f aca="false">IF($D246="","",IF($J246="환불",0,IFERROR(INDEX(상품목록!$B$3:$B$102,MATCH($D246,상품목록!$A$3:$A$102,0)),0)))</f>
        <v/>
      </c>
      <c r="F246" s="16" t="str">
        <f aca="false">IF($D246="","",IFERROR(INDEX(상품목록!$C$3:$C$102,MATCH($D246,상품목록!$A$3:$A$102,0)),0))</f>
        <v/>
      </c>
      <c r="G246" s="17" t="str">
        <f aca="false">IF(OR($A246="",$F246=""),"",$A246+$F246)</f>
        <v/>
      </c>
      <c r="H246" s="16" t="str">
        <f aca="false">IF($D246="","",IF($J246="환불",0,IFERROR(INDEX(상품목록!$D$3:$D$102,MATCH($D246,상품목록!$A$3:$A$102,0)),0)))</f>
        <v/>
      </c>
      <c r="I246" s="10"/>
      <c r="J246" s="10"/>
      <c r="K246" s="10"/>
    </row>
    <row r="247" customFormat="false" ht="15" hidden="false" customHeight="true" outlineLevel="0" collapsed="false">
      <c r="A247" s="12"/>
      <c r="B247" s="10"/>
      <c r="C247" s="15" t="str">
        <f aca="false">IF($B247="","",IFERROR(INDEX(회원명부!$B$3:$B$502,MATCH($B247,회원명부!$A$3:$A$502,0)),"미등록회원"))</f>
        <v/>
      </c>
      <c r="D247" s="10"/>
      <c r="E247" s="16" t="str">
        <f aca="false">IF($D247="","",IF($J247="환불",0,IFERROR(INDEX(상품목록!$B$3:$B$102,MATCH($D247,상품목록!$A$3:$A$102,0)),0)))</f>
        <v/>
      </c>
      <c r="F247" s="16" t="str">
        <f aca="false">IF($D247="","",IFERROR(INDEX(상품목록!$C$3:$C$102,MATCH($D247,상품목록!$A$3:$A$102,0)),0))</f>
        <v/>
      </c>
      <c r="G247" s="17" t="str">
        <f aca="false">IF(OR($A247="",$F247=""),"",$A247+$F247)</f>
        <v/>
      </c>
      <c r="H247" s="16" t="str">
        <f aca="false">IF($D247="","",IF($J247="환불",0,IFERROR(INDEX(상품목록!$D$3:$D$102,MATCH($D247,상품목록!$A$3:$A$102,0)),0)))</f>
        <v/>
      </c>
      <c r="I247" s="10"/>
      <c r="J247" s="10"/>
      <c r="K247" s="10"/>
    </row>
    <row r="248" customFormat="false" ht="15" hidden="false" customHeight="true" outlineLevel="0" collapsed="false">
      <c r="A248" s="12"/>
      <c r="B248" s="10"/>
      <c r="C248" s="15" t="str">
        <f aca="false">IF($B248="","",IFERROR(INDEX(회원명부!$B$3:$B$502,MATCH($B248,회원명부!$A$3:$A$502,0)),"미등록회원"))</f>
        <v/>
      </c>
      <c r="D248" s="10"/>
      <c r="E248" s="16" t="str">
        <f aca="false">IF($D248="","",IF($J248="환불",0,IFERROR(INDEX(상품목록!$B$3:$B$102,MATCH($D248,상품목록!$A$3:$A$102,0)),0)))</f>
        <v/>
      </c>
      <c r="F248" s="16" t="str">
        <f aca="false">IF($D248="","",IFERROR(INDEX(상품목록!$C$3:$C$102,MATCH($D248,상품목록!$A$3:$A$102,0)),0))</f>
        <v/>
      </c>
      <c r="G248" s="17" t="str">
        <f aca="false">IF(OR($A248="",$F248=""),"",$A248+$F248)</f>
        <v/>
      </c>
      <c r="H248" s="16" t="str">
        <f aca="false">IF($D248="","",IF($J248="환불",0,IFERROR(INDEX(상품목록!$D$3:$D$102,MATCH($D248,상품목록!$A$3:$A$102,0)),0)))</f>
        <v/>
      </c>
      <c r="I248" s="10"/>
      <c r="J248" s="10"/>
      <c r="K248" s="10"/>
    </row>
    <row r="249" customFormat="false" ht="15" hidden="false" customHeight="true" outlineLevel="0" collapsed="false">
      <c r="A249" s="12"/>
      <c r="B249" s="10"/>
      <c r="C249" s="15" t="str">
        <f aca="false">IF($B249="","",IFERROR(INDEX(회원명부!$B$3:$B$502,MATCH($B249,회원명부!$A$3:$A$502,0)),"미등록회원"))</f>
        <v/>
      </c>
      <c r="D249" s="10"/>
      <c r="E249" s="16" t="str">
        <f aca="false">IF($D249="","",IF($J249="환불",0,IFERROR(INDEX(상품목록!$B$3:$B$102,MATCH($D249,상품목록!$A$3:$A$102,0)),0)))</f>
        <v/>
      </c>
      <c r="F249" s="16" t="str">
        <f aca="false">IF($D249="","",IFERROR(INDEX(상품목록!$C$3:$C$102,MATCH($D249,상품목록!$A$3:$A$102,0)),0))</f>
        <v/>
      </c>
      <c r="G249" s="17" t="str">
        <f aca="false">IF(OR($A249="",$F249=""),"",$A249+$F249)</f>
        <v/>
      </c>
      <c r="H249" s="16" t="str">
        <f aca="false">IF($D249="","",IF($J249="환불",0,IFERROR(INDEX(상품목록!$D$3:$D$102,MATCH($D249,상품목록!$A$3:$A$102,0)),0)))</f>
        <v/>
      </c>
      <c r="I249" s="10"/>
      <c r="J249" s="10"/>
      <c r="K249" s="10"/>
    </row>
    <row r="250" customFormat="false" ht="15" hidden="false" customHeight="true" outlineLevel="0" collapsed="false">
      <c r="A250" s="12"/>
      <c r="B250" s="10"/>
      <c r="C250" s="15" t="str">
        <f aca="false">IF($B250="","",IFERROR(INDEX(회원명부!$B$3:$B$502,MATCH($B250,회원명부!$A$3:$A$502,0)),"미등록회원"))</f>
        <v/>
      </c>
      <c r="D250" s="10"/>
      <c r="E250" s="16" t="str">
        <f aca="false">IF($D250="","",IF($J250="환불",0,IFERROR(INDEX(상품목록!$B$3:$B$102,MATCH($D250,상품목록!$A$3:$A$102,0)),0)))</f>
        <v/>
      </c>
      <c r="F250" s="16" t="str">
        <f aca="false">IF($D250="","",IFERROR(INDEX(상품목록!$C$3:$C$102,MATCH($D250,상품목록!$A$3:$A$102,0)),0))</f>
        <v/>
      </c>
      <c r="G250" s="17" t="str">
        <f aca="false">IF(OR($A250="",$F250=""),"",$A250+$F250)</f>
        <v/>
      </c>
      <c r="H250" s="16" t="str">
        <f aca="false">IF($D250="","",IF($J250="환불",0,IFERROR(INDEX(상품목록!$D$3:$D$102,MATCH($D250,상품목록!$A$3:$A$102,0)),0)))</f>
        <v/>
      </c>
      <c r="I250" s="10"/>
      <c r="J250" s="10"/>
      <c r="K250" s="10"/>
    </row>
    <row r="251" customFormat="false" ht="15" hidden="false" customHeight="true" outlineLevel="0" collapsed="false">
      <c r="A251" s="12"/>
      <c r="B251" s="10"/>
      <c r="C251" s="15" t="str">
        <f aca="false">IF($B251="","",IFERROR(INDEX(회원명부!$B$3:$B$502,MATCH($B251,회원명부!$A$3:$A$502,0)),"미등록회원"))</f>
        <v/>
      </c>
      <c r="D251" s="10"/>
      <c r="E251" s="16" t="str">
        <f aca="false">IF($D251="","",IF($J251="환불",0,IFERROR(INDEX(상품목록!$B$3:$B$102,MATCH($D251,상품목록!$A$3:$A$102,0)),0)))</f>
        <v/>
      </c>
      <c r="F251" s="16" t="str">
        <f aca="false">IF($D251="","",IFERROR(INDEX(상품목록!$C$3:$C$102,MATCH($D251,상품목록!$A$3:$A$102,0)),0))</f>
        <v/>
      </c>
      <c r="G251" s="17" t="str">
        <f aca="false">IF(OR($A251="",$F251=""),"",$A251+$F251)</f>
        <v/>
      </c>
      <c r="H251" s="16" t="str">
        <f aca="false">IF($D251="","",IF($J251="환불",0,IFERROR(INDEX(상품목록!$D$3:$D$102,MATCH($D251,상품목록!$A$3:$A$102,0)),0)))</f>
        <v/>
      </c>
      <c r="I251" s="10"/>
      <c r="J251" s="10"/>
      <c r="K251" s="10"/>
    </row>
    <row r="252" customFormat="false" ht="15" hidden="false" customHeight="true" outlineLevel="0" collapsed="false">
      <c r="A252" s="12"/>
      <c r="B252" s="10"/>
      <c r="C252" s="15" t="str">
        <f aca="false">IF($B252="","",IFERROR(INDEX(회원명부!$B$3:$B$502,MATCH($B252,회원명부!$A$3:$A$502,0)),"미등록회원"))</f>
        <v/>
      </c>
      <c r="D252" s="10"/>
      <c r="E252" s="16" t="str">
        <f aca="false">IF($D252="","",IF($J252="환불",0,IFERROR(INDEX(상품목록!$B$3:$B$102,MATCH($D252,상품목록!$A$3:$A$102,0)),0)))</f>
        <v/>
      </c>
      <c r="F252" s="16" t="str">
        <f aca="false">IF($D252="","",IFERROR(INDEX(상품목록!$C$3:$C$102,MATCH($D252,상품목록!$A$3:$A$102,0)),0))</f>
        <v/>
      </c>
      <c r="G252" s="17" t="str">
        <f aca="false">IF(OR($A252="",$F252=""),"",$A252+$F252)</f>
        <v/>
      </c>
      <c r="H252" s="16" t="str">
        <f aca="false">IF($D252="","",IF($J252="환불",0,IFERROR(INDEX(상품목록!$D$3:$D$102,MATCH($D252,상품목록!$A$3:$A$102,0)),0)))</f>
        <v/>
      </c>
      <c r="I252" s="10"/>
      <c r="J252" s="10"/>
      <c r="K252" s="10"/>
    </row>
    <row r="253" customFormat="false" ht="15" hidden="false" customHeight="true" outlineLevel="0" collapsed="false">
      <c r="A253" s="12"/>
      <c r="B253" s="10"/>
      <c r="C253" s="15" t="str">
        <f aca="false">IF($B253="","",IFERROR(INDEX(회원명부!$B$3:$B$502,MATCH($B253,회원명부!$A$3:$A$502,0)),"미등록회원"))</f>
        <v/>
      </c>
      <c r="D253" s="10"/>
      <c r="E253" s="16" t="str">
        <f aca="false">IF($D253="","",IF($J253="환불",0,IFERROR(INDEX(상품목록!$B$3:$B$102,MATCH($D253,상품목록!$A$3:$A$102,0)),0)))</f>
        <v/>
      </c>
      <c r="F253" s="16" t="str">
        <f aca="false">IF($D253="","",IFERROR(INDEX(상품목록!$C$3:$C$102,MATCH($D253,상품목록!$A$3:$A$102,0)),0))</f>
        <v/>
      </c>
      <c r="G253" s="17" t="str">
        <f aca="false">IF(OR($A253="",$F253=""),"",$A253+$F253)</f>
        <v/>
      </c>
      <c r="H253" s="16" t="str">
        <f aca="false">IF($D253="","",IF($J253="환불",0,IFERROR(INDEX(상품목록!$D$3:$D$102,MATCH($D253,상품목록!$A$3:$A$102,0)),0)))</f>
        <v/>
      </c>
      <c r="I253" s="10"/>
      <c r="J253" s="10"/>
      <c r="K253" s="10"/>
    </row>
    <row r="254" customFormat="false" ht="15" hidden="false" customHeight="true" outlineLevel="0" collapsed="false">
      <c r="A254" s="12"/>
      <c r="B254" s="10"/>
      <c r="C254" s="15" t="str">
        <f aca="false">IF($B254="","",IFERROR(INDEX(회원명부!$B$3:$B$502,MATCH($B254,회원명부!$A$3:$A$502,0)),"미등록회원"))</f>
        <v/>
      </c>
      <c r="D254" s="10"/>
      <c r="E254" s="16" t="str">
        <f aca="false">IF($D254="","",IF($J254="환불",0,IFERROR(INDEX(상품목록!$B$3:$B$102,MATCH($D254,상품목록!$A$3:$A$102,0)),0)))</f>
        <v/>
      </c>
      <c r="F254" s="16" t="str">
        <f aca="false">IF($D254="","",IFERROR(INDEX(상품목록!$C$3:$C$102,MATCH($D254,상품목록!$A$3:$A$102,0)),0))</f>
        <v/>
      </c>
      <c r="G254" s="17" t="str">
        <f aca="false">IF(OR($A254="",$F254=""),"",$A254+$F254)</f>
        <v/>
      </c>
      <c r="H254" s="16" t="str">
        <f aca="false">IF($D254="","",IF($J254="환불",0,IFERROR(INDEX(상품목록!$D$3:$D$102,MATCH($D254,상품목록!$A$3:$A$102,0)),0)))</f>
        <v/>
      </c>
      <c r="I254" s="10"/>
      <c r="J254" s="10"/>
      <c r="K254" s="10"/>
    </row>
    <row r="255" customFormat="false" ht="15" hidden="false" customHeight="true" outlineLevel="0" collapsed="false">
      <c r="A255" s="12"/>
      <c r="B255" s="10"/>
      <c r="C255" s="15" t="str">
        <f aca="false">IF($B255="","",IFERROR(INDEX(회원명부!$B$3:$B$502,MATCH($B255,회원명부!$A$3:$A$502,0)),"미등록회원"))</f>
        <v/>
      </c>
      <c r="D255" s="10"/>
      <c r="E255" s="16" t="str">
        <f aca="false">IF($D255="","",IF($J255="환불",0,IFERROR(INDEX(상품목록!$B$3:$B$102,MATCH($D255,상품목록!$A$3:$A$102,0)),0)))</f>
        <v/>
      </c>
      <c r="F255" s="16" t="str">
        <f aca="false">IF($D255="","",IFERROR(INDEX(상품목록!$C$3:$C$102,MATCH($D255,상품목록!$A$3:$A$102,0)),0))</f>
        <v/>
      </c>
      <c r="G255" s="17" t="str">
        <f aca="false">IF(OR($A255="",$F255=""),"",$A255+$F255)</f>
        <v/>
      </c>
      <c r="H255" s="16" t="str">
        <f aca="false">IF($D255="","",IF($J255="환불",0,IFERROR(INDEX(상품목록!$D$3:$D$102,MATCH($D255,상품목록!$A$3:$A$102,0)),0)))</f>
        <v/>
      </c>
      <c r="I255" s="10"/>
      <c r="J255" s="10"/>
      <c r="K255" s="10"/>
    </row>
    <row r="256" customFormat="false" ht="15" hidden="false" customHeight="true" outlineLevel="0" collapsed="false">
      <c r="A256" s="12"/>
      <c r="B256" s="10"/>
      <c r="C256" s="15" t="str">
        <f aca="false">IF($B256="","",IFERROR(INDEX(회원명부!$B$3:$B$502,MATCH($B256,회원명부!$A$3:$A$502,0)),"미등록회원"))</f>
        <v/>
      </c>
      <c r="D256" s="10"/>
      <c r="E256" s="16" t="str">
        <f aca="false">IF($D256="","",IF($J256="환불",0,IFERROR(INDEX(상품목록!$B$3:$B$102,MATCH($D256,상품목록!$A$3:$A$102,0)),0)))</f>
        <v/>
      </c>
      <c r="F256" s="16" t="str">
        <f aca="false">IF($D256="","",IFERROR(INDEX(상품목록!$C$3:$C$102,MATCH($D256,상품목록!$A$3:$A$102,0)),0))</f>
        <v/>
      </c>
      <c r="G256" s="17" t="str">
        <f aca="false">IF(OR($A256="",$F256=""),"",$A256+$F256)</f>
        <v/>
      </c>
      <c r="H256" s="16" t="str">
        <f aca="false">IF($D256="","",IF($J256="환불",0,IFERROR(INDEX(상품목록!$D$3:$D$102,MATCH($D256,상품목록!$A$3:$A$102,0)),0)))</f>
        <v/>
      </c>
      <c r="I256" s="10"/>
      <c r="J256" s="10"/>
      <c r="K256" s="10"/>
    </row>
    <row r="257" customFormat="false" ht="15" hidden="false" customHeight="true" outlineLevel="0" collapsed="false">
      <c r="A257" s="12"/>
      <c r="B257" s="10"/>
      <c r="C257" s="15" t="str">
        <f aca="false">IF($B257="","",IFERROR(INDEX(회원명부!$B$3:$B$502,MATCH($B257,회원명부!$A$3:$A$502,0)),"미등록회원"))</f>
        <v/>
      </c>
      <c r="D257" s="10"/>
      <c r="E257" s="16" t="str">
        <f aca="false">IF($D257="","",IF($J257="환불",0,IFERROR(INDEX(상품목록!$B$3:$B$102,MATCH($D257,상품목록!$A$3:$A$102,0)),0)))</f>
        <v/>
      </c>
      <c r="F257" s="16" t="str">
        <f aca="false">IF($D257="","",IFERROR(INDEX(상품목록!$C$3:$C$102,MATCH($D257,상품목록!$A$3:$A$102,0)),0))</f>
        <v/>
      </c>
      <c r="G257" s="17" t="str">
        <f aca="false">IF(OR($A257="",$F257=""),"",$A257+$F257)</f>
        <v/>
      </c>
      <c r="H257" s="16" t="str">
        <f aca="false">IF($D257="","",IF($J257="환불",0,IFERROR(INDEX(상품목록!$D$3:$D$102,MATCH($D257,상품목록!$A$3:$A$102,0)),0)))</f>
        <v/>
      </c>
      <c r="I257" s="10"/>
      <c r="J257" s="10"/>
      <c r="K257" s="10"/>
    </row>
    <row r="258" customFormat="false" ht="15" hidden="false" customHeight="true" outlineLevel="0" collapsed="false">
      <c r="A258" s="12"/>
      <c r="B258" s="10"/>
      <c r="C258" s="15" t="str">
        <f aca="false">IF($B258="","",IFERROR(INDEX(회원명부!$B$3:$B$502,MATCH($B258,회원명부!$A$3:$A$502,0)),"미등록회원"))</f>
        <v/>
      </c>
      <c r="D258" s="10"/>
      <c r="E258" s="16" t="str">
        <f aca="false">IF($D258="","",IF($J258="환불",0,IFERROR(INDEX(상품목록!$B$3:$B$102,MATCH($D258,상품목록!$A$3:$A$102,0)),0)))</f>
        <v/>
      </c>
      <c r="F258" s="16" t="str">
        <f aca="false">IF($D258="","",IFERROR(INDEX(상품목록!$C$3:$C$102,MATCH($D258,상품목록!$A$3:$A$102,0)),0))</f>
        <v/>
      </c>
      <c r="G258" s="17" t="str">
        <f aca="false">IF(OR($A258="",$F258=""),"",$A258+$F258)</f>
        <v/>
      </c>
      <c r="H258" s="16" t="str">
        <f aca="false">IF($D258="","",IF($J258="환불",0,IFERROR(INDEX(상품목록!$D$3:$D$102,MATCH($D258,상품목록!$A$3:$A$102,0)),0)))</f>
        <v/>
      </c>
      <c r="I258" s="10"/>
      <c r="J258" s="10"/>
      <c r="K258" s="10"/>
    </row>
    <row r="259" customFormat="false" ht="15" hidden="false" customHeight="true" outlineLevel="0" collapsed="false">
      <c r="A259" s="12"/>
      <c r="B259" s="10"/>
      <c r="C259" s="15" t="str">
        <f aca="false">IF($B259="","",IFERROR(INDEX(회원명부!$B$3:$B$502,MATCH($B259,회원명부!$A$3:$A$502,0)),"미등록회원"))</f>
        <v/>
      </c>
      <c r="D259" s="10"/>
      <c r="E259" s="16" t="str">
        <f aca="false">IF($D259="","",IF($J259="환불",0,IFERROR(INDEX(상품목록!$B$3:$B$102,MATCH($D259,상품목록!$A$3:$A$102,0)),0)))</f>
        <v/>
      </c>
      <c r="F259" s="16" t="str">
        <f aca="false">IF($D259="","",IFERROR(INDEX(상품목록!$C$3:$C$102,MATCH($D259,상품목록!$A$3:$A$102,0)),0))</f>
        <v/>
      </c>
      <c r="G259" s="17" t="str">
        <f aca="false">IF(OR($A259="",$F259=""),"",$A259+$F259)</f>
        <v/>
      </c>
      <c r="H259" s="16" t="str">
        <f aca="false">IF($D259="","",IF($J259="환불",0,IFERROR(INDEX(상품목록!$D$3:$D$102,MATCH($D259,상품목록!$A$3:$A$102,0)),0)))</f>
        <v/>
      </c>
      <c r="I259" s="10"/>
      <c r="J259" s="10"/>
      <c r="K259" s="10"/>
    </row>
    <row r="260" customFormat="false" ht="15" hidden="false" customHeight="true" outlineLevel="0" collapsed="false">
      <c r="A260" s="12"/>
      <c r="B260" s="10"/>
      <c r="C260" s="15" t="str">
        <f aca="false">IF($B260="","",IFERROR(INDEX(회원명부!$B$3:$B$502,MATCH($B260,회원명부!$A$3:$A$502,0)),"미등록회원"))</f>
        <v/>
      </c>
      <c r="D260" s="10"/>
      <c r="E260" s="16" t="str">
        <f aca="false">IF($D260="","",IF($J260="환불",0,IFERROR(INDEX(상품목록!$B$3:$B$102,MATCH($D260,상품목록!$A$3:$A$102,0)),0)))</f>
        <v/>
      </c>
      <c r="F260" s="16" t="str">
        <f aca="false">IF($D260="","",IFERROR(INDEX(상품목록!$C$3:$C$102,MATCH($D260,상품목록!$A$3:$A$102,0)),0))</f>
        <v/>
      </c>
      <c r="G260" s="17" t="str">
        <f aca="false">IF(OR($A260="",$F260=""),"",$A260+$F260)</f>
        <v/>
      </c>
      <c r="H260" s="16" t="str">
        <f aca="false">IF($D260="","",IF($J260="환불",0,IFERROR(INDEX(상품목록!$D$3:$D$102,MATCH($D260,상품목록!$A$3:$A$102,0)),0)))</f>
        <v/>
      </c>
      <c r="I260" s="10"/>
      <c r="J260" s="10"/>
      <c r="K260" s="10"/>
    </row>
    <row r="261" customFormat="false" ht="15" hidden="false" customHeight="true" outlineLevel="0" collapsed="false">
      <c r="A261" s="12"/>
      <c r="B261" s="10"/>
      <c r="C261" s="15" t="str">
        <f aca="false">IF($B261="","",IFERROR(INDEX(회원명부!$B$3:$B$502,MATCH($B261,회원명부!$A$3:$A$502,0)),"미등록회원"))</f>
        <v/>
      </c>
      <c r="D261" s="10"/>
      <c r="E261" s="16" t="str">
        <f aca="false">IF($D261="","",IF($J261="환불",0,IFERROR(INDEX(상품목록!$B$3:$B$102,MATCH($D261,상품목록!$A$3:$A$102,0)),0)))</f>
        <v/>
      </c>
      <c r="F261" s="16" t="str">
        <f aca="false">IF($D261="","",IFERROR(INDEX(상품목록!$C$3:$C$102,MATCH($D261,상품목록!$A$3:$A$102,0)),0))</f>
        <v/>
      </c>
      <c r="G261" s="17" t="str">
        <f aca="false">IF(OR($A261="",$F261=""),"",$A261+$F261)</f>
        <v/>
      </c>
      <c r="H261" s="16" t="str">
        <f aca="false">IF($D261="","",IF($J261="환불",0,IFERROR(INDEX(상품목록!$D$3:$D$102,MATCH($D261,상품목록!$A$3:$A$102,0)),0)))</f>
        <v/>
      </c>
      <c r="I261" s="10"/>
      <c r="J261" s="10"/>
      <c r="K261" s="10"/>
    </row>
    <row r="262" customFormat="false" ht="15" hidden="false" customHeight="true" outlineLevel="0" collapsed="false">
      <c r="A262" s="12"/>
      <c r="B262" s="10"/>
      <c r="C262" s="15" t="str">
        <f aca="false">IF($B262="","",IFERROR(INDEX(회원명부!$B$3:$B$502,MATCH($B262,회원명부!$A$3:$A$502,0)),"미등록회원"))</f>
        <v/>
      </c>
      <c r="D262" s="10"/>
      <c r="E262" s="16" t="str">
        <f aca="false">IF($D262="","",IF($J262="환불",0,IFERROR(INDEX(상품목록!$B$3:$B$102,MATCH($D262,상품목록!$A$3:$A$102,0)),0)))</f>
        <v/>
      </c>
      <c r="F262" s="16" t="str">
        <f aca="false">IF($D262="","",IFERROR(INDEX(상품목록!$C$3:$C$102,MATCH($D262,상품목록!$A$3:$A$102,0)),0))</f>
        <v/>
      </c>
      <c r="G262" s="17" t="str">
        <f aca="false">IF(OR($A262="",$F262=""),"",$A262+$F262)</f>
        <v/>
      </c>
      <c r="H262" s="16" t="str">
        <f aca="false">IF($D262="","",IF($J262="환불",0,IFERROR(INDEX(상품목록!$D$3:$D$102,MATCH($D262,상품목록!$A$3:$A$102,0)),0)))</f>
        <v/>
      </c>
      <c r="I262" s="10"/>
      <c r="J262" s="10"/>
      <c r="K262" s="10"/>
    </row>
    <row r="263" customFormat="false" ht="15" hidden="false" customHeight="true" outlineLevel="0" collapsed="false">
      <c r="A263" s="12"/>
      <c r="B263" s="10"/>
      <c r="C263" s="15" t="str">
        <f aca="false">IF($B263="","",IFERROR(INDEX(회원명부!$B$3:$B$502,MATCH($B263,회원명부!$A$3:$A$502,0)),"미등록회원"))</f>
        <v/>
      </c>
      <c r="D263" s="10"/>
      <c r="E263" s="16" t="str">
        <f aca="false">IF($D263="","",IF($J263="환불",0,IFERROR(INDEX(상품목록!$B$3:$B$102,MATCH($D263,상품목록!$A$3:$A$102,0)),0)))</f>
        <v/>
      </c>
      <c r="F263" s="16" t="str">
        <f aca="false">IF($D263="","",IFERROR(INDEX(상품목록!$C$3:$C$102,MATCH($D263,상품목록!$A$3:$A$102,0)),0))</f>
        <v/>
      </c>
      <c r="G263" s="17" t="str">
        <f aca="false">IF(OR($A263="",$F263=""),"",$A263+$F263)</f>
        <v/>
      </c>
      <c r="H263" s="16" t="str">
        <f aca="false">IF($D263="","",IF($J263="환불",0,IFERROR(INDEX(상품목록!$D$3:$D$102,MATCH($D263,상품목록!$A$3:$A$102,0)),0)))</f>
        <v/>
      </c>
      <c r="I263" s="10"/>
      <c r="J263" s="10"/>
      <c r="K263" s="10"/>
    </row>
    <row r="264" customFormat="false" ht="15" hidden="false" customHeight="true" outlineLevel="0" collapsed="false">
      <c r="A264" s="12"/>
      <c r="B264" s="10"/>
      <c r="C264" s="15" t="str">
        <f aca="false">IF($B264="","",IFERROR(INDEX(회원명부!$B$3:$B$502,MATCH($B264,회원명부!$A$3:$A$502,0)),"미등록회원"))</f>
        <v/>
      </c>
      <c r="D264" s="10"/>
      <c r="E264" s="16" t="str">
        <f aca="false">IF($D264="","",IF($J264="환불",0,IFERROR(INDEX(상품목록!$B$3:$B$102,MATCH($D264,상품목록!$A$3:$A$102,0)),0)))</f>
        <v/>
      </c>
      <c r="F264" s="16" t="str">
        <f aca="false">IF($D264="","",IFERROR(INDEX(상품목록!$C$3:$C$102,MATCH($D264,상품목록!$A$3:$A$102,0)),0))</f>
        <v/>
      </c>
      <c r="G264" s="17" t="str">
        <f aca="false">IF(OR($A264="",$F264=""),"",$A264+$F264)</f>
        <v/>
      </c>
      <c r="H264" s="16" t="str">
        <f aca="false">IF($D264="","",IF($J264="환불",0,IFERROR(INDEX(상품목록!$D$3:$D$102,MATCH($D264,상품목록!$A$3:$A$102,0)),0)))</f>
        <v/>
      </c>
      <c r="I264" s="10"/>
      <c r="J264" s="10"/>
      <c r="K264" s="10"/>
    </row>
    <row r="265" customFormat="false" ht="15" hidden="false" customHeight="true" outlineLevel="0" collapsed="false">
      <c r="A265" s="12"/>
      <c r="B265" s="10"/>
      <c r="C265" s="15" t="str">
        <f aca="false">IF($B265="","",IFERROR(INDEX(회원명부!$B$3:$B$502,MATCH($B265,회원명부!$A$3:$A$502,0)),"미등록회원"))</f>
        <v/>
      </c>
      <c r="D265" s="10"/>
      <c r="E265" s="16" t="str">
        <f aca="false">IF($D265="","",IF($J265="환불",0,IFERROR(INDEX(상품목록!$B$3:$B$102,MATCH($D265,상품목록!$A$3:$A$102,0)),0)))</f>
        <v/>
      </c>
      <c r="F265" s="16" t="str">
        <f aca="false">IF($D265="","",IFERROR(INDEX(상품목록!$C$3:$C$102,MATCH($D265,상품목록!$A$3:$A$102,0)),0))</f>
        <v/>
      </c>
      <c r="G265" s="17" t="str">
        <f aca="false">IF(OR($A265="",$F265=""),"",$A265+$F265)</f>
        <v/>
      </c>
      <c r="H265" s="16" t="str">
        <f aca="false">IF($D265="","",IF($J265="환불",0,IFERROR(INDEX(상품목록!$D$3:$D$102,MATCH($D265,상품목록!$A$3:$A$102,0)),0)))</f>
        <v/>
      </c>
      <c r="I265" s="10"/>
      <c r="J265" s="10"/>
      <c r="K265" s="10"/>
    </row>
    <row r="266" customFormat="false" ht="15" hidden="false" customHeight="true" outlineLevel="0" collapsed="false">
      <c r="A266" s="12"/>
      <c r="B266" s="10"/>
      <c r="C266" s="15" t="str">
        <f aca="false">IF($B266="","",IFERROR(INDEX(회원명부!$B$3:$B$502,MATCH($B266,회원명부!$A$3:$A$502,0)),"미등록회원"))</f>
        <v/>
      </c>
      <c r="D266" s="10"/>
      <c r="E266" s="16" t="str">
        <f aca="false">IF($D266="","",IF($J266="환불",0,IFERROR(INDEX(상품목록!$B$3:$B$102,MATCH($D266,상품목록!$A$3:$A$102,0)),0)))</f>
        <v/>
      </c>
      <c r="F266" s="16" t="str">
        <f aca="false">IF($D266="","",IFERROR(INDEX(상품목록!$C$3:$C$102,MATCH($D266,상품목록!$A$3:$A$102,0)),0))</f>
        <v/>
      </c>
      <c r="G266" s="17" t="str">
        <f aca="false">IF(OR($A266="",$F266=""),"",$A266+$F266)</f>
        <v/>
      </c>
      <c r="H266" s="16" t="str">
        <f aca="false">IF($D266="","",IF($J266="환불",0,IFERROR(INDEX(상품목록!$D$3:$D$102,MATCH($D266,상품목록!$A$3:$A$102,0)),0)))</f>
        <v/>
      </c>
      <c r="I266" s="10"/>
      <c r="J266" s="10"/>
      <c r="K266" s="10"/>
    </row>
    <row r="267" customFormat="false" ht="15" hidden="false" customHeight="true" outlineLevel="0" collapsed="false">
      <c r="A267" s="12"/>
      <c r="B267" s="10"/>
      <c r="C267" s="15" t="str">
        <f aca="false">IF($B267="","",IFERROR(INDEX(회원명부!$B$3:$B$502,MATCH($B267,회원명부!$A$3:$A$502,0)),"미등록회원"))</f>
        <v/>
      </c>
      <c r="D267" s="10"/>
      <c r="E267" s="16" t="str">
        <f aca="false">IF($D267="","",IF($J267="환불",0,IFERROR(INDEX(상품목록!$B$3:$B$102,MATCH($D267,상품목록!$A$3:$A$102,0)),0)))</f>
        <v/>
      </c>
      <c r="F267" s="16" t="str">
        <f aca="false">IF($D267="","",IFERROR(INDEX(상품목록!$C$3:$C$102,MATCH($D267,상품목록!$A$3:$A$102,0)),0))</f>
        <v/>
      </c>
      <c r="G267" s="17" t="str">
        <f aca="false">IF(OR($A267="",$F267=""),"",$A267+$F267)</f>
        <v/>
      </c>
      <c r="H267" s="16" t="str">
        <f aca="false">IF($D267="","",IF($J267="환불",0,IFERROR(INDEX(상품목록!$D$3:$D$102,MATCH($D267,상품목록!$A$3:$A$102,0)),0)))</f>
        <v/>
      </c>
      <c r="I267" s="10"/>
      <c r="J267" s="10"/>
      <c r="K267" s="10"/>
    </row>
    <row r="268" customFormat="false" ht="15" hidden="false" customHeight="true" outlineLevel="0" collapsed="false">
      <c r="A268" s="12"/>
      <c r="B268" s="10"/>
      <c r="C268" s="15" t="str">
        <f aca="false">IF($B268="","",IFERROR(INDEX(회원명부!$B$3:$B$502,MATCH($B268,회원명부!$A$3:$A$502,0)),"미등록회원"))</f>
        <v/>
      </c>
      <c r="D268" s="10"/>
      <c r="E268" s="16" t="str">
        <f aca="false">IF($D268="","",IF($J268="환불",0,IFERROR(INDEX(상품목록!$B$3:$B$102,MATCH($D268,상품목록!$A$3:$A$102,0)),0)))</f>
        <v/>
      </c>
      <c r="F268" s="16" t="str">
        <f aca="false">IF($D268="","",IFERROR(INDEX(상품목록!$C$3:$C$102,MATCH($D268,상품목록!$A$3:$A$102,0)),0))</f>
        <v/>
      </c>
      <c r="G268" s="17" t="str">
        <f aca="false">IF(OR($A268="",$F268=""),"",$A268+$F268)</f>
        <v/>
      </c>
      <c r="H268" s="16" t="str">
        <f aca="false">IF($D268="","",IF($J268="환불",0,IFERROR(INDEX(상품목록!$D$3:$D$102,MATCH($D268,상품목록!$A$3:$A$102,0)),0)))</f>
        <v/>
      </c>
      <c r="I268" s="10"/>
      <c r="J268" s="10"/>
      <c r="K268" s="10"/>
    </row>
    <row r="269" customFormat="false" ht="15" hidden="false" customHeight="true" outlineLevel="0" collapsed="false">
      <c r="A269" s="12"/>
      <c r="B269" s="10"/>
      <c r="C269" s="15" t="str">
        <f aca="false">IF($B269="","",IFERROR(INDEX(회원명부!$B$3:$B$502,MATCH($B269,회원명부!$A$3:$A$502,0)),"미등록회원"))</f>
        <v/>
      </c>
      <c r="D269" s="10"/>
      <c r="E269" s="16" t="str">
        <f aca="false">IF($D269="","",IF($J269="환불",0,IFERROR(INDEX(상품목록!$B$3:$B$102,MATCH($D269,상품목록!$A$3:$A$102,0)),0)))</f>
        <v/>
      </c>
      <c r="F269" s="16" t="str">
        <f aca="false">IF($D269="","",IFERROR(INDEX(상품목록!$C$3:$C$102,MATCH($D269,상품목록!$A$3:$A$102,0)),0))</f>
        <v/>
      </c>
      <c r="G269" s="17" t="str">
        <f aca="false">IF(OR($A269="",$F269=""),"",$A269+$F269)</f>
        <v/>
      </c>
      <c r="H269" s="16" t="str">
        <f aca="false">IF($D269="","",IF($J269="환불",0,IFERROR(INDEX(상품목록!$D$3:$D$102,MATCH($D269,상품목록!$A$3:$A$102,0)),0)))</f>
        <v/>
      </c>
      <c r="I269" s="10"/>
      <c r="J269" s="10"/>
      <c r="K269" s="10"/>
    </row>
    <row r="270" customFormat="false" ht="15" hidden="false" customHeight="true" outlineLevel="0" collapsed="false">
      <c r="A270" s="12"/>
      <c r="B270" s="10"/>
      <c r="C270" s="15" t="str">
        <f aca="false">IF($B270="","",IFERROR(INDEX(회원명부!$B$3:$B$502,MATCH($B270,회원명부!$A$3:$A$502,0)),"미등록회원"))</f>
        <v/>
      </c>
      <c r="D270" s="10"/>
      <c r="E270" s="16" t="str">
        <f aca="false">IF($D270="","",IF($J270="환불",0,IFERROR(INDEX(상품목록!$B$3:$B$102,MATCH($D270,상품목록!$A$3:$A$102,0)),0)))</f>
        <v/>
      </c>
      <c r="F270" s="16" t="str">
        <f aca="false">IF($D270="","",IFERROR(INDEX(상품목록!$C$3:$C$102,MATCH($D270,상품목록!$A$3:$A$102,0)),0))</f>
        <v/>
      </c>
      <c r="G270" s="17" t="str">
        <f aca="false">IF(OR($A270="",$F270=""),"",$A270+$F270)</f>
        <v/>
      </c>
      <c r="H270" s="16" t="str">
        <f aca="false">IF($D270="","",IF($J270="환불",0,IFERROR(INDEX(상품목록!$D$3:$D$102,MATCH($D270,상품목록!$A$3:$A$102,0)),0)))</f>
        <v/>
      </c>
      <c r="I270" s="10"/>
      <c r="J270" s="10"/>
      <c r="K270" s="10"/>
    </row>
    <row r="271" customFormat="false" ht="15" hidden="false" customHeight="true" outlineLevel="0" collapsed="false">
      <c r="A271" s="12"/>
      <c r="B271" s="10"/>
      <c r="C271" s="15" t="str">
        <f aca="false">IF($B271="","",IFERROR(INDEX(회원명부!$B$3:$B$502,MATCH($B271,회원명부!$A$3:$A$502,0)),"미등록회원"))</f>
        <v/>
      </c>
      <c r="D271" s="10"/>
      <c r="E271" s="16" t="str">
        <f aca="false">IF($D271="","",IF($J271="환불",0,IFERROR(INDEX(상품목록!$B$3:$B$102,MATCH($D271,상품목록!$A$3:$A$102,0)),0)))</f>
        <v/>
      </c>
      <c r="F271" s="16" t="str">
        <f aca="false">IF($D271="","",IFERROR(INDEX(상품목록!$C$3:$C$102,MATCH($D271,상품목록!$A$3:$A$102,0)),0))</f>
        <v/>
      </c>
      <c r="G271" s="17" t="str">
        <f aca="false">IF(OR($A271="",$F271=""),"",$A271+$F271)</f>
        <v/>
      </c>
      <c r="H271" s="16" t="str">
        <f aca="false">IF($D271="","",IF($J271="환불",0,IFERROR(INDEX(상품목록!$D$3:$D$102,MATCH($D271,상품목록!$A$3:$A$102,0)),0)))</f>
        <v/>
      </c>
      <c r="I271" s="10"/>
      <c r="J271" s="10"/>
      <c r="K271" s="10"/>
    </row>
    <row r="272" customFormat="false" ht="15" hidden="false" customHeight="true" outlineLevel="0" collapsed="false">
      <c r="A272" s="12"/>
      <c r="B272" s="10"/>
      <c r="C272" s="15" t="str">
        <f aca="false">IF($B272="","",IFERROR(INDEX(회원명부!$B$3:$B$502,MATCH($B272,회원명부!$A$3:$A$502,0)),"미등록회원"))</f>
        <v/>
      </c>
      <c r="D272" s="10"/>
      <c r="E272" s="16" t="str">
        <f aca="false">IF($D272="","",IF($J272="환불",0,IFERROR(INDEX(상품목록!$B$3:$B$102,MATCH($D272,상품목록!$A$3:$A$102,0)),0)))</f>
        <v/>
      </c>
      <c r="F272" s="16" t="str">
        <f aca="false">IF($D272="","",IFERROR(INDEX(상품목록!$C$3:$C$102,MATCH($D272,상품목록!$A$3:$A$102,0)),0))</f>
        <v/>
      </c>
      <c r="G272" s="17" t="str">
        <f aca="false">IF(OR($A272="",$F272=""),"",$A272+$F272)</f>
        <v/>
      </c>
      <c r="H272" s="16" t="str">
        <f aca="false">IF($D272="","",IF($J272="환불",0,IFERROR(INDEX(상품목록!$D$3:$D$102,MATCH($D272,상품목록!$A$3:$A$102,0)),0)))</f>
        <v/>
      </c>
      <c r="I272" s="10"/>
      <c r="J272" s="10"/>
      <c r="K272" s="10"/>
    </row>
    <row r="273" customFormat="false" ht="15" hidden="false" customHeight="true" outlineLevel="0" collapsed="false">
      <c r="A273" s="12"/>
      <c r="B273" s="10"/>
      <c r="C273" s="15" t="str">
        <f aca="false">IF($B273="","",IFERROR(INDEX(회원명부!$B$3:$B$502,MATCH($B273,회원명부!$A$3:$A$502,0)),"미등록회원"))</f>
        <v/>
      </c>
      <c r="D273" s="10"/>
      <c r="E273" s="16" t="str">
        <f aca="false">IF($D273="","",IF($J273="환불",0,IFERROR(INDEX(상품목록!$B$3:$B$102,MATCH($D273,상품목록!$A$3:$A$102,0)),0)))</f>
        <v/>
      </c>
      <c r="F273" s="16" t="str">
        <f aca="false">IF($D273="","",IFERROR(INDEX(상품목록!$C$3:$C$102,MATCH($D273,상품목록!$A$3:$A$102,0)),0))</f>
        <v/>
      </c>
      <c r="G273" s="17" t="str">
        <f aca="false">IF(OR($A273="",$F273=""),"",$A273+$F273)</f>
        <v/>
      </c>
      <c r="H273" s="16" t="str">
        <f aca="false">IF($D273="","",IF($J273="환불",0,IFERROR(INDEX(상품목록!$D$3:$D$102,MATCH($D273,상품목록!$A$3:$A$102,0)),0)))</f>
        <v/>
      </c>
      <c r="I273" s="10"/>
      <c r="J273" s="10"/>
      <c r="K273" s="10"/>
    </row>
    <row r="274" customFormat="false" ht="15" hidden="false" customHeight="true" outlineLevel="0" collapsed="false">
      <c r="A274" s="12"/>
      <c r="B274" s="10"/>
      <c r="C274" s="15" t="str">
        <f aca="false">IF($B274="","",IFERROR(INDEX(회원명부!$B$3:$B$502,MATCH($B274,회원명부!$A$3:$A$502,0)),"미등록회원"))</f>
        <v/>
      </c>
      <c r="D274" s="10"/>
      <c r="E274" s="16" t="str">
        <f aca="false">IF($D274="","",IF($J274="환불",0,IFERROR(INDEX(상품목록!$B$3:$B$102,MATCH($D274,상품목록!$A$3:$A$102,0)),0)))</f>
        <v/>
      </c>
      <c r="F274" s="16" t="str">
        <f aca="false">IF($D274="","",IFERROR(INDEX(상품목록!$C$3:$C$102,MATCH($D274,상품목록!$A$3:$A$102,0)),0))</f>
        <v/>
      </c>
      <c r="G274" s="17" t="str">
        <f aca="false">IF(OR($A274="",$F274=""),"",$A274+$F274)</f>
        <v/>
      </c>
      <c r="H274" s="16" t="str">
        <f aca="false">IF($D274="","",IF($J274="환불",0,IFERROR(INDEX(상품목록!$D$3:$D$102,MATCH($D274,상품목록!$A$3:$A$102,0)),0)))</f>
        <v/>
      </c>
      <c r="I274" s="10"/>
      <c r="J274" s="10"/>
      <c r="K274" s="10"/>
    </row>
    <row r="275" customFormat="false" ht="15" hidden="false" customHeight="true" outlineLevel="0" collapsed="false">
      <c r="A275" s="12"/>
      <c r="B275" s="10"/>
      <c r="C275" s="15" t="str">
        <f aca="false">IF($B275="","",IFERROR(INDEX(회원명부!$B$3:$B$502,MATCH($B275,회원명부!$A$3:$A$502,0)),"미등록회원"))</f>
        <v/>
      </c>
      <c r="D275" s="10"/>
      <c r="E275" s="16" t="str">
        <f aca="false">IF($D275="","",IF($J275="환불",0,IFERROR(INDEX(상품목록!$B$3:$B$102,MATCH($D275,상품목록!$A$3:$A$102,0)),0)))</f>
        <v/>
      </c>
      <c r="F275" s="16" t="str">
        <f aca="false">IF($D275="","",IFERROR(INDEX(상품목록!$C$3:$C$102,MATCH($D275,상품목록!$A$3:$A$102,0)),0))</f>
        <v/>
      </c>
      <c r="G275" s="17" t="str">
        <f aca="false">IF(OR($A275="",$F275=""),"",$A275+$F275)</f>
        <v/>
      </c>
      <c r="H275" s="16" t="str">
        <f aca="false">IF($D275="","",IF($J275="환불",0,IFERROR(INDEX(상품목록!$D$3:$D$102,MATCH($D275,상품목록!$A$3:$A$102,0)),0)))</f>
        <v/>
      </c>
      <c r="I275" s="10"/>
      <c r="J275" s="10"/>
      <c r="K275" s="10"/>
    </row>
    <row r="276" customFormat="false" ht="15" hidden="false" customHeight="true" outlineLevel="0" collapsed="false">
      <c r="A276" s="12"/>
      <c r="B276" s="10"/>
      <c r="C276" s="15" t="str">
        <f aca="false">IF($B276="","",IFERROR(INDEX(회원명부!$B$3:$B$502,MATCH($B276,회원명부!$A$3:$A$502,0)),"미등록회원"))</f>
        <v/>
      </c>
      <c r="D276" s="10"/>
      <c r="E276" s="16" t="str">
        <f aca="false">IF($D276="","",IF($J276="환불",0,IFERROR(INDEX(상품목록!$B$3:$B$102,MATCH($D276,상품목록!$A$3:$A$102,0)),0)))</f>
        <v/>
      </c>
      <c r="F276" s="16" t="str">
        <f aca="false">IF($D276="","",IFERROR(INDEX(상품목록!$C$3:$C$102,MATCH($D276,상품목록!$A$3:$A$102,0)),0))</f>
        <v/>
      </c>
      <c r="G276" s="17" t="str">
        <f aca="false">IF(OR($A276="",$F276=""),"",$A276+$F276)</f>
        <v/>
      </c>
      <c r="H276" s="16" t="str">
        <f aca="false">IF($D276="","",IF($J276="환불",0,IFERROR(INDEX(상품목록!$D$3:$D$102,MATCH($D276,상품목록!$A$3:$A$102,0)),0)))</f>
        <v/>
      </c>
      <c r="I276" s="10"/>
      <c r="J276" s="10"/>
      <c r="K276" s="10"/>
    </row>
    <row r="277" customFormat="false" ht="15" hidden="false" customHeight="true" outlineLevel="0" collapsed="false">
      <c r="A277" s="12"/>
      <c r="B277" s="10"/>
      <c r="C277" s="15" t="str">
        <f aca="false">IF($B277="","",IFERROR(INDEX(회원명부!$B$3:$B$502,MATCH($B277,회원명부!$A$3:$A$502,0)),"미등록회원"))</f>
        <v/>
      </c>
      <c r="D277" s="10"/>
      <c r="E277" s="16" t="str">
        <f aca="false">IF($D277="","",IF($J277="환불",0,IFERROR(INDEX(상품목록!$B$3:$B$102,MATCH($D277,상품목록!$A$3:$A$102,0)),0)))</f>
        <v/>
      </c>
      <c r="F277" s="16" t="str">
        <f aca="false">IF($D277="","",IFERROR(INDEX(상품목록!$C$3:$C$102,MATCH($D277,상품목록!$A$3:$A$102,0)),0))</f>
        <v/>
      </c>
      <c r="G277" s="17" t="str">
        <f aca="false">IF(OR($A277="",$F277=""),"",$A277+$F277)</f>
        <v/>
      </c>
      <c r="H277" s="16" t="str">
        <f aca="false">IF($D277="","",IF($J277="환불",0,IFERROR(INDEX(상품목록!$D$3:$D$102,MATCH($D277,상품목록!$A$3:$A$102,0)),0)))</f>
        <v/>
      </c>
      <c r="I277" s="10"/>
      <c r="J277" s="10"/>
      <c r="K277" s="10"/>
    </row>
    <row r="278" customFormat="false" ht="15" hidden="false" customHeight="true" outlineLevel="0" collapsed="false">
      <c r="A278" s="12"/>
      <c r="B278" s="10"/>
      <c r="C278" s="15" t="str">
        <f aca="false">IF($B278="","",IFERROR(INDEX(회원명부!$B$3:$B$502,MATCH($B278,회원명부!$A$3:$A$502,0)),"미등록회원"))</f>
        <v/>
      </c>
      <c r="D278" s="10"/>
      <c r="E278" s="16" t="str">
        <f aca="false">IF($D278="","",IF($J278="환불",0,IFERROR(INDEX(상품목록!$B$3:$B$102,MATCH($D278,상품목록!$A$3:$A$102,0)),0)))</f>
        <v/>
      </c>
      <c r="F278" s="16" t="str">
        <f aca="false">IF($D278="","",IFERROR(INDEX(상품목록!$C$3:$C$102,MATCH($D278,상품목록!$A$3:$A$102,0)),0))</f>
        <v/>
      </c>
      <c r="G278" s="17" t="str">
        <f aca="false">IF(OR($A278="",$F278=""),"",$A278+$F278)</f>
        <v/>
      </c>
      <c r="H278" s="16" t="str">
        <f aca="false">IF($D278="","",IF($J278="환불",0,IFERROR(INDEX(상품목록!$D$3:$D$102,MATCH($D278,상품목록!$A$3:$A$102,0)),0)))</f>
        <v/>
      </c>
      <c r="I278" s="10"/>
      <c r="J278" s="10"/>
      <c r="K278" s="10"/>
    </row>
    <row r="279" customFormat="false" ht="15" hidden="false" customHeight="true" outlineLevel="0" collapsed="false">
      <c r="A279" s="12"/>
      <c r="B279" s="10"/>
      <c r="C279" s="15" t="str">
        <f aca="false">IF($B279="","",IFERROR(INDEX(회원명부!$B$3:$B$502,MATCH($B279,회원명부!$A$3:$A$502,0)),"미등록회원"))</f>
        <v/>
      </c>
      <c r="D279" s="10"/>
      <c r="E279" s="16" t="str">
        <f aca="false">IF($D279="","",IF($J279="환불",0,IFERROR(INDEX(상품목록!$B$3:$B$102,MATCH($D279,상품목록!$A$3:$A$102,0)),0)))</f>
        <v/>
      </c>
      <c r="F279" s="16" t="str">
        <f aca="false">IF($D279="","",IFERROR(INDEX(상품목록!$C$3:$C$102,MATCH($D279,상품목록!$A$3:$A$102,0)),0))</f>
        <v/>
      </c>
      <c r="G279" s="17" t="str">
        <f aca="false">IF(OR($A279="",$F279=""),"",$A279+$F279)</f>
        <v/>
      </c>
      <c r="H279" s="16" t="str">
        <f aca="false">IF($D279="","",IF($J279="환불",0,IFERROR(INDEX(상품목록!$D$3:$D$102,MATCH($D279,상품목록!$A$3:$A$102,0)),0)))</f>
        <v/>
      </c>
      <c r="I279" s="10"/>
      <c r="J279" s="10"/>
      <c r="K279" s="10"/>
    </row>
    <row r="280" customFormat="false" ht="15" hidden="false" customHeight="true" outlineLevel="0" collapsed="false">
      <c r="A280" s="12"/>
      <c r="B280" s="10"/>
      <c r="C280" s="15" t="str">
        <f aca="false">IF($B280="","",IFERROR(INDEX(회원명부!$B$3:$B$502,MATCH($B280,회원명부!$A$3:$A$502,0)),"미등록회원"))</f>
        <v/>
      </c>
      <c r="D280" s="10"/>
      <c r="E280" s="16" t="str">
        <f aca="false">IF($D280="","",IF($J280="환불",0,IFERROR(INDEX(상품목록!$B$3:$B$102,MATCH($D280,상품목록!$A$3:$A$102,0)),0)))</f>
        <v/>
      </c>
      <c r="F280" s="16" t="str">
        <f aca="false">IF($D280="","",IFERROR(INDEX(상품목록!$C$3:$C$102,MATCH($D280,상품목록!$A$3:$A$102,0)),0))</f>
        <v/>
      </c>
      <c r="G280" s="17" t="str">
        <f aca="false">IF(OR($A280="",$F280=""),"",$A280+$F280)</f>
        <v/>
      </c>
      <c r="H280" s="16" t="str">
        <f aca="false">IF($D280="","",IF($J280="환불",0,IFERROR(INDEX(상품목록!$D$3:$D$102,MATCH($D280,상품목록!$A$3:$A$102,0)),0)))</f>
        <v/>
      </c>
      <c r="I280" s="10"/>
      <c r="J280" s="10"/>
      <c r="K280" s="10"/>
    </row>
    <row r="281" customFormat="false" ht="15" hidden="false" customHeight="true" outlineLevel="0" collapsed="false">
      <c r="A281" s="12"/>
      <c r="B281" s="10"/>
      <c r="C281" s="15" t="str">
        <f aca="false">IF($B281="","",IFERROR(INDEX(회원명부!$B$3:$B$502,MATCH($B281,회원명부!$A$3:$A$502,0)),"미등록회원"))</f>
        <v/>
      </c>
      <c r="D281" s="10"/>
      <c r="E281" s="16" t="str">
        <f aca="false">IF($D281="","",IF($J281="환불",0,IFERROR(INDEX(상품목록!$B$3:$B$102,MATCH($D281,상품목록!$A$3:$A$102,0)),0)))</f>
        <v/>
      </c>
      <c r="F281" s="16" t="str">
        <f aca="false">IF($D281="","",IFERROR(INDEX(상품목록!$C$3:$C$102,MATCH($D281,상품목록!$A$3:$A$102,0)),0))</f>
        <v/>
      </c>
      <c r="G281" s="17" t="str">
        <f aca="false">IF(OR($A281="",$F281=""),"",$A281+$F281)</f>
        <v/>
      </c>
      <c r="H281" s="16" t="str">
        <f aca="false">IF($D281="","",IF($J281="환불",0,IFERROR(INDEX(상품목록!$D$3:$D$102,MATCH($D281,상품목록!$A$3:$A$102,0)),0)))</f>
        <v/>
      </c>
      <c r="I281" s="10"/>
      <c r="J281" s="10"/>
      <c r="K281" s="10"/>
    </row>
    <row r="282" customFormat="false" ht="15" hidden="false" customHeight="true" outlineLevel="0" collapsed="false">
      <c r="A282" s="12"/>
      <c r="B282" s="10"/>
      <c r="C282" s="15" t="str">
        <f aca="false">IF($B282="","",IFERROR(INDEX(회원명부!$B$3:$B$502,MATCH($B282,회원명부!$A$3:$A$502,0)),"미등록회원"))</f>
        <v/>
      </c>
      <c r="D282" s="10"/>
      <c r="E282" s="16" t="str">
        <f aca="false">IF($D282="","",IF($J282="환불",0,IFERROR(INDEX(상품목록!$B$3:$B$102,MATCH($D282,상품목록!$A$3:$A$102,0)),0)))</f>
        <v/>
      </c>
      <c r="F282" s="16" t="str">
        <f aca="false">IF($D282="","",IFERROR(INDEX(상품목록!$C$3:$C$102,MATCH($D282,상품목록!$A$3:$A$102,0)),0))</f>
        <v/>
      </c>
      <c r="G282" s="17" t="str">
        <f aca="false">IF(OR($A282="",$F282=""),"",$A282+$F282)</f>
        <v/>
      </c>
      <c r="H282" s="16" t="str">
        <f aca="false">IF($D282="","",IF($J282="환불",0,IFERROR(INDEX(상품목록!$D$3:$D$102,MATCH($D282,상품목록!$A$3:$A$102,0)),0)))</f>
        <v/>
      </c>
      <c r="I282" s="10"/>
      <c r="J282" s="10"/>
      <c r="K282" s="10"/>
    </row>
    <row r="283" customFormat="false" ht="15" hidden="false" customHeight="true" outlineLevel="0" collapsed="false">
      <c r="A283" s="12"/>
      <c r="B283" s="10"/>
      <c r="C283" s="15" t="str">
        <f aca="false">IF($B283="","",IFERROR(INDEX(회원명부!$B$3:$B$502,MATCH($B283,회원명부!$A$3:$A$502,0)),"미등록회원"))</f>
        <v/>
      </c>
      <c r="D283" s="10"/>
      <c r="E283" s="16" t="str">
        <f aca="false">IF($D283="","",IF($J283="환불",0,IFERROR(INDEX(상품목록!$B$3:$B$102,MATCH($D283,상품목록!$A$3:$A$102,0)),0)))</f>
        <v/>
      </c>
      <c r="F283" s="16" t="str">
        <f aca="false">IF($D283="","",IFERROR(INDEX(상품목록!$C$3:$C$102,MATCH($D283,상품목록!$A$3:$A$102,0)),0))</f>
        <v/>
      </c>
      <c r="G283" s="17" t="str">
        <f aca="false">IF(OR($A283="",$F283=""),"",$A283+$F283)</f>
        <v/>
      </c>
      <c r="H283" s="16" t="str">
        <f aca="false">IF($D283="","",IF($J283="환불",0,IFERROR(INDEX(상품목록!$D$3:$D$102,MATCH($D283,상품목록!$A$3:$A$102,0)),0)))</f>
        <v/>
      </c>
      <c r="I283" s="10"/>
      <c r="J283" s="10"/>
      <c r="K283" s="10"/>
    </row>
    <row r="284" customFormat="false" ht="15" hidden="false" customHeight="true" outlineLevel="0" collapsed="false">
      <c r="A284" s="12"/>
      <c r="B284" s="10"/>
      <c r="C284" s="15" t="str">
        <f aca="false">IF($B284="","",IFERROR(INDEX(회원명부!$B$3:$B$502,MATCH($B284,회원명부!$A$3:$A$502,0)),"미등록회원"))</f>
        <v/>
      </c>
      <c r="D284" s="10"/>
      <c r="E284" s="16" t="str">
        <f aca="false">IF($D284="","",IF($J284="환불",0,IFERROR(INDEX(상품목록!$B$3:$B$102,MATCH($D284,상품목록!$A$3:$A$102,0)),0)))</f>
        <v/>
      </c>
      <c r="F284" s="16" t="str">
        <f aca="false">IF($D284="","",IFERROR(INDEX(상품목록!$C$3:$C$102,MATCH($D284,상품목록!$A$3:$A$102,0)),0))</f>
        <v/>
      </c>
      <c r="G284" s="17" t="str">
        <f aca="false">IF(OR($A284="",$F284=""),"",$A284+$F284)</f>
        <v/>
      </c>
      <c r="H284" s="16" t="str">
        <f aca="false">IF($D284="","",IF($J284="환불",0,IFERROR(INDEX(상품목록!$D$3:$D$102,MATCH($D284,상품목록!$A$3:$A$102,0)),0)))</f>
        <v/>
      </c>
      <c r="I284" s="10"/>
      <c r="J284" s="10"/>
      <c r="K284" s="10"/>
    </row>
    <row r="285" customFormat="false" ht="15" hidden="false" customHeight="true" outlineLevel="0" collapsed="false">
      <c r="A285" s="12"/>
      <c r="B285" s="10"/>
      <c r="C285" s="15" t="str">
        <f aca="false">IF($B285="","",IFERROR(INDEX(회원명부!$B$3:$B$502,MATCH($B285,회원명부!$A$3:$A$502,0)),"미등록회원"))</f>
        <v/>
      </c>
      <c r="D285" s="10"/>
      <c r="E285" s="16" t="str">
        <f aca="false">IF($D285="","",IF($J285="환불",0,IFERROR(INDEX(상품목록!$B$3:$B$102,MATCH($D285,상품목록!$A$3:$A$102,0)),0)))</f>
        <v/>
      </c>
      <c r="F285" s="16" t="str">
        <f aca="false">IF($D285="","",IFERROR(INDEX(상품목록!$C$3:$C$102,MATCH($D285,상품목록!$A$3:$A$102,0)),0))</f>
        <v/>
      </c>
      <c r="G285" s="17" t="str">
        <f aca="false">IF(OR($A285="",$F285=""),"",$A285+$F285)</f>
        <v/>
      </c>
      <c r="H285" s="16" t="str">
        <f aca="false">IF($D285="","",IF($J285="환불",0,IFERROR(INDEX(상품목록!$D$3:$D$102,MATCH($D285,상품목록!$A$3:$A$102,0)),0)))</f>
        <v/>
      </c>
      <c r="I285" s="10"/>
      <c r="J285" s="10"/>
      <c r="K285" s="10"/>
    </row>
    <row r="286" customFormat="false" ht="15" hidden="false" customHeight="true" outlineLevel="0" collapsed="false">
      <c r="A286" s="12"/>
      <c r="B286" s="10"/>
      <c r="C286" s="15" t="str">
        <f aca="false">IF($B286="","",IFERROR(INDEX(회원명부!$B$3:$B$502,MATCH($B286,회원명부!$A$3:$A$502,0)),"미등록회원"))</f>
        <v/>
      </c>
      <c r="D286" s="10"/>
      <c r="E286" s="16" t="str">
        <f aca="false">IF($D286="","",IF($J286="환불",0,IFERROR(INDEX(상품목록!$B$3:$B$102,MATCH($D286,상품목록!$A$3:$A$102,0)),0)))</f>
        <v/>
      </c>
      <c r="F286" s="16" t="str">
        <f aca="false">IF($D286="","",IFERROR(INDEX(상품목록!$C$3:$C$102,MATCH($D286,상품목록!$A$3:$A$102,0)),0))</f>
        <v/>
      </c>
      <c r="G286" s="17" t="str">
        <f aca="false">IF(OR($A286="",$F286=""),"",$A286+$F286)</f>
        <v/>
      </c>
      <c r="H286" s="16" t="str">
        <f aca="false">IF($D286="","",IF($J286="환불",0,IFERROR(INDEX(상품목록!$D$3:$D$102,MATCH($D286,상품목록!$A$3:$A$102,0)),0)))</f>
        <v/>
      </c>
      <c r="I286" s="10"/>
      <c r="J286" s="10"/>
      <c r="K286" s="10"/>
    </row>
    <row r="287" customFormat="false" ht="15" hidden="false" customHeight="true" outlineLevel="0" collapsed="false">
      <c r="A287" s="12"/>
      <c r="B287" s="10"/>
      <c r="C287" s="15" t="str">
        <f aca="false">IF($B287="","",IFERROR(INDEX(회원명부!$B$3:$B$502,MATCH($B287,회원명부!$A$3:$A$502,0)),"미등록회원"))</f>
        <v/>
      </c>
      <c r="D287" s="10"/>
      <c r="E287" s="16" t="str">
        <f aca="false">IF($D287="","",IF($J287="환불",0,IFERROR(INDEX(상품목록!$B$3:$B$102,MATCH($D287,상품목록!$A$3:$A$102,0)),0)))</f>
        <v/>
      </c>
      <c r="F287" s="16" t="str">
        <f aca="false">IF($D287="","",IFERROR(INDEX(상품목록!$C$3:$C$102,MATCH($D287,상품목록!$A$3:$A$102,0)),0))</f>
        <v/>
      </c>
      <c r="G287" s="17" t="str">
        <f aca="false">IF(OR($A287="",$F287=""),"",$A287+$F287)</f>
        <v/>
      </c>
      <c r="H287" s="16" t="str">
        <f aca="false">IF($D287="","",IF($J287="환불",0,IFERROR(INDEX(상품목록!$D$3:$D$102,MATCH($D287,상품목록!$A$3:$A$102,0)),0)))</f>
        <v/>
      </c>
      <c r="I287" s="10"/>
      <c r="J287" s="10"/>
      <c r="K287" s="10"/>
    </row>
    <row r="288" customFormat="false" ht="15" hidden="false" customHeight="true" outlineLevel="0" collapsed="false">
      <c r="A288" s="12"/>
      <c r="B288" s="10"/>
      <c r="C288" s="15" t="str">
        <f aca="false">IF($B288="","",IFERROR(INDEX(회원명부!$B$3:$B$502,MATCH($B288,회원명부!$A$3:$A$502,0)),"미등록회원"))</f>
        <v/>
      </c>
      <c r="D288" s="10"/>
      <c r="E288" s="16" t="str">
        <f aca="false">IF($D288="","",IF($J288="환불",0,IFERROR(INDEX(상품목록!$B$3:$B$102,MATCH($D288,상품목록!$A$3:$A$102,0)),0)))</f>
        <v/>
      </c>
      <c r="F288" s="16" t="str">
        <f aca="false">IF($D288="","",IFERROR(INDEX(상품목록!$C$3:$C$102,MATCH($D288,상품목록!$A$3:$A$102,0)),0))</f>
        <v/>
      </c>
      <c r="G288" s="17" t="str">
        <f aca="false">IF(OR($A288="",$F288=""),"",$A288+$F288)</f>
        <v/>
      </c>
      <c r="H288" s="16" t="str">
        <f aca="false">IF($D288="","",IF($J288="환불",0,IFERROR(INDEX(상품목록!$D$3:$D$102,MATCH($D288,상품목록!$A$3:$A$102,0)),0)))</f>
        <v/>
      </c>
      <c r="I288" s="10"/>
      <c r="J288" s="10"/>
      <c r="K288" s="10"/>
    </row>
    <row r="289" customFormat="false" ht="15" hidden="false" customHeight="true" outlineLevel="0" collapsed="false">
      <c r="A289" s="12"/>
      <c r="B289" s="10"/>
      <c r="C289" s="15" t="str">
        <f aca="false">IF($B289="","",IFERROR(INDEX(회원명부!$B$3:$B$502,MATCH($B289,회원명부!$A$3:$A$502,0)),"미등록회원"))</f>
        <v/>
      </c>
      <c r="D289" s="10"/>
      <c r="E289" s="16" t="str">
        <f aca="false">IF($D289="","",IF($J289="환불",0,IFERROR(INDEX(상품목록!$B$3:$B$102,MATCH($D289,상품목록!$A$3:$A$102,0)),0)))</f>
        <v/>
      </c>
      <c r="F289" s="16" t="str">
        <f aca="false">IF($D289="","",IFERROR(INDEX(상품목록!$C$3:$C$102,MATCH($D289,상품목록!$A$3:$A$102,0)),0))</f>
        <v/>
      </c>
      <c r="G289" s="17" t="str">
        <f aca="false">IF(OR($A289="",$F289=""),"",$A289+$F289)</f>
        <v/>
      </c>
      <c r="H289" s="16" t="str">
        <f aca="false">IF($D289="","",IF($J289="환불",0,IFERROR(INDEX(상품목록!$D$3:$D$102,MATCH($D289,상품목록!$A$3:$A$102,0)),0)))</f>
        <v/>
      </c>
      <c r="I289" s="10"/>
      <c r="J289" s="10"/>
      <c r="K289" s="10"/>
    </row>
    <row r="290" customFormat="false" ht="15" hidden="false" customHeight="true" outlineLevel="0" collapsed="false">
      <c r="A290" s="12"/>
      <c r="B290" s="10"/>
      <c r="C290" s="15" t="str">
        <f aca="false">IF($B290="","",IFERROR(INDEX(회원명부!$B$3:$B$502,MATCH($B290,회원명부!$A$3:$A$502,0)),"미등록회원"))</f>
        <v/>
      </c>
      <c r="D290" s="10"/>
      <c r="E290" s="16" t="str">
        <f aca="false">IF($D290="","",IF($J290="환불",0,IFERROR(INDEX(상품목록!$B$3:$B$102,MATCH($D290,상품목록!$A$3:$A$102,0)),0)))</f>
        <v/>
      </c>
      <c r="F290" s="16" t="str">
        <f aca="false">IF($D290="","",IFERROR(INDEX(상품목록!$C$3:$C$102,MATCH($D290,상품목록!$A$3:$A$102,0)),0))</f>
        <v/>
      </c>
      <c r="G290" s="17" t="str">
        <f aca="false">IF(OR($A290="",$F290=""),"",$A290+$F290)</f>
        <v/>
      </c>
      <c r="H290" s="16" t="str">
        <f aca="false">IF($D290="","",IF($J290="환불",0,IFERROR(INDEX(상품목록!$D$3:$D$102,MATCH($D290,상품목록!$A$3:$A$102,0)),0)))</f>
        <v/>
      </c>
      <c r="I290" s="10"/>
      <c r="J290" s="10"/>
      <c r="K290" s="10"/>
    </row>
    <row r="291" customFormat="false" ht="15" hidden="false" customHeight="true" outlineLevel="0" collapsed="false">
      <c r="A291" s="12"/>
      <c r="B291" s="10"/>
      <c r="C291" s="15" t="str">
        <f aca="false">IF($B291="","",IFERROR(INDEX(회원명부!$B$3:$B$502,MATCH($B291,회원명부!$A$3:$A$502,0)),"미등록회원"))</f>
        <v/>
      </c>
      <c r="D291" s="10"/>
      <c r="E291" s="16" t="str">
        <f aca="false">IF($D291="","",IF($J291="환불",0,IFERROR(INDEX(상품목록!$B$3:$B$102,MATCH($D291,상품목록!$A$3:$A$102,0)),0)))</f>
        <v/>
      </c>
      <c r="F291" s="16" t="str">
        <f aca="false">IF($D291="","",IFERROR(INDEX(상품목록!$C$3:$C$102,MATCH($D291,상품목록!$A$3:$A$102,0)),0))</f>
        <v/>
      </c>
      <c r="G291" s="17" t="str">
        <f aca="false">IF(OR($A291="",$F291=""),"",$A291+$F291)</f>
        <v/>
      </c>
      <c r="H291" s="16" t="str">
        <f aca="false">IF($D291="","",IF($J291="환불",0,IFERROR(INDEX(상품목록!$D$3:$D$102,MATCH($D291,상품목록!$A$3:$A$102,0)),0)))</f>
        <v/>
      </c>
      <c r="I291" s="10"/>
      <c r="J291" s="10"/>
      <c r="K291" s="10"/>
    </row>
    <row r="292" customFormat="false" ht="15" hidden="false" customHeight="true" outlineLevel="0" collapsed="false">
      <c r="A292" s="12"/>
      <c r="B292" s="10"/>
      <c r="C292" s="15" t="str">
        <f aca="false">IF($B292="","",IFERROR(INDEX(회원명부!$B$3:$B$502,MATCH($B292,회원명부!$A$3:$A$502,0)),"미등록회원"))</f>
        <v/>
      </c>
      <c r="D292" s="10"/>
      <c r="E292" s="16" t="str">
        <f aca="false">IF($D292="","",IF($J292="환불",0,IFERROR(INDEX(상품목록!$B$3:$B$102,MATCH($D292,상품목록!$A$3:$A$102,0)),0)))</f>
        <v/>
      </c>
      <c r="F292" s="16" t="str">
        <f aca="false">IF($D292="","",IFERROR(INDEX(상품목록!$C$3:$C$102,MATCH($D292,상품목록!$A$3:$A$102,0)),0))</f>
        <v/>
      </c>
      <c r="G292" s="17" t="str">
        <f aca="false">IF(OR($A292="",$F292=""),"",$A292+$F292)</f>
        <v/>
      </c>
      <c r="H292" s="16" t="str">
        <f aca="false">IF($D292="","",IF($J292="환불",0,IFERROR(INDEX(상품목록!$D$3:$D$102,MATCH($D292,상품목록!$A$3:$A$102,0)),0)))</f>
        <v/>
      </c>
      <c r="I292" s="10"/>
      <c r="J292" s="10"/>
      <c r="K292" s="10"/>
    </row>
    <row r="293" customFormat="false" ht="15" hidden="false" customHeight="true" outlineLevel="0" collapsed="false">
      <c r="A293" s="12"/>
      <c r="B293" s="10"/>
      <c r="C293" s="15" t="str">
        <f aca="false">IF($B293="","",IFERROR(INDEX(회원명부!$B$3:$B$502,MATCH($B293,회원명부!$A$3:$A$502,0)),"미등록회원"))</f>
        <v/>
      </c>
      <c r="D293" s="10"/>
      <c r="E293" s="16" t="str">
        <f aca="false">IF($D293="","",IF($J293="환불",0,IFERROR(INDEX(상품목록!$B$3:$B$102,MATCH($D293,상품목록!$A$3:$A$102,0)),0)))</f>
        <v/>
      </c>
      <c r="F293" s="16" t="str">
        <f aca="false">IF($D293="","",IFERROR(INDEX(상품목록!$C$3:$C$102,MATCH($D293,상품목록!$A$3:$A$102,0)),0))</f>
        <v/>
      </c>
      <c r="G293" s="17" t="str">
        <f aca="false">IF(OR($A293="",$F293=""),"",$A293+$F293)</f>
        <v/>
      </c>
      <c r="H293" s="16" t="str">
        <f aca="false">IF($D293="","",IF($J293="환불",0,IFERROR(INDEX(상품목록!$D$3:$D$102,MATCH($D293,상품목록!$A$3:$A$102,0)),0)))</f>
        <v/>
      </c>
      <c r="I293" s="10"/>
      <c r="J293" s="10"/>
      <c r="K293" s="10"/>
    </row>
    <row r="294" customFormat="false" ht="15" hidden="false" customHeight="true" outlineLevel="0" collapsed="false">
      <c r="A294" s="12"/>
      <c r="B294" s="10"/>
      <c r="C294" s="15" t="str">
        <f aca="false">IF($B294="","",IFERROR(INDEX(회원명부!$B$3:$B$502,MATCH($B294,회원명부!$A$3:$A$502,0)),"미등록회원"))</f>
        <v/>
      </c>
      <c r="D294" s="10"/>
      <c r="E294" s="16" t="str">
        <f aca="false">IF($D294="","",IF($J294="환불",0,IFERROR(INDEX(상품목록!$B$3:$B$102,MATCH($D294,상품목록!$A$3:$A$102,0)),0)))</f>
        <v/>
      </c>
      <c r="F294" s="16" t="str">
        <f aca="false">IF($D294="","",IFERROR(INDEX(상품목록!$C$3:$C$102,MATCH($D294,상품목록!$A$3:$A$102,0)),0))</f>
        <v/>
      </c>
      <c r="G294" s="17" t="str">
        <f aca="false">IF(OR($A294="",$F294=""),"",$A294+$F294)</f>
        <v/>
      </c>
      <c r="H294" s="16" t="str">
        <f aca="false">IF($D294="","",IF($J294="환불",0,IFERROR(INDEX(상품목록!$D$3:$D$102,MATCH($D294,상품목록!$A$3:$A$102,0)),0)))</f>
        <v/>
      </c>
      <c r="I294" s="10"/>
      <c r="J294" s="10"/>
      <c r="K294" s="10"/>
    </row>
    <row r="295" customFormat="false" ht="15" hidden="false" customHeight="true" outlineLevel="0" collapsed="false">
      <c r="A295" s="12"/>
      <c r="B295" s="10"/>
      <c r="C295" s="15" t="str">
        <f aca="false">IF($B295="","",IFERROR(INDEX(회원명부!$B$3:$B$502,MATCH($B295,회원명부!$A$3:$A$502,0)),"미등록회원"))</f>
        <v/>
      </c>
      <c r="D295" s="10"/>
      <c r="E295" s="16" t="str">
        <f aca="false">IF($D295="","",IF($J295="환불",0,IFERROR(INDEX(상품목록!$B$3:$B$102,MATCH($D295,상품목록!$A$3:$A$102,0)),0)))</f>
        <v/>
      </c>
      <c r="F295" s="16" t="str">
        <f aca="false">IF($D295="","",IFERROR(INDEX(상품목록!$C$3:$C$102,MATCH($D295,상품목록!$A$3:$A$102,0)),0))</f>
        <v/>
      </c>
      <c r="G295" s="17" t="str">
        <f aca="false">IF(OR($A295="",$F295=""),"",$A295+$F295)</f>
        <v/>
      </c>
      <c r="H295" s="16" t="str">
        <f aca="false">IF($D295="","",IF($J295="환불",0,IFERROR(INDEX(상품목록!$D$3:$D$102,MATCH($D295,상품목록!$A$3:$A$102,0)),0)))</f>
        <v/>
      </c>
      <c r="I295" s="10"/>
      <c r="J295" s="10"/>
      <c r="K295" s="10"/>
    </row>
    <row r="296" customFormat="false" ht="15" hidden="false" customHeight="true" outlineLevel="0" collapsed="false">
      <c r="A296" s="12"/>
      <c r="B296" s="10"/>
      <c r="C296" s="15" t="str">
        <f aca="false">IF($B296="","",IFERROR(INDEX(회원명부!$B$3:$B$502,MATCH($B296,회원명부!$A$3:$A$502,0)),"미등록회원"))</f>
        <v/>
      </c>
      <c r="D296" s="10"/>
      <c r="E296" s="16" t="str">
        <f aca="false">IF($D296="","",IF($J296="환불",0,IFERROR(INDEX(상품목록!$B$3:$B$102,MATCH($D296,상품목록!$A$3:$A$102,0)),0)))</f>
        <v/>
      </c>
      <c r="F296" s="16" t="str">
        <f aca="false">IF($D296="","",IFERROR(INDEX(상품목록!$C$3:$C$102,MATCH($D296,상품목록!$A$3:$A$102,0)),0))</f>
        <v/>
      </c>
      <c r="G296" s="17" t="str">
        <f aca="false">IF(OR($A296="",$F296=""),"",$A296+$F296)</f>
        <v/>
      </c>
      <c r="H296" s="16" t="str">
        <f aca="false">IF($D296="","",IF($J296="환불",0,IFERROR(INDEX(상품목록!$D$3:$D$102,MATCH($D296,상품목록!$A$3:$A$102,0)),0)))</f>
        <v/>
      </c>
      <c r="I296" s="10"/>
      <c r="J296" s="10"/>
      <c r="K296" s="10"/>
    </row>
    <row r="297" customFormat="false" ht="15" hidden="false" customHeight="true" outlineLevel="0" collapsed="false">
      <c r="A297" s="12"/>
      <c r="B297" s="10"/>
      <c r="C297" s="15" t="str">
        <f aca="false">IF($B297="","",IFERROR(INDEX(회원명부!$B$3:$B$502,MATCH($B297,회원명부!$A$3:$A$502,0)),"미등록회원"))</f>
        <v/>
      </c>
      <c r="D297" s="10"/>
      <c r="E297" s="16" t="str">
        <f aca="false">IF($D297="","",IF($J297="환불",0,IFERROR(INDEX(상품목록!$B$3:$B$102,MATCH($D297,상품목록!$A$3:$A$102,0)),0)))</f>
        <v/>
      </c>
      <c r="F297" s="16" t="str">
        <f aca="false">IF($D297="","",IFERROR(INDEX(상품목록!$C$3:$C$102,MATCH($D297,상품목록!$A$3:$A$102,0)),0))</f>
        <v/>
      </c>
      <c r="G297" s="17" t="str">
        <f aca="false">IF(OR($A297="",$F297=""),"",$A297+$F297)</f>
        <v/>
      </c>
      <c r="H297" s="16" t="str">
        <f aca="false">IF($D297="","",IF($J297="환불",0,IFERROR(INDEX(상품목록!$D$3:$D$102,MATCH($D297,상품목록!$A$3:$A$102,0)),0)))</f>
        <v/>
      </c>
      <c r="I297" s="10"/>
      <c r="J297" s="10"/>
      <c r="K297" s="10"/>
    </row>
    <row r="298" customFormat="false" ht="15" hidden="false" customHeight="true" outlineLevel="0" collapsed="false">
      <c r="A298" s="12"/>
      <c r="B298" s="10"/>
      <c r="C298" s="15" t="str">
        <f aca="false">IF($B298="","",IFERROR(INDEX(회원명부!$B$3:$B$502,MATCH($B298,회원명부!$A$3:$A$502,0)),"미등록회원"))</f>
        <v/>
      </c>
      <c r="D298" s="10"/>
      <c r="E298" s="16" t="str">
        <f aca="false">IF($D298="","",IF($J298="환불",0,IFERROR(INDEX(상품목록!$B$3:$B$102,MATCH($D298,상품목록!$A$3:$A$102,0)),0)))</f>
        <v/>
      </c>
      <c r="F298" s="16" t="str">
        <f aca="false">IF($D298="","",IFERROR(INDEX(상품목록!$C$3:$C$102,MATCH($D298,상품목록!$A$3:$A$102,0)),0))</f>
        <v/>
      </c>
      <c r="G298" s="17" t="str">
        <f aca="false">IF(OR($A298="",$F298=""),"",$A298+$F298)</f>
        <v/>
      </c>
      <c r="H298" s="16" t="str">
        <f aca="false">IF($D298="","",IF($J298="환불",0,IFERROR(INDEX(상품목록!$D$3:$D$102,MATCH($D298,상품목록!$A$3:$A$102,0)),0)))</f>
        <v/>
      </c>
      <c r="I298" s="10"/>
      <c r="J298" s="10"/>
      <c r="K298" s="10"/>
    </row>
    <row r="299" customFormat="false" ht="15" hidden="false" customHeight="true" outlineLevel="0" collapsed="false">
      <c r="A299" s="12"/>
      <c r="B299" s="10"/>
      <c r="C299" s="15" t="str">
        <f aca="false">IF($B299="","",IFERROR(INDEX(회원명부!$B$3:$B$502,MATCH($B299,회원명부!$A$3:$A$502,0)),"미등록회원"))</f>
        <v/>
      </c>
      <c r="D299" s="10"/>
      <c r="E299" s="16" t="str">
        <f aca="false">IF($D299="","",IF($J299="환불",0,IFERROR(INDEX(상품목록!$B$3:$B$102,MATCH($D299,상품목록!$A$3:$A$102,0)),0)))</f>
        <v/>
      </c>
      <c r="F299" s="16" t="str">
        <f aca="false">IF($D299="","",IFERROR(INDEX(상품목록!$C$3:$C$102,MATCH($D299,상품목록!$A$3:$A$102,0)),0))</f>
        <v/>
      </c>
      <c r="G299" s="17" t="str">
        <f aca="false">IF(OR($A299="",$F299=""),"",$A299+$F299)</f>
        <v/>
      </c>
      <c r="H299" s="16" t="str">
        <f aca="false">IF($D299="","",IF($J299="환불",0,IFERROR(INDEX(상품목록!$D$3:$D$102,MATCH($D299,상품목록!$A$3:$A$102,0)),0)))</f>
        <v/>
      </c>
      <c r="I299" s="10"/>
      <c r="J299" s="10"/>
      <c r="K299" s="10"/>
    </row>
    <row r="300" customFormat="false" ht="15" hidden="false" customHeight="true" outlineLevel="0" collapsed="false">
      <c r="A300" s="12"/>
      <c r="B300" s="10"/>
      <c r="C300" s="15" t="str">
        <f aca="false">IF($B300="","",IFERROR(INDEX(회원명부!$B$3:$B$502,MATCH($B300,회원명부!$A$3:$A$502,0)),"미등록회원"))</f>
        <v/>
      </c>
      <c r="D300" s="10"/>
      <c r="E300" s="16" t="str">
        <f aca="false">IF($D300="","",IF($J300="환불",0,IFERROR(INDEX(상품목록!$B$3:$B$102,MATCH($D300,상품목록!$A$3:$A$102,0)),0)))</f>
        <v/>
      </c>
      <c r="F300" s="16" t="str">
        <f aca="false">IF($D300="","",IFERROR(INDEX(상품목록!$C$3:$C$102,MATCH($D300,상품목록!$A$3:$A$102,0)),0))</f>
        <v/>
      </c>
      <c r="G300" s="17" t="str">
        <f aca="false">IF(OR($A300="",$F300=""),"",$A300+$F300)</f>
        <v/>
      </c>
      <c r="H300" s="16" t="str">
        <f aca="false">IF($D300="","",IF($J300="환불",0,IFERROR(INDEX(상품목록!$D$3:$D$102,MATCH($D300,상품목록!$A$3:$A$102,0)),0)))</f>
        <v/>
      </c>
      <c r="I300" s="10"/>
      <c r="J300" s="10"/>
      <c r="K300" s="10"/>
    </row>
    <row r="301" customFormat="false" ht="15" hidden="false" customHeight="true" outlineLevel="0" collapsed="false">
      <c r="A301" s="12"/>
      <c r="B301" s="10"/>
      <c r="C301" s="15" t="str">
        <f aca="false">IF($B301="","",IFERROR(INDEX(회원명부!$B$3:$B$502,MATCH($B301,회원명부!$A$3:$A$502,0)),"미등록회원"))</f>
        <v/>
      </c>
      <c r="D301" s="10"/>
      <c r="E301" s="16" t="str">
        <f aca="false">IF($D301="","",IF($J301="환불",0,IFERROR(INDEX(상품목록!$B$3:$B$102,MATCH($D301,상품목록!$A$3:$A$102,0)),0)))</f>
        <v/>
      </c>
      <c r="F301" s="16" t="str">
        <f aca="false">IF($D301="","",IFERROR(INDEX(상품목록!$C$3:$C$102,MATCH($D301,상품목록!$A$3:$A$102,0)),0))</f>
        <v/>
      </c>
      <c r="G301" s="17" t="str">
        <f aca="false">IF(OR($A301="",$F301=""),"",$A301+$F301)</f>
        <v/>
      </c>
      <c r="H301" s="16" t="str">
        <f aca="false">IF($D301="","",IF($J301="환불",0,IFERROR(INDEX(상품목록!$D$3:$D$102,MATCH($D301,상품목록!$A$3:$A$102,0)),0)))</f>
        <v/>
      </c>
      <c r="I301" s="10"/>
      <c r="J301" s="10"/>
      <c r="K301" s="10"/>
    </row>
    <row r="302" customFormat="false" ht="15" hidden="false" customHeight="true" outlineLevel="0" collapsed="false">
      <c r="A302" s="12"/>
      <c r="B302" s="10"/>
      <c r="C302" s="15" t="str">
        <f aca="false">IF($B302="","",IFERROR(INDEX(회원명부!$B$3:$B$502,MATCH($B302,회원명부!$A$3:$A$502,0)),"미등록회원"))</f>
        <v/>
      </c>
      <c r="D302" s="10"/>
      <c r="E302" s="16" t="str">
        <f aca="false">IF($D302="","",IF($J302="환불",0,IFERROR(INDEX(상품목록!$B$3:$B$102,MATCH($D302,상품목록!$A$3:$A$102,0)),0)))</f>
        <v/>
      </c>
      <c r="F302" s="16" t="str">
        <f aca="false">IF($D302="","",IFERROR(INDEX(상품목록!$C$3:$C$102,MATCH($D302,상품목록!$A$3:$A$102,0)),0))</f>
        <v/>
      </c>
      <c r="G302" s="17" t="str">
        <f aca="false">IF(OR($A302="",$F302=""),"",$A302+$F302)</f>
        <v/>
      </c>
      <c r="H302" s="16" t="str">
        <f aca="false">IF($D302="","",IF($J302="환불",0,IFERROR(INDEX(상품목록!$D$3:$D$102,MATCH($D302,상품목록!$A$3:$A$102,0)),0)))</f>
        <v/>
      </c>
      <c r="I302" s="10"/>
      <c r="J302" s="10"/>
      <c r="K302" s="10"/>
    </row>
    <row r="303" customFormat="false" ht="15" hidden="false" customHeight="true" outlineLevel="0" collapsed="false">
      <c r="A303" s="12"/>
      <c r="B303" s="10"/>
      <c r="C303" s="15" t="str">
        <f aca="false">IF($B303="","",IFERROR(INDEX(회원명부!$B$3:$B$502,MATCH($B303,회원명부!$A$3:$A$502,0)),"미등록회원"))</f>
        <v/>
      </c>
      <c r="D303" s="10"/>
      <c r="E303" s="16" t="str">
        <f aca="false">IF($D303="","",IF($J303="환불",0,IFERROR(INDEX(상품목록!$B$3:$B$102,MATCH($D303,상품목록!$A$3:$A$102,0)),0)))</f>
        <v/>
      </c>
      <c r="F303" s="16" t="str">
        <f aca="false">IF($D303="","",IFERROR(INDEX(상품목록!$C$3:$C$102,MATCH($D303,상품목록!$A$3:$A$102,0)),0))</f>
        <v/>
      </c>
      <c r="G303" s="17" t="str">
        <f aca="false">IF(OR($A303="",$F303=""),"",$A303+$F303)</f>
        <v/>
      </c>
      <c r="H303" s="16" t="str">
        <f aca="false">IF($D303="","",IF($J303="환불",0,IFERROR(INDEX(상품목록!$D$3:$D$102,MATCH($D303,상품목록!$A$3:$A$102,0)),0)))</f>
        <v/>
      </c>
      <c r="I303" s="10"/>
      <c r="J303" s="10"/>
      <c r="K303" s="10"/>
    </row>
    <row r="304" customFormat="false" ht="15" hidden="false" customHeight="true" outlineLevel="0" collapsed="false">
      <c r="A304" s="12"/>
      <c r="B304" s="10"/>
      <c r="C304" s="15" t="str">
        <f aca="false">IF($B304="","",IFERROR(INDEX(회원명부!$B$3:$B$502,MATCH($B304,회원명부!$A$3:$A$502,0)),"미등록회원"))</f>
        <v/>
      </c>
      <c r="D304" s="10"/>
      <c r="E304" s="16" t="str">
        <f aca="false">IF($D304="","",IF($J304="환불",0,IFERROR(INDEX(상품목록!$B$3:$B$102,MATCH($D304,상품목록!$A$3:$A$102,0)),0)))</f>
        <v/>
      </c>
      <c r="F304" s="16" t="str">
        <f aca="false">IF($D304="","",IFERROR(INDEX(상품목록!$C$3:$C$102,MATCH($D304,상품목록!$A$3:$A$102,0)),0))</f>
        <v/>
      </c>
      <c r="G304" s="17" t="str">
        <f aca="false">IF(OR($A304="",$F304=""),"",$A304+$F304)</f>
        <v/>
      </c>
      <c r="H304" s="16" t="str">
        <f aca="false">IF($D304="","",IF($J304="환불",0,IFERROR(INDEX(상품목록!$D$3:$D$102,MATCH($D304,상품목록!$A$3:$A$102,0)),0)))</f>
        <v/>
      </c>
      <c r="I304" s="10"/>
      <c r="J304" s="10"/>
      <c r="K304" s="10"/>
    </row>
    <row r="305" customFormat="false" ht="15" hidden="false" customHeight="true" outlineLevel="0" collapsed="false">
      <c r="A305" s="12"/>
      <c r="B305" s="10"/>
      <c r="C305" s="15" t="str">
        <f aca="false">IF($B305="","",IFERROR(INDEX(회원명부!$B$3:$B$502,MATCH($B305,회원명부!$A$3:$A$502,0)),"미등록회원"))</f>
        <v/>
      </c>
      <c r="D305" s="10"/>
      <c r="E305" s="16" t="str">
        <f aca="false">IF($D305="","",IF($J305="환불",0,IFERROR(INDEX(상품목록!$B$3:$B$102,MATCH($D305,상품목록!$A$3:$A$102,0)),0)))</f>
        <v/>
      </c>
      <c r="F305" s="16" t="str">
        <f aca="false">IF($D305="","",IFERROR(INDEX(상품목록!$C$3:$C$102,MATCH($D305,상품목록!$A$3:$A$102,0)),0))</f>
        <v/>
      </c>
      <c r="G305" s="17" t="str">
        <f aca="false">IF(OR($A305="",$F305=""),"",$A305+$F305)</f>
        <v/>
      </c>
      <c r="H305" s="16" t="str">
        <f aca="false">IF($D305="","",IF($J305="환불",0,IFERROR(INDEX(상품목록!$D$3:$D$102,MATCH($D305,상품목록!$A$3:$A$102,0)),0)))</f>
        <v/>
      </c>
      <c r="I305" s="10"/>
      <c r="J305" s="10"/>
      <c r="K305" s="10"/>
    </row>
    <row r="306" customFormat="false" ht="15" hidden="false" customHeight="true" outlineLevel="0" collapsed="false">
      <c r="A306" s="12"/>
      <c r="B306" s="10"/>
      <c r="C306" s="15" t="str">
        <f aca="false">IF($B306="","",IFERROR(INDEX(회원명부!$B$3:$B$502,MATCH($B306,회원명부!$A$3:$A$502,0)),"미등록회원"))</f>
        <v/>
      </c>
      <c r="D306" s="10"/>
      <c r="E306" s="16" t="str">
        <f aca="false">IF($D306="","",IF($J306="환불",0,IFERROR(INDEX(상품목록!$B$3:$B$102,MATCH($D306,상품목록!$A$3:$A$102,0)),0)))</f>
        <v/>
      </c>
      <c r="F306" s="16" t="str">
        <f aca="false">IF($D306="","",IFERROR(INDEX(상품목록!$C$3:$C$102,MATCH($D306,상품목록!$A$3:$A$102,0)),0))</f>
        <v/>
      </c>
      <c r="G306" s="17" t="str">
        <f aca="false">IF(OR($A306="",$F306=""),"",$A306+$F306)</f>
        <v/>
      </c>
      <c r="H306" s="16" t="str">
        <f aca="false">IF($D306="","",IF($J306="환불",0,IFERROR(INDEX(상품목록!$D$3:$D$102,MATCH($D306,상품목록!$A$3:$A$102,0)),0)))</f>
        <v/>
      </c>
      <c r="I306" s="10"/>
      <c r="J306" s="10"/>
      <c r="K306" s="10"/>
    </row>
    <row r="307" customFormat="false" ht="15" hidden="false" customHeight="true" outlineLevel="0" collapsed="false">
      <c r="A307" s="12"/>
      <c r="B307" s="10"/>
      <c r="C307" s="15" t="str">
        <f aca="false">IF($B307="","",IFERROR(INDEX(회원명부!$B$3:$B$502,MATCH($B307,회원명부!$A$3:$A$502,0)),"미등록회원"))</f>
        <v/>
      </c>
      <c r="D307" s="10"/>
      <c r="E307" s="16" t="str">
        <f aca="false">IF($D307="","",IF($J307="환불",0,IFERROR(INDEX(상품목록!$B$3:$B$102,MATCH($D307,상품목록!$A$3:$A$102,0)),0)))</f>
        <v/>
      </c>
      <c r="F307" s="16" t="str">
        <f aca="false">IF($D307="","",IFERROR(INDEX(상품목록!$C$3:$C$102,MATCH($D307,상품목록!$A$3:$A$102,0)),0))</f>
        <v/>
      </c>
      <c r="G307" s="17" t="str">
        <f aca="false">IF(OR($A307="",$F307=""),"",$A307+$F307)</f>
        <v/>
      </c>
      <c r="H307" s="16" t="str">
        <f aca="false">IF($D307="","",IF($J307="환불",0,IFERROR(INDEX(상품목록!$D$3:$D$102,MATCH($D307,상품목록!$A$3:$A$102,0)),0)))</f>
        <v/>
      </c>
      <c r="I307" s="10"/>
      <c r="J307" s="10"/>
      <c r="K307" s="10"/>
    </row>
    <row r="308" customFormat="false" ht="15" hidden="false" customHeight="true" outlineLevel="0" collapsed="false">
      <c r="A308" s="12"/>
      <c r="B308" s="10"/>
      <c r="C308" s="15" t="str">
        <f aca="false">IF($B308="","",IFERROR(INDEX(회원명부!$B$3:$B$502,MATCH($B308,회원명부!$A$3:$A$502,0)),"미등록회원"))</f>
        <v/>
      </c>
      <c r="D308" s="10"/>
      <c r="E308" s="16" t="str">
        <f aca="false">IF($D308="","",IF($J308="환불",0,IFERROR(INDEX(상품목록!$B$3:$B$102,MATCH($D308,상품목록!$A$3:$A$102,0)),0)))</f>
        <v/>
      </c>
      <c r="F308" s="16" t="str">
        <f aca="false">IF($D308="","",IFERROR(INDEX(상품목록!$C$3:$C$102,MATCH($D308,상품목록!$A$3:$A$102,0)),0))</f>
        <v/>
      </c>
      <c r="G308" s="17" t="str">
        <f aca="false">IF(OR($A308="",$F308=""),"",$A308+$F308)</f>
        <v/>
      </c>
      <c r="H308" s="16" t="str">
        <f aca="false">IF($D308="","",IF($J308="환불",0,IFERROR(INDEX(상품목록!$D$3:$D$102,MATCH($D308,상품목록!$A$3:$A$102,0)),0)))</f>
        <v/>
      </c>
      <c r="I308" s="10"/>
      <c r="J308" s="10"/>
      <c r="K308" s="10"/>
    </row>
    <row r="309" customFormat="false" ht="15" hidden="false" customHeight="true" outlineLevel="0" collapsed="false">
      <c r="A309" s="12"/>
      <c r="B309" s="10"/>
      <c r="C309" s="15" t="str">
        <f aca="false">IF($B309="","",IFERROR(INDEX(회원명부!$B$3:$B$502,MATCH($B309,회원명부!$A$3:$A$502,0)),"미등록회원"))</f>
        <v/>
      </c>
      <c r="D309" s="10"/>
      <c r="E309" s="16" t="str">
        <f aca="false">IF($D309="","",IF($J309="환불",0,IFERROR(INDEX(상품목록!$B$3:$B$102,MATCH($D309,상품목록!$A$3:$A$102,0)),0)))</f>
        <v/>
      </c>
      <c r="F309" s="16" t="str">
        <f aca="false">IF($D309="","",IFERROR(INDEX(상품목록!$C$3:$C$102,MATCH($D309,상품목록!$A$3:$A$102,0)),0))</f>
        <v/>
      </c>
      <c r="G309" s="17" t="str">
        <f aca="false">IF(OR($A309="",$F309=""),"",$A309+$F309)</f>
        <v/>
      </c>
      <c r="H309" s="16" t="str">
        <f aca="false">IF($D309="","",IF($J309="환불",0,IFERROR(INDEX(상품목록!$D$3:$D$102,MATCH($D309,상품목록!$A$3:$A$102,0)),0)))</f>
        <v/>
      </c>
      <c r="I309" s="10"/>
      <c r="J309" s="10"/>
      <c r="K309" s="10"/>
    </row>
    <row r="310" customFormat="false" ht="15" hidden="false" customHeight="true" outlineLevel="0" collapsed="false">
      <c r="A310" s="12"/>
      <c r="B310" s="10"/>
      <c r="C310" s="15" t="str">
        <f aca="false">IF($B310="","",IFERROR(INDEX(회원명부!$B$3:$B$502,MATCH($B310,회원명부!$A$3:$A$502,0)),"미등록회원"))</f>
        <v/>
      </c>
      <c r="D310" s="10"/>
      <c r="E310" s="16" t="str">
        <f aca="false">IF($D310="","",IF($J310="환불",0,IFERROR(INDEX(상품목록!$B$3:$B$102,MATCH($D310,상품목록!$A$3:$A$102,0)),0)))</f>
        <v/>
      </c>
      <c r="F310" s="16" t="str">
        <f aca="false">IF($D310="","",IFERROR(INDEX(상품목록!$C$3:$C$102,MATCH($D310,상품목록!$A$3:$A$102,0)),0))</f>
        <v/>
      </c>
      <c r="G310" s="17" t="str">
        <f aca="false">IF(OR($A310="",$F310=""),"",$A310+$F310)</f>
        <v/>
      </c>
      <c r="H310" s="16" t="str">
        <f aca="false">IF($D310="","",IF($J310="환불",0,IFERROR(INDEX(상품목록!$D$3:$D$102,MATCH($D310,상품목록!$A$3:$A$102,0)),0)))</f>
        <v/>
      </c>
      <c r="I310" s="10"/>
      <c r="J310" s="10"/>
      <c r="K310" s="10"/>
    </row>
    <row r="311" customFormat="false" ht="15" hidden="false" customHeight="true" outlineLevel="0" collapsed="false">
      <c r="A311" s="12"/>
      <c r="B311" s="10"/>
      <c r="C311" s="15" t="str">
        <f aca="false">IF($B311="","",IFERROR(INDEX(회원명부!$B$3:$B$502,MATCH($B311,회원명부!$A$3:$A$502,0)),"미등록회원"))</f>
        <v/>
      </c>
      <c r="D311" s="10"/>
      <c r="E311" s="16" t="str">
        <f aca="false">IF($D311="","",IF($J311="환불",0,IFERROR(INDEX(상품목록!$B$3:$B$102,MATCH($D311,상품목록!$A$3:$A$102,0)),0)))</f>
        <v/>
      </c>
      <c r="F311" s="16" t="str">
        <f aca="false">IF($D311="","",IFERROR(INDEX(상품목록!$C$3:$C$102,MATCH($D311,상품목록!$A$3:$A$102,0)),0))</f>
        <v/>
      </c>
      <c r="G311" s="17" t="str">
        <f aca="false">IF(OR($A311="",$F311=""),"",$A311+$F311)</f>
        <v/>
      </c>
      <c r="H311" s="16" t="str">
        <f aca="false">IF($D311="","",IF($J311="환불",0,IFERROR(INDEX(상품목록!$D$3:$D$102,MATCH($D311,상품목록!$A$3:$A$102,0)),0)))</f>
        <v/>
      </c>
      <c r="I311" s="10"/>
      <c r="J311" s="10"/>
      <c r="K311" s="10"/>
    </row>
    <row r="312" customFormat="false" ht="15" hidden="false" customHeight="true" outlineLevel="0" collapsed="false">
      <c r="A312" s="12"/>
      <c r="B312" s="10"/>
      <c r="C312" s="15" t="str">
        <f aca="false">IF($B312="","",IFERROR(INDEX(회원명부!$B$3:$B$502,MATCH($B312,회원명부!$A$3:$A$502,0)),"미등록회원"))</f>
        <v/>
      </c>
      <c r="D312" s="10"/>
      <c r="E312" s="16" t="str">
        <f aca="false">IF($D312="","",IF($J312="환불",0,IFERROR(INDEX(상품목록!$B$3:$B$102,MATCH($D312,상품목록!$A$3:$A$102,0)),0)))</f>
        <v/>
      </c>
      <c r="F312" s="16" t="str">
        <f aca="false">IF($D312="","",IFERROR(INDEX(상품목록!$C$3:$C$102,MATCH($D312,상품목록!$A$3:$A$102,0)),0))</f>
        <v/>
      </c>
      <c r="G312" s="17" t="str">
        <f aca="false">IF(OR($A312="",$F312=""),"",$A312+$F312)</f>
        <v/>
      </c>
      <c r="H312" s="16" t="str">
        <f aca="false">IF($D312="","",IF($J312="환불",0,IFERROR(INDEX(상품목록!$D$3:$D$102,MATCH($D312,상품목록!$A$3:$A$102,0)),0)))</f>
        <v/>
      </c>
      <c r="I312" s="10"/>
      <c r="J312" s="10"/>
      <c r="K312" s="10"/>
    </row>
    <row r="313" customFormat="false" ht="15" hidden="false" customHeight="true" outlineLevel="0" collapsed="false">
      <c r="A313" s="12"/>
      <c r="B313" s="10"/>
      <c r="C313" s="15" t="str">
        <f aca="false">IF($B313="","",IFERROR(INDEX(회원명부!$B$3:$B$502,MATCH($B313,회원명부!$A$3:$A$502,0)),"미등록회원"))</f>
        <v/>
      </c>
      <c r="D313" s="10"/>
      <c r="E313" s="16" t="str">
        <f aca="false">IF($D313="","",IF($J313="환불",0,IFERROR(INDEX(상품목록!$B$3:$B$102,MATCH($D313,상품목록!$A$3:$A$102,0)),0)))</f>
        <v/>
      </c>
      <c r="F313" s="16" t="str">
        <f aca="false">IF($D313="","",IFERROR(INDEX(상품목록!$C$3:$C$102,MATCH($D313,상품목록!$A$3:$A$102,0)),0))</f>
        <v/>
      </c>
      <c r="G313" s="17" t="str">
        <f aca="false">IF(OR($A313="",$F313=""),"",$A313+$F313)</f>
        <v/>
      </c>
      <c r="H313" s="16" t="str">
        <f aca="false">IF($D313="","",IF($J313="환불",0,IFERROR(INDEX(상품목록!$D$3:$D$102,MATCH($D313,상품목록!$A$3:$A$102,0)),0)))</f>
        <v/>
      </c>
      <c r="I313" s="10"/>
      <c r="J313" s="10"/>
      <c r="K313" s="10"/>
    </row>
    <row r="314" customFormat="false" ht="15" hidden="false" customHeight="true" outlineLevel="0" collapsed="false">
      <c r="A314" s="12"/>
      <c r="B314" s="10"/>
      <c r="C314" s="15" t="str">
        <f aca="false">IF($B314="","",IFERROR(INDEX(회원명부!$B$3:$B$502,MATCH($B314,회원명부!$A$3:$A$502,0)),"미등록회원"))</f>
        <v/>
      </c>
      <c r="D314" s="10"/>
      <c r="E314" s="16" t="str">
        <f aca="false">IF($D314="","",IF($J314="환불",0,IFERROR(INDEX(상품목록!$B$3:$B$102,MATCH($D314,상품목록!$A$3:$A$102,0)),0)))</f>
        <v/>
      </c>
      <c r="F314" s="16" t="str">
        <f aca="false">IF($D314="","",IFERROR(INDEX(상품목록!$C$3:$C$102,MATCH($D314,상품목록!$A$3:$A$102,0)),0))</f>
        <v/>
      </c>
      <c r="G314" s="17" t="str">
        <f aca="false">IF(OR($A314="",$F314=""),"",$A314+$F314)</f>
        <v/>
      </c>
      <c r="H314" s="16" t="str">
        <f aca="false">IF($D314="","",IF($J314="환불",0,IFERROR(INDEX(상품목록!$D$3:$D$102,MATCH($D314,상품목록!$A$3:$A$102,0)),0)))</f>
        <v/>
      </c>
      <c r="I314" s="10"/>
      <c r="J314" s="10"/>
      <c r="K314" s="10"/>
    </row>
    <row r="315" customFormat="false" ht="15" hidden="false" customHeight="true" outlineLevel="0" collapsed="false">
      <c r="A315" s="12"/>
      <c r="B315" s="10"/>
      <c r="C315" s="15" t="str">
        <f aca="false">IF($B315="","",IFERROR(INDEX(회원명부!$B$3:$B$502,MATCH($B315,회원명부!$A$3:$A$502,0)),"미등록회원"))</f>
        <v/>
      </c>
      <c r="D315" s="10"/>
      <c r="E315" s="16" t="str">
        <f aca="false">IF($D315="","",IF($J315="환불",0,IFERROR(INDEX(상품목록!$B$3:$B$102,MATCH($D315,상품목록!$A$3:$A$102,0)),0)))</f>
        <v/>
      </c>
      <c r="F315" s="16" t="str">
        <f aca="false">IF($D315="","",IFERROR(INDEX(상품목록!$C$3:$C$102,MATCH($D315,상품목록!$A$3:$A$102,0)),0))</f>
        <v/>
      </c>
      <c r="G315" s="17" t="str">
        <f aca="false">IF(OR($A315="",$F315=""),"",$A315+$F315)</f>
        <v/>
      </c>
      <c r="H315" s="16" t="str">
        <f aca="false">IF($D315="","",IF($J315="환불",0,IFERROR(INDEX(상품목록!$D$3:$D$102,MATCH($D315,상품목록!$A$3:$A$102,0)),0)))</f>
        <v/>
      </c>
      <c r="I315" s="10"/>
      <c r="J315" s="10"/>
      <c r="K315" s="10"/>
    </row>
    <row r="316" customFormat="false" ht="15" hidden="false" customHeight="true" outlineLevel="0" collapsed="false">
      <c r="A316" s="12"/>
      <c r="B316" s="10"/>
      <c r="C316" s="15" t="str">
        <f aca="false">IF($B316="","",IFERROR(INDEX(회원명부!$B$3:$B$502,MATCH($B316,회원명부!$A$3:$A$502,0)),"미등록회원"))</f>
        <v/>
      </c>
      <c r="D316" s="10"/>
      <c r="E316" s="16" t="str">
        <f aca="false">IF($D316="","",IF($J316="환불",0,IFERROR(INDEX(상품목록!$B$3:$B$102,MATCH($D316,상품목록!$A$3:$A$102,0)),0)))</f>
        <v/>
      </c>
      <c r="F316" s="16" t="str">
        <f aca="false">IF($D316="","",IFERROR(INDEX(상품목록!$C$3:$C$102,MATCH($D316,상품목록!$A$3:$A$102,0)),0))</f>
        <v/>
      </c>
      <c r="G316" s="17" t="str">
        <f aca="false">IF(OR($A316="",$F316=""),"",$A316+$F316)</f>
        <v/>
      </c>
      <c r="H316" s="16" t="str">
        <f aca="false">IF($D316="","",IF($J316="환불",0,IFERROR(INDEX(상품목록!$D$3:$D$102,MATCH($D316,상품목록!$A$3:$A$102,0)),0)))</f>
        <v/>
      </c>
      <c r="I316" s="10"/>
      <c r="J316" s="10"/>
      <c r="K316" s="10"/>
    </row>
    <row r="317" customFormat="false" ht="15" hidden="false" customHeight="true" outlineLevel="0" collapsed="false">
      <c r="A317" s="12"/>
      <c r="B317" s="10"/>
      <c r="C317" s="15" t="str">
        <f aca="false">IF($B317="","",IFERROR(INDEX(회원명부!$B$3:$B$502,MATCH($B317,회원명부!$A$3:$A$502,0)),"미등록회원"))</f>
        <v/>
      </c>
      <c r="D317" s="10"/>
      <c r="E317" s="16" t="str">
        <f aca="false">IF($D317="","",IF($J317="환불",0,IFERROR(INDEX(상품목록!$B$3:$B$102,MATCH($D317,상품목록!$A$3:$A$102,0)),0)))</f>
        <v/>
      </c>
      <c r="F317" s="16" t="str">
        <f aca="false">IF($D317="","",IFERROR(INDEX(상품목록!$C$3:$C$102,MATCH($D317,상품목록!$A$3:$A$102,0)),0))</f>
        <v/>
      </c>
      <c r="G317" s="17" t="str">
        <f aca="false">IF(OR($A317="",$F317=""),"",$A317+$F317)</f>
        <v/>
      </c>
      <c r="H317" s="16" t="str">
        <f aca="false">IF($D317="","",IF($J317="환불",0,IFERROR(INDEX(상품목록!$D$3:$D$102,MATCH($D317,상품목록!$A$3:$A$102,0)),0)))</f>
        <v/>
      </c>
      <c r="I317" s="10"/>
      <c r="J317" s="10"/>
      <c r="K317" s="10"/>
    </row>
    <row r="318" customFormat="false" ht="15" hidden="false" customHeight="true" outlineLevel="0" collapsed="false">
      <c r="A318" s="12"/>
      <c r="B318" s="10"/>
      <c r="C318" s="15" t="str">
        <f aca="false">IF($B318="","",IFERROR(INDEX(회원명부!$B$3:$B$502,MATCH($B318,회원명부!$A$3:$A$502,0)),"미등록회원"))</f>
        <v/>
      </c>
      <c r="D318" s="10"/>
      <c r="E318" s="16" t="str">
        <f aca="false">IF($D318="","",IF($J318="환불",0,IFERROR(INDEX(상품목록!$B$3:$B$102,MATCH($D318,상품목록!$A$3:$A$102,0)),0)))</f>
        <v/>
      </c>
      <c r="F318" s="16" t="str">
        <f aca="false">IF($D318="","",IFERROR(INDEX(상품목록!$C$3:$C$102,MATCH($D318,상품목록!$A$3:$A$102,0)),0))</f>
        <v/>
      </c>
      <c r="G318" s="17" t="str">
        <f aca="false">IF(OR($A318="",$F318=""),"",$A318+$F318)</f>
        <v/>
      </c>
      <c r="H318" s="16" t="str">
        <f aca="false">IF($D318="","",IF($J318="환불",0,IFERROR(INDEX(상품목록!$D$3:$D$102,MATCH($D318,상품목록!$A$3:$A$102,0)),0)))</f>
        <v/>
      </c>
      <c r="I318" s="10"/>
      <c r="J318" s="10"/>
      <c r="K318" s="10"/>
    </row>
    <row r="319" customFormat="false" ht="15" hidden="false" customHeight="true" outlineLevel="0" collapsed="false">
      <c r="A319" s="12"/>
      <c r="B319" s="10"/>
      <c r="C319" s="15" t="str">
        <f aca="false">IF($B319="","",IFERROR(INDEX(회원명부!$B$3:$B$502,MATCH($B319,회원명부!$A$3:$A$502,0)),"미등록회원"))</f>
        <v/>
      </c>
      <c r="D319" s="10"/>
      <c r="E319" s="16" t="str">
        <f aca="false">IF($D319="","",IF($J319="환불",0,IFERROR(INDEX(상품목록!$B$3:$B$102,MATCH($D319,상품목록!$A$3:$A$102,0)),0)))</f>
        <v/>
      </c>
      <c r="F319" s="16" t="str">
        <f aca="false">IF($D319="","",IFERROR(INDEX(상품목록!$C$3:$C$102,MATCH($D319,상품목록!$A$3:$A$102,0)),0))</f>
        <v/>
      </c>
      <c r="G319" s="17" t="str">
        <f aca="false">IF(OR($A319="",$F319=""),"",$A319+$F319)</f>
        <v/>
      </c>
      <c r="H319" s="16" t="str">
        <f aca="false">IF($D319="","",IF($J319="환불",0,IFERROR(INDEX(상품목록!$D$3:$D$102,MATCH($D319,상품목록!$A$3:$A$102,0)),0)))</f>
        <v/>
      </c>
      <c r="I319" s="10"/>
      <c r="J319" s="10"/>
      <c r="K319" s="10"/>
    </row>
    <row r="320" customFormat="false" ht="15" hidden="false" customHeight="true" outlineLevel="0" collapsed="false">
      <c r="A320" s="12"/>
      <c r="B320" s="10"/>
      <c r="C320" s="15" t="str">
        <f aca="false">IF($B320="","",IFERROR(INDEX(회원명부!$B$3:$B$502,MATCH($B320,회원명부!$A$3:$A$502,0)),"미등록회원"))</f>
        <v/>
      </c>
      <c r="D320" s="10"/>
      <c r="E320" s="16" t="str">
        <f aca="false">IF($D320="","",IF($J320="환불",0,IFERROR(INDEX(상품목록!$B$3:$B$102,MATCH($D320,상품목록!$A$3:$A$102,0)),0)))</f>
        <v/>
      </c>
      <c r="F320" s="16" t="str">
        <f aca="false">IF($D320="","",IFERROR(INDEX(상품목록!$C$3:$C$102,MATCH($D320,상품목록!$A$3:$A$102,0)),0))</f>
        <v/>
      </c>
      <c r="G320" s="17" t="str">
        <f aca="false">IF(OR($A320="",$F320=""),"",$A320+$F320)</f>
        <v/>
      </c>
      <c r="H320" s="16" t="str">
        <f aca="false">IF($D320="","",IF($J320="환불",0,IFERROR(INDEX(상품목록!$D$3:$D$102,MATCH($D320,상품목록!$A$3:$A$102,0)),0)))</f>
        <v/>
      </c>
      <c r="I320" s="10"/>
      <c r="J320" s="10"/>
      <c r="K320" s="10"/>
    </row>
    <row r="321" customFormat="false" ht="15" hidden="false" customHeight="true" outlineLevel="0" collapsed="false">
      <c r="A321" s="12"/>
      <c r="B321" s="10"/>
      <c r="C321" s="15" t="str">
        <f aca="false">IF($B321="","",IFERROR(INDEX(회원명부!$B$3:$B$502,MATCH($B321,회원명부!$A$3:$A$502,0)),"미등록회원"))</f>
        <v/>
      </c>
      <c r="D321" s="10"/>
      <c r="E321" s="16" t="str">
        <f aca="false">IF($D321="","",IF($J321="환불",0,IFERROR(INDEX(상품목록!$B$3:$B$102,MATCH($D321,상품목록!$A$3:$A$102,0)),0)))</f>
        <v/>
      </c>
      <c r="F321" s="16" t="str">
        <f aca="false">IF($D321="","",IFERROR(INDEX(상품목록!$C$3:$C$102,MATCH($D321,상품목록!$A$3:$A$102,0)),0))</f>
        <v/>
      </c>
      <c r="G321" s="17" t="str">
        <f aca="false">IF(OR($A321="",$F321=""),"",$A321+$F321)</f>
        <v/>
      </c>
      <c r="H321" s="16" t="str">
        <f aca="false">IF($D321="","",IF($J321="환불",0,IFERROR(INDEX(상품목록!$D$3:$D$102,MATCH($D321,상품목록!$A$3:$A$102,0)),0)))</f>
        <v/>
      </c>
      <c r="I321" s="10"/>
      <c r="J321" s="10"/>
      <c r="K321" s="10"/>
    </row>
    <row r="322" customFormat="false" ht="15" hidden="false" customHeight="true" outlineLevel="0" collapsed="false">
      <c r="A322" s="12"/>
      <c r="B322" s="10"/>
      <c r="C322" s="15" t="str">
        <f aca="false">IF($B322="","",IFERROR(INDEX(회원명부!$B$3:$B$502,MATCH($B322,회원명부!$A$3:$A$502,0)),"미등록회원"))</f>
        <v/>
      </c>
      <c r="D322" s="10"/>
      <c r="E322" s="16" t="str">
        <f aca="false">IF($D322="","",IF($J322="환불",0,IFERROR(INDEX(상품목록!$B$3:$B$102,MATCH($D322,상품목록!$A$3:$A$102,0)),0)))</f>
        <v/>
      </c>
      <c r="F322" s="16" t="str">
        <f aca="false">IF($D322="","",IFERROR(INDEX(상품목록!$C$3:$C$102,MATCH($D322,상품목록!$A$3:$A$102,0)),0))</f>
        <v/>
      </c>
      <c r="G322" s="17" t="str">
        <f aca="false">IF(OR($A322="",$F322=""),"",$A322+$F322)</f>
        <v/>
      </c>
      <c r="H322" s="16" t="str">
        <f aca="false">IF($D322="","",IF($J322="환불",0,IFERROR(INDEX(상품목록!$D$3:$D$102,MATCH($D322,상품목록!$A$3:$A$102,0)),0)))</f>
        <v/>
      </c>
      <c r="I322" s="10"/>
      <c r="J322" s="10"/>
      <c r="K322" s="10"/>
    </row>
    <row r="323" customFormat="false" ht="15" hidden="false" customHeight="true" outlineLevel="0" collapsed="false">
      <c r="A323" s="12"/>
      <c r="B323" s="10"/>
      <c r="C323" s="15" t="str">
        <f aca="false">IF($B323="","",IFERROR(INDEX(회원명부!$B$3:$B$502,MATCH($B323,회원명부!$A$3:$A$502,0)),"미등록회원"))</f>
        <v/>
      </c>
      <c r="D323" s="10"/>
      <c r="E323" s="16" t="str">
        <f aca="false">IF($D323="","",IF($J323="환불",0,IFERROR(INDEX(상품목록!$B$3:$B$102,MATCH($D323,상품목록!$A$3:$A$102,0)),0)))</f>
        <v/>
      </c>
      <c r="F323" s="16" t="str">
        <f aca="false">IF($D323="","",IFERROR(INDEX(상품목록!$C$3:$C$102,MATCH($D323,상품목록!$A$3:$A$102,0)),0))</f>
        <v/>
      </c>
      <c r="G323" s="17" t="str">
        <f aca="false">IF(OR($A323="",$F323=""),"",$A323+$F323)</f>
        <v/>
      </c>
      <c r="H323" s="16" t="str">
        <f aca="false">IF($D323="","",IF($J323="환불",0,IFERROR(INDEX(상품목록!$D$3:$D$102,MATCH($D323,상품목록!$A$3:$A$102,0)),0)))</f>
        <v/>
      </c>
      <c r="I323" s="10"/>
      <c r="J323" s="10"/>
      <c r="K323" s="10"/>
    </row>
    <row r="324" customFormat="false" ht="15" hidden="false" customHeight="true" outlineLevel="0" collapsed="false">
      <c r="A324" s="12"/>
      <c r="B324" s="10"/>
      <c r="C324" s="15" t="str">
        <f aca="false">IF($B324="","",IFERROR(INDEX(회원명부!$B$3:$B$502,MATCH($B324,회원명부!$A$3:$A$502,0)),"미등록회원"))</f>
        <v/>
      </c>
      <c r="D324" s="10"/>
      <c r="E324" s="16" t="str">
        <f aca="false">IF($D324="","",IF($J324="환불",0,IFERROR(INDEX(상품목록!$B$3:$B$102,MATCH($D324,상품목록!$A$3:$A$102,0)),0)))</f>
        <v/>
      </c>
      <c r="F324" s="16" t="str">
        <f aca="false">IF($D324="","",IFERROR(INDEX(상품목록!$C$3:$C$102,MATCH($D324,상품목록!$A$3:$A$102,0)),0))</f>
        <v/>
      </c>
      <c r="G324" s="17" t="str">
        <f aca="false">IF(OR($A324="",$F324=""),"",$A324+$F324)</f>
        <v/>
      </c>
      <c r="H324" s="16" t="str">
        <f aca="false">IF($D324="","",IF($J324="환불",0,IFERROR(INDEX(상품목록!$D$3:$D$102,MATCH($D324,상품목록!$A$3:$A$102,0)),0)))</f>
        <v/>
      </c>
      <c r="I324" s="10"/>
      <c r="J324" s="10"/>
      <c r="K324" s="10"/>
    </row>
    <row r="325" customFormat="false" ht="15" hidden="false" customHeight="true" outlineLevel="0" collapsed="false">
      <c r="A325" s="12"/>
      <c r="B325" s="10"/>
      <c r="C325" s="15" t="str">
        <f aca="false">IF($B325="","",IFERROR(INDEX(회원명부!$B$3:$B$502,MATCH($B325,회원명부!$A$3:$A$502,0)),"미등록회원"))</f>
        <v/>
      </c>
      <c r="D325" s="10"/>
      <c r="E325" s="16" t="str">
        <f aca="false">IF($D325="","",IF($J325="환불",0,IFERROR(INDEX(상품목록!$B$3:$B$102,MATCH($D325,상품목록!$A$3:$A$102,0)),0)))</f>
        <v/>
      </c>
      <c r="F325" s="16" t="str">
        <f aca="false">IF($D325="","",IFERROR(INDEX(상품목록!$C$3:$C$102,MATCH($D325,상품목록!$A$3:$A$102,0)),0))</f>
        <v/>
      </c>
      <c r="G325" s="17" t="str">
        <f aca="false">IF(OR($A325="",$F325=""),"",$A325+$F325)</f>
        <v/>
      </c>
      <c r="H325" s="16" t="str">
        <f aca="false">IF($D325="","",IF($J325="환불",0,IFERROR(INDEX(상품목록!$D$3:$D$102,MATCH($D325,상품목록!$A$3:$A$102,0)),0)))</f>
        <v/>
      </c>
      <c r="I325" s="10"/>
      <c r="J325" s="10"/>
      <c r="K325" s="10"/>
    </row>
    <row r="326" customFormat="false" ht="15" hidden="false" customHeight="true" outlineLevel="0" collapsed="false">
      <c r="A326" s="12"/>
      <c r="B326" s="10"/>
      <c r="C326" s="15" t="str">
        <f aca="false">IF($B326="","",IFERROR(INDEX(회원명부!$B$3:$B$502,MATCH($B326,회원명부!$A$3:$A$502,0)),"미등록회원"))</f>
        <v/>
      </c>
      <c r="D326" s="10"/>
      <c r="E326" s="16" t="str">
        <f aca="false">IF($D326="","",IF($J326="환불",0,IFERROR(INDEX(상품목록!$B$3:$B$102,MATCH($D326,상품목록!$A$3:$A$102,0)),0)))</f>
        <v/>
      </c>
      <c r="F326" s="16" t="str">
        <f aca="false">IF($D326="","",IFERROR(INDEX(상품목록!$C$3:$C$102,MATCH($D326,상품목록!$A$3:$A$102,0)),0))</f>
        <v/>
      </c>
      <c r="G326" s="17" t="str">
        <f aca="false">IF(OR($A326="",$F326=""),"",$A326+$F326)</f>
        <v/>
      </c>
      <c r="H326" s="16" t="str">
        <f aca="false">IF($D326="","",IF($J326="환불",0,IFERROR(INDEX(상품목록!$D$3:$D$102,MATCH($D326,상품목록!$A$3:$A$102,0)),0)))</f>
        <v/>
      </c>
      <c r="I326" s="10"/>
      <c r="J326" s="10"/>
      <c r="K326" s="10"/>
    </row>
    <row r="327" customFormat="false" ht="15" hidden="false" customHeight="true" outlineLevel="0" collapsed="false">
      <c r="A327" s="12"/>
      <c r="B327" s="10"/>
      <c r="C327" s="15" t="str">
        <f aca="false">IF($B327="","",IFERROR(INDEX(회원명부!$B$3:$B$502,MATCH($B327,회원명부!$A$3:$A$502,0)),"미등록회원"))</f>
        <v/>
      </c>
      <c r="D327" s="10"/>
      <c r="E327" s="16" t="str">
        <f aca="false">IF($D327="","",IF($J327="환불",0,IFERROR(INDEX(상품목록!$B$3:$B$102,MATCH($D327,상품목록!$A$3:$A$102,0)),0)))</f>
        <v/>
      </c>
      <c r="F327" s="16" t="str">
        <f aca="false">IF($D327="","",IFERROR(INDEX(상품목록!$C$3:$C$102,MATCH($D327,상품목록!$A$3:$A$102,0)),0))</f>
        <v/>
      </c>
      <c r="G327" s="17" t="str">
        <f aca="false">IF(OR($A327="",$F327=""),"",$A327+$F327)</f>
        <v/>
      </c>
      <c r="H327" s="16" t="str">
        <f aca="false">IF($D327="","",IF($J327="환불",0,IFERROR(INDEX(상품목록!$D$3:$D$102,MATCH($D327,상품목록!$A$3:$A$102,0)),0)))</f>
        <v/>
      </c>
      <c r="I327" s="10"/>
      <c r="J327" s="10"/>
      <c r="K327" s="10"/>
    </row>
    <row r="328" customFormat="false" ht="15" hidden="false" customHeight="true" outlineLevel="0" collapsed="false">
      <c r="A328" s="12"/>
      <c r="B328" s="10"/>
      <c r="C328" s="15" t="str">
        <f aca="false">IF($B328="","",IFERROR(INDEX(회원명부!$B$3:$B$502,MATCH($B328,회원명부!$A$3:$A$502,0)),"미등록회원"))</f>
        <v/>
      </c>
      <c r="D328" s="10"/>
      <c r="E328" s="16" t="str">
        <f aca="false">IF($D328="","",IF($J328="환불",0,IFERROR(INDEX(상품목록!$B$3:$B$102,MATCH($D328,상품목록!$A$3:$A$102,0)),0)))</f>
        <v/>
      </c>
      <c r="F328" s="16" t="str">
        <f aca="false">IF($D328="","",IFERROR(INDEX(상품목록!$C$3:$C$102,MATCH($D328,상품목록!$A$3:$A$102,0)),0))</f>
        <v/>
      </c>
      <c r="G328" s="17" t="str">
        <f aca="false">IF(OR($A328="",$F328=""),"",$A328+$F328)</f>
        <v/>
      </c>
      <c r="H328" s="16" t="str">
        <f aca="false">IF($D328="","",IF($J328="환불",0,IFERROR(INDEX(상품목록!$D$3:$D$102,MATCH($D328,상품목록!$A$3:$A$102,0)),0)))</f>
        <v/>
      </c>
      <c r="I328" s="10"/>
      <c r="J328" s="10"/>
      <c r="K328" s="10"/>
    </row>
    <row r="329" customFormat="false" ht="15" hidden="false" customHeight="true" outlineLevel="0" collapsed="false">
      <c r="A329" s="12"/>
      <c r="B329" s="10"/>
      <c r="C329" s="15" t="str">
        <f aca="false">IF($B329="","",IFERROR(INDEX(회원명부!$B$3:$B$502,MATCH($B329,회원명부!$A$3:$A$502,0)),"미등록회원"))</f>
        <v/>
      </c>
      <c r="D329" s="10"/>
      <c r="E329" s="16" t="str">
        <f aca="false">IF($D329="","",IF($J329="환불",0,IFERROR(INDEX(상품목록!$B$3:$B$102,MATCH($D329,상품목록!$A$3:$A$102,0)),0)))</f>
        <v/>
      </c>
      <c r="F329" s="16" t="str">
        <f aca="false">IF($D329="","",IFERROR(INDEX(상품목록!$C$3:$C$102,MATCH($D329,상품목록!$A$3:$A$102,0)),0))</f>
        <v/>
      </c>
      <c r="G329" s="17" t="str">
        <f aca="false">IF(OR($A329="",$F329=""),"",$A329+$F329)</f>
        <v/>
      </c>
      <c r="H329" s="16" t="str">
        <f aca="false">IF($D329="","",IF($J329="환불",0,IFERROR(INDEX(상품목록!$D$3:$D$102,MATCH($D329,상품목록!$A$3:$A$102,0)),0)))</f>
        <v/>
      </c>
      <c r="I329" s="10"/>
      <c r="J329" s="10"/>
      <c r="K329" s="10"/>
    </row>
    <row r="330" customFormat="false" ht="15" hidden="false" customHeight="true" outlineLevel="0" collapsed="false">
      <c r="A330" s="12"/>
      <c r="B330" s="10"/>
      <c r="C330" s="15" t="str">
        <f aca="false">IF($B330="","",IFERROR(INDEX(회원명부!$B$3:$B$502,MATCH($B330,회원명부!$A$3:$A$502,0)),"미등록회원"))</f>
        <v/>
      </c>
      <c r="D330" s="10"/>
      <c r="E330" s="16" t="str">
        <f aca="false">IF($D330="","",IF($J330="환불",0,IFERROR(INDEX(상품목록!$B$3:$B$102,MATCH($D330,상품목록!$A$3:$A$102,0)),0)))</f>
        <v/>
      </c>
      <c r="F330" s="16" t="str">
        <f aca="false">IF($D330="","",IFERROR(INDEX(상품목록!$C$3:$C$102,MATCH($D330,상품목록!$A$3:$A$102,0)),0))</f>
        <v/>
      </c>
      <c r="G330" s="17" t="str">
        <f aca="false">IF(OR($A330="",$F330=""),"",$A330+$F330)</f>
        <v/>
      </c>
      <c r="H330" s="16" t="str">
        <f aca="false">IF($D330="","",IF($J330="환불",0,IFERROR(INDEX(상품목록!$D$3:$D$102,MATCH($D330,상품목록!$A$3:$A$102,0)),0)))</f>
        <v/>
      </c>
      <c r="I330" s="10"/>
      <c r="J330" s="10"/>
      <c r="K330" s="10"/>
    </row>
    <row r="331" customFormat="false" ht="15" hidden="false" customHeight="true" outlineLevel="0" collapsed="false">
      <c r="A331" s="12"/>
      <c r="B331" s="10"/>
      <c r="C331" s="15" t="str">
        <f aca="false">IF($B331="","",IFERROR(INDEX(회원명부!$B$3:$B$502,MATCH($B331,회원명부!$A$3:$A$502,0)),"미등록회원"))</f>
        <v/>
      </c>
      <c r="D331" s="10"/>
      <c r="E331" s="16" t="str">
        <f aca="false">IF($D331="","",IF($J331="환불",0,IFERROR(INDEX(상품목록!$B$3:$B$102,MATCH($D331,상품목록!$A$3:$A$102,0)),0)))</f>
        <v/>
      </c>
      <c r="F331" s="16" t="str">
        <f aca="false">IF($D331="","",IFERROR(INDEX(상품목록!$C$3:$C$102,MATCH($D331,상품목록!$A$3:$A$102,0)),0))</f>
        <v/>
      </c>
      <c r="G331" s="17" t="str">
        <f aca="false">IF(OR($A331="",$F331=""),"",$A331+$F331)</f>
        <v/>
      </c>
      <c r="H331" s="16" t="str">
        <f aca="false">IF($D331="","",IF($J331="환불",0,IFERROR(INDEX(상품목록!$D$3:$D$102,MATCH($D331,상품목록!$A$3:$A$102,0)),0)))</f>
        <v/>
      </c>
      <c r="I331" s="10"/>
      <c r="J331" s="10"/>
      <c r="K331" s="10"/>
    </row>
    <row r="332" customFormat="false" ht="15" hidden="false" customHeight="true" outlineLevel="0" collapsed="false">
      <c r="A332" s="12"/>
      <c r="B332" s="10"/>
      <c r="C332" s="15" t="str">
        <f aca="false">IF($B332="","",IFERROR(INDEX(회원명부!$B$3:$B$502,MATCH($B332,회원명부!$A$3:$A$502,0)),"미등록회원"))</f>
        <v/>
      </c>
      <c r="D332" s="10"/>
      <c r="E332" s="16" t="str">
        <f aca="false">IF($D332="","",IF($J332="환불",0,IFERROR(INDEX(상품목록!$B$3:$B$102,MATCH($D332,상품목록!$A$3:$A$102,0)),0)))</f>
        <v/>
      </c>
      <c r="F332" s="16" t="str">
        <f aca="false">IF($D332="","",IFERROR(INDEX(상품목록!$C$3:$C$102,MATCH($D332,상품목록!$A$3:$A$102,0)),0))</f>
        <v/>
      </c>
      <c r="G332" s="17" t="str">
        <f aca="false">IF(OR($A332="",$F332=""),"",$A332+$F332)</f>
        <v/>
      </c>
      <c r="H332" s="16" t="str">
        <f aca="false">IF($D332="","",IF($J332="환불",0,IFERROR(INDEX(상품목록!$D$3:$D$102,MATCH($D332,상품목록!$A$3:$A$102,0)),0)))</f>
        <v/>
      </c>
      <c r="I332" s="10"/>
      <c r="J332" s="10"/>
      <c r="K332" s="10"/>
    </row>
    <row r="333" customFormat="false" ht="15" hidden="false" customHeight="true" outlineLevel="0" collapsed="false">
      <c r="A333" s="12"/>
      <c r="B333" s="10"/>
      <c r="C333" s="15" t="str">
        <f aca="false">IF($B333="","",IFERROR(INDEX(회원명부!$B$3:$B$502,MATCH($B333,회원명부!$A$3:$A$502,0)),"미등록회원"))</f>
        <v/>
      </c>
      <c r="D333" s="10"/>
      <c r="E333" s="16" t="str">
        <f aca="false">IF($D333="","",IF($J333="환불",0,IFERROR(INDEX(상품목록!$B$3:$B$102,MATCH($D333,상품목록!$A$3:$A$102,0)),0)))</f>
        <v/>
      </c>
      <c r="F333" s="16" t="str">
        <f aca="false">IF($D333="","",IFERROR(INDEX(상품목록!$C$3:$C$102,MATCH($D333,상품목록!$A$3:$A$102,0)),0))</f>
        <v/>
      </c>
      <c r="G333" s="17" t="str">
        <f aca="false">IF(OR($A333="",$F333=""),"",$A333+$F333)</f>
        <v/>
      </c>
      <c r="H333" s="16" t="str">
        <f aca="false">IF($D333="","",IF($J333="환불",0,IFERROR(INDEX(상품목록!$D$3:$D$102,MATCH($D333,상품목록!$A$3:$A$102,0)),0)))</f>
        <v/>
      </c>
      <c r="I333" s="10"/>
      <c r="J333" s="10"/>
      <c r="K333" s="10"/>
    </row>
    <row r="334" customFormat="false" ht="15" hidden="false" customHeight="true" outlineLevel="0" collapsed="false">
      <c r="A334" s="12"/>
      <c r="B334" s="10"/>
      <c r="C334" s="15" t="str">
        <f aca="false">IF($B334="","",IFERROR(INDEX(회원명부!$B$3:$B$502,MATCH($B334,회원명부!$A$3:$A$502,0)),"미등록회원"))</f>
        <v/>
      </c>
      <c r="D334" s="10"/>
      <c r="E334" s="16" t="str">
        <f aca="false">IF($D334="","",IF($J334="환불",0,IFERROR(INDEX(상품목록!$B$3:$B$102,MATCH($D334,상품목록!$A$3:$A$102,0)),0)))</f>
        <v/>
      </c>
      <c r="F334" s="16" t="str">
        <f aca="false">IF($D334="","",IFERROR(INDEX(상품목록!$C$3:$C$102,MATCH($D334,상품목록!$A$3:$A$102,0)),0))</f>
        <v/>
      </c>
      <c r="G334" s="17" t="str">
        <f aca="false">IF(OR($A334="",$F334=""),"",$A334+$F334)</f>
        <v/>
      </c>
      <c r="H334" s="16" t="str">
        <f aca="false">IF($D334="","",IF($J334="환불",0,IFERROR(INDEX(상품목록!$D$3:$D$102,MATCH($D334,상품목록!$A$3:$A$102,0)),0)))</f>
        <v/>
      </c>
      <c r="I334" s="10"/>
      <c r="J334" s="10"/>
      <c r="K334" s="10"/>
    </row>
    <row r="335" customFormat="false" ht="15" hidden="false" customHeight="true" outlineLevel="0" collapsed="false">
      <c r="A335" s="12"/>
      <c r="B335" s="10"/>
      <c r="C335" s="15" t="str">
        <f aca="false">IF($B335="","",IFERROR(INDEX(회원명부!$B$3:$B$502,MATCH($B335,회원명부!$A$3:$A$502,0)),"미등록회원"))</f>
        <v/>
      </c>
      <c r="D335" s="10"/>
      <c r="E335" s="16" t="str">
        <f aca="false">IF($D335="","",IF($J335="환불",0,IFERROR(INDEX(상품목록!$B$3:$B$102,MATCH($D335,상품목록!$A$3:$A$102,0)),0)))</f>
        <v/>
      </c>
      <c r="F335" s="16" t="str">
        <f aca="false">IF($D335="","",IFERROR(INDEX(상품목록!$C$3:$C$102,MATCH($D335,상품목록!$A$3:$A$102,0)),0))</f>
        <v/>
      </c>
      <c r="G335" s="17" t="str">
        <f aca="false">IF(OR($A335="",$F335=""),"",$A335+$F335)</f>
        <v/>
      </c>
      <c r="H335" s="16" t="str">
        <f aca="false">IF($D335="","",IF($J335="환불",0,IFERROR(INDEX(상품목록!$D$3:$D$102,MATCH($D335,상품목록!$A$3:$A$102,0)),0)))</f>
        <v/>
      </c>
      <c r="I335" s="10"/>
      <c r="J335" s="10"/>
      <c r="K335" s="10"/>
    </row>
    <row r="336" customFormat="false" ht="15" hidden="false" customHeight="true" outlineLevel="0" collapsed="false">
      <c r="A336" s="12"/>
      <c r="B336" s="10"/>
      <c r="C336" s="15" t="str">
        <f aca="false">IF($B336="","",IFERROR(INDEX(회원명부!$B$3:$B$502,MATCH($B336,회원명부!$A$3:$A$502,0)),"미등록회원"))</f>
        <v/>
      </c>
      <c r="D336" s="10"/>
      <c r="E336" s="16" t="str">
        <f aca="false">IF($D336="","",IF($J336="환불",0,IFERROR(INDEX(상품목록!$B$3:$B$102,MATCH($D336,상품목록!$A$3:$A$102,0)),0)))</f>
        <v/>
      </c>
      <c r="F336" s="16" t="str">
        <f aca="false">IF($D336="","",IFERROR(INDEX(상품목록!$C$3:$C$102,MATCH($D336,상품목록!$A$3:$A$102,0)),0))</f>
        <v/>
      </c>
      <c r="G336" s="17" t="str">
        <f aca="false">IF(OR($A336="",$F336=""),"",$A336+$F336)</f>
        <v/>
      </c>
      <c r="H336" s="16" t="str">
        <f aca="false">IF($D336="","",IF($J336="환불",0,IFERROR(INDEX(상품목록!$D$3:$D$102,MATCH($D336,상품목록!$A$3:$A$102,0)),0)))</f>
        <v/>
      </c>
      <c r="I336" s="10"/>
      <c r="J336" s="10"/>
      <c r="K336" s="10"/>
    </row>
    <row r="337" customFormat="false" ht="15" hidden="false" customHeight="true" outlineLevel="0" collapsed="false">
      <c r="A337" s="12"/>
      <c r="B337" s="10"/>
      <c r="C337" s="15" t="str">
        <f aca="false">IF($B337="","",IFERROR(INDEX(회원명부!$B$3:$B$502,MATCH($B337,회원명부!$A$3:$A$502,0)),"미등록회원"))</f>
        <v/>
      </c>
      <c r="D337" s="10"/>
      <c r="E337" s="16" t="str">
        <f aca="false">IF($D337="","",IF($J337="환불",0,IFERROR(INDEX(상품목록!$B$3:$B$102,MATCH($D337,상품목록!$A$3:$A$102,0)),0)))</f>
        <v/>
      </c>
      <c r="F337" s="16" t="str">
        <f aca="false">IF($D337="","",IFERROR(INDEX(상품목록!$C$3:$C$102,MATCH($D337,상품목록!$A$3:$A$102,0)),0))</f>
        <v/>
      </c>
      <c r="G337" s="17" t="str">
        <f aca="false">IF(OR($A337="",$F337=""),"",$A337+$F337)</f>
        <v/>
      </c>
      <c r="H337" s="16" t="str">
        <f aca="false">IF($D337="","",IF($J337="환불",0,IFERROR(INDEX(상품목록!$D$3:$D$102,MATCH($D337,상품목록!$A$3:$A$102,0)),0)))</f>
        <v/>
      </c>
      <c r="I337" s="10"/>
      <c r="J337" s="10"/>
      <c r="K337" s="10"/>
    </row>
    <row r="338" customFormat="false" ht="15" hidden="false" customHeight="true" outlineLevel="0" collapsed="false">
      <c r="A338" s="12"/>
      <c r="B338" s="10"/>
      <c r="C338" s="15" t="str">
        <f aca="false">IF($B338="","",IFERROR(INDEX(회원명부!$B$3:$B$502,MATCH($B338,회원명부!$A$3:$A$502,0)),"미등록회원"))</f>
        <v/>
      </c>
      <c r="D338" s="10"/>
      <c r="E338" s="16" t="str">
        <f aca="false">IF($D338="","",IF($J338="환불",0,IFERROR(INDEX(상품목록!$B$3:$B$102,MATCH($D338,상품목록!$A$3:$A$102,0)),0)))</f>
        <v/>
      </c>
      <c r="F338" s="16" t="str">
        <f aca="false">IF($D338="","",IFERROR(INDEX(상품목록!$C$3:$C$102,MATCH($D338,상품목록!$A$3:$A$102,0)),0))</f>
        <v/>
      </c>
      <c r="G338" s="17" t="str">
        <f aca="false">IF(OR($A338="",$F338=""),"",$A338+$F338)</f>
        <v/>
      </c>
      <c r="H338" s="16" t="str">
        <f aca="false">IF($D338="","",IF($J338="환불",0,IFERROR(INDEX(상품목록!$D$3:$D$102,MATCH($D338,상품목록!$A$3:$A$102,0)),0)))</f>
        <v/>
      </c>
      <c r="I338" s="10"/>
      <c r="J338" s="10"/>
      <c r="K338" s="10"/>
    </row>
    <row r="339" customFormat="false" ht="15" hidden="false" customHeight="true" outlineLevel="0" collapsed="false">
      <c r="A339" s="12"/>
      <c r="B339" s="10"/>
      <c r="C339" s="15" t="str">
        <f aca="false">IF($B339="","",IFERROR(INDEX(회원명부!$B$3:$B$502,MATCH($B339,회원명부!$A$3:$A$502,0)),"미등록회원"))</f>
        <v/>
      </c>
      <c r="D339" s="10"/>
      <c r="E339" s="16" t="str">
        <f aca="false">IF($D339="","",IF($J339="환불",0,IFERROR(INDEX(상품목록!$B$3:$B$102,MATCH($D339,상품목록!$A$3:$A$102,0)),0)))</f>
        <v/>
      </c>
      <c r="F339" s="16" t="str">
        <f aca="false">IF($D339="","",IFERROR(INDEX(상품목록!$C$3:$C$102,MATCH($D339,상품목록!$A$3:$A$102,0)),0))</f>
        <v/>
      </c>
      <c r="G339" s="17" t="str">
        <f aca="false">IF(OR($A339="",$F339=""),"",$A339+$F339)</f>
        <v/>
      </c>
      <c r="H339" s="16" t="str">
        <f aca="false">IF($D339="","",IF($J339="환불",0,IFERROR(INDEX(상품목록!$D$3:$D$102,MATCH($D339,상품목록!$A$3:$A$102,0)),0)))</f>
        <v/>
      </c>
      <c r="I339" s="10"/>
      <c r="J339" s="10"/>
      <c r="K339" s="10"/>
    </row>
    <row r="340" customFormat="false" ht="15" hidden="false" customHeight="true" outlineLevel="0" collapsed="false">
      <c r="A340" s="12"/>
      <c r="B340" s="10"/>
      <c r="C340" s="15" t="str">
        <f aca="false">IF($B340="","",IFERROR(INDEX(회원명부!$B$3:$B$502,MATCH($B340,회원명부!$A$3:$A$502,0)),"미등록회원"))</f>
        <v/>
      </c>
      <c r="D340" s="10"/>
      <c r="E340" s="16" t="str">
        <f aca="false">IF($D340="","",IF($J340="환불",0,IFERROR(INDEX(상품목록!$B$3:$B$102,MATCH($D340,상품목록!$A$3:$A$102,0)),0)))</f>
        <v/>
      </c>
      <c r="F340" s="16" t="str">
        <f aca="false">IF($D340="","",IFERROR(INDEX(상품목록!$C$3:$C$102,MATCH($D340,상품목록!$A$3:$A$102,0)),0))</f>
        <v/>
      </c>
      <c r="G340" s="17" t="str">
        <f aca="false">IF(OR($A340="",$F340=""),"",$A340+$F340)</f>
        <v/>
      </c>
      <c r="H340" s="16" t="str">
        <f aca="false">IF($D340="","",IF($J340="환불",0,IFERROR(INDEX(상품목록!$D$3:$D$102,MATCH($D340,상품목록!$A$3:$A$102,0)),0)))</f>
        <v/>
      </c>
      <c r="I340" s="10"/>
      <c r="J340" s="10"/>
      <c r="K340" s="10"/>
    </row>
    <row r="341" customFormat="false" ht="15" hidden="false" customHeight="true" outlineLevel="0" collapsed="false">
      <c r="A341" s="12"/>
      <c r="B341" s="10"/>
      <c r="C341" s="15" t="str">
        <f aca="false">IF($B341="","",IFERROR(INDEX(회원명부!$B$3:$B$502,MATCH($B341,회원명부!$A$3:$A$502,0)),"미등록회원"))</f>
        <v/>
      </c>
      <c r="D341" s="10"/>
      <c r="E341" s="16" t="str">
        <f aca="false">IF($D341="","",IF($J341="환불",0,IFERROR(INDEX(상품목록!$B$3:$B$102,MATCH($D341,상품목록!$A$3:$A$102,0)),0)))</f>
        <v/>
      </c>
      <c r="F341" s="16" t="str">
        <f aca="false">IF($D341="","",IFERROR(INDEX(상품목록!$C$3:$C$102,MATCH($D341,상품목록!$A$3:$A$102,0)),0))</f>
        <v/>
      </c>
      <c r="G341" s="17" t="str">
        <f aca="false">IF(OR($A341="",$F341=""),"",$A341+$F341)</f>
        <v/>
      </c>
      <c r="H341" s="16" t="str">
        <f aca="false">IF($D341="","",IF($J341="환불",0,IFERROR(INDEX(상품목록!$D$3:$D$102,MATCH($D341,상품목록!$A$3:$A$102,0)),0)))</f>
        <v/>
      </c>
      <c r="I341" s="10"/>
      <c r="J341" s="10"/>
      <c r="K341" s="10"/>
    </row>
    <row r="342" customFormat="false" ht="15" hidden="false" customHeight="true" outlineLevel="0" collapsed="false">
      <c r="A342" s="12"/>
      <c r="B342" s="10"/>
      <c r="C342" s="15" t="str">
        <f aca="false">IF($B342="","",IFERROR(INDEX(회원명부!$B$3:$B$502,MATCH($B342,회원명부!$A$3:$A$502,0)),"미등록회원"))</f>
        <v/>
      </c>
      <c r="D342" s="10"/>
      <c r="E342" s="16" t="str">
        <f aca="false">IF($D342="","",IF($J342="환불",0,IFERROR(INDEX(상품목록!$B$3:$B$102,MATCH($D342,상품목록!$A$3:$A$102,0)),0)))</f>
        <v/>
      </c>
      <c r="F342" s="16" t="str">
        <f aca="false">IF($D342="","",IFERROR(INDEX(상품목록!$C$3:$C$102,MATCH($D342,상품목록!$A$3:$A$102,0)),0))</f>
        <v/>
      </c>
      <c r="G342" s="17" t="str">
        <f aca="false">IF(OR($A342="",$F342=""),"",$A342+$F342)</f>
        <v/>
      </c>
      <c r="H342" s="16" t="str">
        <f aca="false">IF($D342="","",IF($J342="환불",0,IFERROR(INDEX(상품목록!$D$3:$D$102,MATCH($D342,상품목록!$A$3:$A$102,0)),0)))</f>
        <v/>
      </c>
      <c r="I342" s="10"/>
      <c r="J342" s="10"/>
      <c r="K342" s="10"/>
    </row>
    <row r="343" customFormat="false" ht="15" hidden="false" customHeight="true" outlineLevel="0" collapsed="false">
      <c r="A343" s="12"/>
      <c r="B343" s="10"/>
      <c r="C343" s="15" t="str">
        <f aca="false">IF($B343="","",IFERROR(INDEX(회원명부!$B$3:$B$502,MATCH($B343,회원명부!$A$3:$A$502,0)),"미등록회원"))</f>
        <v/>
      </c>
      <c r="D343" s="10"/>
      <c r="E343" s="16" t="str">
        <f aca="false">IF($D343="","",IF($J343="환불",0,IFERROR(INDEX(상품목록!$B$3:$B$102,MATCH($D343,상품목록!$A$3:$A$102,0)),0)))</f>
        <v/>
      </c>
      <c r="F343" s="16" t="str">
        <f aca="false">IF($D343="","",IFERROR(INDEX(상품목록!$C$3:$C$102,MATCH($D343,상품목록!$A$3:$A$102,0)),0))</f>
        <v/>
      </c>
      <c r="G343" s="17" t="str">
        <f aca="false">IF(OR($A343="",$F343=""),"",$A343+$F343)</f>
        <v/>
      </c>
      <c r="H343" s="16" t="str">
        <f aca="false">IF($D343="","",IF($J343="환불",0,IFERROR(INDEX(상품목록!$D$3:$D$102,MATCH($D343,상품목록!$A$3:$A$102,0)),0)))</f>
        <v/>
      </c>
      <c r="I343" s="10"/>
      <c r="J343" s="10"/>
      <c r="K343" s="10"/>
    </row>
    <row r="344" customFormat="false" ht="15" hidden="false" customHeight="true" outlineLevel="0" collapsed="false">
      <c r="A344" s="12"/>
      <c r="B344" s="10"/>
      <c r="C344" s="15" t="str">
        <f aca="false">IF($B344="","",IFERROR(INDEX(회원명부!$B$3:$B$502,MATCH($B344,회원명부!$A$3:$A$502,0)),"미등록회원"))</f>
        <v/>
      </c>
      <c r="D344" s="10"/>
      <c r="E344" s="16" t="str">
        <f aca="false">IF($D344="","",IF($J344="환불",0,IFERROR(INDEX(상품목록!$B$3:$B$102,MATCH($D344,상품목록!$A$3:$A$102,0)),0)))</f>
        <v/>
      </c>
      <c r="F344" s="16" t="str">
        <f aca="false">IF($D344="","",IFERROR(INDEX(상품목록!$C$3:$C$102,MATCH($D344,상품목록!$A$3:$A$102,0)),0))</f>
        <v/>
      </c>
      <c r="G344" s="17" t="str">
        <f aca="false">IF(OR($A344="",$F344=""),"",$A344+$F344)</f>
        <v/>
      </c>
      <c r="H344" s="16" t="str">
        <f aca="false">IF($D344="","",IF($J344="환불",0,IFERROR(INDEX(상품목록!$D$3:$D$102,MATCH($D344,상품목록!$A$3:$A$102,0)),0)))</f>
        <v/>
      </c>
      <c r="I344" s="10"/>
      <c r="J344" s="10"/>
      <c r="K344" s="10"/>
    </row>
    <row r="345" customFormat="false" ht="15" hidden="false" customHeight="true" outlineLevel="0" collapsed="false">
      <c r="A345" s="12"/>
      <c r="B345" s="10"/>
      <c r="C345" s="15" t="str">
        <f aca="false">IF($B345="","",IFERROR(INDEX(회원명부!$B$3:$B$502,MATCH($B345,회원명부!$A$3:$A$502,0)),"미등록회원"))</f>
        <v/>
      </c>
      <c r="D345" s="10"/>
      <c r="E345" s="16" t="str">
        <f aca="false">IF($D345="","",IF($J345="환불",0,IFERROR(INDEX(상품목록!$B$3:$B$102,MATCH($D345,상품목록!$A$3:$A$102,0)),0)))</f>
        <v/>
      </c>
      <c r="F345" s="16" t="str">
        <f aca="false">IF($D345="","",IFERROR(INDEX(상품목록!$C$3:$C$102,MATCH($D345,상품목록!$A$3:$A$102,0)),0))</f>
        <v/>
      </c>
      <c r="G345" s="17" t="str">
        <f aca="false">IF(OR($A345="",$F345=""),"",$A345+$F345)</f>
        <v/>
      </c>
      <c r="H345" s="16" t="str">
        <f aca="false">IF($D345="","",IF($J345="환불",0,IFERROR(INDEX(상품목록!$D$3:$D$102,MATCH($D345,상품목록!$A$3:$A$102,0)),0)))</f>
        <v/>
      </c>
      <c r="I345" s="10"/>
      <c r="J345" s="10"/>
      <c r="K345" s="10"/>
    </row>
    <row r="346" customFormat="false" ht="15" hidden="false" customHeight="true" outlineLevel="0" collapsed="false">
      <c r="A346" s="12"/>
      <c r="B346" s="10"/>
      <c r="C346" s="15" t="str">
        <f aca="false">IF($B346="","",IFERROR(INDEX(회원명부!$B$3:$B$502,MATCH($B346,회원명부!$A$3:$A$502,0)),"미등록회원"))</f>
        <v/>
      </c>
      <c r="D346" s="10"/>
      <c r="E346" s="16" t="str">
        <f aca="false">IF($D346="","",IF($J346="환불",0,IFERROR(INDEX(상품목록!$B$3:$B$102,MATCH($D346,상품목록!$A$3:$A$102,0)),0)))</f>
        <v/>
      </c>
      <c r="F346" s="16" t="str">
        <f aca="false">IF($D346="","",IFERROR(INDEX(상품목록!$C$3:$C$102,MATCH($D346,상품목록!$A$3:$A$102,0)),0))</f>
        <v/>
      </c>
      <c r="G346" s="17" t="str">
        <f aca="false">IF(OR($A346="",$F346=""),"",$A346+$F346)</f>
        <v/>
      </c>
      <c r="H346" s="16" t="str">
        <f aca="false">IF($D346="","",IF($J346="환불",0,IFERROR(INDEX(상품목록!$D$3:$D$102,MATCH($D346,상품목록!$A$3:$A$102,0)),0)))</f>
        <v/>
      </c>
      <c r="I346" s="10"/>
      <c r="J346" s="10"/>
      <c r="K346" s="10"/>
    </row>
    <row r="347" customFormat="false" ht="15" hidden="false" customHeight="true" outlineLevel="0" collapsed="false">
      <c r="A347" s="12"/>
      <c r="B347" s="10"/>
      <c r="C347" s="15" t="str">
        <f aca="false">IF($B347="","",IFERROR(INDEX(회원명부!$B$3:$B$502,MATCH($B347,회원명부!$A$3:$A$502,0)),"미등록회원"))</f>
        <v/>
      </c>
      <c r="D347" s="10"/>
      <c r="E347" s="16" t="str">
        <f aca="false">IF($D347="","",IF($J347="환불",0,IFERROR(INDEX(상품목록!$B$3:$B$102,MATCH($D347,상품목록!$A$3:$A$102,0)),0)))</f>
        <v/>
      </c>
      <c r="F347" s="16" t="str">
        <f aca="false">IF($D347="","",IFERROR(INDEX(상품목록!$C$3:$C$102,MATCH($D347,상품목록!$A$3:$A$102,0)),0))</f>
        <v/>
      </c>
      <c r="G347" s="17" t="str">
        <f aca="false">IF(OR($A347="",$F347=""),"",$A347+$F347)</f>
        <v/>
      </c>
      <c r="H347" s="16" t="str">
        <f aca="false">IF($D347="","",IF($J347="환불",0,IFERROR(INDEX(상품목록!$D$3:$D$102,MATCH($D347,상품목록!$A$3:$A$102,0)),0)))</f>
        <v/>
      </c>
      <c r="I347" s="10"/>
      <c r="J347" s="10"/>
      <c r="K347" s="10"/>
    </row>
    <row r="348" customFormat="false" ht="15" hidden="false" customHeight="true" outlineLevel="0" collapsed="false">
      <c r="A348" s="12"/>
      <c r="B348" s="10"/>
      <c r="C348" s="15" t="str">
        <f aca="false">IF($B348="","",IFERROR(INDEX(회원명부!$B$3:$B$502,MATCH($B348,회원명부!$A$3:$A$502,0)),"미등록회원"))</f>
        <v/>
      </c>
      <c r="D348" s="10"/>
      <c r="E348" s="16" t="str">
        <f aca="false">IF($D348="","",IF($J348="환불",0,IFERROR(INDEX(상품목록!$B$3:$B$102,MATCH($D348,상품목록!$A$3:$A$102,0)),0)))</f>
        <v/>
      </c>
      <c r="F348" s="16" t="str">
        <f aca="false">IF($D348="","",IFERROR(INDEX(상품목록!$C$3:$C$102,MATCH($D348,상품목록!$A$3:$A$102,0)),0))</f>
        <v/>
      </c>
      <c r="G348" s="17" t="str">
        <f aca="false">IF(OR($A348="",$F348=""),"",$A348+$F348)</f>
        <v/>
      </c>
      <c r="H348" s="16" t="str">
        <f aca="false">IF($D348="","",IF($J348="환불",0,IFERROR(INDEX(상품목록!$D$3:$D$102,MATCH($D348,상품목록!$A$3:$A$102,0)),0)))</f>
        <v/>
      </c>
      <c r="I348" s="10"/>
      <c r="J348" s="10"/>
      <c r="K348" s="10"/>
    </row>
    <row r="349" customFormat="false" ht="15" hidden="false" customHeight="true" outlineLevel="0" collapsed="false">
      <c r="A349" s="12"/>
      <c r="B349" s="10"/>
      <c r="C349" s="15" t="str">
        <f aca="false">IF($B349="","",IFERROR(INDEX(회원명부!$B$3:$B$502,MATCH($B349,회원명부!$A$3:$A$502,0)),"미등록회원"))</f>
        <v/>
      </c>
      <c r="D349" s="10"/>
      <c r="E349" s="16" t="str">
        <f aca="false">IF($D349="","",IF($J349="환불",0,IFERROR(INDEX(상품목록!$B$3:$B$102,MATCH($D349,상품목록!$A$3:$A$102,0)),0)))</f>
        <v/>
      </c>
      <c r="F349" s="16" t="str">
        <f aca="false">IF($D349="","",IFERROR(INDEX(상품목록!$C$3:$C$102,MATCH($D349,상품목록!$A$3:$A$102,0)),0))</f>
        <v/>
      </c>
      <c r="G349" s="17" t="str">
        <f aca="false">IF(OR($A349="",$F349=""),"",$A349+$F349)</f>
        <v/>
      </c>
      <c r="H349" s="16" t="str">
        <f aca="false">IF($D349="","",IF($J349="환불",0,IFERROR(INDEX(상품목록!$D$3:$D$102,MATCH($D349,상품목록!$A$3:$A$102,0)),0)))</f>
        <v/>
      </c>
      <c r="I349" s="10"/>
      <c r="J349" s="10"/>
      <c r="K349" s="10"/>
    </row>
    <row r="350" customFormat="false" ht="15" hidden="false" customHeight="true" outlineLevel="0" collapsed="false">
      <c r="A350" s="12"/>
      <c r="B350" s="10"/>
      <c r="C350" s="15" t="str">
        <f aca="false">IF($B350="","",IFERROR(INDEX(회원명부!$B$3:$B$502,MATCH($B350,회원명부!$A$3:$A$502,0)),"미등록회원"))</f>
        <v/>
      </c>
      <c r="D350" s="10"/>
      <c r="E350" s="16" t="str">
        <f aca="false">IF($D350="","",IF($J350="환불",0,IFERROR(INDEX(상품목록!$B$3:$B$102,MATCH($D350,상품목록!$A$3:$A$102,0)),0)))</f>
        <v/>
      </c>
      <c r="F350" s="16" t="str">
        <f aca="false">IF($D350="","",IFERROR(INDEX(상품목록!$C$3:$C$102,MATCH($D350,상품목록!$A$3:$A$102,0)),0))</f>
        <v/>
      </c>
      <c r="G350" s="17" t="str">
        <f aca="false">IF(OR($A350="",$F350=""),"",$A350+$F350)</f>
        <v/>
      </c>
      <c r="H350" s="16" t="str">
        <f aca="false">IF($D350="","",IF($J350="환불",0,IFERROR(INDEX(상품목록!$D$3:$D$102,MATCH($D350,상품목록!$A$3:$A$102,0)),0)))</f>
        <v/>
      </c>
      <c r="I350" s="10"/>
      <c r="J350" s="10"/>
      <c r="K350" s="10"/>
    </row>
    <row r="351" customFormat="false" ht="15" hidden="false" customHeight="true" outlineLevel="0" collapsed="false">
      <c r="A351" s="12"/>
      <c r="B351" s="10"/>
      <c r="C351" s="15" t="str">
        <f aca="false">IF($B351="","",IFERROR(INDEX(회원명부!$B$3:$B$502,MATCH($B351,회원명부!$A$3:$A$502,0)),"미등록회원"))</f>
        <v/>
      </c>
      <c r="D351" s="10"/>
      <c r="E351" s="16" t="str">
        <f aca="false">IF($D351="","",IF($J351="환불",0,IFERROR(INDEX(상품목록!$B$3:$B$102,MATCH($D351,상품목록!$A$3:$A$102,0)),0)))</f>
        <v/>
      </c>
      <c r="F351" s="16" t="str">
        <f aca="false">IF($D351="","",IFERROR(INDEX(상품목록!$C$3:$C$102,MATCH($D351,상품목록!$A$3:$A$102,0)),0))</f>
        <v/>
      </c>
      <c r="G351" s="17" t="str">
        <f aca="false">IF(OR($A351="",$F351=""),"",$A351+$F351)</f>
        <v/>
      </c>
      <c r="H351" s="16" t="str">
        <f aca="false">IF($D351="","",IF($J351="환불",0,IFERROR(INDEX(상품목록!$D$3:$D$102,MATCH($D351,상품목록!$A$3:$A$102,0)),0)))</f>
        <v/>
      </c>
      <c r="I351" s="10"/>
      <c r="J351" s="10"/>
      <c r="K351" s="10"/>
    </row>
    <row r="352" customFormat="false" ht="15" hidden="false" customHeight="true" outlineLevel="0" collapsed="false">
      <c r="A352" s="12"/>
      <c r="B352" s="10"/>
      <c r="C352" s="15" t="str">
        <f aca="false">IF($B352="","",IFERROR(INDEX(회원명부!$B$3:$B$502,MATCH($B352,회원명부!$A$3:$A$502,0)),"미등록회원"))</f>
        <v/>
      </c>
      <c r="D352" s="10"/>
      <c r="E352" s="16" t="str">
        <f aca="false">IF($D352="","",IF($J352="환불",0,IFERROR(INDEX(상품목록!$B$3:$B$102,MATCH($D352,상품목록!$A$3:$A$102,0)),0)))</f>
        <v/>
      </c>
      <c r="F352" s="16" t="str">
        <f aca="false">IF($D352="","",IFERROR(INDEX(상품목록!$C$3:$C$102,MATCH($D352,상품목록!$A$3:$A$102,0)),0))</f>
        <v/>
      </c>
      <c r="G352" s="17" t="str">
        <f aca="false">IF(OR($A352="",$F352=""),"",$A352+$F352)</f>
        <v/>
      </c>
      <c r="H352" s="16" t="str">
        <f aca="false">IF($D352="","",IF($J352="환불",0,IFERROR(INDEX(상품목록!$D$3:$D$102,MATCH($D352,상품목록!$A$3:$A$102,0)),0)))</f>
        <v/>
      </c>
      <c r="I352" s="10"/>
      <c r="J352" s="10"/>
      <c r="K352" s="10"/>
    </row>
    <row r="353" customFormat="false" ht="15" hidden="false" customHeight="true" outlineLevel="0" collapsed="false">
      <c r="A353" s="12"/>
      <c r="B353" s="10"/>
      <c r="C353" s="15" t="str">
        <f aca="false">IF($B353="","",IFERROR(INDEX(회원명부!$B$3:$B$502,MATCH($B353,회원명부!$A$3:$A$502,0)),"미등록회원"))</f>
        <v/>
      </c>
      <c r="D353" s="10"/>
      <c r="E353" s="16" t="str">
        <f aca="false">IF($D353="","",IF($J353="환불",0,IFERROR(INDEX(상품목록!$B$3:$B$102,MATCH($D353,상품목록!$A$3:$A$102,0)),0)))</f>
        <v/>
      </c>
      <c r="F353" s="16" t="str">
        <f aca="false">IF($D353="","",IFERROR(INDEX(상품목록!$C$3:$C$102,MATCH($D353,상품목록!$A$3:$A$102,0)),0))</f>
        <v/>
      </c>
      <c r="G353" s="17" t="str">
        <f aca="false">IF(OR($A353="",$F353=""),"",$A353+$F353)</f>
        <v/>
      </c>
      <c r="H353" s="16" t="str">
        <f aca="false">IF($D353="","",IF($J353="환불",0,IFERROR(INDEX(상품목록!$D$3:$D$102,MATCH($D353,상품목록!$A$3:$A$102,0)),0)))</f>
        <v/>
      </c>
      <c r="I353" s="10"/>
      <c r="J353" s="10"/>
      <c r="K353" s="10"/>
    </row>
    <row r="354" customFormat="false" ht="15" hidden="false" customHeight="true" outlineLevel="0" collapsed="false">
      <c r="A354" s="12"/>
      <c r="B354" s="10"/>
      <c r="C354" s="15" t="str">
        <f aca="false">IF($B354="","",IFERROR(INDEX(회원명부!$B$3:$B$502,MATCH($B354,회원명부!$A$3:$A$502,0)),"미등록회원"))</f>
        <v/>
      </c>
      <c r="D354" s="10"/>
      <c r="E354" s="16" t="str">
        <f aca="false">IF($D354="","",IF($J354="환불",0,IFERROR(INDEX(상품목록!$B$3:$B$102,MATCH($D354,상품목록!$A$3:$A$102,0)),0)))</f>
        <v/>
      </c>
      <c r="F354" s="16" t="str">
        <f aca="false">IF($D354="","",IFERROR(INDEX(상품목록!$C$3:$C$102,MATCH($D354,상품목록!$A$3:$A$102,0)),0))</f>
        <v/>
      </c>
      <c r="G354" s="17" t="str">
        <f aca="false">IF(OR($A354="",$F354=""),"",$A354+$F354)</f>
        <v/>
      </c>
      <c r="H354" s="16" t="str">
        <f aca="false">IF($D354="","",IF($J354="환불",0,IFERROR(INDEX(상품목록!$D$3:$D$102,MATCH($D354,상품목록!$A$3:$A$102,0)),0)))</f>
        <v/>
      </c>
      <c r="I354" s="10"/>
      <c r="J354" s="10"/>
      <c r="K354" s="10"/>
    </row>
    <row r="355" customFormat="false" ht="15" hidden="false" customHeight="true" outlineLevel="0" collapsed="false">
      <c r="A355" s="12"/>
      <c r="B355" s="10"/>
      <c r="C355" s="15" t="str">
        <f aca="false">IF($B355="","",IFERROR(INDEX(회원명부!$B$3:$B$502,MATCH($B355,회원명부!$A$3:$A$502,0)),"미등록회원"))</f>
        <v/>
      </c>
      <c r="D355" s="10"/>
      <c r="E355" s="16" t="str">
        <f aca="false">IF($D355="","",IF($J355="환불",0,IFERROR(INDEX(상품목록!$B$3:$B$102,MATCH($D355,상품목록!$A$3:$A$102,0)),0)))</f>
        <v/>
      </c>
      <c r="F355" s="16" t="str">
        <f aca="false">IF($D355="","",IFERROR(INDEX(상품목록!$C$3:$C$102,MATCH($D355,상품목록!$A$3:$A$102,0)),0))</f>
        <v/>
      </c>
      <c r="G355" s="17" t="str">
        <f aca="false">IF(OR($A355="",$F355=""),"",$A355+$F355)</f>
        <v/>
      </c>
      <c r="H355" s="16" t="str">
        <f aca="false">IF($D355="","",IF($J355="환불",0,IFERROR(INDEX(상품목록!$D$3:$D$102,MATCH($D355,상품목록!$A$3:$A$102,0)),0)))</f>
        <v/>
      </c>
      <c r="I355" s="10"/>
      <c r="J355" s="10"/>
      <c r="K355" s="10"/>
    </row>
    <row r="356" customFormat="false" ht="15" hidden="false" customHeight="true" outlineLevel="0" collapsed="false">
      <c r="A356" s="12"/>
      <c r="B356" s="10"/>
      <c r="C356" s="15" t="str">
        <f aca="false">IF($B356="","",IFERROR(INDEX(회원명부!$B$3:$B$502,MATCH($B356,회원명부!$A$3:$A$502,0)),"미등록회원"))</f>
        <v/>
      </c>
      <c r="D356" s="10"/>
      <c r="E356" s="16" t="str">
        <f aca="false">IF($D356="","",IF($J356="환불",0,IFERROR(INDEX(상품목록!$B$3:$B$102,MATCH($D356,상품목록!$A$3:$A$102,0)),0)))</f>
        <v/>
      </c>
      <c r="F356" s="16" t="str">
        <f aca="false">IF($D356="","",IFERROR(INDEX(상품목록!$C$3:$C$102,MATCH($D356,상품목록!$A$3:$A$102,0)),0))</f>
        <v/>
      </c>
      <c r="G356" s="17" t="str">
        <f aca="false">IF(OR($A356="",$F356=""),"",$A356+$F356)</f>
        <v/>
      </c>
      <c r="H356" s="16" t="str">
        <f aca="false">IF($D356="","",IF($J356="환불",0,IFERROR(INDEX(상품목록!$D$3:$D$102,MATCH($D356,상품목록!$A$3:$A$102,0)),0)))</f>
        <v/>
      </c>
      <c r="I356" s="10"/>
      <c r="J356" s="10"/>
      <c r="K356" s="10"/>
    </row>
    <row r="357" customFormat="false" ht="15" hidden="false" customHeight="true" outlineLevel="0" collapsed="false">
      <c r="A357" s="12"/>
      <c r="B357" s="10"/>
      <c r="C357" s="15" t="str">
        <f aca="false">IF($B357="","",IFERROR(INDEX(회원명부!$B$3:$B$502,MATCH($B357,회원명부!$A$3:$A$502,0)),"미등록회원"))</f>
        <v/>
      </c>
      <c r="D357" s="10"/>
      <c r="E357" s="16" t="str">
        <f aca="false">IF($D357="","",IF($J357="환불",0,IFERROR(INDEX(상품목록!$B$3:$B$102,MATCH($D357,상품목록!$A$3:$A$102,0)),0)))</f>
        <v/>
      </c>
      <c r="F357" s="16" t="str">
        <f aca="false">IF($D357="","",IFERROR(INDEX(상품목록!$C$3:$C$102,MATCH($D357,상품목록!$A$3:$A$102,0)),0))</f>
        <v/>
      </c>
      <c r="G357" s="17" t="str">
        <f aca="false">IF(OR($A357="",$F357=""),"",$A357+$F357)</f>
        <v/>
      </c>
      <c r="H357" s="16" t="str">
        <f aca="false">IF($D357="","",IF($J357="환불",0,IFERROR(INDEX(상품목록!$D$3:$D$102,MATCH($D357,상품목록!$A$3:$A$102,0)),0)))</f>
        <v/>
      </c>
      <c r="I357" s="10"/>
      <c r="J357" s="10"/>
      <c r="K357" s="10"/>
    </row>
    <row r="358" customFormat="false" ht="15" hidden="false" customHeight="true" outlineLevel="0" collapsed="false">
      <c r="A358" s="12"/>
      <c r="B358" s="10"/>
      <c r="C358" s="15" t="str">
        <f aca="false">IF($B358="","",IFERROR(INDEX(회원명부!$B$3:$B$502,MATCH($B358,회원명부!$A$3:$A$502,0)),"미등록회원"))</f>
        <v/>
      </c>
      <c r="D358" s="10"/>
      <c r="E358" s="16" t="str">
        <f aca="false">IF($D358="","",IF($J358="환불",0,IFERROR(INDEX(상품목록!$B$3:$B$102,MATCH($D358,상품목록!$A$3:$A$102,0)),0)))</f>
        <v/>
      </c>
      <c r="F358" s="16" t="str">
        <f aca="false">IF($D358="","",IFERROR(INDEX(상품목록!$C$3:$C$102,MATCH($D358,상품목록!$A$3:$A$102,0)),0))</f>
        <v/>
      </c>
      <c r="G358" s="17" t="str">
        <f aca="false">IF(OR($A358="",$F358=""),"",$A358+$F358)</f>
        <v/>
      </c>
      <c r="H358" s="16" t="str">
        <f aca="false">IF($D358="","",IF($J358="환불",0,IFERROR(INDEX(상품목록!$D$3:$D$102,MATCH($D358,상품목록!$A$3:$A$102,0)),0)))</f>
        <v/>
      </c>
      <c r="I358" s="10"/>
      <c r="J358" s="10"/>
      <c r="K358" s="10"/>
    </row>
    <row r="359" customFormat="false" ht="15" hidden="false" customHeight="true" outlineLevel="0" collapsed="false">
      <c r="A359" s="12"/>
      <c r="B359" s="10"/>
      <c r="C359" s="15" t="str">
        <f aca="false">IF($B359="","",IFERROR(INDEX(회원명부!$B$3:$B$502,MATCH($B359,회원명부!$A$3:$A$502,0)),"미등록회원"))</f>
        <v/>
      </c>
      <c r="D359" s="10"/>
      <c r="E359" s="16" t="str">
        <f aca="false">IF($D359="","",IF($J359="환불",0,IFERROR(INDEX(상품목록!$B$3:$B$102,MATCH($D359,상품목록!$A$3:$A$102,0)),0)))</f>
        <v/>
      </c>
      <c r="F359" s="16" t="str">
        <f aca="false">IF($D359="","",IFERROR(INDEX(상품목록!$C$3:$C$102,MATCH($D359,상품목록!$A$3:$A$102,0)),0))</f>
        <v/>
      </c>
      <c r="G359" s="17" t="str">
        <f aca="false">IF(OR($A359="",$F359=""),"",$A359+$F359)</f>
        <v/>
      </c>
      <c r="H359" s="16" t="str">
        <f aca="false">IF($D359="","",IF($J359="환불",0,IFERROR(INDEX(상품목록!$D$3:$D$102,MATCH($D359,상품목록!$A$3:$A$102,0)),0)))</f>
        <v/>
      </c>
      <c r="I359" s="10"/>
      <c r="J359" s="10"/>
      <c r="K359" s="10"/>
    </row>
    <row r="360" customFormat="false" ht="15" hidden="false" customHeight="true" outlineLevel="0" collapsed="false">
      <c r="A360" s="12"/>
      <c r="B360" s="10"/>
      <c r="C360" s="15" t="str">
        <f aca="false">IF($B360="","",IFERROR(INDEX(회원명부!$B$3:$B$502,MATCH($B360,회원명부!$A$3:$A$502,0)),"미등록회원"))</f>
        <v/>
      </c>
      <c r="D360" s="10"/>
      <c r="E360" s="16" t="str">
        <f aca="false">IF($D360="","",IF($J360="환불",0,IFERROR(INDEX(상품목록!$B$3:$B$102,MATCH($D360,상품목록!$A$3:$A$102,0)),0)))</f>
        <v/>
      </c>
      <c r="F360" s="16" t="str">
        <f aca="false">IF($D360="","",IFERROR(INDEX(상품목록!$C$3:$C$102,MATCH($D360,상품목록!$A$3:$A$102,0)),0))</f>
        <v/>
      </c>
      <c r="G360" s="17" t="str">
        <f aca="false">IF(OR($A360="",$F360=""),"",$A360+$F360)</f>
        <v/>
      </c>
      <c r="H360" s="16" t="str">
        <f aca="false">IF($D360="","",IF($J360="환불",0,IFERROR(INDEX(상품목록!$D$3:$D$102,MATCH($D360,상품목록!$A$3:$A$102,0)),0)))</f>
        <v/>
      </c>
      <c r="I360" s="10"/>
      <c r="J360" s="10"/>
      <c r="K360" s="10"/>
    </row>
    <row r="361" customFormat="false" ht="15" hidden="false" customHeight="true" outlineLevel="0" collapsed="false">
      <c r="A361" s="12"/>
      <c r="B361" s="10"/>
      <c r="C361" s="15" t="str">
        <f aca="false">IF($B361="","",IFERROR(INDEX(회원명부!$B$3:$B$502,MATCH($B361,회원명부!$A$3:$A$502,0)),"미등록회원"))</f>
        <v/>
      </c>
      <c r="D361" s="10"/>
      <c r="E361" s="16" t="str">
        <f aca="false">IF($D361="","",IF($J361="환불",0,IFERROR(INDEX(상품목록!$B$3:$B$102,MATCH($D361,상품목록!$A$3:$A$102,0)),0)))</f>
        <v/>
      </c>
      <c r="F361" s="16" t="str">
        <f aca="false">IF($D361="","",IFERROR(INDEX(상품목록!$C$3:$C$102,MATCH($D361,상품목록!$A$3:$A$102,0)),0))</f>
        <v/>
      </c>
      <c r="G361" s="17" t="str">
        <f aca="false">IF(OR($A361="",$F361=""),"",$A361+$F361)</f>
        <v/>
      </c>
      <c r="H361" s="16" t="str">
        <f aca="false">IF($D361="","",IF($J361="환불",0,IFERROR(INDEX(상품목록!$D$3:$D$102,MATCH($D361,상품목록!$A$3:$A$102,0)),0)))</f>
        <v/>
      </c>
      <c r="I361" s="10"/>
      <c r="J361" s="10"/>
      <c r="K361" s="10"/>
    </row>
    <row r="362" customFormat="false" ht="15" hidden="false" customHeight="true" outlineLevel="0" collapsed="false">
      <c r="A362" s="12"/>
      <c r="B362" s="10"/>
      <c r="C362" s="15" t="str">
        <f aca="false">IF($B362="","",IFERROR(INDEX(회원명부!$B$3:$B$502,MATCH($B362,회원명부!$A$3:$A$502,0)),"미등록회원"))</f>
        <v/>
      </c>
      <c r="D362" s="10"/>
      <c r="E362" s="16" t="str">
        <f aca="false">IF($D362="","",IF($J362="환불",0,IFERROR(INDEX(상품목록!$B$3:$B$102,MATCH($D362,상품목록!$A$3:$A$102,0)),0)))</f>
        <v/>
      </c>
      <c r="F362" s="16" t="str">
        <f aca="false">IF($D362="","",IFERROR(INDEX(상품목록!$C$3:$C$102,MATCH($D362,상품목록!$A$3:$A$102,0)),0))</f>
        <v/>
      </c>
      <c r="G362" s="17" t="str">
        <f aca="false">IF(OR($A362="",$F362=""),"",$A362+$F362)</f>
        <v/>
      </c>
      <c r="H362" s="16" t="str">
        <f aca="false">IF($D362="","",IF($J362="환불",0,IFERROR(INDEX(상품목록!$D$3:$D$102,MATCH($D362,상품목록!$A$3:$A$102,0)),0)))</f>
        <v/>
      </c>
      <c r="I362" s="10"/>
      <c r="J362" s="10"/>
      <c r="K362" s="10"/>
    </row>
    <row r="363" customFormat="false" ht="15" hidden="false" customHeight="true" outlineLevel="0" collapsed="false">
      <c r="A363" s="12"/>
      <c r="B363" s="10"/>
      <c r="C363" s="15" t="str">
        <f aca="false">IF($B363="","",IFERROR(INDEX(회원명부!$B$3:$B$502,MATCH($B363,회원명부!$A$3:$A$502,0)),"미등록회원"))</f>
        <v/>
      </c>
      <c r="D363" s="10"/>
      <c r="E363" s="16" t="str">
        <f aca="false">IF($D363="","",IF($J363="환불",0,IFERROR(INDEX(상품목록!$B$3:$B$102,MATCH($D363,상품목록!$A$3:$A$102,0)),0)))</f>
        <v/>
      </c>
      <c r="F363" s="16" t="str">
        <f aca="false">IF($D363="","",IFERROR(INDEX(상품목록!$C$3:$C$102,MATCH($D363,상품목록!$A$3:$A$102,0)),0))</f>
        <v/>
      </c>
      <c r="G363" s="17" t="str">
        <f aca="false">IF(OR($A363="",$F363=""),"",$A363+$F363)</f>
        <v/>
      </c>
      <c r="H363" s="16" t="str">
        <f aca="false">IF($D363="","",IF($J363="환불",0,IFERROR(INDEX(상품목록!$D$3:$D$102,MATCH($D363,상품목록!$A$3:$A$102,0)),0)))</f>
        <v/>
      </c>
      <c r="I363" s="10"/>
      <c r="J363" s="10"/>
      <c r="K363" s="10"/>
    </row>
    <row r="364" customFormat="false" ht="15" hidden="false" customHeight="true" outlineLevel="0" collapsed="false">
      <c r="A364" s="12"/>
      <c r="B364" s="10"/>
      <c r="C364" s="15" t="str">
        <f aca="false">IF($B364="","",IFERROR(INDEX(회원명부!$B$3:$B$502,MATCH($B364,회원명부!$A$3:$A$502,0)),"미등록회원"))</f>
        <v/>
      </c>
      <c r="D364" s="10"/>
      <c r="E364" s="16" t="str">
        <f aca="false">IF($D364="","",IF($J364="환불",0,IFERROR(INDEX(상품목록!$B$3:$B$102,MATCH($D364,상품목록!$A$3:$A$102,0)),0)))</f>
        <v/>
      </c>
      <c r="F364" s="16" t="str">
        <f aca="false">IF($D364="","",IFERROR(INDEX(상품목록!$C$3:$C$102,MATCH($D364,상품목록!$A$3:$A$102,0)),0))</f>
        <v/>
      </c>
      <c r="G364" s="17" t="str">
        <f aca="false">IF(OR($A364="",$F364=""),"",$A364+$F364)</f>
        <v/>
      </c>
      <c r="H364" s="16" t="str">
        <f aca="false">IF($D364="","",IF($J364="환불",0,IFERROR(INDEX(상품목록!$D$3:$D$102,MATCH($D364,상품목록!$A$3:$A$102,0)),0)))</f>
        <v/>
      </c>
      <c r="I364" s="10"/>
      <c r="J364" s="10"/>
      <c r="K364" s="10"/>
    </row>
    <row r="365" customFormat="false" ht="15" hidden="false" customHeight="true" outlineLevel="0" collapsed="false">
      <c r="A365" s="12"/>
      <c r="B365" s="10"/>
      <c r="C365" s="15" t="str">
        <f aca="false">IF($B365="","",IFERROR(INDEX(회원명부!$B$3:$B$502,MATCH($B365,회원명부!$A$3:$A$502,0)),"미등록회원"))</f>
        <v/>
      </c>
      <c r="D365" s="10"/>
      <c r="E365" s="16" t="str">
        <f aca="false">IF($D365="","",IF($J365="환불",0,IFERROR(INDEX(상품목록!$B$3:$B$102,MATCH($D365,상품목록!$A$3:$A$102,0)),0)))</f>
        <v/>
      </c>
      <c r="F365" s="16" t="str">
        <f aca="false">IF($D365="","",IFERROR(INDEX(상품목록!$C$3:$C$102,MATCH($D365,상품목록!$A$3:$A$102,0)),0))</f>
        <v/>
      </c>
      <c r="G365" s="17" t="str">
        <f aca="false">IF(OR($A365="",$F365=""),"",$A365+$F365)</f>
        <v/>
      </c>
      <c r="H365" s="16" t="str">
        <f aca="false">IF($D365="","",IF($J365="환불",0,IFERROR(INDEX(상품목록!$D$3:$D$102,MATCH($D365,상품목록!$A$3:$A$102,0)),0)))</f>
        <v/>
      </c>
      <c r="I365" s="10"/>
      <c r="J365" s="10"/>
      <c r="K365" s="10"/>
    </row>
    <row r="366" customFormat="false" ht="15" hidden="false" customHeight="true" outlineLevel="0" collapsed="false">
      <c r="A366" s="12"/>
      <c r="B366" s="10"/>
      <c r="C366" s="15" t="str">
        <f aca="false">IF($B366="","",IFERROR(INDEX(회원명부!$B$3:$B$502,MATCH($B366,회원명부!$A$3:$A$502,0)),"미등록회원"))</f>
        <v/>
      </c>
      <c r="D366" s="10"/>
      <c r="E366" s="16" t="str">
        <f aca="false">IF($D366="","",IF($J366="환불",0,IFERROR(INDEX(상품목록!$B$3:$B$102,MATCH($D366,상품목록!$A$3:$A$102,0)),0)))</f>
        <v/>
      </c>
      <c r="F366" s="16" t="str">
        <f aca="false">IF($D366="","",IFERROR(INDEX(상품목록!$C$3:$C$102,MATCH($D366,상품목록!$A$3:$A$102,0)),0))</f>
        <v/>
      </c>
      <c r="G366" s="17" t="str">
        <f aca="false">IF(OR($A366="",$F366=""),"",$A366+$F366)</f>
        <v/>
      </c>
      <c r="H366" s="16" t="str">
        <f aca="false">IF($D366="","",IF($J366="환불",0,IFERROR(INDEX(상품목록!$D$3:$D$102,MATCH($D366,상품목록!$A$3:$A$102,0)),0)))</f>
        <v/>
      </c>
      <c r="I366" s="10"/>
      <c r="J366" s="10"/>
      <c r="K366" s="10"/>
    </row>
    <row r="367" customFormat="false" ht="15" hidden="false" customHeight="true" outlineLevel="0" collapsed="false">
      <c r="A367" s="12"/>
      <c r="B367" s="10"/>
      <c r="C367" s="15" t="str">
        <f aca="false">IF($B367="","",IFERROR(INDEX(회원명부!$B$3:$B$502,MATCH($B367,회원명부!$A$3:$A$502,0)),"미등록회원"))</f>
        <v/>
      </c>
      <c r="D367" s="10"/>
      <c r="E367" s="16" t="str">
        <f aca="false">IF($D367="","",IF($J367="환불",0,IFERROR(INDEX(상품목록!$B$3:$B$102,MATCH($D367,상품목록!$A$3:$A$102,0)),0)))</f>
        <v/>
      </c>
      <c r="F367" s="16" t="str">
        <f aca="false">IF($D367="","",IFERROR(INDEX(상품목록!$C$3:$C$102,MATCH($D367,상품목록!$A$3:$A$102,0)),0))</f>
        <v/>
      </c>
      <c r="G367" s="17" t="str">
        <f aca="false">IF(OR($A367="",$F367=""),"",$A367+$F367)</f>
        <v/>
      </c>
      <c r="H367" s="16" t="str">
        <f aca="false">IF($D367="","",IF($J367="환불",0,IFERROR(INDEX(상품목록!$D$3:$D$102,MATCH($D367,상품목록!$A$3:$A$102,0)),0)))</f>
        <v/>
      </c>
      <c r="I367" s="10"/>
      <c r="J367" s="10"/>
      <c r="K367" s="10"/>
    </row>
    <row r="368" customFormat="false" ht="15" hidden="false" customHeight="true" outlineLevel="0" collapsed="false">
      <c r="A368" s="12"/>
      <c r="B368" s="10"/>
      <c r="C368" s="15" t="str">
        <f aca="false">IF($B368="","",IFERROR(INDEX(회원명부!$B$3:$B$502,MATCH($B368,회원명부!$A$3:$A$502,0)),"미등록회원"))</f>
        <v/>
      </c>
      <c r="D368" s="10"/>
      <c r="E368" s="16" t="str">
        <f aca="false">IF($D368="","",IF($J368="환불",0,IFERROR(INDEX(상품목록!$B$3:$B$102,MATCH($D368,상품목록!$A$3:$A$102,0)),0)))</f>
        <v/>
      </c>
      <c r="F368" s="16" t="str">
        <f aca="false">IF($D368="","",IFERROR(INDEX(상품목록!$C$3:$C$102,MATCH($D368,상품목록!$A$3:$A$102,0)),0))</f>
        <v/>
      </c>
      <c r="G368" s="17" t="str">
        <f aca="false">IF(OR($A368="",$F368=""),"",$A368+$F368)</f>
        <v/>
      </c>
      <c r="H368" s="16" t="str">
        <f aca="false">IF($D368="","",IF($J368="환불",0,IFERROR(INDEX(상품목록!$D$3:$D$102,MATCH($D368,상품목록!$A$3:$A$102,0)),0)))</f>
        <v/>
      </c>
      <c r="I368" s="10"/>
      <c r="J368" s="10"/>
      <c r="K368" s="10"/>
    </row>
    <row r="369" customFormat="false" ht="15" hidden="false" customHeight="true" outlineLevel="0" collapsed="false">
      <c r="A369" s="12"/>
      <c r="B369" s="10"/>
      <c r="C369" s="15" t="str">
        <f aca="false">IF($B369="","",IFERROR(INDEX(회원명부!$B$3:$B$502,MATCH($B369,회원명부!$A$3:$A$502,0)),"미등록회원"))</f>
        <v/>
      </c>
      <c r="D369" s="10"/>
      <c r="E369" s="16" t="str">
        <f aca="false">IF($D369="","",IF($J369="환불",0,IFERROR(INDEX(상품목록!$B$3:$B$102,MATCH($D369,상품목록!$A$3:$A$102,0)),0)))</f>
        <v/>
      </c>
      <c r="F369" s="16" t="str">
        <f aca="false">IF($D369="","",IFERROR(INDEX(상품목록!$C$3:$C$102,MATCH($D369,상품목록!$A$3:$A$102,0)),0))</f>
        <v/>
      </c>
      <c r="G369" s="17" t="str">
        <f aca="false">IF(OR($A369="",$F369=""),"",$A369+$F369)</f>
        <v/>
      </c>
      <c r="H369" s="16" t="str">
        <f aca="false">IF($D369="","",IF($J369="환불",0,IFERROR(INDEX(상품목록!$D$3:$D$102,MATCH($D369,상품목록!$A$3:$A$102,0)),0)))</f>
        <v/>
      </c>
      <c r="I369" s="10"/>
      <c r="J369" s="10"/>
      <c r="K369" s="10"/>
    </row>
    <row r="370" customFormat="false" ht="15" hidden="false" customHeight="true" outlineLevel="0" collapsed="false">
      <c r="A370" s="12"/>
      <c r="B370" s="10"/>
      <c r="C370" s="15" t="str">
        <f aca="false">IF($B370="","",IFERROR(INDEX(회원명부!$B$3:$B$502,MATCH($B370,회원명부!$A$3:$A$502,0)),"미등록회원"))</f>
        <v/>
      </c>
      <c r="D370" s="10"/>
      <c r="E370" s="16" t="str">
        <f aca="false">IF($D370="","",IF($J370="환불",0,IFERROR(INDEX(상품목록!$B$3:$B$102,MATCH($D370,상품목록!$A$3:$A$102,0)),0)))</f>
        <v/>
      </c>
      <c r="F370" s="16" t="str">
        <f aca="false">IF($D370="","",IFERROR(INDEX(상품목록!$C$3:$C$102,MATCH($D370,상품목록!$A$3:$A$102,0)),0))</f>
        <v/>
      </c>
      <c r="G370" s="17" t="str">
        <f aca="false">IF(OR($A370="",$F370=""),"",$A370+$F370)</f>
        <v/>
      </c>
      <c r="H370" s="16" t="str">
        <f aca="false">IF($D370="","",IF($J370="환불",0,IFERROR(INDEX(상품목록!$D$3:$D$102,MATCH($D370,상품목록!$A$3:$A$102,0)),0)))</f>
        <v/>
      </c>
      <c r="I370" s="10"/>
      <c r="J370" s="10"/>
      <c r="K370" s="10"/>
    </row>
    <row r="371" customFormat="false" ht="15" hidden="false" customHeight="true" outlineLevel="0" collapsed="false">
      <c r="A371" s="12"/>
      <c r="B371" s="10"/>
      <c r="C371" s="15" t="str">
        <f aca="false">IF($B371="","",IFERROR(INDEX(회원명부!$B$3:$B$502,MATCH($B371,회원명부!$A$3:$A$502,0)),"미등록회원"))</f>
        <v/>
      </c>
      <c r="D371" s="10"/>
      <c r="E371" s="16" t="str">
        <f aca="false">IF($D371="","",IF($J371="환불",0,IFERROR(INDEX(상품목록!$B$3:$B$102,MATCH($D371,상품목록!$A$3:$A$102,0)),0)))</f>
        <v/>
      </c>
      <c r="F371" s="16" t="str">
        <f aca="false">IF($D371="","",IFERROR(INDEX(상품목록!$C$3:$C$102,MATCH($D371,상품목록!$A$3:$A$102,0)),0))</f>
        <v/>
      </c>
      <c r="G371" s="17" t="str">
        <f aca="false">IF(OR($A371="",$F371=""),"",$A371+$F371)</f>
        <v/>
      </c>
      <c r="H371" s="16" t="str">
        <f aca="false">IF($D371="","",IF($J371="환불",0,IFERROR(INDEX(상품목록!$D$3:$D$102,MATCH($D371,상품목록!$A$3:$A$102,0)),0)))</f>
        <v/>
      </c>
      <c r="I371" s="10"/>
      <c r="J371" s="10"/>
      <c r="K371" s="10"/>
    </row>
    <row r="372" customFormat="false" ht="15" hidden="false" customHeight="true" outlineLevel="0" collapsed="false">
      <c r="A372" s="12"/>
      <c r="B372" s="10"/>
      <c r="C372" s="15" t="str">
        <f aca="false">IF($B372="","",IFERROR(INDEX(회원명부!$B$3:$B$502,MATCH($B372,회원명부!$A$3:$A$502,0)),"미등록회원"))</f>
        <v/>
      </c>
      <c r="D372" s="10"/>
      <c r="E372" s="16" t="str">
        <f aca="false">IF($D372="","",IF($J372="환불",0,IFERROR(INDEX(상품목록!$B$3:$B$102,MATCH($D372,상품목록!$A$3:$A$102,0)),0)))</f>
        <v/>
      </c>
      <c r="F372" s="16" t="str">
        <f aca="false">IF($D372="","",IFERROR(INDEX(상품목록!$C$3:$C$102,MATCH($D372,상품목록!$A$3:$A$102,0)),0))</f>
        <v/>
      </c>
      <c r="G372" s="17" t="str">
        <f aca="false">IF(OR($A372="",$F372=""),"",$A372+$F372)</f>
        <v/>
      </c>
      <c r="H372" s="16" t="str">
        <f aca="false">IF($D372="","",IF($J372="환불",0,IFERROR(INDEX(상품목록!$D$3:$D$102,MATCH($D372,상품목록!$A$3:$A$102,0)),0)))</f>
        <v/>
      </c>
      <c r="I372" s="10"/>
      <c r="J372" s="10"/>
      <c r="K372" s="10"/>
    </row>
    <row r="373" customFormat="false" ht="15" hidden="false" customHeight="true" outlineLevel="0" collapsed="false">
      <c r="A373" s="12"/>
      <c r="B373" s="10"/>
      <c r="C373" s="15" t="str">
        <f aca="false">IF($B373="","",IFERROR(INDEX(회원명부!$B$3:$B$502,MATCH($B373,회원명부!$A$3:$A$502,0)),"미등록회원"))</f>
        <v/>
      </c>
      <c r="D373" s="10"/>
      <c r="E373" s="16" t="str">
        <f aca="false">IF($D373="","",IF($J373="환불",0,IFERROR(INDEX(상품목록!$B$3:$B$102,MATCH($D373,상품목록!$A$3:$A$102,0)),0)))</f>
        <v/>
      </c>
      <c r="F373" s="16" t="str">
        <f aca="false">IF($D373="","",IFERROR(INDEX(상품목록!$C$3:$C$102,MATCH($D373,상품목록!$A$3:$A$102,0)),0))</f>
        <v/>
      </c>
      <c r="G373" s="17" t="str">
        <f aca="false">IF(OR($A373="",$F373=""),"",$A373+$F373)</f>
        <v/>
      </c>
      <c r="H373" s="16" t="str">
        <f aca="false">IF($D373="","",IF($J373="환불",0,IFERROR(INDEX(상품목록!$D$3:$D$102,MATCH($D373,상품목록!$A$3:$A$102,0)),0)))</f>
        <v/>
      </c>
      <c r="I373" s="10"/>
      <c r="J373" s="10"/>
      <c r="K373" s="10"/>
    </row>
    <row r="374" customFormat="false" ht="15" hidden="false" customHeight="true" outlineLevel="0" collapsed="false">
      <c r="A374" s="12"/>
      <c r="B374" s="10"/>
      <c r="C374" s="15" t="str">
        <f aca="false">IF($B374="","",IFERROR(INDEX(회원명부!$B$3:$B$502,MATCH($B374,회원명부!$A$3:$A$502,0)),"미등록회원"))</f>
        <v/>
      </c>
      <c r="D374" s="10"/>
      <c r="E374" s="16" t="str">
        <f aca="false">IF($D374="","",IF($J374="환불",0,IFERROR(INDEX(상품목록!$B$3:$B$102,MATCH($D374,상품목록!$A$3:$A$102,0)),0)))</f>
        <v/>
      </c>
      <c r="F374" s="16" t="str">
        <f aca="false">IF($D374="","",IFERROR(INDEX(상품목록!$C$3:$C$102,MATCH($D374,상품목록!$A$3:$A$102,0)),0))</f>
        <v/>
      </c>
      <c r="G374" s="17" t="str">
        <f aca="false">IF(OR($A374="",$F374=""),"",$A374+$F374)</f>
        <v/>
      </c>
      <c r="H374" s="16" t="str">
        <f aca="false">IF($D374="","",IF($J374="환불",0,IFERROR(INDEX(상품목록!$D$3:$D$102,MATCH($D374,상품목록!$A$3:$A$102,0)),0)))</f>
        <v/>
      </c>
      <c r="I374" s="10"/>
      <c r="J374" s="10"/>
      <c r="K374" s="10"/>
    </row>
    <row r="375" customFormat="false" ht="15" hidden="false" customHeight="true" outlineLevel="0" collapsed="false">
      <c r="A375" s="12"/>
      <c r="B375" s="10"/>
      <c r="C375" s="15" t="str">
        <f aca="false">IF($B375="","",IFERROR(INDEX(회원명부!$B$3:$B$502,MATCH($B375,회원명부!$A$3:$A$502,0)),"미등록회원"))</f>
        <v/>
      </c>
      <c r="D375" s="10"/>
      <c r="E375" s="16" t="str">
        <f aca="false">IF($D375="","",IF($J375="환불",0,IFERROR(INDEX(상품목록!$B$3:$B$102,MATCH($D375,상품목록!$A$3:$A$102,0)),0)))</f>
        <v/>
      </c>
      <c r="F375" s="16" t="str">
        <f aca="false">IF($D375="","",IFERROR(INDEX(상품목록!$C$3:$C$102,MATCH($D375,상품목록!$A$3:$A$102,0)),0))</f>
        <v/>
      </c>
      <c r="G375" s="17" t="str">
        <f aca="false">IF(OR($A375="",$F375=""),"",$A375+$F375)</f>
        <v/>
      </c>
      <c r="H375" s="16" t="str">
        <f aca="false">IF($D375="","",IF($J375="환불",0,IFERROR(INDEX(상품목록!$D$3:$D$102,MATCH($D375,상품목록!$A$3:$A$102,0)),0)))</f>
        <v/>
      </c>
      <c r="I375" s="10"/>
      <c r="J375" s="10"/>
      <c r="K375" s="10"/>
    </row>
    <row r="376" customFormat="false" ht="15" hidden="false" customHeight="true" outlineLevel="0" collapsed="false">
      <c r="A376" s="12"/>
      <c r="B376" s="10"/>
      <c r="C376" s="15" t="str">
        <f aca="false">IF($B376="","",IFERROR(INDEX(회원명부!$B$3:$B$502,MATCH($B376,회원명부!$A$3:$A$502,0)),"미등록회원"))</f>
        <v/>
      </c>
      <c r="D376" s="10"/>
      <c r="E376" s="16" t="str">
        <f aca="false">IF($D376="","",IF($J376="환불",0,IFERROR(INDEX(상품목록!$B$3:$B$102,MATCH($D376,상품목록!$A$3:$A$102,0)),0)))</f>
        <v/>
      </c>
      <c r="F376" s="16" t="str">
        <f aca="false">IF($D376="","",IFERROR(INDEX(상품목록!$C$3:$C$102,MATCH($D376,상품목록!$A$3:$A$102,0)),0))</f>
        <v/>
      </c>
      <c r="G376" s="17" t="str">
        <f aca="false">IF(OR($A376="",$F376=""),"",$A376+$F376)</f>
        <v/>
      </c>
      <c r="H376" s="16" t="str">
        <f aca="false">IF($D376="","",IF($J376="환불",0,IFERROR(INDEX(상품목록!$D$3:$D$102,MATCH($D376,상품목록!$A$3:$A$102,0)),0)))</f>
        <v/>
      </c>
      <c r="I376" s="10"/>
      <c r="J376" s="10"/>
      <c r="K376" s="10"/>
    </row>
    <row r="377" customFormat="false" ht="15" hidden="false" customHeight="true" outlineLevel="0" collapsed="false">
      <c r="A377" s="12"/>
      <c r="B377" s="10"/>
      <c r="C377" s="15" t="str">
        <f aca="false">IF($B377="","",IFERROR(INDEX(회원명부!$B$3:$B$502,MATCH($B377,회원명부!$A$3:$A$502,0)),"미등록회원"))</f>
        <v/>
      </c>
      <c r="D377" s="10"/>
      <c r="E377" s="16" t="str">
        <f aca="false">IF($D377="","",IF($J377="환불",0,IFERROR(INDEX(상품목록!$B$3:$B$102,MATCH($D377,상품목록!$A$3:$A$102,0)),0)))</f>
        <v/>
      </c>
      <c r="F377" s="16" t="str">
        <f aca="false">IF($D377="","",IFERROR(INDEX(상품목록!$C$3:$C$102,MATCH($D377,상품목록!$A$3:$A$102,0)),0))</f>
        <v/>
      </c>
      <c r="G377" s="17" t="str">
        <f aca="false">IF(OR($A377="",$F377=""),"",$A377+$F377)</f>
        <v/>
      </c>
      <c r="H377" s="16" t="str">
        <f aca="false">IF($D377="","",IF($J377="환불",0,IFERROR(INDEX(상품목록!$D$3:$D$102,MATCH($D377,상품목록!$A$3:$A$102,0)),0)))</f>
        <v/>
      </c>
      <c r="I377" s="10"/>
      <c r="J377" s="10"/>
      <c r="K377" s="10"/>
    </row>
    <row r="378" customFormat="false" ht="15" hidden="false" customHeight="true" outlineLevel="0" collapsed="false">
      <c r="A378" s="12"/>
      <c r="B378" s="10"/>
      <c r="C378" s="15" t="str">
        <f aca="false">IF($B378="","",IFERROR(INDEX(회원명부!$B$3:$B$502,MATCH($B378,회원명부!$A$3:$A$502,0)),"미등록회원"))</f>
        <v/>
      </c>
      <c r="D378" s="10"/>
      <c r="E378" s="16" t="str">
        <f aca="false">IF($D378="","",IF($J378="환불",0,IFERROR(INDEX(상품목록!$B$3:$B$102,MATCH($D378,상품목록!$A$3:$A$102,0)),0)))</f>
        <v/>
      </c>
      <c r="F378" s="16" t="str">
        <f aca="false">IF($D378="","",IFERROR(INDEX(상품목록!$C$3:$C$102,MATCH($D378,상품목록!$A$3:$A$102,0)),0))</f>
        <v/>
      </c>
      <c r="G378" s="17" t="str">
        <f aca="false">IF(OR($A378="",$F378=""),"",$A378+$F378)</f>
        <v/>
      </c>
      <c r="H378" s="16" t="str">
        <f aca="false">IF($D378="","",IF($J378="환불",0,IFERROR(INDEX(상품목록!$D$3:$D$102,MATCH($D378,상품목록!$A$3:$A$102,0)),0)))</f>
        <v/>
      </c>
      <c r="I378" s="10"/>
      <c r="J378" s="10"/>
      <c r="K378" s="10"/>
    </row>
    <row r="379" customFormat="false" ht="15" hidden="false" customHeight="true" outlineLevel="0" collapsed="false">
      <c r="A379" s="12"/>
      <c r="B379" s="10"/>
      <c r="C379" s="15" t="str">
        <f aca="false">IF($B379="","",IFERROR(INDEX(회원명부!$B$3:$B$502,MATCH($B379,회원명부!$A$3:$A$502,0)),"미등록회원"))</f>
        <v/>
      </c>
      <c r="D379" s="10"/>
      <c r="E379" s="16" t="str">
        <f aca="false">IF($D379="","",IF($J379="환불",0,IFERROR(INDEX(상품목록!$B$3:$B$102,MATCH($D379,상품목록!$A$3:$A$102,0)),0)))</f>
        <v/>
      </c>
      <c r="F379" s="16" t="str">
        <f aca="false">IF($D379="","",IFERROR(INDEX(상품목록!$C$3:$C$102,MATCH($D379,상품목록!$A$3:$A$102,0)),0))</f>
        <v/>
      </c>
      <c r="G379" s="17" t="str">
        <f aca="false">IF(OR($A379="",$F379=""),"",$A379+$F379)</f>
        <v/>
      </c>
      <c r="H379" s="16" t="str">
        <f aca="false">IF($D379="","",IF($J379="환불",0,IFERROR(INDEX(상품목록!$D$3:$D$102,MATCH($D379,상품목록!$A$3:$A$102,0)),0)))</f>
        <v/>
      </c>
      <c r="I379" s="10"/>
      <c r="J379" s="10"/>
      <c r="K379" s="10"/>
    </row>
    <row r="380" customFormat="false" ht="15" hidden="false" customHeight="true" outlineLevel="0" collapsed="false">
      <c r="A380" s="12"/>
      <c r="B380" s="10"/>
      <c r="C380" s="15" t="str">
        <f aca="false">IF($B380="","",IFERROR(INDEX(회원명부!$B$3:$B$502,MATCH($B380,회원명부!$A$3:$A$502,0)),"미등록회원"))</f>
        <v/>
      </c>
      <c r="D380" s="10"/>
      <c r="E380" s="16" t="str">
        <f aca="false">IF($D380="","",IF($J380="환불",0,IFERROR(INDEX(상품목록!$B$3:$B$102,MATCH($D380,상품목록!$A$3:$A$102,0)),0)))</f>
        <v/>
      </c>
      <c r="F380" s="16" t="str">
        <f aca="false">IF($D380="","",IFERROR(INDEX(상품목록!$C$3:$C$102,MATCH($D380,상품목록!$A$3:$A$102,0)),0))</f>
        <v/>
      </c>
      <c r="G380" s="17" t="str">
        <f aca="false">IF(OR($A380="",$F380=""),"",$A380+$F380)</f>
        <v/>
      </c>
      <c r="H380" s="16" t="str">
        <f aca="false">IF($D380="","",IF($J380="환불",0,IFERROR(INDEX(상품목록!$D$3:$D$102,MATCH($D380,상품목록!$A$3:$A$102,0)),0)))</f>
        <v/>
      </c>
      <c r="I380" s="10"/>
      <c r="J380" s="10"/>
      <c r="K380" s="10"/>
    </row>
    <row r="381" customFormat="false" ht="15" hidden="false" customHeight="true" outlineLevel="0" collapsed="false">
      <c r="A381" s="12"/>
      <c r="B381" s="10"/>
      <c r="C381" s="15" t="str">
        <f aca="false">IF($B381="","",IFERROR(INDEX(회원명부!$B$3:$B$502,MATCH($B381,회원명부!$A$3:$A$502,0)),"미등록회원"))</f>
        <v/>
      </c>
      <c r="D381" s="10"/>
      <c r="E381" s="16" t="str">
        <f aca="false">IF($D381="","",IF($J381="환불",0,IFERROR(INDEX(상품목록!$B$3:$B$102,MATCH($D381,상품목록!$A$3:$A$102,0)),0)))</f>
        <v/>
      </c>
      <c r="F381" s="16" t="str">
        <f aca="false">IF($D381="","",IFERROR(INDEX(상품목록!$C$3:$C$102,MATCH($D381,상품목록!$A$3:$A$102,0)),0))</f>
        <v/>
      </c>
      <c r="G381" s="17" t="str">
        <f aca="false">IF(OR($A381="",$F381=""),"",$A381+$F381)</f>
        <v/>
      </c>
      <c r="H381" s="16" t="str">
        <f aca="false">IF($D381="","",IF($J381="환불",0,IFERROR(INDEX(상품목록!$D$3:$D$102,MATCH($D381,상품목록!$A$3:$A$102,0)),0)))</f>
        <v/>
      </c>
      <c r="I381" s="10"/>
      <c r="J381" s="10"/>
      <c r="K381" s="10"/>
    </row>
    <row r="382" customFormat="false" ht="15" hidden="false" customHeight="true" outlineLevel="0" collapsed="false">
      <c r="A382" s="12"/>
      <c r="B382" s="10"/>
      <c r="C382" s="15" t="str">
        <f aca="false">IF($B382="","",IFERROR(INDEX(회원명부!$B$3:$B$502,MATCH($B382,회원명부!$A$3:$A$502,0)),"미등록회원"))</f>
        <v/>
      </c>
      <c r="D382" s="10"/>
      <c r="E382" s="16" t="str">
        <f aca="false">IF($D382="","",IF($J382="환불",0,IFERROR(INDEX(상품목록!$B$3:$B$102,MATCH($D382,상품목록!$A$3:$A$102,0)),0)))</f>
        <v/>
      </c>
      <c r="F382" s="16" t="str">
        <f aca="false">IF($D382="","",IFERROR(INDEX(상품목록!$C$3:$C$102,MATCH($D382,상품목록!$A$3:$A$102,0)),0))</f>
        <v/>
      </c>
      <c r="G382" s="17" t="str">
        <f aca="false">IF(OR($A382="",$F382=""),"",$A382+$F382)</f>
        <v/>
      </c>
      <c r="H382" s="16" t="str">
        <f aca="false">IF($D382="","",IF($J382="환불",0,IFERROR(INDEX(상품목록!$D$3:$D$102,MATCH($D382,상품목록!$A$3:$A$102,0)),0)))</f>
        <v/>
      </c>
      <c r="I382" s="10"/>
      <c r="J382" s="10"/>
      <c r="K382" s="10"/>
    </row>
    <row r="383" customFormat="false" ht="15" hidden="false" customHeight="true" outlineLevel="0" collapsed="false">
      <c r="A383" s="12"/>
      <c r="B383" s="10"/>
      <c r="C383" s="15" t="str">
        <f aca="false">IF($B383="","",IFERROR(INDEX(회원명부!$B$3:$B$502,MATCH($B383,회원명부!$A$3:$A$502,0)),"미등록회원"))</f>
        <v/>
      </c>
      <c r="D383" s="10"/>
      <c r="E383" s="16" t="str">
        <f aca="false">IF($D383="","",IF($J383="환불",0,IFERROR(INDEX(상품목록!$B$3:$B$102,MATCH($D383,상품목록!$A$3:$A$102,0)),0)))</f>
        <v/>
      </c>
      <c r="F383" s="16" t="str">
        <f aca="false">IF($D383="","",IFERROR(INDEX(상품목록!$C$3:$C$102,MATCH($D383,상품목록!$A$3:$A$102,0)),0))</f>
        <v/>
      </c>
      <c r="G383" s="17" t="str">
        <f aca="false">IF(OR($A383="",$F383=""),"",$A383+$F383)</f>
        <v/>
      </c>
      <c r="H383" s="16" t="str">
        <f aca="false">IF($D383="","",IF($J383="환불",0,IFERROR(INDEX(상품목록!$D$3:$D$102,MATCH($D383,상품목록!$A$3:$A$102,0)),0)))</f>
        <v/>
      </c>
      <c r="I383" s="10"/>
      <c r="J383" s="10"/>
      <c r="K383" s="10"/>
    </row>
    <row r="384" customFormat="false" ht="15" hidden="false" customHeight="true" outlineLevel="0" collapsed="false">
      <c r="A384" s="12"/>
      <c r="B384" s="10"/>
      <c r="C384" s="15" t="str">
        <f aca="false">IF($B384="","",IFERROR(INDEX(회원명부!$B$3:$B$502,MATCH($B384,회원명부!$A$3:$A$502,0)),"미등록회원"))</f>
        <v/>
      </c>
      <c r="D384" s="10"/>
      <c r="E384" s="16" t="str">
        <f aca="false">IF($D384="","",IF($J384="환불",0,IFERROR(INDEX(상품목록!$B$3:$B$102,MATCH($D384,상품목록!$A$3:$A$102,0)),0)))</f>
        <v/>
      </c>
      <c r="F384" s="16" t="str">
        <f aca="false">IF($D384="","",IFERROR(INDEX(상품목록!$C$3:$C$102,MATCH($D384,상품목록!$A$3:$A$102,0)),0))</f>
        <v/>
      </c>
      <c r="G384" s="17" t="str">
        <f aca="false">IF(OR($A384="",$F384=""),"",$A384+$F384)</f>
        <v/>
      </c>
      <c r="H384" s="16" t="str">
        <f aca="false">IF($D384="","",IF($J384="환불",0,IFERROR(INDEX(상품목록!$D$3:$D$102,MATCH($D384,상품목록!$A$3:$A$102,0)),0)))</f>
        <v/>
      </c>
      <c r="I384" s="10"/>
      <c r="J384" s="10"/>
      <c r="K384" s="10"/>
    </row>
    <row r="385" customFormat="false" ht="15" hidden="false" customHeight="true" outlineLevel="0" collapsed="false">
      <c r="A385" s="12"/>
      <c r="B385" s="10"/>
      <c r="C385" s="15" t="str">
        <f aca="false">IF($B385="","",IFERROR(INDEX(회원명부!$B$3:$B$502,MATCH($B385,회원명부!$A$3:$A$502,0)),"미등록회원"))</f>
        <v/>
      </c>
      <c r="D385" s="10"/>
      <c r="E385" s="16" t="str">
        <f aca="false">IF($D385="","",IF($J385="환불",0,IFERROR(INDEX(상품목록!$B$3:$B$102,MATCH($D385,상품목록!$A$3:$A$102,0)),0)))</f>
        <v/>
      </c>
      <c r="F385" s="16" t="str">
        <f aca="false">IF($D385="","",IFERROR(INDEX(상품목록!$C$3:$C$102,MATCH($D385,상품목록!$A$3:$A$102,0)),0))</f>
        <v/>
      </c>
      <c r="G385" s="17" t="str">
        <f aca="false">IF(OR($A385="",$F385=""),"",$A385+$F385)</f>
        <v/>
      </c>
      <c r="H385" s="16" t="str">
        <f aca="false">IF($D385="","",IF($J385="환불",0,IFERROR(INDEX(상품목록!$D$3:$D$102,MATCH($D385,상품목록!$A$3:$A$102,0)),0)))</f>
        <v/>
      </c>
      <c r="I385" s="10"/>
      <c r="J385" s="10"/>
      <c r="K385" s="10"/>
    </row>
    <row r="386" customFormat="false" ht="15" hidden="false" customHeight="true" outlineLevel="0" collapsed="false">
      <c r="A386" s="12"/>
      <c r="B386" s="10"/>
      <c r="C386" s="15" t="str">
        <f aca="false">IF($B386="","",IFERROR(INDEX(회원명부!$B$3:$B$502,MATCH($B386,회원명부!$A$3:$A$502,0)),"미등록회원"))</f>
        <v/>
      </c>
      <c r="D386" s="10"/>
      <c r="E386" s="16" t="str">
        <f aca="false">IF($D386="","",IF($J386="환불",0,IFERROR(INDEX(상품목록!$B$3:$B$102,MATCH($D386,상품목록!$A$3:$A$102,0)),0)))</f>
        <v/>
      </c>
      <c r="F386" s="16" t="str">
        <f aca="false">IF($D386="","",IFERROR(INDEX(상품목록!$C$3:$C$102,MATCH($D386,상품목록!$A$3:$A$102,0)),0))</f>
        <v/>
      </c>
      <c r="G386" s="17" t="str">
        <f aca="false">IF(OR($A386="",$F386=""),"",$A386+$F386)</f>
        <v/>
      </c>
      <c r="H386" s="16" t="str">
        <f aca="false">IF($D386="","",IF($J386="환불",0,IFERROR(INDEX(상품목록!$D$3:$D$102,MATCH($D386,상품목록!$A$3:$A$102,0)),0)))</f>
        <v/>
      </c>
      <c r="I386" s="10"/>
      <c r="J386" s="10"/>
      <c r="K386" s="10"/>
    </row>
    <row r="387" customFormat="false" ht="15" hidden="false" customHeight="true" outlineLevel="0" collapsed="false">
      <c r="A387" s="12"/>
      <c r="B387" s="10"/>
      <c r="C387" s="15" t="str">
        <f aca="false">IF($B387="","",IFERROR(INDEX(회원명부!$B$3:$B$502,MATCH($B387,회원명부!$A$3:$A$502,0)),"미등록회원"))</f>
        <v/>
      </c>
      <c r="D387" s="10"/>
      <c r="E387" s="16" t="str">
        <f aca="false">IF($D387="","",IF($J387="환불",0,IFERROR(INDEX(상품목록!$B$3:$B$102,MATCH($D387,상품목록!$A$3:$A$102,0)),0)))</f>
        <v/>
      </c>
      <c r="F387" s="16" t="str">
        <f aca="false">IF($D387="","",IFERROR(INDEX(상품목록!$C$3:$C$102,MATCH($D387,상품목록!$A$3:$A$102,0)),0))</f>
        <v/>
      </c>
      <c r="G387" s="17" t="str">
        <f aca="false">IF(OR($A387="",$F387=""),"",$A387+$F387)</f>
        <v/>
      </c>
      <c r="H387" s="16" t="str">
        <f aca="false">IF($D387="","",IF($J387="환불",0,IFERROR(INDEX(상품목록!$D$3:$D$102,MATCH($D387,상품목록!$A$3:$A$102,0)),0)))</f>
        <v/>
      </c>
      <c r="I387" s="10"/>
      <c r="J387" s="10"/>
      <c r="K387" s="10"/>
    </row>
    <row r="388" customFormat="false" ht="15" hidden="false" customHeight="true" outlineLevel="0" collapsed="false">
      <c r="A388" s="12"/>
      <c r="B388" s="10"/>
      <c r="C388" s="15" t="str">
        <f aca="false">IF($B388="","",IFERROR(INDEX(회원명부!$B$3:$B$502,MATCH($B388,회원명부!$A$3:$A$502,0)),"미등록회원"))</f>
        <v/>
      </c>
      <c r="D388" s="10"/>
      <c r="E388" s="16" t="str">
        <f aca="false">IF($D388="","",IF($J388="환불",0,IFERROR(INDEX(상품목록!$B$3:$B$102,MATCH($D388,상품목록!$A$3:$A$102,0)),0)))</f>
        <v/>
      </c>
      <c r="F388" s="16" t="str">
        <f aca="false">IF($D388="","",IFERROR(INDEX(상품목록!$C$3:$C$102,MATCH($D388,상품목록!$A$3:$A$102,0)),0))</f>
        <v/>
      </c>
      <c r="G388" s="17" t="str">
        <f aca="false">IF(OR($A388="",$F388=""),"",$A388+$F388)</f>
        <v/>
      </c>
      <c r="H388" s="16" t="str">
        <f aca="false">IF($D388="","",IF($J388="환불",0,IFERROR(INDEX(상품목록!$D$3:$D$102,MATCH($D388,상품목록!$A$3:$A$102,0)),0)))</f>
        <v/>
      </c>
      <c r="I388" s="10"/>
      <c r="J388" s="10"/>
      <c r="K388" s="10"/>
    </row>
    <row r="389" customFormat="false" ht="15" hidden="false" customHeight="true" outlineLevel="0" collapsed="false">
      <c r="A389" s="12"/>
      <c r="B389" s="10"/>
      <c r="C389" s="15" t="str">
        <f aca="false">IF($B389="","",IFERROR(INDEX(회원명부!$B$3:$B$502,MATCH($B389,회원명부!$A$3:$A$502,0)),"미등록회원"))</f>
        <v/>
      </c>
      <c r="D389" s="10"/>
      <c r="E389" s="16" t="str">
        <f aca="false">IF($D389="","",IF($J389="환불",0,IFERROR(INDEX(상품목록!$B$3:$B$102,MATCH($D389,상품목록!$A$3:$A$102,0)),0)))</f>
        <v/>
      </c>
      <c r="F389" s="16" t="str">
        <f aca="false">IF($D389="","",IFERROR(INDEX(상품목록!$C$3:$C$102,MATCH($D389,상품목록!$A$3:$A$102,0)),0))</f>
        <v/>
      </c>
      <c r="G389" s="17" t="str">
        <f aca="false">IF(OR($A389="",$F389=""),"",$A389+$F389)</f>
        <v/>
      </c>
      <c r="H389" s="16" t="str">
        <f aca="false">IF($D389="","",IF($J389="환불",0,IFERROR(INDEX(상품목록!$D$3:$D$102,MATCH($D389,상품목록!$A$3:$A$102,0)),0)))</f>
        <v/>
      </c>
      <c r="I389" s="10"/>
      <c r="J389" s="10"/>
      <c r="K389" s="10"/>
    </row>
    <row r="390" customFormat="false" ht="15" hidden="false" customHeight="true" outlineLevel="0" collapsed="false">
      <c r="A390" s="12"/>
      <c r="B390" s="10"/>
      <c r="C390" s="15" t="str">
        <f aca="false">IF($B390="","",IFERROR(INDEX(회원명부!$B$3:$B$502,MATCH($B390,회원명부!$A$3:$A$502,0)),"미등록회원"))</f>
        <v/>
      </c>
      <c r="D390" s="10"/>
      <c r="E390" s="16" t="str">
        <f aca="false">IF($D390="","",IF($J390="환불",0,IFERROR(INDEX(상품목록!$B$3:$B$102,MATCH($D390,상품목록!$A$3:$A$102,0)),0)))</f>
        <v/>
      </c>
      <c r="F390" s="16" t="str">
        <f aca="false">IF($D390="","",IFERROR(INDEX(상품목록!$C$3:$C$102,MATCH($D390,상품목록!$A$3:$A$102,0)),0))</f>
        <v/>
      </c>
      <c r="G390" s="17" t="str">
        <f aca="false">IF(OR($A390="",$F390=""),"",$A390+$F390)</f>
        <v/>
      </c>
      <c r="H390" s="16" t="str">
        <f aca="false">IF($D390="","",IF($J390="환불",0,IFERROR(INDEX(상품목록!$D$3:$D$102,MATCH($D390,상품목록!$A$3:$A$102,0)),0)))</f>
        <v/>
      </c>
      <c r="I390" s="10"/>
      <c r="J390" s="10"/>
      <c r="K390" s="10"/>
    </row>
    <row r="391" customFormat="false" ht="15" hidden="false" customHeight="true" outlineLevel="0" collapsed="false">
      <c r="A391" s="12"/>
      <c r="B391" s="10"/>
      <c r="C391" s="15" t="str">
        <f aca="false">IF($B391="","",IFERROR(INDEX(회원명부!$B$3:$B$502,MATCH($B391,회원명부!$A$3:$A$502,0)),"미등록회원"))</f>
        <v/>
      </c>
      <c r="D391" s="10"/>
      <c r="E391" s="16" t="str">
        <f aca="false">IF($D391="","",IF($J391="환불",0,IFERROR(INDEX(상품목록!$B$3:$B$102,MATCH($D391,상품목록!$A$3:$A$102,0)),0)))</f>
        <v/>
      </c>
      <c r="F391" s="16" t="str">
        <f aca="false">IF($D391="","",IFERROR(INDEX(상품목록!$C$3:$C$102,MATCH($D391,상품목록!$A$3:$A$102,0)),0))</f>
        <v/>
      </c>
      <c r="G391" s="17" t="str">
        <f aca="false">IF(OR($A391="",$F391=""),"",$A391+$F391)</f>
        <v/>
      </c>
      <c r="H391" s="16" t="str">
        <f aca="false">IF($D391="","",IF($J391="환불",0,IFERROR(INDEX(상품목록!$D$3:$D$102,MATCH($D391,상품목록!$A$3:$A$102,0)),0)))</f>
        <v/>
      </c>
      <c r="I391" s="10"/>
      <c r="J391" s="10"/>
      <c r="K391" s="10"/>
    </row>
    <row r="392" customFormat="false" ht="15" hidden="false" customHeight="true" outlineLevel="0" collapsed="false">
      <c r="A392" s="12"/>
      <c r="B392" s="10"/>
      <c r="C392" s="15" t="str">
        <f aca="false">IF($B392="","",IFERROR(INDEX(회원명부!$B$3:$B$502,MATCH($B392,회원명부!$A$3:$A$502,0)),"미등록회원"))</f>
        <v/>
      </c>
      <c r="D392" s="10"/>
      <c r="E392" s="16" t="str">
        <f aca="false">IF($D392="","",IF($J392="환불",0,IFERROR(INDEX(상품목록!$B$3:$B$102,MATCH($D392,상품목록!$A$3:$A$102,0)),0)))</f>
        <v/>
      </c>
      <c r="F392" s="16" t="str">
        <f aca="false">IF($D392="","",IFERROR(INDEX(상품목록!$C$3:$C$102,MATCH($D392,상품목록!$A$3:$A$102,0)),0))</f>
        <v/>
      </c>
      <c r="G392" s="17" t="str">
        <f aca="false">IF(OR($A392="",$F392=""),"",$A392+$F392)</f>
        <v/>
      </c>
      <c r="H392" s="16" t="str">
        <f aca="false">IF($D392="","",IF($J392="환불",0,IFERROR(INDEX(상품목록!$D$3:$D$102,MATCH($D392,상품목록!$A$3:$A$102,0)),0)))</f>
        <v/>
      </c>
      <c r="I392" s="10"/>
      <c r="J392" s="10"/>
      <c r="K392" s="10"/>
    </row>
    <row r="393" customFormat="false" ht="15" hidden="false" customHeight="true" outlineLevel="0" collapsed="false">
      <c r="A393" s="12"/>
      <c r="B393" s="10"/>
      <c r="C393" s="15" t="str">
        <f aca="false">IF($B393="","",IFERROR(INDEX(회원명부!$B$3:$B$502,MATCH($B393,회원명부!$A$3:$A$502,0)),"미등록회원"))</f>
        <v/>
      </c>
      <c r="D393" s="10"/>
      <c r="E393" s="16" t="str">
        <f aca="false">IF($D393="","",IF($J393="환불",0,IFERROR(INDEX(상품목록!$B$3:$B$102,MATCH($D393,상품목록!$A$3:$A$102,0)),0)))</f>
        <v/>
      </c>
      <c r="F393" s="16" t="str">
        <f aca="false">IF($D393="","",IFERROR(INDEX(상품목록!$C$3:$C$102,MATCH($D393,상품목록!$A$3:$A$102,0)),0))</f>
        <v/>
      </c>
      <c r="G393" s="17" t="str">
        <f aca="false">IF(OR($A393="",$F393=""),"",$A393+$F393)</f>
        <v/>
      </c>
      <c r="H393" s="16" t="str">
        <f aca="false">IF($D393="","",IF($J393="환불",0,IFERROR(INDEX(상품목록!$D$3:$D$102,MATCH($D393,상품목록!$A$3:$A$102,0)),0)))</f>
        <v/>
      </c>
      <c r="I393" s="10"/>
      <c r="J393" s="10"/>
      <c r="K393" s="10"/>
    </row>
    <row r="394" customFormat="false" ht="15" hidden="false" customHeight="true" outlineLevel="0" collapsed="false">
      <c r="A394" s="12"/>
      <c r="B394" s="10"/>
      <c r="C394" s="15" t="str">
        <f aca="false">IF($B394="","",IFERROR(INDEX(회원명부!$B$3:$B$502,MATCH($B394,회원명부!$A$3:$A$502,0)),"미등록회원"))</f>
        <v/>
      </c>
      <c r="D394" s="10"/>
      <c r="E394" s="16" t="str">
        <f aca="false">IF($D394="","",IF($J394="환불",0,IFERROR(INDEX(상품목록!$B$3:$B$102,MATCH($D394,상품목록!$A$3:$A$102,0)),0)))</f>
        <v/>
      </c>
      <c r="F394" s="16" t="str">
        <f aca="false">IF($D394="","",IFERROR(INDEX(상품목록!$C$3:$C$102,MATCH($D394,상품목록!$A$3:$A$102,0)),0))</f>
        <v/>
      </c>
      <c r="G394" s="17" t="str">
        <f aca="false">IF(OR($A394="",$F394=""),"",$A394+$F394)</f>
        <v/>
      </c>
      <c r="H394" s="16" t="str">
        <f aca="false">IF($D394="","",IF($J394="환불",0,IFERROR(INDEX(상품목록!$D$3:$D$102,MATCH($D394,상품목록!$A$3:$A$102,0)),0)))</f>
        <v/>
      </c>
      <c r="I394" s="10"/>
      <c r="J394" s="10"/>
      <c r="K394" s="10"/>
    </row>
    <row r="395" customFormat="false" ht="15" hidden="false" customHeight="true" outlineLevel="0" collapsed="false">
      <c r="A395" s="12"/>
      <c r="B395" s="10"/>
      <c r="C395" s="15" t="str">
        <f aca="false">IF($B395="","",IFERROR(INDEX(회원명부!$B$3:$B$502,MATCH($B395,회원명부!$A$3:$A$502,0)),"미등록회원"))</f>
        <v/>
      </c>
      <c r="D395" s="10"/>
      <c r="E395" s="16" t="str">
        <f aca="false">IF($D395="","",IF($J395="환불",0,IFERROR(INDEX(상품목록!$B$3:$B$102,MATCH($D395,상품목록!$A$3:$A$102,0)),0)))</f>
        <v/>
      </c>
      <c r="F395" s="16" t="str">
        <f aca="false">IF($D395="","",IFERROR(INDEX(상품목록!$C$3:$C$102,MATCH($D395,상품목록!$A$3:$A$102,0)),0))</f>
        <v/>
      </c>
      <c r="G395" s="17" t="str">
        <f aca="false">IF(OR($A395="",$F395=""),"",$A395+$F395)</f>
        <v/>
      </c>
      <c r="H395" s="16" t="str">
        <f aca="false">IF($D395="","",IF($J395="환불",0,IFERROR(INDEX(상품목록!$D$3:$D$102,MATCH($D395,상품목록!$A$3:$A$102,0)),0)))</f>
        <v/>
      </c>
      <c r="I395" s="10"/>
      <c r="J395" s="10"/>
      <c r="K395" s="10"/>
    </row>
    <row r="396" customFormat="false" ht="15" hidden="false" customHeight="true" outlineLevel="0" collapsed="false">
      <c r="A396" s="12"/>
      <c r="B396" s="10"/>
      <c r="C396" s="15" t="str">
        <f aca="false">IF($B396="","",IFERROR(INDEX(회원명부!$B$3:$B$502,MATCH($B396,회원명부!$A$3:$A$502,0)),"미등록회원"))</f>
        <v/>
      </c>
      <c r="D396" s="10"/>
      <c r="E396" s="16" t="str">
        <f aca="false">IF($D396="","",IF($J396="환불",0,IFERROR(INDEX(상품목록!$B$3:$B$102,MATCH($D396,상품목록!$A$3:$A$102,0)),0)))</f>
        <v/>
      </c>
      <c r="F396" s="16" t="str">
        <f aca="false">IF($D396="","",IFERROR(INDEX(상품목록!$C$3:$C$102,MATCH($D396,상품목록!$A$3:$A$102,0)),0))</f>
        <v/>
      </c>
      <c r="G396" s="17" t="str">
        <f aca="false">IF(OR($A396="",$F396=""),"",$A396+$F396)</f>
        <v/>
      </c>
      <c r="H396" s="16" t="str">
        <f aca="false">IF($D396="","",IF($J396="환불",0,IFERROR(INDEX(상품목록!$D$3:$D$102,MATCH($D396,상품목록!$A$3:$A$102,0)),0)))</f>
        <v/>
      </c>
      <c r="I396" s="10"/>
      <c r="J396" s="10"/>
      <c r="K396" s="10"/>
    </row>
    <row r="397" customFormat="false" ht="15" hidden="false" customHeight="true" outlineLevel="0" collapsed="false">
      <c r="A397" s="12"/>
      <c r="B397" s="10"/>
      <c r="C397" s="15" t="str">
        <f aca="false">IF($B397="","",IFERROR(INDEX(회원명부!$B$3:$B$502,MATCH($B397,회원명부!$A$3:$A$502,0)),"미등록회원"))</f>
        <v/>
      </c>
      <c r="D397" s="10"/>
      <c r="E397" s="16" t="str">
        <f aca="false">IF($D397="","",IF($J397="환불",0,IFERROR(INDEX(상품목록!$B$3:$B$102,MATCH($D397,상품목록!$A$3:$A$102,0)),0)))</f>
        <v/>
      </c>
      <c r="F397" s="16" t="str">
        <f aca="false">IF($D397="","",IFERROR(INDEX(상품목록!$C$3:$C$102,MATCH($D397,상품목록!$A$3:$A$102,0)),0))</f>
        <v/>
      </c>
      <c r="G397" s="17" t="str">
        <f aca="false">IF(OR($A397="",$F397=""),"",$A397+$F397)</f>
        <v/>
      </c>
      <c r="H397" s="16" t="str">
        <f aca="false">IF($D397="","",IF($J397="환불",0,IFERROR(INDEX(상품목록!$D$3:$D$102,MATCH($D397,상품목록!$A$3:$A$102,0)),0)))</f>
        <v/>
      </c>
      <c r="I397" s="10"/>
      <c r="J397" s="10"/>
      <c r="K397" s="10"/>
    </row>
    <row r="398" customFormat="false" ht="15" hidden="false" customHeight="true" outlineLevel="0" collapsed="false">
      <c r="A398" s="12"/>
      <c r="B398" s="10"/>
      <c r="C398" s="15" t="str">
        <f aca="false">IF($B398="","",IFERROR(INDEX(회원명부!$B$3:$B$502,MATCH($B398,회원명부!$A$3:$A$502,0)),"미등록회원"))</f>
        <v/>
      </c>
      <c r="D398" s="10"/>
      <c r="E398" s="16" t="str">
        <f aca="false">IF($D398="","",IF($J398="환불",0,IFERROR(INDEX(상품목록!$B$3:$B$102,MATCH($D398,상품목록!$A$3:$A$102,0)),0)))</f>
        <v/>
      </c>
      <c r="F398" s="16" t="str">
        <f aca="false">IF($D398="","",IFERROR(INDEX(상품목록!$C$3:$C$102,MATCH($D398,상품목록!$A$3:$A$102,0)),0))</f>
        <v/>
      </c>
      <c r="G398" s="17" t="str">
        <f aca="false">IF(OR($A398="",$F398=""),"",$A398+$F398)</f>
        <v/>
      </c>
      <c r="H398" s="16" t="str">
        <f aca="false">IF($D398="","",IF($J398="환불",0,IFERROR(INDEX(상품목록!$D$3:$D$102,MATCH($D398,상품목록!$A$3:$A$102,0)),0)))</f>
        <v/>
      </c>
      <c r="I398" s="10"/>
      <c r="J398" s="10"/>
      <c r="K398" s="10"/>
    </row>
    <row r="399" customFormat="false" ht="15" hidden="false" customHeight="true" outlineLevel="0" collapsed="false">
      <c r="A399" s="12"/>
      <c r="B399" s="10"/>
      <c r="C399" s="15" t="str">
        <f aca="false">IF($B399="","",IFERROR(INDEX(회원명부!$B$3:$B$502,MATCH($B399,회원명부!$A$3:$A$502,0)),"미등록회원"))</f>
        <v/>
      </c>
      <c r="D399" s="10"/>
      <c r="E399" s="16" t="str">
        <f aca="false">IF($D399="","",IF($J399="환불",0,IFERROR(INDEX(상품목록!$B$3:$B$102,MATCH($D399,상품목록!$A$3:$A$102,0)),0)))</f>
        <v/>
      </c>
      <c r="F399" s="16" t="str">
        <f aca="false">IF($D399="","",IFERROR(INDEX(상품목록!$C$3:$C$102,MATCH($D399,상품목록!$A$3:$A$102,0)),0))</f>
        <v/>
      </c>
      <c r="G399" s="17" t="str">
        <f aca="false">IF(OR($A399="",$F399=""),"",$A399+$F399)</f>
        <v/>
      </c>
      <c r="H399" s="16" t="str">
        <f aca="false">IF($D399="","",IF($J399="환불",0,IFERROR(INDEX(상품목록!$D$3:$D$102,MATCH($D399,상품목록!$A$3:$A$102,0)),0)))</f>
        <v/>
      </c>
      <c r="I399" s="10"/>
      <c r="J399" s="10"/>
      <c r="K399" s="10"/>
    </row>
    <row r="400" customFormat="false" ht="15" hidden="false" customHeight="true" outlineLevel="0" collapsed="false">
      <c r="A400" s="12"/>
      <c r="B400" s="10"/>
      <c r="C400" s="15" t="str">
        <f aca="false">IF($B400="","",IFERROR(INDEX(회원명부!$B$3:$B$502,MATCH($B400,회원명부!$A$3:$A$502,0)),"미등록회원"))</f>
        <v/>
      </c>
      <c r="D400" s="10"/>
      <c r="E400" s="16" t="str">
        <f aca="false">IF($D400="","",IF($J400="환불",0,IFERROR(INDEX(상품목록!$B$3:$B$102,MATCH($D400,상품목록!$A$3:$A$102,0)),0)))</f>
        <v/>
      </c>
      <c r="F400" s="16" t="str">
        <f aca="false">IF($D400="","",IFERROR(INDEX(상품목록!$C$3:$C$102,MATCH($D400,상품목록!$A$3:$A$102,0)),0))</f>
        <v/>
      </c>
      <c r="G400" s="17" t="str">
        <f aca="false">IF(OR($A400="",$F400=""),"",$A400+$F400)</f>
        <v/>
      </c>
      <c r="H400" s="16" t="str">
        <f aca="false">IF($D400="","",IF($J400="환불",0,IFERROR(INDEX(상품목록!$D$3:$D$102,MATCH($D400,상품목록!$A$3:$A$102,0)),0)))</f>
        <v/>
      </c>
      <c r="I400" s="10"/>
      <c r="J400" s="10"/>
      <c r="K400" s="10"/>
    </row>
    <row r="401" customFormat="false" ht="15" hidden="false" customHeight="true" outlineLevel="0" collapsed="false">
      <c r="A401" s="12"/>
      <c r="B401" s="10"/>
      <c r="C401" s="15" t="str">
        <f aca="false">IF($B401="","",IFERROR(INDEX(회원명부!$B$3:$B$502,MATCH($B401,회원명부!$A$3:$A$502,0)),"미등록회원"))</f>
        <v/>
      </c>
      <c r="D401" s="10"/>
      <c r="E401" s="16" t="str">
        <f aca="false">IF($D401="","",IF($J401="환불",0,IFERROR(INDEX(상품목록!$B$3:$B$102,MATCH($D401,상품목록!$A$3:$A$102,0)),0)))</f>
        <v/>
      </c>
      <c r="F401" s="16" t="str">
        <f aca="false">IF($D401="","",IFERROR(INDEX(상품목록!$C$3:$C$102,MATCH($D401,상품목록!$A$3:$A$102,0)),0))</f>
        <v/>
      </c>
      <c r="G401" s="17" t="str">
        <f aca="false">IF(OR($A401="",$F401=""),"",$A401+$F401)</f>
        <v/>
      </c>
      <c r="H401" s="16" t="str">
        <f aca="false">IF($D401="","",IF($J401="환불",0,IFERROR(INDEX(상품목록!$D$3:$D$102,MATCH($D401,상품목록!$A$3:$A$102,0)),0)))</f>
        <v/>
      </c>
      <c r="I401" s="10"/>
      <c r="J401" s="10"/>
      <c r="K401" s="10"/>
    </row>
    <row r="402" customFormat="false" ht="15" hidden="false" customHeight="true" outlineLevel="0" collapsed="false">
      <c r="A402" s="12"/>
      <c r="B402" s="10"/>
      <c r="C402" s="15" t="str">
        <f aca="false">IF($B402="","",IFERROR(INDEX(회원명부!$B$3:$B$502,MATCH($B402,회원명부!$A$3:$A$502,0)),"미등록회원"))</f>
        <v/>
      </c>
      <c r="D402" s="10"/>
      <c r="E402" s="16" t="str">
        <f aca="false">IF($D402="","",IF($J402="환불",0,IFERROR(INDEX(상품목록!$B$3:$B$102,MATCH($D402,상품목록!$A$3:$A$102,0)),0)))</f>
        <v/>
      </c>
      <c r="F402" s="16" t="str">
        <f aca="false">IF($D402="","",IFERROR(INDEX(상품목록!$C$3:$C$102,MATCH($D402,상품목록!$A$3:$A$102,0)),0))</f>
        <v/>
      </c>
      <c r="G402" s="17" t="str">
        <f aca="false">IF(OR($A402="",$F402=""),"",$A402+$F402)</f>
        <v/>
      </c>
      <c r="H402" s="16" t="str">
        <f aca="false">IF($D402="","",IF($J402="환불",0,IFERROR(INDEX(상품목록!$D$3:$D$102,MATCH($D402,상품목록!$A$3:$A$102,0)),0)))</f>
        <v/>
      </c>
      <c r="I402" s="10"/>
      <c r="J402" s="10"/>
      <c r="K402" s="10"/>
    </row>
    <row r="403" customFormat="false" ht="15" hidden="false" customHeight="true" outlineLevel="0" collapsed="false">
      <c r="A403" s="12"/>
      <c r="B403" s="10"/>
      <c r="C403" s="15" t="str">
        <f aca="false">IF($B403="","",IFERROR(INDEX(회원명부!$B$3:$B$502,MATCH($B403,회원명부!$A$3:$A$502,0)),"미등록회원"))</f>
        <v/>
      </c>
      <c r="D403" s="10"/>
      <c r="E403" s="16" t="str">
        <f aca="false">IF($D403="","",IF($J403="환불",0,IFERROR(INDEX(상품목록!$B$3:$B$102,MATCH($D403,상품목록!$A$3:$A$102,0)),0)))</f>
        <v/>
      </c>
      <c r="F403" s="16" t="str">
        <f aca="false">IF($D403="","",IFERROR(INDEX(상품목록!$C$3:$C$102,MATCH($D403,상품목록!$A$3:$A$102,0)),0))</f>
        <v/>
      </c>
      <c r="G403" s="17" t="str">
        <f aca="false">IF(OR($A403="",$F403=""),"",$A403+$F403)</f>
        <v/>
      </c>
      <c r="H403" s="16" t="str">
        <f aca="false">IF($D403="","",IF($J403="환불",0,IFERROR(INDEX(상품목록!$D$3:$D$102,MATCH($D403,상품목록!$A$3:$A$102,0)),0)))</f>
        <v/>
      </c>
      <c r="I403" s="10"/>
      <c r="J403" s="10"/>
      <c r="K403" s="10"/>
    </row>
    <row r="404" customFormat="false" ht="15" hidden="false" customHeight="true" outlineLevel="0" collapsed="false">
      <c r="A404" s="12"/>
      <c r="B404" s="10"/>
      <c r="C404" s="15" t="str">
        <f aca="false">IF($B404="","",IFERROR(INDEX(회원명부!$B$3:$B$502,MATCH($B404,회원명부!$A$3:$A$502,0)),"미등록회원"))</f>
        <v/>
      </c>
      <c r="D404" s="10"/>
      <c r="E404" s="16" t="str">
        <f aca="false">IF($D404="","",IF($J404="환불",0,IFERROR(INDEX(상품목록!$B$3:$B$102,MATCH($D404,상품목록!$A$3:$A$102,0)),0)))</f>
        <v/>
      </c>
      <c r="F404" s="16" t="str">
        <f aca="false">IF($D404="","",IFERROR(INDEX(상품목록!$C$3:$C$102,MATCH($D404,상품목록!$A$3:$A$102,0)),0))</f>
        <v/>
      </c>
      <c r="G404" s="17" t="str">
        <f aca="false">IF(OR($A404="",$F404=""),"",$A404+$F404)</f>
        <v/>
      </c>
      <c r="H404" s="16" t="str">
        <f aca="false">IF($D404="","",IF($J404="환불",0,IFERROR(INDEX(상품목록!$D$3:$D$102,MATCH($D404,상품목록!$A$3:$A$102,0)),0)))</f>
        <v/>
      </c>
      <c r="I404" s="10"/>
      <c r="J404" s="10"/>
      <c r="K404" s="10"/>
    </row>
    <row r="405" customFormat="false" ht="15" hidden="false" customHeight="true" outlineLevel="0" collapsed="false">
      <c r="A405" s="12"/>
      <c r="B405" s="10"/>
      <c r="C405" s="15" t="str">
        <f aca="false">IF($B405="","",IFERROR(INDEX(회원명부!$B$3:$B$502,MATCH($B405,회원명부!$A$3:$A$502,0)),"미등록회원"))</f>
        <v/>
      </c>
      <c r="D405" s="10"/>
      <c r="E405" s="16" t="str">
        <f aca="false">IF($D405="","",IF($J405="환불",0,IFERROR(INDEX(상품목록!$B$3:$B$102,MATCH($D405,상품목록!$A$3:$A$102,0)),0)))</f>
        <v/>
      </c>
      <c r="F405" s="16" t="str">
        <f aca="false">IF($D405="","",IFERROR(INDEX(상품목록!$C$3:$C$102,MATCH($D405,상품목록!$A$3:$A$102,0)),0))</f>
        <v/>
      </c>
      <c r="G405" s="17" t="str">
        <f aca="false">IF(OR($A405="",$F405=""),"",$A405+$F405)</f>
        <v/>
      </c>
      <c r="H405" s="16" t="str">
        <f aca="false">IF($D405="","",IF($J405="환불",0,IFERROR(INDEX(상품목록!$D$3:$D$102,MATCH($D405,상품목록!$A$3:$A$102,0)),0)))</f>
        <v/>
      </c>
      <c r="I405" s="10"/>
      <c r="J405" s="10"/>
      <c r="K405" s="10"/>
    </row>
    <row r="406" customFormat="false" ht="15" hidden="false" customHeight="true" outlineLevel="0" collapsed="false">
      <c r="A406" s="12"/>
      <c r="B406" s="10"/>
      <c r="C406" s="15" t="str">
        <f aca="false">IF($B406="","",IFERROR(INDEX(회원명부!$B$3:$B$502,MATCH($B406,회원명부!$A$3:$A$502,0)),"미등록회원"))</f>
        <v/>
      </c>
      <c r="D406" s="10"/>
      <c r="E406" s="16" t="str">
        <f aca="false">IF($D406="","",IF($J406="환불",0,IFERROR(INDEX(상품목록!$B$3:$B$102,MATCH($D406,상품목록!$A$3:$A$102,0)),0)))</f>
        <v/>
      </c>
      <c r="F406" s="16" t="str">
        <f aca="false">IF($D406="","",IFERROR(INDEX(상품목록!$C$3:$C$102,MATCH($D406,상품목록!$A$3:$A$102,0)),0))</f>
        <v/>
      </c>
      <c r="G406" s="17" t="str">
        <f aca="false">IF(OR($A406="",$F406=""),"",$A406+$F406)</f>
        <v/>
      </c>
      <c r="H406" s="16" t="str">
        <f aca="false">IF($D406="","",IF($J406="환불",0,IFERROR(INDEX(상품목록!$D$3:$D$102,MATCH($D406,상품목록!$A$3:$A$102,0)),0)))</f>
        <v/>
      </c>
      <c r="I406" s="10"/>
      <c r="J406" s="10"/>
      <c r="K406" s="10"/>
    </row>
    <row r="407" customFormat="false" ht="15" hidden="false" customHeight="true" outlineLevel="0" collapsed="false">
      <c r="A407" s="12"/>
      <c r="B407" s="10"/>
      <c r="C407" s="15" t="str">
        <f aca="false">IF($B407="","",IFERROR(INDEX(회원명부!$B$3:$B$502,MATCH($B407,회원명부!$A$3:$A$502,0)),"미등록회원"))</f>
        <v/>
      </c>
      <c r="D407" s="10"/>
      <c r="E407" s="16" t="str">
        <f aca="false">IF($D407="","",IF($J407="환불",0,IFERROR(INDEX(상품목록!$B$3:$B$102,MATCH($D407,상품목록!$A$3:$A$102,0)),0)))</f>
        <v/>
      </c>
      <c r="F407" s="16" t="str">
        <f aca="false">IF($D407="","",IFERROR(INDEX(상품목록!$C$3:$C$102,MATCH($D407,상품목록!$A$3:$A$102,0)),0))</f>
        <v/>
      </c>
      <c r="G407" s="17" t="str">
        <f aca="false">IF(OR($A407="",$F407=""),"",$A407+$F407)</f>
        <v/>
      </c>
      <c r="H407" s="16" t="str">
        <f aca="false">IF($D407="","",IF($J407="환불",0,IFERROR(INDEX(상품목록!$D$3:$D$102,MATCH($D407,상품목록!$A$3:$A$102,0)),0)))</f>
        <v/>
      </c>
      <c r="I407" s="10"/>
      <c r="J407" s="10"/>
      <c r="K407" s="10"/>
    </row>
    <row r="408" customFormat="false" ht="15" hidden="false" customHeight="true" outlineLevel="0" collapsed="false">
      <c r="A408" s="12"/>
      <c r="B408" s="10"/>
      <c r="C408" s="15" t="str">
        <f aca="false">IF($B408="","",IFERROR(INDEX(회원명부!$B$3:$B$502,MATCH($B408,회원명부!$A$3:$A$502,0)),"미등록회원"))</f>
        <v/>
      </c>
      <c r="D408" s="10"/>
      <c r="E408" s="16" t="str">
        <f aca="false">IF($D408="","",IF($J408="환불",0,IFERROR(INDEX(상품목록!$B$3:$B$102,MATCH($D408,상품목록!$A$3:$A$102,0)),0)))</f>
        <v/>
      </c>
      <c r="F408" s="16" t="str">
        <f aca="false">IF($D408="","",IFERROR(INDEX(상품목록!$C$3:$C$102,MATCH($D408,상품목록!$A$3:$A$102,0)),0))</f>
        <v/>
      </c>
      <c r="G408" s="17" t="str">
        <f aca="false">IF(OR($A408="",$F408=""),"",$A408+$F408)</f>
        <v/>
      </c>
      <c r="H408" s="16" t="str">
        <f aca="false">IF($D408="","",IF($J408="환불",0,IFERROR(INDEX(상품목록!$D$3:$D$102,MATCH($D408,상품목록!$A$3:$A$102,0)),0)))</f>
        <v/>
      </c>
      <c r="I408" s="10"/>
      <c r="J408" s="10"/>
      <c r="K408" s="10"/>
    </row>
    <row r="409" customFormat="false" ht="15" hidden="false" customHeight="true" outlineLevel="0" collapsed="false">
      <c r="A409" s="12"/>
      <c r="B409" s="10"/>
      <c r="C409" s="15" t="str">
        <f aca="false">IF($B409="","",IFERROR(INDEX(회원명부!$B$3:$B$502,MATCH($B409,회원명부!$A$3:$A$502,0)),"미등록회원"))</f>
        <v/>
      </c>
      <c r="D409" s="10"/>
      <c r="E409" s="16" t="str">
        <f aca="false">IF($D409="","",IF($J409="환불",0,IFERROR(INDEX(상품목록!$B$3:$B$102,MATCH($D409,상품목록!$A$3:$A$102,0)),0)))</f>
        <v/>
      </c>
      <c r="F409" s="16" t="str">
        <f aca="false">IF($D409="","",IFERROR(INDEX(상품목록!$C$3:$C$102,MATCH($D409,상품목록!$A$3:$A$102,0)),0))</f>
        <v/>
      </c>
      <c r="G409" s="17" t="str">
        <f aca="false">IF(OR($A409="",$F409=""),"",$A409+$F409)</f>
        <v/>
      </c>
      <c r="H409" s="16" t="str">
        <f aca="false">IF($D409="","",IF($J409="환불",0,IFERROR(INDEX(상품목록!$D$3:$D$102,MATCH($D409,상품목록!$A$3:$A$102,0)),0)))</f>
        <v/>
      </c>
      <c r="I409" s="10"/>
      <c r="J409" s="10"/>
      <c r="K409" s="10"/>
    </row>
    <row r="410" customFormat="false" ht="15" hidden="false" customHeight="true" outlineLevel="0" collapsed="false">
      <c r="A410" s="12"/>
      <c r="B410" s="10"/>
      <c r="C410" s="15" t="str">
        <f aca="false">IF($B410="","",IFERROR(INDEX(회원명부!$B$3:$B$502,MATCH($B410,회원명부!$A$3:$A$502,0)),"미등록회원"))</f>
        <v/>
      </c>
      <c r="D410" s="10"/>
      <c r="E410" s="16" t="str">
        <f aca="false">IF($D410="","",IF($J410="환불",0,IFERROR(INDEX(상품목록!$B$3:$B$102,MATCH($D410,상품목록!$A$3:$A$102,0)),0)))</f>
        <v/>
      </c>
      <c r="F410" s="16" t="str">
        <f aca="false">IF($D410="","",IFERROR(INDEX(상품목록!$C$3:$C$102,MATCH($D410,상품목록!$A$3:$A$102,0)),0))</f>
        <v/>
      </c>
      <c r="G410" s="17" t="str">
        <f aca="false">IF(OR($A410="",$F410=""),"",$A410+$F410)</f>
        <v/>
      </c>
      <c r="H410" s="16" t="str">
        <f aca="false">IF($D410="","",IF($J410="환불",0,IFERROR(INDEX(상품목록!$D$3:$D$102,MATCH($D410,상품목록!$A$3:$A$102,0)),0)))</f>
        <v/>
      </c>
      <c r="I410" s="10"/>
      <c r="J410" s="10"/>
      <c r="K410" s="10"/>
    </row>
    <row r="411" customFormat="false" ht="15" hidden="false" customHeight="true" outlineLevel="0" collapsed="false">
      <c r="A411" s="12"/>
      <c r="B411" s="10"/>
      <c r="C411" s="15" t="str">
        <f aca="false">IF($B411="","",IFERROR(INDEX(회원명부!$B$3:$B$502,MATCH($B411,회원명부!$A$3:$A$502,0)),"미등록회원"))</f>
        <v/>
      </c>
      <c r="D411" s="10"/>
      <c r="E411" s="16" t="str">
        <f aca="false">IF($D411="","",IF($J411="환불",0,IFERROR(INDEX(상품목록!$B$3:$B$102,MATCH($D411,상품목록!$A$3:$A$102,0)),0)))</f>
        <v/>
      </c>
      <c r="F411" s="16" t="str">
        <f aca="false">IF($D411="","",IFERROR(INDEX(상품목록!$C$3:$C$102,MATCH($D411,상품목록!$A$3:$A$102,0)),0))</f>
        <v/>
      </c>
      <c r="G411" s="17" t="str">
        <f aca="false">IF(OR($A411="",$F411=""),"",$A411+$F411)</f>
        <v/>
      </c>
      <c r="H411" s="16" t="str">
        <f aca="false">IF($D411="","",IF($J411="환불",0,IFERROR(INDEX(상품목록!$D$3:$D$102,MATCH($D411,상품목록!$A$3:$A$102,0)),0)))</f>
        <v/>
      </c>
      <c r="I411" s="10"/>
      <c r="J411" s="10"/>
      <c r="K411" s="10"/>
    </row>
    <row r="412" customFormat="false" ht="15" hidden="false" customHeight="true" outlineLevel="0" collapsed="false">
      <c r="A412" s="12"/>
      <c r="B412" s="10"/>
      <c r="C412" s="15" t="str">
        <f aca="false">IF($B412="","",IFERROR(INDEX(회원명부!$B$3:$B$502,MATCH($B412,회원명부!$A$3:$A$502,0)),"미등록회원"))</f>
        <v/>
      </c>
      <c r="D412" s="10"/>
      <c r="E412" s="16" t="str">
        <f aca="false">IF($D412="","",IF($J412="환불",0,IFERROR(INDEX(상품목록!$B$3:$B$102,MATCH($D412,상품목록!$A$3:$A$102,0)),0)))</f>
        <v/>
      </c>
      <c r="F412" s="16" t="str">
        <f aca="false">IF($D412="","",IFERROR(INDEX(상품목록!$C$3:$C$102,MATCH($D412,상품목록!$A$3:$A$102,0)),0))</f>
        <v/>
      </c>
      <c r="G412" s="17" t="str">
        <f aca="false">IF(OR($A412="",$F412=""),"",$A412+$F412)</f>
        <v/>
      </c>
      <c r="H412" s="16" t="str">
        <f aca="false">IF($D412="","",IF($J412="환불",0,IFERROR(INDEX(상품목록!$D$3:$D$102,MATCH($D412,상품목록!$A$3:$A$102,0)),0)))</f>
        <v/>
      </c>
      <c r="I412" s="10"/>
      <c r="J412" s="10"/>
      <c r="K412" s="10"/>
    </row>
    <row r="413" customFormat="false" ht="15" hidden="false" customHeight="true" outlineLevel="0" collapsed="false">
      <c r="A413" s="12"/>
      <c r="B413" s="10"/>
      <c r="C413" s="15" t="str">
        <f aca="false">IF($B413="","",IFERROR(INDEX(회원명부!$B$3:$B$502,MATCH($B413,회원명부!$A$3:$A$502,0)),"미등록회원"))</f>
        <v/>
      </c>
      <c r="D413" s="10"/>
      <c r="E413" s="16" t="str">
        <f aca="false">IF($D413="","",IF($J413="환불",0,IFERROR(INDEX(상품목록!$B$3:$B$102,MATCH($D413,상품목록!$A$3:$A$102,0)),0)))</f>
        <v/>
      </c>
      <c r="F413" s="16" t="str">
        <f aca="false">IF($D413="","",IFERROR(INDEX(상품목록!$C$3:$C$102,MATCH($D413,상품목록!$A$3:$A$102,0)),0))</f>
        <v/>
      </c>
      <c r="G413" s="17" t="str">
        <f aca="false">IF(OR($A413="",$F413=""),"",$A413+$F413)</f>
        <v/>
      </c>
      <c r="H413" s="16" t="str">
        <f aca="false">IF($D413="","",IF($J413="환불",0,IFERROR(INDEX(상품목록!$D$3:$D$102,MATCH($D413,상품목록!$A$3:$A$102,0)),0)))</f>
        <v/>
      </c>
      <c r="I413" s="10"/>
      <c r="J413" s="10"/>
      <c r="K413" s="10"/>
    </row>
    <row r="414" customFormat="false" ht="15" hidden="false" customHeight="true" outlineLevel="0" collapsed="false">
      <c r="A414" s="12"/>
      <c r="B414" s="10"/>
      <c r="C414" s="15" t="str">
        <f aca="false">IF($B414="","",IFERROR(INDEX(회원명부!$B$3:$B$502,MATCH($B414,회원명부!$A$3:$A$502,0)),"미등록회원"))</f>
        <v/>
      </c>
      <c r="D414" s="10"/>
      <c r="E414" s="16" t="str">
        <f aca="false">IF($D414="","",IF($J414="환불",0,IFERROR(INDEX(상품목록!$B$3:$B$102,MATCH($D414,상품목록!$A$3:$A$102,0)),0)))</f>
        <v/>
      </c>
      <c r="F414" s="16" t="str">
        <f aca="false">IF($D414="","",IFERROR(INDEX(상품목록!$C$3:$C$102,MATCH($D414,상품목록!$A$3:$A$102,0)),0))</f>
        <v/>
      </c>
      <c r="G414" s="17" t="str">
        <f aca="false">IF(OR($A414="",$F414=""),"",$A414+$F414)</f>
        <v/>
      </c>
      <c r="H414" s="16" t="str">
        <f aca="false">IF($D414="","",IF($J414="환불",0,IFERROR(INDEX(상품목록!$D$3:$D$102,MATCH($D414,상품목록!$A$3:$A$102,0)),0)))</f>
        <v/>
      </c>
      <c r="I414" s="10"/>
      <c r="J414" s="10"/>
      <c r="K414" s="10"/>
    </row>
    <row r="415" customFormat="false" ht="15" hidden="false" customHeight="true" outlineLevel="0" collapsed="false">
      <c r="A415" s="12"/>
      <c r="B415" s="10"/>
      <c r="C415" s="15" t="str">
        <f aca="false">IF($B415="","",IFERROR(INDEX(회원명부!$B$3:$B$502,MATCH($B415,회원명부!$A$3:$A$502,0)),"미등록회원"))</f>
        <v/>
      </c>
      <c r="D415" s="10"/>
      <c r="E415" s="16" t="str">
        <f aca="false">IF($D415="","",IF($J415="환불",0,IFERROR(INDEX(상품목록!$B$3:$B$102,MATCH($D415,상품목록!$A$3:$A$102,0)),0)))</f>
        <v/>
      </c>
      <c r="F415" s="16" t="str">
        <f aca="false">IF($D415="","",IFERROR(INDEX(상품목록!$C$3:$C$102,MATCH($D415,상품목록!$A$3:$A$102,0)),0))</f>
        <v/>
      </c>
      <c r="G415" s="17" t="str">
        <f aca="false">IF(OR($A415="",$F415=""),"",$A415+$F415)</f>
        <v/>
      </c>
      <c r="H415" s="16" t="str">
        <f aca="false">IF($D415="","",IF($J415="환불",0,IFERROR(INDEX(상품목록!$D$3:$D$102,MATCH($D415,상품목록!$A$3:$A$102,0)),0)))</f>
        <v/>
      </c>
      <c r="I415" s="10"/>
      <c r="J415" s="10"/>
      <c r="K415" s="10"/>
    </row>
    <row r="416" customFormat="false" ht="15" hidden="false" customHeight="true" outlineLevel="0" collapsed="false">
      <c r="A416" s="12"/>
      <c r="B416" s="10"/>
      <c r="C416" s="15" t="str">
        <f aca="false">IF($B416="","",IFERROR(INDEX(회원명부!$B$3:$B$502,MATCH($B416,회원명부!$A$3:$A$502,0)),"미등록회원"))</f>
        <v/>
      </c>
      <c r="D416" s="10"/>
      <c r="E416" s="16" t="str">
        <f aca="false">IF($D416="","",IF($J416="환불",0,IFERROR(INDEX(상품목록!$B$3:$B$102,MATCH($D416,상품목록!$A$3:$A$102,0)),0)))</f>
        <v/>
      </c>
      <c r="F416" s="16" t="str">
        <f aca="false">IF($D416="","",IFERROR(INDEX(상품목록!$C$3:$C$102,MATCH($D416,상품목록!$A$3:$A$102,0)),0))</f>
        <v/>
      </c>
      <c r="G416" s="17" t="str">
        <f aca="false">IF(OR($A416="",$F416=""),"",$A416+$F416)</f>
        <v/>
      </c>
      <c r="H416" s="16" t="str">
        <f aca="false">IF($D416="","",IF($J416="환불",0,IFERROR(INDEX(상품목록!$D$3:$D$102,MATCH($D416,상품목록!$A$3:$A$102,0)),0)))</f>
        <v/>
      </c>
      <c r="I416" s="10"/>
      <c r="J416" s="10"/>
      <c r="K416" s="10"/>
    </row>
    <row r="417" customFormat="false" ht="15" hidden="false" customHeight="true" outlineLevel="0" collapsed="false">
      <c r="A417" s="12"/>
      <c r="B417" s="10"/>
      <c r="C417" s="15" t="str">
        <f aca="false">IF($B417="","",IFERROR(INDEX(회원명부!$B$3:$B$502,MATCH($B417,회원명부!$A$3:$A$502,0)),"미등록회원"))</f>
        <v/>
      </c>
      <c r="D417" s="10"/>
      <c r="E417" s="16" t="str">
        <f aca="false">IF($D417="","",IF($J417="환불",0,IFERROR(INDEX(상품목록!$B$3:$B$102,MATCH($D417,상품목록!$A$3:$A$102,0)),0)))</f>
        <v/>
      </c>
      <c r="F417" s="16" t="str">
        <f aca="false">IF($D417="","",IFERROR(INDEX(상품목록!$C$3:$C$102,MATCH($D417,상품목록!$A$3:$A$102,0)),0))</f>
        <v/>
      </c>
      <c r="G417" s="17" t="str">
        <f aca="false">IF(OR($A417="",$F417=""),"",$A417+$F417)</f>
        <v/>
      </c>
      <c r="H417" s="16" t="str">
        <f aca="false">IF($D417="","",IF($J417="환불",0,IFERROR(INDEX(상품목록!$D$3:$D$102,MATCH($D417,상품목록!$A$3:$A$102,0)),0)))</f>
        <v/>
      </c>
      <c r="I417" s="10"/>
      <c r="J417" s="10"/>
      <c r="K417" s="10"/>
    </row>
    <row r="418" customFormat="false" ht="15" hidden="false" customHeight="true" outlineLevel="0" collapsed="false">
      <c r="A418" s="12"/>
      <c r="B418" s="10"/>
      <c r="C418" s="15" t="str">
        <f aca="false">IF($B418="","",IFERROR(INDEX(회원명부!$B$3:$B$502,MATCH($B418,회원명부!$A$3:$A$502,0)),"미등록회원"))</f>
        <v/>
      </c>
      <c r="D418" s="10"/>
      <c r="E418" s="16" t="str">
        <f aca="false">IF($D418="","",IF($J418="환불",0,IFERROR(INDEX(상품목록!$B$3:$B$102,MATCH($D418,상품목록!$A$3:$A$102,0)),0)))</f>
        <v/>
      </c>
      <c r="F418" s="16" t="str">
        <f aca="false">IF($D418="","",IFERROR(INDEX(상품목록!$C$3:$C$102,MATCH($D418,상품목록!$A$3:$A$102,0)),0))</f>
        <v/>
      </c>
      <c r="G418" s="17" t="str">
        <f aca="false">IF(OR($A418="",$F418=""),"",$A418+$F418)</f>
        <v/>
      </c>
      <c r="H418" s="16" t="str">
        <f aca="false">IF($D418="","",IF($J418="환불",0,IFERROR(INDEX(상품목록!$D$3:$D$102,MATCH($D418,상품목록!$A$3:$A$102,0)),0)))</f>
        <v/>
      </c>
      <c r="I418" s="10"/>
      <c r="J418" s="10"/>
      <c r="K418" s="10"/>
    </row>
    <row r="419" customFormat="false" ht="15" hidden="false" customHeight="true" outlineLevel="0" collapsed="false">
      <c r="A419" s="12"/>
      <c r="B419" s="10"/>
      <c r="C419" s="15" t="str">
        <f aca="false">IF($B419="","",IFERROR(INDEX(회원명부!$B$3:$B$502,MATCH($B419,회원명부!$A$3:$A$502,0)),"미등록회원"))</f>
        <v/>
      </c>
      <c r="D419" s="10"/>
      <c r="E419" s="16" t="str">
        <f aca="false">IF($D419="","",IF($J419="환불",0,IFERROR(INDEX(상품목록!$B$3:$B$102,MATCH($D419,상품목록!$A$3:$A$102,0)),0)))</f>
        <v/>
      </c>
      <c r="F419" s="16" t="str">
        <f aca="false">IF($D419="","",IFERROR(INDEX(상품목록!$C$3:$C$102,MATCH($D419,상품목록!$A$3:$A$102,0)),0))</f>
        <v/>
      </c>
      <c r="G419" s="17" t="str">
        <f aca="false">IF(OR($A419="",$F419=""),"",$A419+$F419)</f>
        <v/>
      </c>
      <c r="H419" s="16" t="str">
        <f aca="false">IF($D419="","",IF($J419="환불",0,IFERROR(INDEX(상품목록!$D$3:$D$102,MATCH($D419,상품목록!$A$3:$A$102,0)),0)))</f>
        <v/>
      </c>
      <c r="I419" s="10"/>
      <c r="J419" s="10"/>
      <c r="K419" s="10"/>
    </row>
    <row r="420" customFormat="false" ht="15" hidden="false" customHeight="true" outlineLevel="0" collapsed="false">
      <c r="A420" s="12"/>
      <c r="B420" s="10"/>
      <c r="C420" s="15" t="str">
        <f aca="false">IF($B420="","",IFERROR(INDEX(회원명부!$B$3:$B$502,MATCH($B420,회원명부!$A$3:$A$502,0)),"미등록회원"))</f>
        <v/>
      </c>
      <c r="D420" s="10"/>
      <c r="E420" s="16" t="str">
        <f aca="false">IF($D420="","",IF($J420="환불",0,IFERROR(INDEX(상품목록!$B$3:$B$102,MATCH($D420,상품목록!$A$3:$A$102,0)),0)))</f>
        <v/>
      </c>
      <c r="F420" s="16" t="str">
        <f aca="false">IF($D420="","",IFERROR(INDEX(상품목록!$C$3:$C$102,MATCH($D420,상품목록!$A$3:$A$102,0)),0))</f>
        <v/>
      </c>
      <c r="G420" s="17" t="str">
        <f aca="false">IF(OR($A420="",$F420=""),"",$A420+$F420)</f>
        <v/>
      </c>
      <c r="H420" s="16" t="str">
        <f aca="false">IF($D420="","",IF($J420="환불",0,IFERROR(INDEX(상품목록!$D$3:$D$102,MATCH($D420,상품목록!$A$3:$A$102,0)),0)))</f>
        <v/>
      </c>
      <c r="I420" s="10"/>
      <c r="J420" s="10"/>
      <c r="K420" s="10"/>
    </row>
    <row r="421" customFormat="false" ht="15" hidden="false" customHeight="true" outlineLevel="0" collapsed="false">
      <c r="A421" s="12"/>
      <c r="B421" s="10"/>
      <c r="C421" s="15" t="str">
        <f aca="false">IF($B421="","",IFERROR(INDEX(회원명부!$B$3:$B$502,MATCH($B421,회원명부!$A$3:$A$502,0)),"미등록회원"))</f>
        <v/>
      </c>
      <c r="D421" s="10"/>
      <c r="E421" s="16" t="str">
        <f aca="false">IF($D421="","",IF($J421="환불",0,IFERROR(INDEX(상품목록!$B$3:$B$102,MATCH($D421,상품목록!$A$3:$A$102,0)),0)))</f>
        <v/>
      </c>
      <c r="F421" s="16" t="str">
        <f aca="false">IF($D421="","",IFERROR(INDEX(상품목록!$C$3:$C$102,MATCH($D421,상품목록!$A$3:$A$102,0)),0))</f>
        <v/>
      </c>
      <c r="G421" s="17" t="str">
        <f aca="false">IF(OR($A421="",$F421=""),"",$A421+$F421)</f>
        <v/>
      </c>
      <c r="H421" s="16" t="str">
        <f aca="false">IF($D421="","",IF($J421="환불",0,IFERROR(INDEX(상품목록!$D$3:$D$102,MATCH($D421,상품목록!$A$3:$A$102,0)),0)))</f>
        <v/>
      </c>
      <c r="I421" s="10"/>
      <c r="J421" s="10"/>
      <c r="K421" s="10"/>
    </row>
    <row r="422" customFormat="false" ht="15" hidden="false" customHeight="true" outlineLevel="0" collapsed="false">
      <c r="A422" s="12"/>
      <c r="B422" s="10"/>
      <c r="C422" s="15" t="str">
        <f aca="false">IF($B422="","",IFERROR(INDEX(회원명부!$B$3:$B$502,MATCH($B422,회원명부!$A$3:$A$502,0)),"미등록회원"))</f>
        <v/>
      </c>
      <c r="D422" s="10"/>
      <c r="E422" s="16" t="str">
        <f aca="false">IF($D422="","",IF($J422="환불",0,IFERROR(INDEX(상품목록!$B$3:$B$102,MATCH($D422,상품목록!$A$3:$A$102,0)),0)))</f>
        <v/>
      </c>
      <c r="F422" s="16" t="str">
        <f aca="false">IF($D422="","",IFERROR(INDEX(상품목록!$C$3:$C$102,MATCH($D422,상품목록!$A$3:$A$102,0)),0))</f>
        <v/>
      </c>
      <c r="G422" s="17" t="str">
        <f aca="false">IF(OR($A422="",$F422=""),"",$A422+$F422)</f>
        <v/>
      </c>
      <c r="H422" s="16" t="str">
        <f aca="false">IF($D422="","",IF($J422="환불",0,IFERROR(INDEX(상품목록!$D$3:$D$102,MATCH($D422,상품목록!$A$3:$A$102,0)),0)))</f>
        <v/>
      </c>
      <c r="I422" s="10"/>
      <c r="J422" s="10"/>
      <c r="K422" s="10"/>
    </row>
    <row r="423" customFormat="false" ht="15" hidden="false" customHeight="true" outlineLevel="0" collapsed="false">
      <c r="A423" s="12"/>
      <c r="B423" s="10"/>
      <c r="C423" s="15" t="str">
        <f aca="false">IF($B423="","",IFERROR(INDEX(회원명부!$B$3:$B$502,MATCH($B423,회원명부!$A$3:$A$502,0)),"미등록회원"))</f>
        <v/>
      </c>
      <c r="D423" s="10"/>
      <c r="E423" s="16" t="str">
        <f aca="false">IF($D423="","",IF($J423="환불",0,IFERROR(INDEX(상품목록!$B$3:$B$102,MATCH($D423,상품목록!$A$3:$A$102,0)),0)))</f>
        <v/>
      </c>
      <c r="F423" s="16" t="str">
        <f aca="false">IF($D423="","",IFERROR(INDEX(상품목록!$C$3:$C$102,MATCH($D423,상품목록!$A$3:$A$102,0)),0))</f>
        <v/>
      </c>
      <c r="G423" s="17" t="str">
        <f aca="false">IF(OR($A423="",$F423=""),"",$A423+$F423)</f>
        <v/>
      </c>
      <c r="H423" s="16" t="str">
        <f aca="false">IF($D423="","",IF($J423="환불",0,IFERROR(INDEX(상품목록!$D$3:$D$102,MATCH($D423,상품목록!$A$3:$A$102,0)),0)))</f>
        <v/>
      </c>
      <c r="I423" s="10"/>
      <c r="J423" s="10"/>
      <c r="K423" s="10"/>
    </row>
    <row r="424" customFormat="false" ht="15" hidden="false" customHeight="true" outlineLevel="0" collapsed="false">
      <c r="A424" s="12"/>
      <c r="B424" s="10"/>
      <c r="C424" s="15" t="str">
        <f aca="false">IF($B424="","",IFERROR(INDEX(회원명부!$B$3:$B$502,MATCH($B424,회원명부!$A$3:$A$502,0)),"미등록회원"))</f>
        <v/>
      </c>
      <c r="D424" s="10"/>
      <c r="E424" s="16" t="str">
        <f aca="false">IF($D424="","",IF($J424="환불",0,IFERROR(INDEX(상품목록!$B$3:$B$102,MATCH($D424,상품목록!$A$3:$A$102,0)),0)))</f>
        <v/>
      </c>
      <c r="F424" s="16" t="str">
        <f aca="false">IF($D424="","",IFERROR(INDEX(상품목록!$C$3:$C$102,MATCH($D424,상품목록!$A$3:$A$102,0)),0))</f>
        <v/>
      </c>
      <c r="G424" s="17" t="str">
        <f aca="false">IF(OR($A424="",$F424=""),"",$A424+$F424)</f>
        <v/>
      </c>
      <c r="H424" s="16" t="str">
        <f aca="false">IF($D424="","",IF($J424="환불",0,IFERROR(INDEX(상품목록!$D$3:$D$102,MATCH($D424,상품목록!$A$3:$A$102,0)),0)))</f>
        <v/>
      </c>
      <c r="I424" s="10"/>
      <c r="J424" s="10"/>
      <c r="K424" s="10"/>
    </row>
    <row r="425" customFormat="false" ht="15" hidden="false" customHeight="true" outlineLevel="0" collapsed="false">
      <c r="A425" s="12"/>
      <c r="B425" s="10"/>
      <c r="C425" s="15" t="str">
        <f aca="false">IF($B425="","",IFERROR(INDEX(회원명부!$B$3:$B$502,MATCH($B425,회원명부!$A$3:$A$502,0)),"미등록회원"))</f>
        <v/>
      </c>
      <c r="D425" s="10"/>
      <c r="E425" s="16" t="str">
        <f aca="false">IF($D425="","",IF($J425="환불",0,IFERROR(INDEX(상품목록!$B$3:$B$102,MATCH($D425,상품목록!$A$3:$A$102,0)),0)))</f>
        <v/>
      </c>
      <c r="F425" s="16" t="str">
        <f aca="false">IF($D425="","",IFERROR(INDEX(상품목록!$C$3:$C$102,MATCH($D425,상품목록!$A$3:$A$102,0)),0))</f>
        <v/>
      </c>
      <c r="G425" s="17" t="str">
        <f aca="false">IF(OR($A425="",$F425=""),"",$A425+$F425)</f>
        <v/>
      </c>
      <c r="H425" s="16" t="str">
        <f aca="false">IF($D425="","",IF($J425="환불",0,IFERROR(INDEX(상품목록!$D$3:$D$102,MATCH($D425,상품목록!$A$3:$A$102,0)),0)))</f>
        <v/>
      </c>
      <c r="I425" s="10"/>
      <c r="J425" s="10"/>
      <c r="K425" s="10"/>
    </row>
    <row r="426" customFormat="false" ht="15" hidden="false" customHeight="true" outlineLevel="0" collapsed="false">
      <c r="A426" s="12"/>
      <c r="B426" s="10"/>
      <c r="C426" s="15" t="str">
        <f aca="false">IF($B426="","",IFERROR(INDEX(회원명부!$B$3:$B$502,MATCH($B426,회원명부!$A$3:$A$502,0)),"미등록회원"))</f>
        <v/>
      </c>
      <c r="D426" s="10"/>
      <c r="E426" s="16" t="str">
        <f aca="false">IF($D426="","",IF($J426="환불",0,IFERROR(INDEX(상품목록!$B$3:$B$102,MATCH($D426,상품목록!$A$3:$A$102,0)),0)))</f>
        <v/>
      </c>
      <c r="F426" s="16" t="str">
        <f aca="false">IF($D426="","",IFERROR(INDEX(상품목록!$C$3:$C$102,MATCH($D426,상품목록!$A$3:$A$102,0)),0))</f>
        <v/>
      </c>
      <c r="G426" s="17" t="str">
        <f aca="false">IF(OR($A426="",$F426=""),"",$A426+$F426)</f>
        <v/>
      </c>
      <c r="H426" s="16" t="str">
        <f aca="false">IF($D426="","",IF($J426="환불",0,IFERROR(INDEX(상품목록!$D$3:$D$102,MATCH($D426,상품목록!$A$3:$A$102,0)),0)))</f>
        <v/>
      </c>
      <c r="I426" s="10"/>
      <c r="J426" s="10"/>
      <c r="K426" s="10"/>
    </row>
    <row r="427" customFormat="false" ht="15" hidden="false" customHeight="true" outlineLevel="0" collapsed="false">
      <c r="A427" s="12"/>
      <c r="B427" s="10"/>
      <c r="C427" s="15" t="str">
        <f aca="false">IF($B427="","",IFERROR(INDEX(회원명부!$B$3:$B$502,MATCH($B427,회원명부!$A$3:$A$502,0)),"미등록회원"))</f>
        <v/>
      </c>
      <c r="D427" s="10"/>
      <c r="E427" s="16" t="str">
        <f aca="false">IF($D427="","",IF($J427="환불",0,IFERROR(INDEX(상품목록!$B$3:$B$102,MATCH($D427,상품목록!$A$3:$A$102,0)),0)))</f>
        <v/>
      </c>
      <c r="F427" s="16" t="str">
        <f aca="false">IF($D427="","",IFERROR(INDEX(상품목록!$C$3:$C$102,MATCH($D427,상품목록!$A$3:$A$102,0)),0))</f>
        <v/>
      </c>
      <c r="G427" s="17" t="str">
        <f aca="false">IF(OR($A427="",$F427=""),"",$A427+$F427)</f>
        <v/>
      </c>
      <c r="H427" s="16" t="str">
        <f aca="false">IF($D427="","",IF($J427="환불",0,IFERROR(INDEX(상품목록!$D$3:$D$102,MATCH($D427,상품목록!$A$3:$A$102,0)),0)))</f>
        <v/>
      </c>
      <c r="I427" s="10"/>
      <c r="J427" s="10"/>
      <c r="K427" s="10"/>
    </row>
    <row r="428" customFormat="false" ht="15" hidden="false" customHeight="true" outlineLevel="0" collapsed="false">
      <c r="A428" s="12"/>
      <c r="B428" s="10"/>
      <c r="C428" s="15" t="str">
        <f aca="false">IF($B428="","",IFERROR(INDEX(회원명부!$B$3:$B$502,MATCH($B428,회원명부!$A$3:$A$502,0)),"미등록회원"))</f>
        <v/>
      </c>
      <c r="D428" s="10"/>
      <c r="E428" s="16" t="str">
        <f aca="false">IF($D428="","",IF($J428="환불",0,IFERROR(INDEX(상품목록!$B$3:$B$102,MATCH($D428,상품목록!$A$3:$A$102,0)),0)))</f>
        <v/>
      </c>
      <c r="F428" s="16" t="str">
        <f aca="false">IF($D428="","",IFERROR(INDEX(상품목록!$C$3:$C$102,MATCH($D428,상품목록!$A$3:$A$102,0)),0))</f>
        <v/>
      </c>
      <c r="G428" s="17" t="str">
        <f aca="false">IF(OR($A428="",$F428=""),"",$A428+$F428)</f>
        <v/>
      </c>
      <c r="H428" s="16" t="str">
        <f aca="false">IF($D428="","",IF($J428="환불",0,IFERROR(INDEX(상품목록!$D$3:$D$102,MATCH($D428,상품목록!$A$3:$A$102,0)),0)))</f>
        <v/>
      </c>
      <c r="I428" s="10"/>
      <c r="J428" s="10"/>
      <c r="K428" s="10"/>
    </row>
    <row r="429" customFormat="false" ht="15" hidden="false" customHeight="true" outlineLevel="0" collapsed="false">
      <c r="A429" s="12"/>
      <c r="B429" s="10"/>
      <c r="C429" s="15" t="str">
        <f aca="false">IF($B429="","",IFERROR(INDEX(회원명부!$B$3:$B$502,MATCH($B429,회원명부!$A$3:$A$502,0)),"미등록회원"))</f>
        <v/>
      </c>
      <c r="D429" s="10"/>
      <c r="E429" s="16" t="str">
        <f aca="false">IF($D429="","",IF($J429="환불",0,IFERROR(INDEX(상품목록!$B$3:$B$102,MATCH($D429,상품목록!$A$3:$A$102,0)),0)))</f>
        <v/>
      </c>
      <c r="F429" s="16" t="str">
        <f aca="false">IF($D429="","",IFERROR(INDEX(상품목록!$C$3:$C$102,MATCH($D429,상품목록!$A$3:$A$102,0)),0))</f>
        <v/>
      </c>
      <c r="G429" s="17" t="str">
        <f aca="false">IF(OR($A429="",$F429=""),"",$A429+$F429)</f>
        <v/>
      </c>
      <c r="H429" s="16" t="str">
        <f aca="false">IF($D429="","",IF($J429="환불",0,IFERROR(INDEX(상품목록!$D$3:$D$102,MATCH($D429,상품목록!$A$3:$A$102,0)),0)))</f>
        <v/>
      </c>
      <c r="I429" s="10"/>
      <c r="J429" s="10"/>
      <c r="K429" s="10"/>
    </row>
    <row r="430" customFormat="false" ht="15" hidden="false" customHeight="true" outlineLevel="0" collapsed="false">
      <c r="A430" s="12"/>
      <c r="B430" s="10"/>
      <c r="C430" s="15" t="str">
        <f aca="false">IF($B430="","",IFERROR(INDEX(회원명부!$B$3:$B$502,MATCH($B430,회원명부!$A$3:$A$502,0)),"미등록회원"))</f>
        <v/>
      </c>
      <c r="D430" s="10"/>
      <c r="E430" s="16" t="str">
        <f aca="false">IF($D430="","",IF($J430="환불",0,IFERROR(INDEX(상품목록!$B$3:$B$102,MATCH($D430,상품목록!$A$3:$A$102,0)),0)))</f>
        <v/>
      </c>
      <c r="F430" s="16" t="str">
        <f aca="false">IF($D430="","",IFERROR(INDEX(상품목록!$C$3:$C$102,MATCH($D430,상품목록!$A$3:$A$102,0)),0))</f>
        <v/>
      </c>
      <c r="G430" s="17" t="str">
        <f aca="false">IF(OR($A430="",$F430=""),"",$A430+$F430)</f>
        <v/>
      </c>
      <c r="H430" s="16" t="str">
        <f aca="false">IF($D430="","",IF($J430="환불",0,IFERROR(INDEX(상품목록!$D$3:$D$102,MATCH($D430,상품목록!$A$3:$A$102,0)),0)))</f>
        <v/>
      </c>
      <c r="I430" s="10"/>
      <c r="J430" s="10"/>
      <c r="K430" s="10"/>
    </row>
    <row r="431" customFormat="false" ht="15" hidden="false" customHeight="true" outlineLevel="0" collapsed="false">
      <c r="A431" s="12"/>
      <c r="B431" s="10"/>
      <c r="C431" s="15" t="str">
        <f aca="false">IF($B431="","",IFERROR(INDEX(회원명부!$B$3:$B$502,MATCH($B431,회원명부!$A$3:$A$502,0)),"미등록회원"))</f>
        <v/>
      </c>
      <c r="D431" s="10"/>
      <c r="E431" s="16" t="str">
        <f aca="false">IF($D431="","",IF($J431="환불",0,IFERROR(INDEX(상품목록!$B$3:$B$102,MATCH($D431,상품목록!$A$3:$A$102,0)),0)))</f>
        <v/>
      </c>
      <c r="F431" s="16" t="str">
        <f aca="false">IF($D431="","",IFERROR(INDEX(상품목록!$C$3:$C$102,MATCH($D431,상품목록!$A$3:$A$102,0)),0))</f>
        <v/>
      </c>
      <c r="G431" s="17" t="str">
        <f aca="false">IF(OR($A431="",$F431=""),"",$A431+$F431)</f>
        <v/>
      </c>
      <c r="H431" s="16" t="str">
        <f aca="false">IF($D431="","",IF($J431="환불",0,IFERROR(INDEX(상품목록!$D$3:$D$102,MATCH($D431,상품목록!$A$3:$A$102,0)),0)))</f>
        <v/>
      </c>
      <c r="I431" s="10"/>
      <c r="J431" s="10"/>
      <c r="K431" s="10"/>
    </row>
    <row r="432" customFormat="false" ht="15" hidden="false" customHeight="true" outlineLevel="0" collapsed="false">
      <c r="A432" s="12"/>
      <c r="B432" s="10"/>
      <c r="C432" s="15" t="str">
        <f aca="false">IF($B432="","",IFERROR(INDEX(회원명부!$B$3:$B$502,MATCH($B432,회원명부!$A$3:$A$502,0)),"미등록회원"))</f>
        <v/>
      </c>
      <c r="D432" s="10"/>
      <c r="E432" s="16" t="str">
        <f aca="false">IF($D432="","",IF($J432="환불",0,IFERROR(INDEX(상품목록!$B$3:$B$102,MATCH($D432,상품목록!$A$3:$A$102,0)),0)))</f>
        <v/>
      </c>
      <c r="F432" s="16" t="str">
        <f aca="false">IF($D432="","",IFERROR(INDEX(상품목록!$C$3:$C$102,MATCH($D432,상품목록!$A$3:$A$102,0)),0))</f>
        <v/>
      </c>
      <c r="G432" s="17" t="str">
        <f aca="false">IF(OR($A432="",$F432=""),"",$A432+$F432)</f>
        <v/>
      </c>
      <c r="H432" s="16" t="str">
        <f aca="false">IF($D432="","",IF($J432="환불",0,IFERROR(INDEX(상품목록!$D$3:$D$102,MATCH($D432,상품목록!$A$3:$A$102,0)),0)))</f>
        <v/>
      </c>
      <c r="I432" s="10"/>
      <c r="J432" s="10"/>
      <c r="K432" s="10"/>
    </row>
    <row r="433" customFormat="false" ht="15" hidden="false" customHeight="true" outlineLevel="0" collapsed="false">
      <c r="A433" s="12"/>
      <c r="B433" s="10"/>
      <c r="C433" s="15" t="str">
        <f aca="false">IF($B433="","",IFERROR(INDEX(회원명부!$B$3:$B$502,MATCH($B433,회원명부!$A$3:$A$502,0)),"미등록회원"))</f>
        <v/>
      </c>
      <c r="D433" s="10"/>
      <c r="E433" s="16" t="str">
        <f aca="false">IF($D433="","",IF($J433="환불",0,IFERROR(INDEX(상품목록!$B$3:$B$102,MATCH($D433,상품목록!$A$3:$A$102,0)),0)))</f>
        <v/>
      </c>
      <c r="F433" s="16" t="str">
        <f aca="false">IF($D433="","",IFERROR(INDEX(상품목록!$C$3:$C$102,MATCH($D433,상품목록!$A$3:$A$102,0)),0))</f>
        <v/>
      </c>
      <c r="G433" s="17" t="str">
        <f aca="false">IF(OR($A433="",$F433=""),"",$A433+$F433)</f>
        <v/>
      </c>
      <c r="H433" s="16" t="str">
        <f aca="false">IF($D433="","",IF($J433="환불",0,IFERROR(INDEX(상품목록!$D$3:$D$102,MATCH($D433,상품목록!$A$3:$A$102,0)),0)))</f>
        <v/>
      </c>
      <c r="I433" s="10"/>
      <c r="J433" s="10"/>
      <c r="K433" s="10"/>
    </row>
    <row r="434" customFormat="false" ht="15" hidden="false" customHeight="true" outlineLevel="0" collapsed="false">
      <c r="A434" s="12"/>
      <c r="B434" s="10"/>
      <c r="C434" s="15" t="str">
        <f aca="false">IF($B434="","",IFERROR(INDEX(회원명부!$B$3:$B$502,MATCH($B434,회원명부!$A$3:$A$502,0)),"미등록회원"))</f>
        <v/>
      </c>
      <c r="D434" s="10"/>
      <c r="E434" s="16" t="str">
        <f aca="false">IF($D434="","",IF($J434="환불",0,IFERROR(INDEX(상품목록!$B$3:$B$102,MATCH($D434,상품목록!$A$3:$A$102,0)),0)))</f>
        <v/>
      </c>
      <c r="F434" s="16" t="str">
        <f aca="false">IF($D434="","",IFERROR(INDEX(상품목록!$C$3:$C$102,MATCH($D434,상품목록!$A$3:$A$102,0)),0))</f>
        <v/>
      </c>
      <c r="G434" s="17" t="str">
        <f aca="false">IF(OR($A434="",$F434=""),"",$A434+$F434)</f>
        <v/>
      </c>
      <c r="H434" s="16" t="str">
        <f aca="false">IF($D434="","",IF($J434="환불",0,IFERROR(INDEX(상품목록!$D$3:$D$102,MATCH($D434,상품목록!$A$3:$A$102,0)),0)))</f>
        <v/>
      </c>
      <c r="I434" s="10"/>
      <c r="J434" s="10"/>
      <c r="K434" s="10"/>
    </row>
    <row r="435" customFormat="false" ht="15" hidden="false" customHeight="true" outlineLevel="0" collapsed="false">
      <c r="A435" s="12"/>
      <c r="B435" s="10"/>
      <c r="C435" s="15" t="str">
        <f aca="false">IF($B435="","",IFERROR(INDEX(회원명부!$B$3:$B$502,MATCH($B435,회원명부!$A$3:$A$502,0)),"미등록회원"))</f>
        <v/>
      </c>
      <c r="D435" s="10"/>
      <c r="E435" s="16" t="str">
        <f aca="false">IF($D435="","",IF($J435="환불",0,IFERROR(INDEX(상품목록!$B$3:$B$102,MATCH($D435,상품목록!$A$3:$A$102,0)),0)))</f>
        <v/>
      </c>
      <c r="F435" s="16" t="str">
        <f aca="false">IF($D435="","",IFERROR(INDEX(상품목록!$C$3:$C$102,MATCH($D435,상품목록!$A$3:$A$102,0)),0))</f>
        <v/>
      </c>
      <c r="G435" s="17" t="str">
        <f aca="false">IF(OR($A435="",$F435=""),"",$A435+$F435)</f>
        <v/>
      </c>
      <c r="H435" s="16" t="str">
        <f aca="false">IF($D435="","",IF($J435="환불",0,IFERROR(INDEX(상품목록!$D$3:$D$102,MATCH($D435,상품목록!$A$3:$A$102,0)),0)))</f>
        <v/>
      </c>
      <c r="I435" s="10"/>
      <c r="J435" s="10"/>
      <c r="K435" s="10"/>
    </row>
    <row r="436" customFormat="false" ht="15" hidden="false" customHeight="true" outlineLevel="0" collapsed="false">
      <c r="A436" s="12"/>
      <c r="B436" s="10"/>
      <c r="C436" s="15" t="str">
        <f aca="false">IF($B436="","",IFERROR(INDEX(회원명부!$B$3:$B$502,MATCH($B436,회원명부!$A$3:$A$502,0)),"미등록회원"))</f>
        <v/>
      </c>
      <c r="D436" s="10"/>
      <c r="E436" s="16" t="str">
        <f aca="false">IF($D436="","",IF($J436="환불",0,IFERROR(INDEX(상품목록!$B$3:$B$102,MATCH($D436,상품목록!$A$3:$A$102,0)),0)))</f>
        <v/>
      </c>
      <c r="F436" s="16" t="str">
        <f aca="false">IF($D436="","",IFERROR(INDEX(상품목록!$C$3:$C$102,MATCH($D436,상품목록!$A$3:$A$102,0)),0))</f>
        <v/>
      </c>
      <c r="G436" s="17" t="str">
        <f aca="false">IF(OR($A436="",$F436=""),"",$A436+$F436)</f>
        <v/>
      </c>
      <c r="H436" s="16" t="str">
        <f aca="false">IF($D436="","",IF($J436="환불",0,IFERROR(INDEX(상품목록!$D$3:$D$102,MATCH($D436,상품목록!$A$3:$A$102,0)),0)))</f>
        <v/>
      </c>
      <c r="I436" s="10"/>
      <c r="J436" s="10"/>
      <c r="K436" s="10"/>
    </row>
    <row r="437" customFormat="false" ht="15" hidden="false" customHeight="true" outlineLevel="0" collapsed="false">
      <c r="A437" s="12"/>
      <c r="B437" s="10"/>
      <c r="C437" s="15" t="str">
        <f aca="false">IF($B437="","",IFERROR(INDEX(회원명부!$B$3:$B$502,MATCH($B437,회원명부!$A$3:$A$502,0)),"미등록회원"))</f>
        <v/>
      </c>
      <c r="D437" s="10"/>
      <c r="E437" s="16" t="str">
        <f aca="false">IF($D437="","",IF($J437="환불",0,IFERROR(INDEX(상품목록!$B$3:$B$102,MATCH($D437,상품목록!$A$3:$A$102,0)),0)))</f>
        <v/>
      </c>
      <c r="F437" s="16" t="str">
        <f aca="false">IF($D437="","",IFERROR(INDEX(상품목록!$C$3:$C$102,MATCH($D437,상품목록!$A$3:$A$102,0)),0))</f>
        <v/>
      </c>
      <c r="G437" s="17" t="str">
        <f aca="false">IF(OR($A437="",$F437=""),"",$A437+$F437)</f>
        <v/>
      </c>
      <c r="H437" s="16" t="str">
        <f aca="false">IF($D437="","",IF($J437="환불",0,IFERROR(INDEX(상품목록!$D$3:$D$102,MATCH($D437,상품목록!$A$3:$A$102,0)),0)))</f>
        <v/>
      </c>
      <c r="I437" s="10"/>
      <c r="J437" s="10"/>
      <c r="K437" s="10"/>
    </row>
    <row r="438" customFormat="false" ht="15" hidden="false" customHeight="true" outlineLevel="0" collapsed="false">
      <c r="A438" s="12"/>
      <c r="B438" s="10"/>
      <c r="C438" s="15" t="str">
        <f aca="false">IF($B438="","",IFERROR(INDEX(회원명부!$B$3:$B$502,MATCH($B438,회원명부!$A$3:$A$502,0)),"미등록회원"))</f>
        <v/>
      </c>
      <c r="D438" s="10"/>
      <c r="E438" s="16" t="str">
        <f aca="false">IF($D438="","",IF($J438="환불",0,IFERROR(INDEX(상품목록!$B$3:$B$102,MATCH($D438,상품목록!$A$3:$A$102,0)),0)))</f>
        <v/>
      </c>
      <c r="F438" s="16" t="str">
        <f aca="false">IF($D438="","",IFERROR(INDEX(상품목록!$C$3:$C$102,MATCH($D438,상품목록!$A$3:$A$102,0)),0))</f>
        <v/>
      </c>
      <c r="G438" s="17" t="str">
        <f aca="false">IF(OR($A438="",$F438=""),"",$A438+$F438)</f>
        <v/>
      </c>
      <c r="H438" s="16" t="str">
        <f aca="false">IF($D438="","",IF($J438="환불",0,IFERROR(INDEX(상품목록!$D$3:$D$102,MATCH($D438,상품목록!$A$3:$A$102,0)),0)))</f>
        <v/>
      </c>
      <c r="I438" s="10"/>
      <c r="J438" s="10"/>
      <c r="K438" s="10"/>
    </row>
    <row r="439" customFormat="false" ht="15" hidden="false" customHeight="true" outlineLevel="0" collapsed="false">
      <c r="A439" s="12"/>
      <c r="B439" s="10"/>
      <c r="C439" s="15" t="str">
        <f aca="false">IF($B439="","",IFERROR(INDEX(회원명부!$B$3:$B$502,MATCH($B439,회원명부!$A$3:$A$502,0)),"미등록회원"))</f>
        <v/>
      </c>
      <c r="D439" s="10"/>
      <c r="E439" s="16" t="str">
        <f aca="false">IF($D439="","",IF($J439="환불",0,IFERROR(INDEX(상품목록!$B$3:$B$102,MATCH($D439,상품목록!$A$3:$A$102,0)),0)))</f>
        <v/>
      </c>
      <c r="F439" s="16" t="str">
        <f aca="false">IF($D439="","",IFERROR(INDEX(상품목록!$C$3:$C$102,MATCH($D439,상품목록!$A$3:$A$102,0)),0))</f>
        <v/>
      </c>
      <c r="G439" s="17" t="str">
        <f aca="false">IF(OR($A439="",$F439=""),"",$A439+$F439)</f>
        <v/>
      </c>
      <c r="H439" s="16" t="str">
        <f aca="false">IF($D439="","",IF($J439="환불",0,IFERROR(INDEX(상품목록!$D$3:$D$102,MATCH($D439,상품목록!$A$3:$A$102,0)),0)))</f>
        <v/>
      </c>
      <c r="I439" s="10"/>
      <c r="J439" s="10"/>
      <c r="K439" s="10"/>
    </row>
    <row r="440" customFormat="false" ht="15" hidden="false" customHeight="true" outlineLevel="0" collapsed="false">
      <c r="A440" s="12"/>
      <c r="B440" s="10"/>
      <c r="C440" s="15" t="str">
        <f aca="false">IF($B440="","",IFERROR(INDEX(회원명부!$B$3:$B$502,MATCH($B440,회원명부!$A$3:$A$502,0)),"미등록회원"))</f>
        <v/>
      </c>
      <c r="D440" s="10"/>
      <c r="E440" s="16" t="str">
        <f aca="false">IF($D440="","",IF($J440="환불",0,IFERROR(INDEX(상품목록!$B$3:$B$102,MATCH($D440,상품목록!$A$3:$A$102,0)),0)))</f>
        <v/>
      </c>
      <c r="F440" s="16" t="str">
        <f aca="false">IF($D440="","",IFERROR(INDEX(상품목록!$C$3:$C$102,MATCH($D440,상품목록!$A$3:$A$102,0)),0))</f>
        <v/>
      </c>
      <c r="G440" s="17" t="str">
        <f aca="false">IF(OR($A440="",$F440=""),"",$A440+$F440)</f>
        <v/>
      </c>
      <c r="H440" s="16" t="str">
        <f aca="false">IF($D440="","",IF($J440="환불",0,IFERROR(INDEX(상품목록!$D$3:$D$102,MATCH($D440,상품목록!$A$3:$A$102,0)),0)))</f>
        <v/>
      </c>
      <c r="I440" s="10"/>
      <c r="J440" s="10"/>
      <c r="K440" s="10"/>
    </row>
    <row r="441" customFormat="false" ht="15" hidden="false" customHeight="true" outlineLevel="0" collapsed="false">
      <c r="A441" s="12"/>
      <c r="B441" s="10"/>
      <c r="C441" s="15" t="str">
        <f aca="false">IF($B441="","",IFERROR(INDEX(회원명부!$B$3:$B$502,MATCH($B441,회원명부!$A$3:$A$502,0)),"미등록회원"))</f>
        <v/>
      </c>
      <c r="D441" s="10"/>
      <c r="E441" s="16" t="str">
        <f aca="false">IF($D441="","",IF($J441="환불",0,IFERROR(INDEX(상품목록!$B$3:$B$102,MATCH($D441,상품목록!$A$3:$A$102,0)),0)))</f>
        <v/>
      </c>
      <c r="F441" s="16" t="str">
        <f aca="false">IF($D441="","",IFERROR(INDEX(상품목록!$C$3:$C$102,MATCH($D441,상품목록!$A$3:$A$102,0)),0))</f>
        <v/>
      </c>
      <c r="G441" s="17" t="str">
        <f aca="false">IF(OR($A441="",$F441=""),"",$A441+$F441)</f>
        <v/>
      </c>
      <c r="H441" s="16" t="str">
        <f aca="false">IF($D441="","",IF($J441="환불",0,IFERROR(INDEX(상품목록!$D$3:$D$102,MATCH($D441,상품목록!$A$3:$A$102,0)),0)))</f>
        <v/>
      </c>
      <c r="I441" s="10"/>
      <c r="J441" s="10"/>
      <c r="K441" s="10"/>
    </row>
    <row r="442" customFormat="false" ht="15" hidden="false" customHeight="true" outlineLevel="0" collapsed="false">
      <c r="A442" s="12"/>
      <c r="B442" s="10"/>
      <c r="C442" s="15" t="str">
        <f aca="false">IF($B442="","",IFERROR(INDEX(회원명부!$B$3:$B$502,MATCH($B442,회원명부!$A$3:$A$502,0)),"미등록회원"))</f>
        <v/>
      </c>
      <c r="D442" s="10"/>
      <c r="E442" s="16" t="str">
        <f aca="false">IF($D442="","",IF($J442="환불",0,IFERROR(INDEX(상품목록!$B$3:$B$102,MATCH($D442,상품목록!$A$3:$A$102,0)),0)))</f>
        <v/>
      </c>
      <c r="F442" s="16" t="str">
        <f aca="false">IF($D442="","",IFERROR(INDEX(상품목록!$C$3:$C$102,MATCH($D442,상품목록!$A$3:$A$102,0)),0))</f>
        <v/>
      </c>
      <c r="G442" s="17" t="str">
        <f aca="false">IF(OR($A442="",$F442=""),"",$A442+$F442)</f>
        <v/>
      </c>
      <c r="H442" s="16" t="str">
        <f aca="false">IF($D442="","",IF($J442="환불",0,IFERROR(INDEX(상품목록!$D$3:$D$102,MATCH($D442,상품목록!$A$3:$A$102,0)),0)))</f>
        <v/>
      </c>
      <c r="I442" s="10"/>
      <c r="J442" s="10"/>
      <c r="K442" s="10"/>
    </row>
    <row r="443" customFormat="false" ht="15" hidden="false" customHeight="true" outlineLevel="0" collapsed="false">
      <c r="A443" s="12"/>
      <c r="B443" s="10"/>
      <c r="C443" s="15" t="str">
        <f aca="false">IF($B443="","",IFERROR(INDEX(회원명부!$B$3:$B$502,MATCH($B443,회원명부!$A$3:$A$502,0)),"미등록회원"))</f>
        <v/>
      </c>
      <c r="D443" s="10"/>
      <c r="E443" s="16" t="str">
        <f aca="false">IF($D443="","",IF($J443="환불",0,IFERROR(INDEX(상품목록!$B$3:$B$102,MATCH($D443,상품목록!$A$3:$A$102,0)),0)))</f>
        <v/>
      </c>
      <c r="F443" s="16" t="str">
        <f aca="false">IF($D443="","",IFERROR(INDEX(상품목록!$C$3:$C$102,MATCH($D443,상품목록!$A$3:$A$102,0)),0))</f>
        <v/>
      </c>
      <c r="G443" s="17" t="str">
        <f aca="false">IF(OR($A443="",$F443=""),"",$A443+$F443)</f>
        <v/>
      </c>
      <c r="H443" s="16" t="str">
        <f aca="false">IF($D443="","",IF($J443="환불",0,IFERROR(INDEX(상품목록!$D$3:$D$102,MATCH($D443,상품목록!$A$3:$A$102,0)),0)))</f>
        <v/>
      </c>
      <c r="I443" s="10"/>
      <c r="J443" s="10"/>
      <c r="K443" s="10"/>
    </row>
    <row r="444" customFormat="false" ht="15" hidden="false" customHeight="true" outlineLevel="0" collapsed="false">
      <c r="A444" s="12"/>
      <c r="B444" s="10"/>
      <c r="C444" s="15" t="str">
        <f aca="false">IF($B444="","",IFERROR(INDEX(회원명부!$B$3:$B$502,MATCH($B444,회원명부!$A$3:$A$502,0)),"미등록회원"))</f>
        <v/>
      </c>
      <c r="D444" s="10"/>
      <c r="E444" s="16" t="str">
        <f aca="false">IF($D444="","",IF($J444="환불",0,IFERROR(INDEX(상품목록!$B$3:$B$102,MATCH($D444,상품목록!$A$3:$A$102,0)),0)))</f>
        <v/>
      </c>
      <c r="F444" s="16" t="str">
        <f aca="false">IF($D444="","",IFERROR(INDEX(상품목록!$C$3:$C$102,MATCH($D444,상품목록!$A$3:$A$102,0)),0))</f>
        <v/>
      </c>
      <c r="G444" s="17" t="str">
        <f aca="false">IF(OR($A444="",$F444=""),"",$A444+$F444)</f>
        <v/>
      </c>
      <c r="H444" s="16" t="str">
        <f aca="false">IF($D444="","",IF($J444="환불",0,IFERROR(INDEX(상품목록!$D$3:$D$102,MATCH($D444,상품목록!$A$3:$A$102,0)),0)))</f>
        <v/>
      </c>
      <c r="I444" s="10"/>
      <c r="J444" s="10"/>
      <c r="K444" s="10"/>
    </row>
    <row r="445" customFormat="false" ht="15" hidden="false" customHeight="true" outlineLevel="0" collapsed="false">
      <c r="A445" s="12"/>
      <c r="B445" s="10"/>
      <c r="C445" s="15" t="str">
        <f aca="false">IF($B445="","",IFERROR(INDEX(회원명부!$B$3:$B$502,MATCH($B445,회원명부!$A$3:$A$502,0)),"미등록회원"))</f>
        <v/>
      </c>
      <c r="D445" s="10"/>
      <c r="E445" s="16" t="str">
        <f aca="false">IF($D445="","",IF($J445="환불",0,IFERROR(INDEX(상품목록!$B$3:$B$102,MATCH($D445,상품목록!$A$3:$A$102,0)),0)))</f>
        <v/>
      </c>
      <c r="F445" s="16" t="str">
        <f aca="false">IF($D445="","",IFERROR(INDEX(상품목록!$C$3:$C$102,MATCH($D445,상품목록!$A$3:$A$102,0)),0))</f>
        <v/>
      </c>
      <c r="G445" s="17" t="str">
        <f aca="false">IF(OR($A445="",$F445=""),"",$A445+$F445)</f>
        <v/>
      </c>
      <c r="H445" s="16" t="str">
        <f aca="false">IF($D445="","",IF($J445="환불",0,IFERROR(INDEX(상품목록!$D$3:$D$102,MATCH($D445,상품목록!$A$3:$A$102,0)),0)))</f>
        <v/>
      </c>
      <c r="I445" s="10"/>
      <c r="J445" s="10"/>
      <c r="K445" s="10"/>
    </row>
    <row r="446" customFormat="false" ht="15" hidden="false" customHeight="true" outlineLevel="0" collapsed="false">
      <c r="A446" s="12"/>
      <c r="B446" s="10"/>
      <c r="C446" s="15" t="str">
        <f aca="false">IF($B446="","",IFERROR(INDEX(회원명부!$B$3:$B$502,MATCH($B446,회원명부!$A$3:$A$502,0)),"미등록회원"))</f>
        <v/>
      </c>
      <c r="D446" s="10"/>
      <c r="E446" s="16" t="str">
        <f aca="false">IF($D446="","",IF($J446="환불",0,IFERROR(INDEX(상품목록!$B$3:$B$102,MATCH($D446,상품목록!$A$3:$A$102,0)),0)))</f>
        <v/>
      </c>
      <c r="F446" s="16" t="str">
        <f aca="false">IF($D446="","",IFERROR(INDEX(상품목록!$C$3:$C$102,MATCH($D446,상품목록!$A$3:$A$102,0)),0))</f>
        <v/>
      </c>
      <c r="G446" s="17" t="str">
        <f aca="false">IF(OR($A446="",$F446=""),"",$A446+$F446)</f>
        <v/>
      </c>
      <c r="H446" s="16" t="str">
        <f aca="false">IF($D446="","",IF($J446="환불",0,IFERROR(INDEX(상품목록!$D$3:$D$102,MATCH($D446,상품목록!$A$3:$A$102,0)),0)))</f>
        <v/>
      </c>
      <c r="I446" s="10"/>
      <c r="J446" s="10"/>
      <c r="K446" s="10"/>
    </row>
    <row r="447" customFormat="false" ht="15" hidden="false" customHeight="true" outlineLevel="0" collapsed="false">
      <c r="A447" s="12"/>
      <c r="B447" s="10"/>
      <c r="C447" s="15" t="str">
        <f aca="false">IF($B447="","",IFERROR(INDEX(회원명부!$B$3:$B$502,MATCH($B447,회원명부!$A$3:$A$502,0)),"미등록회원"))</f>
        <v/>
      </c>
      <c r="D447" s="10"/>
      <c r="E447" s="16" t="str">
        <f aca="false">IF($D447="","",IF($J447="환불",0,IFERROR(INDEX(상품목록!$B$3:$B$102,MATCH($D447,상품목록!$A$3:$A$102,0)),0)))</f>
        <v/>
      </c>
      <c r="F447" s="16" t="str">
        <f aca="false">IF($D447="","",IFERROR(INDEX(상품목록!$C$3:$C$102,MATCH($D447,상품목록!$A$3:$A$102,0)),0))</f>
        <v/>
      </c>
      <c r="G447" s="17" t="str">
        <f aca="false">IF(OR($A447="",$F447=""),"",$A447+$F447)</f>
        <v/>
      </c>
      <c r="H447" s="16" t="str">
        <f aca="false">IF($D447="","",IF($J447="환불",0,IFERROR(INDEX(상품목록!$D$3:$D$102,MATCH($D447,상품목록!$A$3:$A$102,0)),0)))</f>
        <v/>
      </c>
      <c r="I447" s="10"/>
      <c r="J447" s="10"/>
      <c r="K447" s="10"/>
    </row>
    <row r="448" customFormat="false" ht="15" hidden="false" customHeight="true" outlineLevel="0" collapsed="false">
      <c r="A448" s="12"/>
      <c r="B448" s="10"/>
      <c r="C448" s="15" t="str">
        <f aca="false">IF($B448="","",IFERROR(INDEX(회원명부!$B$3:$B$502,MATCH($B448,회원명부!$A$3:$A$502,0)),"미등록회원"))</f>
        <v/>
      </c>
      <c r="D448" s="10"/>
      <c r="E448" s="16" t="str">
        <f aca="false">IF($D448="","",IF($J448="환불",0,IFERROR(INDEX(상품목록!$B$3:$B$102,MATCH($D448,상품목록!$A$3:$A$102,0)),0)))</f>
        <v/>
      </c>
      <c r="F448" s="16" t="str">
        <f aca="false">IF($D448="","",IFERROR(INDEX(상품목록!$C$3:$C$102,MATCH($D448,상품목록!$A$3:$A$102,0)),0))</f>
        <v/>
      </c>
      <c r="G448" s="17" t="str">
        <f aca="false">IF(OR($A448="",$F448=""),"",$A448+$F448)</f>
        <v/>
      </c>
      <c r="H448" s="16" t="str">
        <f aca="false">IF($D448="","",IF($J448="환불",0,IFERROR(INDEX(상품목록!$D$3:$D$102,MATCH($D448,상품목록!$A$3:$A$102,0)),0)))</f>
        <v/>
      </c>
      <c r="I448" s="10"/>
      <c r="J448" s="10"/>
      <c r="K448" s="10"/>
    </row>
    <row r="449" customFormat="false" ht="15" hidden="false" customHeight="true" outlineLevel="0" collapsed="false">
      <c r="A449" s="12"/>
      <c r="B449" s="10"/>
      <c r="C449" s="15" t="str">
        <f aca="false">IF($B449="","",IFERROR(INDEX(회원명부!$B$3:$B$502,MATCH($B449,회원명부!$A$3:$A$502,0)),"미등록회원"))</f>
        <v/>
      </c>
      <c r="D449" s="10"/>
      <c r="E449" s="16" t="str">
        <f aca="false">IF($D449="","",IF($J449="환불",0,IFERROR(INDEX(상품목록!$B$3:$B$102,MATCH($D449,상품목록!$A$3:$A$102,0)),0)))</f>
        <v/>
      </c>
      <c r="F449" s="16" t="str">
        <f aca="false">IF($D449="","",IFERROR(INDEX(상품목록!$C$3:$C$102,MATCH($D449,상품목록!$A$3:$A$102,0)),0))</f>
        <v/>
      </c>
      <c r="G449" s="17" t="str">
        <f aca="false">IF(OR($A449="",$F449=""),"",$A449+$F449)</f>
        <v/>
      </c>
      <c r="H449" s="16" t="str">
        <f aca="false">IF($D449="","",IF($J449="환불",0,IFERROR(INDEX(상품목록!$D$3:$D$102,MATCH($D449,상품목록!$A$3:$A$102,0)),0)))</f>
        <v/>
      </c>
      <c r="I449" s="10"/>
      <c r="J449" s="10"/>
      <c r="K449" s="10"/>
    </row>
    <row r="450" customFormat="false" ht="15" hidden="false" customHeight="true" outlineLevel="0" collapsed="false">
      <c r="A450" s="12"/>
      <c r="B450" s="10"/>
      <c r="C450" s="15" t="str">
        <f aca="false">IF($B450="","",IFERROR(INDEX(회원명부!$B$3:$B$502,MATCH($B450,회원명부!$A$3:$A$502,0)),"미등록회원"))</f>
        <v/>
      </c>
      <c r="D450" s="10"/>
      <c r="E450" s="16" t="str">
        <f aca="false">IF($D450="","",IF($J450="환불",0,IFERROR(INDEX(상품목록!$B$3:$B$102,MATCH($D450,상품목록!$A$3:$A$102,0)),0)))</f>
        <v/>
      </c>
      <c r="F450" s="16" t="str">
        <f aca="false">IF($D450="","",IFERROR(INDEX(상품목록!$C$3:$C$102,MATCH($D450,상품목록!$A$3:$A$102,0)),0))</f>
        <v/>
      </c>
      <c r="G450" s="17" t="str">
        <f aca="false">IF(OR($A450="",$F450=""),"",$A450+$F450)</f>
        <v/>
      </c>
      <c r="H450" s="16" t="str">
        <f aca="false">IF($D450="","",IF($J450="환불",0,IFERROR(INDEX(상품목록!$D$3:$D$102,MATCH($D450,상품목록!$A$3:$A$102,0)),0)))</f>
        <v/>
      </c>
      <c r="I450" s="10"/>
      <c r="J450" s="10"/>
      <c r="K450" s="10"/>
    </row>
    <row r="451" customFormat="false" ht="15" hidden="false" customHeight="true" outlineLevel="0" collapsed="false">
      <c r="A451" s="12"/>
      <c r="B451" s="10"/>
      <c r="C451" s="15" t="str">
        <f aca="false">IF($B451="","",IFERROR(INDEX(회원명부!$B$3:$B$502,MATCH($B451,회원명부!$A$3:$A$502,0)),"미등록회원"))</f>
        <v/>
      </c>
      <c r="D451" s="10"/>
      <c r="E451" s="16" t="str">
        <f aca="false">IF($D451="","",IF($J451="환불",0,IFERROR(INDEX(상품목록!$B$3:$B$102,MATCH($D451,상품목록!$A$3:$A$102,0)),0)))</f>
        <v/>
      </c>
      <c r="F451" s="16" t="str">
        <f aca="false">IF($D451="","",IFERROR(INDEX(상품목록!$C$3:$C$102,MATCH($D451,상품목록!$A$3:$A$102,0)),0))</f>
        <v/>
      </c>
      <c r="G451" s="17" t="str">
        <f aca="false">IF(OR($A451="",$F451=""),"",$A451+$F451)</f>
        <v/>
      </c>
      <c r="H451" s="16" t="str">
        <f aca="false">IF($D451="","",IF($J451="환불",0,IFERROR(INDEX(상품목록!$D$3:$D$102,MATCH($D451,상품목록!$A$3:$A$102,0)),0)))</f>
        <v/>
      </c>
      <c r="I451" s="10"/>
      <c r="J451" s="10"/>
      <c r="K451" s="10"/>
    </row>
    <row r="452" customFormat="false" ht="15" hidden="false" customHeight="true" outlineLevel="0" collapsed="false">
      <c r="A452" s="12"/>
      <c r="B452" s="10"/>
      <c r="C452" s="15" t="str">
        <f aca="false">IF($B452="","",IFERROR(INDEX(회원명부!$B$3:$B$502,MATCH($B452,회원명부!$A$3:$A$502,0)),"미등록회원"))</f>
        <v/>
      </c>
      <c r="D452" s="10"/>
      <c r="E452" s="16" t="str">
        <f aca="false">IF($D452="","",IF($J452="환불",0,IFERROR(INDEX(상품목록!$B$3:$B$102,MATCH($D452,상품목록!$A$3:$A$102,0)),0)))</f>
        <v/>
      </c>
      <c r="F452" s="16" t="str">
        <f aca="false">IF($D452="","",IFERROR(INDEX(상품목록!$C$3:$C$102,MATCH($D452,상품목록!$A$3:$A$102,0)),0))</f>
        <v/>
      </c>
      <c r="G452" s="17" t="str">
        <f aca="false">IF(OR($A452="",$F452=""),"",$A452+$F452)</f>
        <v/>
      </c>
      <c r="H452" s="16" t="str">
        <f aca="false">IF($D452="","",IF($J452="환불",0,IFERROR(INDEX(상품목록!$D$3:$D$102,MATCH($D452,상품목록!$A$3:$A$102,0)),0)))</f>
        <v/>
      </c>
      <c r="I452" s="10"/>
      <c r="J452" s="10"/>
      <c r="K452" s="10"/>
    </row>
    <row r="453" customFormat="false" ht="15" hidden="false" customHeight="true" outlineLevel="0" collapsed="false">
      <c r="A453" s="12"/>
      <c r="B453" s="10"/>
      <c r="C453" s="15" t="str">
        <f aca="false">IF($B453="","",IFERROR(INDEX(회원명부!$B$3:$B$502,MATCH($B453,회원명부!$A$3:$A$502,0)),"미등록회원"))</f>
        <v/>
      </c>
      <c r="D453" s="10"/>
      <c r="E453" s="16" t="str">
        <f aca="false">IF($D453="","",IF($J453="환불",0,IFERROR(INDEX(상품목록!$B$3:$B$102,MATCH($D453,상품목록!$A$3:$A$102,0)),0)))</f>
        <v/>
      </c>
      <c r="F453" s="16" t="str">
        <f aca="false">IF($D453="","",IFERROR(INDEX(상품목록!$C$3:$C$102,MATCH($D453,상품목록!$A$3:$A$102,0)),0))</f>
        <v/>
      </c>
      <c r="G453" s="17" t="str">
        <f aca="false">IF(OR($A453="",$F453=""),"",$A453+$F453)</f>
        <v/>
      </c>
      <c r="H453" s="16" t="str">
        <f aca="false">IF($D453="","",IF($J453="환불",0,IFERROR(INDEX(상품목록!$D$3:$D$102,MATCH($D453,상품목록!$A$3:$A$102,0)),0)))</f>
        <v/>
      </c>
      <c r="I453" s="10"/>
      <c r="J453" s="10"/>
      <c r="K453" s="10"/>
    </row>
    <row r="454" customFormat="false" ht="15" hidden="false" customHeight="true" outlineLevel="0" collapsed="false">
      <c r="A454" s="12"/>
      <c r="B454" s="10"/>
      <c r="C454" s="15" t="str">
        <f aca="false">IF($B454="","",IFERROR(INDEX(회원명부!$B$3:$B$502,MATCH($B454,회원명부!$A$3:$A$502,0)),"미등록회원"))</f>
        <v/>
      </c>
      <c r="D454" s="10"/>
      <c r="E454" s="16" t="str">
        <f aca="false">IF($D454="","",IF($J454="환불",0,IFERROR(INDEX(상품목록!$B$3:$B$102,MATCH($D454,상품목록!$A$3:$A$102,0)),0)))</f>
        <v/>
      </c>
      <c r="F454" s="16" t="str">
        <f aca="false">IF($D454="","",IFERROR(INDEX(상품목록!$C$3:$C$102,MATCH($D454,상품목록!$A$3:$A$102,0)),0))</f>
        <v/>
      </c>
      <c r="G454" s="17" t="str">
        <f aca="false">IF(OR($A454="",$F454=""),"",$A454+$F454)</f>
        <v/>
      </c>
      <c r="H454" s="16" t="str">
        <f aca="false">IF($D454="","",IF($J454="환불",0,IFERROR(INDEX(상품목록!$D$3:$D$102,MATCH($D454,상품목록!$A$3:$A$102,0)),0)))</f>
        <v/>
      </c>
      <c r="I454" s="10"/>
      <c r="J454" s="10"/>
      <c r="K454" s="10"/>
    </row>
    <row r="455" customFormat="false" ht="15" hidden="false" customHeight="true" outlineLevel="0" collapsed="false">
      <c r="A455" s="12"/>
      <c r="B455" s="10"/>
      <c r="C455" s="15" t="str">
        <f aca="false">IF($B455="","",IFERROR(INDEX(회원명부!$B$3:$B$502,MATCH($B455,회원명부!$A$3:$A$502,0)),"미등록회원"))</f>
        <v/>
      </c>
      <c r="D455" s="10"/>
      <c r="E455" s="16" t="str">
        <f aca="false">IF($D455="","",IF($J455="환불",0,IFERROR(INDEX(상품목록!$B$3:$B$102,MATCH($D455,상품목록!$A$3:$A$102,0)),0)))</f>
        <v/>
      </c>
      <c r="F455" s="16" t="str">
        <f aca="false">IF($D455="","",IFERROR(INDEX(상품목록!$C$3:$C$102,MATCH($D455,상품목록!$A$3:$A$102,0)),0))</f>
        <v/>
      </c>
      <c r="G455" s="17" t="str">
        <f aca="false">IF(OR($A455="",$F455=""),"",$A455+$F455)</f>
        <v/>
      </c>
      <c r="H455" s="16" t="str">
        <f aca="false">IF($D455="","",IF($J455="환불",0,IFERROR(INDEX(상품목록!$D$3:$D$102,MATCH($D455,상품목록!$A$3:$A$102,0)),0)))</f>
        <v/>
      </c>
      <c r="I455" s="10"/>
      <c r="J455" s="10"/>
      <c r="K455" s="10"/>
    </row>
    <row r="456" customFormat="false" ht="15" hidden="false" customHeight="true" outlineLevel="0" collapsed="false">
      <c r="A456" s="12"/>
      <c r="B456" s="10"/>
      <c r="C456" s="15" t="str">
        <f aca="false">IF($B456="","",IFERROR(INDEX(회원명부!$B$3:$B$502,MATCH($B456,회원명부!$A$3:$A$502,0)),"미등록회원"))</f>
        <v/>
      </c>
      <c r="D456" s="10"/>
      <c r="E456" s="16" t="str">
        <f aca="false">IF($D456="","",IF($J456="환불",0,IFERROR(INDEX(상품목록!$B$3:$B$102,MATCH($D456,상품목록!$A$3:$A$102,0)),0)))</f>
        <v/>
      </c>
      <c r="F456" s="16" t="str">
        <f aca="false">IF($D456="","",IFERROR(INDEX(상품목록!$C$3:$C$102,MATCH($D456,상품목록!$A$3:$A$102,0)),0))</f>
        <v/>
      </c>
      <c r="G456" s="17" t="str">
        <f aca="false">IF(OR($A456="",$F456=""),"",$A456+$F456)</f>
        <v/>
      </c>
      <c r="H456" s="16" t="str">
        <f aca="false">IF($D456="","",IF($J456="환불",0,IFERROR(INDEX(상품목록!$D$3:$D$102,MATCH($D456,상품목록!$A$3:$A$102,0)),0)))</f>
        <v/>
      </c>
      <c r="I456" s="10"/>
      <c r="J456" s="10"/>
      <c r="K456" s="10"/>
    </row>
    <row r="457" customFormat="false" ht="15" hidden="false" customHeight="true" outlineLevel="0" collapsed="false">
      <c r="A457" s="12"/>
      <c r="B457" s="10"/>
      <c r="C457" s="15" t="str">
        <f aca="false">IF($B457="","",IFERROR(INDEX(회원명부!$B$3:$B$502,MATCH($B457,회원명부!$A$3:$A$502,0)),"미등록회원"))</f>
        <v/>
      </c>
      <c r="D457" s="10"/>
      <c r="E457" s="16" t="str">
        <f aca="false">IF($D457="","",IF($J457="환불",0,IFERROR(INDEX(상품목록!$B$3:$B$102,MATCH($D457,상품목록!$A$3:$A$102,0)),0)))</f>
        <v/>
      </c>
      <c r="F457" s="16" t="str">
        <f aca="false">IF($D457="","",IFERROR(INDEX(상품목록!$C$3:$C$102,MATCH($D457,상품목록!$A$3:$A$102,0)),0))</f>
        <v/>
      </c>
      <c r="G457" s="17" t="str">
        <f aca="false">IF(OR($A457="",$F457=""),"",$A457+$F457)</f>
        <v/>
      </c>
      <c r="H457" s="16" t="str">
        <f aca="false">IF($D457="","",IF($J457="환불",0,IFERROR(INDEX(상품목록!$D$3:$D$102,MATCH($D457,상품목록!$A$3:$A$102,0)),0)))</f>
        <v/>
      </c>
      <c r="I457" s="10"/>
      <c r="J457" s="10"/>
      <c r="K457" s="10"/>
    </row>
    <row r="458" customFormat="false" ht="15" hidden="false" customHeight="true" outlineLevel="0" collapsed="false">
      <c r="A458" s="12"/>
      <c r="B458" s="10"/>
      <c r="C458" s="15" t="str">
        <f aca="false">IF($B458="","",IFERROR(INDEX(회원명부!$B$3:$B$502,MATCH($B458,회원명부!$A$3:$A$502,0)),"미등록회원"))</f>
        <v/>
      </c>
      <c r="D458" s="10"/>
      <c r="E458" s="16" t="str">
        <f aca="false">IF($D458="","",IF($J458="환불",0,IFERROR(INDEX(상품목록!$B$3:$B$102,MATCH($D458,상품목록!$A$3:$A$102,0)),0)))</f>
        <v/>
      </c>
      <c r="F458" s="16" t="str">
        <f aca="false">IF($D458="","",IFERROR(INDEX(상품목록!$C$3:$C$102,MATCH($D458,상품목록!$A$3:$A$102,0)),0))</f>
        <v/>
      </c>
      <c r="G458" s="17" t="str">
        <f aca="false">IF(OR($A458="",$F458=""),"",$A458+$F458)</f>
        <v/>
      </c>
      <c r="H458" s="16" t="str">
        <f aca="false">IF($D458="","",IF($J458="환불",0,IFERROR(INDEX(상품목록!$D$3:$D$102,MATCH($D458,상품목록!$A$3:$A$102,0)),0)))</f>
        <v/>
      </c>
      <c r="I458" s="10"/>
      <c r="J458" s="10"/>
      <c r="K458" s="10"/>
    </row>
    <row r="459" customFormat="false" ht="15" hidden="false" customHeight="true" outlineLevel="0" collapsed="false">
      <c r="A459" s="12"/>
      <c r="B459" s="10"/>
      <c r="C459" s="15" t="str">
        <f aca="false">IF($B459="","",IFERROR(INDEX(회원명부!$B$3:$B$502,MATCH($B459,회원명부!$A$3:$A$502,0)),"미등록회원"))</f>
        <v/>
      </c>
      <c r="D459" s="10"/>
      <c r="E459" s="16" t="str">
        <f aca="false">IF($D459="","",IF($J459="환불",0,IFERROR(INDEX(상품목록!$B$3:$B$102,MATCH($D459,상품목록!$A$3:$A$102,0)),0)))</f>
        <v/>
      </c>
      <c r="F459" s="16" t="str">
        <f aca="false">IF($D459="","",IFERROR(INDEX(상품목록!$C$3:$C$102,MATCH($D459,상품목록!$A$3:$A$102,0)),0))</f>
        <v/>
      </c>
      <c r="G459" s="17" t="str">
        <f aca="false">IF(OR($A459="",$F459=""),"",$A459+$F459)</f>
        <v/>
      </c>
      <c r="H459" s="16" t="str">
        <f aca="false">IF($D459="","",IF($J459="환불",0,IFERROR(INDEX(상품목록!$D$3:$D$102,MATCH($D459,상품목록!$A$3:$A$102,0)),0)))</f>
        <v/>
      </c>
      <c r="I459" s="10"/>
      <c r="J459" s="10"/>
      <c r="K459" s="10"/>
    </row>
    <row r="460" customFormat="false" ht="15" hidden="false" customHeight="true" outlineLevel="0" collapsed="false">
      <c r="A460" s="12"/>
      <c r="B460" s="10"/>
      <c r="C460" s="15" t="str">
        <f aca="false">IF($B460="","",IFERROR(INDEX(회원명부!$B$3:$B$502,MATCH($B460,회원명부!$A$3:$A$502,0)),"미등록회원"))</f>
        <v/>
      </c>
      <c r="D460" s="10"/>
      <c r="E460" s="16" t="str">
        <f aca="false">IF($D460="","",IF($J460="환불",0,IFERROR(INDEX(상품목록!$B$3:$B$102,MATCH($D460,상품목록!$A$3:$A$102,0)),0)))</f>
        <v/>
      </c>
      <c r="F460" s="16" t="str">
        <f aca="false">IF($D460="","",IFERROR(INDEX(상품목록!$C$3:$C$102,MATCH($D460,상품목록!$A$3:$A$102,0)),0))</f>
        <v/>
      </c>
      <c r="G460" s="17" t="str">
        <f aca="false">IF(OR($A460="",$F460=""),"",$A460+$F460)</f>
        <v/>
      </c>
      <c r="H460" s="16" t="str">
        <f aca="false">IF($D460="","",IF($J460="환불",0,IFERROR(INDEX(상품목록!$D$3:$D$102,MATCH($D460,상품목록!$A$3:$A$102,0)),0)))</f>
        <v/>
      </c>
      <c r="I460" s="10"/>
      <c r="J460" s="10"/>
      <c r="K460" s="10"/>
    </row>
    <row r="461" customFormat="false" ht="15" hidden="false" customHeight="true" outlineLevel="0" collapsed="false">
      <c r="A461" s="12"/>
      <c r="B461" s="10"/>
      <c r="C461" s="15" t="str">
        <f aca="false">IF($B461="","",IFERROR(INDEX(회원명부!$B$3:$B$502,MATCH($B461,회원명부!$A$3:$A$502,0)),"미등록회원"))</f>
        <v/>
      </c>
      <c r="D461" s="10"/>
      <c r="E461" s="16" t="str">
        <f aca="false">IF($D461="","",IF($J461="환불",0,IFERROR(INDEX(상품목록!$B$3:$B$102,MATCH($D461,상품목록!$A$3:$A$102,0)),0)))</f>
        <v/>
      </c>
      <c r="F461" s="16" t="str">
        <f aca="false">IF($D461="","",IFERROR(INDEX(상품목록!$C$3:$C$102,MATCH($D461,상품목록!$A$3:$A$102,0)),0))</f>
        <v/>
      </c>
      <c r="G461" s="17" t="str">
        <f aca="false">IF(OR($A461="",$F461=""),"",$A461+$F461)</f>
        <v/>
      </c>
      <c r="H461" s="16" t="str">
        <f aca="false">IF($D461="","",IF($J461="환불",0,IFERROR(INDEX(상품목록!$D$3:$D$102,MATCH($D461,상품목록!$A$3:$A$102,0)),0)))</f>
        <v/>
      </c>
      <c r="I461" s="10"/>
      <c r="J461" s="10"/>
      <c r="K461" s="10"/>
    </row>
    <row r="462" customFormat="false" ht="15" hidden="false" customHeight="true" outlineLevel="0" collapsed="false">
      <c r="A462" s="12"/>
      <c r="B462" s="10"/>
      <c r="C462" s="15" t="str">
        <f aca="false">IF($B462="","",IFERROR(INDEX(회원명부!$B$3:$B$502,MATCH($B462,회원명부!$A$3:$A$502,0)),"미등록회원"))</f>
        <v/>
      </c>
      <c r="D462" s="10"/>
      <c r="E462" s="16" t="str">
        <f aca="false">IF($D462="","",IF($J462="환불",0,IFERROR(INDEX(상품목록!$B$3:$B$102,MATCH($D462,상품목록!$A$3:$A$102,0)),0)))</f>
        <v/>
      </c>
      <c r="F462" s="16" t="str">
        <f aca="false">IF($D462="","",IFERROR(INDEX(상품목록!$C$3:$C$102,MATCH($D462,상품목록!$A$3:$A$102,0)),0))</f>
        <v/>
      </c>
      <c r="G462" s="17" t="str">
        <f aca="false">IF(OR($A462="",$F462=""),"",$A462+$F462)</f>
        <v/>
      </c>
      <c r="H462" s="16" t="str">
        <f aca="false">IF($D462="","",IF($J462="환불",0,IFERROR(INDEX(상품목록!$D$3:$D$102,MATCH($D462,상품목록!$A$3:$A$102,0)),0)))</f>
        <v/>
      </c>
      <c r="I462" s="10"/>
      <c r="J462" s="10"/>
      <c r="K462" s="10"/>
    </row>
    <row r="463" customFormat="false" ht="15" hidden="false" customHeight="true" outlineLevel="0" collapsed="false">
      <c r="A463" s="12"/>
      <c r="B463" s="10"/>
      <c r="C463" s="15" t="str">
        <f aca="false">IF($B463="","",IFERROR(INDEX(회원명부!$B$3:$B$502,MATCH($B463,회원명부!$A$3:$A$502,0)),"미등록회원"))</f>
        <v/>
      </c>
      <c r="D463" s="10"/>
      <c r="E463" s="16" t="str">
        <f aca="false">IF($D463="","",IF($J463="환불",0,IFERROR(INDEX(상품목록!$B$3:$B$102,MATCH($D463,상품목록!$A$3:$A$102,0)),0)))</f>
        <v/>
      </c>
      <c r="F463" s="16" t="str">
        <f aca="false">IF($D463="","",IFERROR(INDEX(상품목록!$C$3:$C$102,MATCH($D463,상품목록!$A$3:$A$102,0)),0))</f>
        <v/>
      </c>
      <c r="G463" s="17" t="str">
        <f aca="false">IF(OR($A463="",$F463=""),"",$A463+$F463)</f>
        <v/>
      </c>
      <c r="H463" s="16" t="str">
        <f aca="false">IF($D463="","",IF($J463="환불",0,IFERROR(INDEX(상품목록!$D$3:$D$102,MATCH($D463,상품목록!$A$3:$A$102,0)),0)))</f>
        <v/>
      </c>
      <c r="I463" s="10"/>
      <c r="J463" s="10"/>
      <c r="K463" s="10"/>
    </row>
    <row r="464" customFormat="false" ht="15" hidden="false" customHeight="true" outlineLevel="0" collapsed="false">
      <c r="A464" s="12"/>
      <c r="B464" s="10"/>
      <c r="C464" s="15" t="str">
        <f aca="false">IF($B464="","",IFERROR(INDEX(회원명부!$B$3:$B$502,MATCH($B464,회원명부!$A$3:$A$502,0)),"미등록회원"))</f>
        <v/>
      </c>
      <c r="D464" s="10"/>
      <c r="E464" s="16" t="str">
        <f aca="false">IF($D464="","",IF($J464="환불",0,IFERROR(INDEX(상품목록!$B$3:$B$102,MATCH($D464,상품목록!$A$3:$A$102,0)),0)))</f>
        <v/>
      </c>
      <c r="F464" s="16" t="str">
        <f aca="false">IF($D464="","",IFERROR(INDEX(상품목록!$C$3:$C$102,MATCH($D464,상품목록!$A$3:$A$102,0)),0))</f>
        <v/>
      </c>
      <c r="G464" s="17" t="str">
        <f aca="false">IF(OR($A464="",$F464=""),"",$A464+$F464)</f>
        <v/>
      </c>
      <c r="H464" s="16" t="str">
        <f aca="false">IF($D464="","",IF($J464="환불",0,IFERROR(INDEX(상품목록!$D$3:$D$102,MATCH($D464,상품목록!$A$3:$A$102,0)),0)))</f>
        <v/>
      </c>
      <c r="I464" s="10"/>
      <c r="J464" s="10"/>
      <c r="K464" s="10"/>
    </row>
    <row r="465" customFormat="false" ht="15" hidden="false" customHeight="true" outlineLevel="0" collapsed="false">
      <c r="A465" s="12"/>
      <c r="B465" s="10"/>
      <c r="C465" s="15" t="str">
        <f aca="false">IF($B465="","",IFERROR(INDEX(회원명부!$B$3:$B$502,MATCH($B465,회원명부!$A$3:$A$502,0)),"미등록회원"))</f>
        <v/>
      </c>
      <c r="D465" s="10"/>
      <c r="E465" s="16" t="str">
        <f aca="false">IF($D465="","",IF($J465="환불",0,IFERROR(INDEX(상품목록!$B$3:$B$102,MATCH($D465,상품목록!$A$3:$A$102,0)),0)))</f>
        <v/>
      </c>
      <c r="F465" s="16" t="str">
        <f aca="false">IF($D465="","",IFERROR(INDEX(상품목록!$C$3:$C$102,MATCH($D465,상품목록!$A$3:$A$102,0)),0))</f>
        <v/>
      </c>
      <c r="G465" s="17" t="str">
        <f aca="false">IF(OR($A465="",$F465=""),"",$A465+$F465)</f>
        <v/>
      </c>
      <c r="H465" s="16" t="str">
        <f aca="false">IF($D465="","",IF($J465="환불",0,IFERROR(INDEX(상품목록!$D$3:$D$102,MATCH($D465,상품목록!$A$3:$A$102,0)),0)))</f>
        <v/>
      </c>
      <c r="I465" s="10"/>
      <c r="J465" s="10"/>
      <c r="K465" s="10"/>
    </row>
    <row r="466" customFormat="false" ht="15" hidden="false" customHeight="true" outlineLevel="0" collapsed="false">
      <c r="A466" s="12"/>
      <c r="B466" s="10"/>
      <c r="C466" s="15" t="str">
        <f aca="false">IF($B466="","",IFERROR(INDEX(회원명부!$B$3:$B$502,MATCH($B466,회원명부!$A$3:$A$502,0)),"미등록회원"))</f>
        <v/>
      </c>
      <c r="D466" s="10"/>
      <c r="E466" s="16" t="str">
        <f aca="false">IF($D466="","",IF($J466="환불",0,IFERROR(INDEX(상품목록!$B$3:$B$102,MATCH($D466,상품목록!$A$3:$A$102,0)),0)))</f>
        <v/>
      </c>
      <c r="F466" s="16" t="str">
        <f aca="false">IF($D466="","",IFERROR(INDEX(상품목록!$C$3:$C$102,MATCH($D466,상품목록!$A$3:$A$102,0)),0))</f>
        <v/>
      </c>
      <c r="G466" s="17" t="str">
        <f aca="false">IF(OR($A466="",$F466=""),"",$A466+$F466)</f>
        <v/>
      </c>
      <c r="H466" s="16" t="str">
        <f aca="false">IF($D466="","",IF($J466="환불",0,IFERROR(INDEX(상품목록!$D$3:$D$102,MATCH($D466,상품목록!$A$3:$A$102,0)),0)))</f>
        <v/>
      </c>
      <c r="I466" s="10"/>
      <c r="J466" s="10"/>
      <c r="K466" s="10"/>
    </row>
    <row r="467" customFormat="false" ht="15" hidden="false" customHeight="true" outlineLevel="0" collapsed="false">
      <c r="A467" s="12"/>
      <c r="B467" s="10"/>
      <c r="C467" s="15" t="str">
        <f aca="false">IF($B467="","",IFERROR(INDEX(회원명부!$B$3:$B$502,MATCH($B467,회원명부!$A$3:$A$502,0)),"미등록회원"))</f>
        <v/>
      </c>
      <c r="D467" s="10"/>
      <c r="E467" s="16" t="str">
        <f aca="false">IF($D467="","",IF($J467="환불",0,IFERROR(INDEX(상품목록!$B$3:$B$102,MATCH($D467,상품목록!$A$3:$A$102,0)),0)))</f>
        <v/>
      </c>
      <c r="F467" s="16" t="str">
        <f aca="false">IF($D467="","",IFERROR(INDEX(상품목록!$C$3:$C$102,MATCH($D467,상품목록!$A$3:$A$102,0)),0))</f>
        <v/>
      </c>
      <c r="G467" s="17" t="str">
        <f aca="false">IF(OR($A467="",$F467=""),"",$A467+$F467)</f>
        <v/>
      </c>
      <c r="H467" s="16" t="str">
        <f aca="false">IF($D467="","",IF($J467="환불",0,IFERROR(INDEX(상품목록!$D$3:$D$102,MATCH($D467,상품목록!$A$3:$A$102,0)),0)))</f>
        <v/>
      </c>
      <c r="I467" s="10"/>
      <c r="J467" s="10"/>
      <c r="K467" s="10"/>
    </row>
    <row r="468" customFormat="false" ht="15" hidden="false" customHeight="true" outlineLevel="0" collapsed="false">
      <c r="A468" s="12"/>
      <c r="B468" s="10"/>
      <c r="C468" s="15" t="str">
        <f aca="false">IF($B468="","",IFERROR(INDEX(회원명부!$B$3:$B$502,MATCH($B468,회원명부!$A$3:$A$502,0)),"미등록회원"))</f>
        <v/>
      </c>
      <c r="D468" s="10"/>
      <c r="E468" s="16" t="str">
        <f aca="false">IF($D468="","",IF($J468="환불",0,IFERROR(INDEX(상품목록!$B$3:$B$102,MATCH($D468,상품목록!$A$3:$A$102,0)),0)))</f>
        <v/>
      </c>
      <c r="F468" s="16" t="str">
        <f aca="false">IF($D468="","",IFERROR(INDEX(상품목록!$C$3:$C$102,MATCH($D468,상품목록!$A$3:$A$102,0)),0))</f>
        <v/>
      </c>
      <c r="G468" s="17" t="str">
        <f aca="false">IF(OR($A468="",$F468=""),"",$A468+$F468)</f>
        <v/>
      </c>
      <c r="H468" s="16" t="str">
        <f aca="false">IF($D468="","",IF($J468="환불",0,IFERROR(INDEX(상품목록!$D$3:$D$102,MATCH($D468,상품목록!$A$3:$A$102,0)),0)))</f>
        <v/>
      </c>
      <c r="I468" s="10"/>
      <c r="J468" s="10"/>
      <c r="K468" s="10"/>
    </row>
    <row r="469" customFormat="false" ht="15" hidden="false" customHeight="true" outlineLevel="0" collapsed="false">
      <c r="A469" s="12"/>
      <c r="B469" s="10"/>
      <c r="C469" s="15" t="str">
        <f aca="false">IF($B469="","",IFERROR(INDEX(회원명부!$B$3:$B$502,MATCH($B469,회원명부!$A$3:$A$502,0)),"미등록회원"))</f>
        <v/>
      </c>
      <c r="D469" s="10"/>
      <c r="E469" s="16" t="str">
        <f aca="false">IF($D469="","",IF($J469="환불",0,IFERROR(INDEX(상품목록!$B$3:$B$102,MATCH($D469,상품목록!$A$3:$A$102,0)),0)))</f>
        <v/>
      </c>
      <c r="F469" s="16" t="str">
        <f aca="false">IF($D469="","",IFERROR(INDEX(상품목록!$C$3:$C$102,MATCH($D469,상품목록!$A$3:$A$102,0)),0))</f>
        <v/>
      </c>
      <c r="G469" s="17" t="str">
        <f aca="false">IF(OR($A469="",$F469=""),"",$A469+$F469)</f>
        <v/>
      </c>
      <c r="H469" s="16" t="str">
        <f aca="false">IF($D469="","",IF($J469="환불",0,IFERROR(INDEX(상품목록!$D$3:$D$102,MATCH($D469,상품목록!$A$3:$A$102,0)),0)))</f>
        <v/>
      </c>
      <c r="I469" s="10"/>
      <c r="J469" s="10"/>
      <c r="K469" s="10"/>
    </row>
    <row r="470" customFormat="false" ht="15" hidden="false" customHeight="true" outlineLevel="0" collapsed="false">
      <c r="A470" s="12"/>
      <c r="B470" s="10"/>
      <c r="C470" s="15" t="str">
        <f aca="false">IF($B470="","",IFERROR(INDEX(회원명부!$B$3:$B$502,MATCH($B470,회원명부!$A$3:$A$502,0)),"미등록회원"))</f>
        <v/>
      </c>
      <c r="D470" s="10"/>
      <c r="E470" s="16" t="str">
        <f aca="false">IF($D470="","",IF($J470="환불",0,IFERROR(INDEX(상품목록!$B$3:$B$102,MATCH($D470,상품목록!$A$3:$A$102,0)),0)))</f>
        <v/>
      </c>
      <c r="F470" s="16" t="str">
        <f aca="false">IF($D470="","",IFERROR(INDEX(상품목록!$C$3:$C$102,MATCH($D470,상품목록!$A$3:$A$102,0)),0))</f>
        <v/>
      </c>
      <c r="G470" s="17" t="str">
        <f aca="false">IF(OR($A470="",$F470=""),"",$A470+$F470)</f>
        <v/>
      </c>
      <c r="H470" s="16" t="str">
        <f aca="false">IF($D470="","",IF($J470="환불",0,IFERROR(INDEX(상품목록!$D$3:$D$102,MATCH($D470,상품목록!$A$3:$A$102,0)),0)))</f>
        <v/>
      </c>
      <c r="I470" s="10"/>
      <c r="J470" s="10"/>
      <c r="K470" s="10"/>
    </row>
    <row r="471" customFormat="false" ht="15" hidden="false" customHeight="true" outlineLevel="0" collapsed="false">
      <c r="A471" s="12"/>
      <c r="B471" s="10"/>
      <c r="C471" s="15" t="str">
        <f aca="false">IF($B471="","",IFERROR(INDEX(회원명부!$B$3:$B$502,MATCH($B471,회원명부!$A$3:$A$502,0)),"미등록회원"))</f>
        <v/>
      </c>
      <c r="D471" s="10"/>
      <c r="E471" s="16" t="str">
        <f aca="false">IF($D471="","",IF($J471="환불",0,IFERROR(INDEX(상품목록!$B$3:$B$102,MATCH($D471,상품목록!$A$3:$A$102,0)),0)))</f>
        <v/>
      </c>
      <c r="F471" s="16" t="str">
        <f aca="false">IF($D471="","",IFERROR(INDEX(상품목록!$C$3:$C$102,MATCH($D471,상품목록!$A$3:$A$102,0)),0))</f>
        <v/>
      </c>
      <c r="G471" s="17" t="str">
        <f aca="false">IF(OR($A471="",$F471=""),"",$A471+$F471)</f>
        <v/>
      </c>
      <c r="H471" s="16" t="str">
        <f aca="false">IF($D471="","",IF($J471="환불",0,IFERROR(INDEX(상품목록!$D$3:$D$102,MATCH($D471,상품목록!$A$3:$A$102,0)),0)))</f>
        <v/>
      </c>
      <c r="I471" s="10"/>
      <c r="J471" s="10"/>
      <c r="K471" s="10"/>
    </row>
    <row r="472" customFormat="false" ht="15" hidden="false" customHeight="true" outlineLevel="0" collapsed="false">
      <c r="A472" s="12"/>
      <c r="B472" s="10"/>
      <c r="C472" s="15" t="str">
        <f aca="false">IF($B472="","",IFERROR(INDEX(회원명부!$B$3:$B$502,MATCH($B472,회원명부!$A$3:$A$502,0)),"미등록회원"))</f>
        <v/>
      </c>
      <c r="D472" s="10"/>
      <c r="E472" s="16" t="str">
        <f aca="false">IF($D472="","",IF($J472="환불",0,IFERROR(INDEX(상품목록!$B$3:$B$102,MATCH($D472,상품목록!$A$3:$A$102,0)),0)))</f>
        <v/>
      </c>
      <c r="F472" s="16" t="str">
        <f aca="false">IF($D472="","",IFERROR(INDEX(상품목록!$C$3:$C$102,MATCH($D472,상품목록!$A$3:$A$102,0)),0))</f>
        <v/>
      </c>
      <c r="G472" s="17" t="str">
        <f aca="false">IF(OR($A472="",$F472=""),"",$A472+$F472)</f>
        <v/>
      </c>
      <c r="H472" s="16" t="str">
        <f aca="false">IF($D472="","",IF($J472="환불",0,IFERROR(INDEX(상품목록!$D$3:$D$102,MATCH($D472,상품목록!$A$3:$A$102,0)),0)))</f>
        <v/>
      </c>
      <c r="I472" s="10"/>
      <c r="J472" s="10"/>
      <c r="K472" s="10"/>
    </row>
    <row r="473" customFormat="false" ht="15" hidden="false" customHeight="true" outlineLevel="0" collapsed="false">
      <c r="A473" s="12"/>
      <c r="B473" s="10"/>
      <c r="C473" s="15" t="str">
        <f aca="false">IF($B473="","",IFERROR(INDEX(회원명부!$B$3:$B$502,MATCH($B473,회원명부!$A$3:$A$502,0)),"미등록회원"))</f>
        <v/>
      </c>
      <c r="D473" s="10"/>
      <c r="E473" s="16" t="str">
        <f aca="false">IF($D473="","",IF($J473="환불",0,IFERROR(INDEX(상품목록!$B$3:$B$102,MATCH($D473,상품목록!$A$3:$A$102,0)),0)))</f>
        <v/>
      </c>
      <c r="F473" s="16" t="str">
        <f aca="false">IF($D473="","",IFERROR(INDEX(상품목록!$C$3:$C$102,MATCH($D473,상품목록!$A$3:$A$102,0)),0))</f>
        <v/>
      </c>
      <c r="G473" s="17" t="str">
        <f aca="false">IF(OR($A473="",$F473=""),"",$A473+$F473)</f>
        <v/>
      </c>
      <c r="H473" s="16" t="str">
        <f aca="false">IF($D473="","",IF($J473="환불",0,IFERROR(INDEX(상품목록!$D$3:$D$102,MATCH($D473,상품목록!$A$3:$A$102,0)),0)))</f>
        <v/>
      </c>
      <c r="I473" s="10"/>
      <c r="J473" s="10"/>
      <c r="K473" s="10"/>
    </row>
    <row r="474" customFormat="false" ht="15" hidden="false" customHeight="true" outlineLevel="0" collapsed="false">
      <c r="A474" s="12"/>
      <c r="B474" s="10"/>
      <c r="C474" s="15" t="str">
        <f aca="false">IF($B474="","",IFERROR(INDEX(회원명부!$B$3:$B$502,MATCH($B474,회원명부!$A$3:$A$502,0)),"미등록회원"))</f>
        <v/>
      </c>
      <c r="D474" s="10"/>
      <c r="E474" s="16" t="str">
        <f aca="false">IF($D474="","",IF($J474="환불",0,IFERROR(INDEX(상품목록!$B$3:$B$102,MATCH($D474,상품목록!$A$3:$A$102,0)),0)))</f>
        <v/>
      </c>
      <c r="F474" s="16" t="str">
        <f aca="false">IF($D474="","",IFERROR(INDEX(상품목록!$C$3:$C$102,MATCH($D474,상품목록!$A$3:$A$102,0)),0))</f>
        <v/>
      </c>
      <c r="G474" s="17" t="str">
        <f aca="false">IF(OR($A474="",$F474=""),"",$A474+$F474)</f>
        <v/>
      </c>
      <c r="H474" s="16" t="str">
        <f aca="false">IF($D474="","",IF($J474="환불",0,IFERROR(INDEX(상품목록!$D$3:$D$102,MATCH($D474,상품목록!$A$3:$A$102,0)),0)))</f>
        <v/>
      </c>
      <c r="I474" s="10"/>
      <c r="J474" s="10"/>
      <c r="K474" s="10"/>
    </row>
    <row r="475" customFormat="false" ht="15" hidden="false" customHeight="true" outlineLevel="0" collapsed="false">
      <c r="A475" s="12"/>
      <c r="B475" s="10"/>
      <c r="C475" s="15" t="str">
        <f aca="false">IF($B475="","",IFERROR(INDEX(회원명부!$B$3:$B$502,MATCH($B475,회원명부!$A$3:$A$502,0)),"미등록회원"))</f>
        <v/>
      </c>
      <c r="D475" s="10"/>
      <c r="E475" s="16" t="str">
        <f aca="false">IF($D475="","",IF($J475="환불",0,IFERROR(INDEX(상품목록!$B$3:$B$102,MATCH($D475,상품목록!$A$3:$A$102,0)),0)))</f>
        <v/>
      </c>
      <c r="F475" s="16" t="str">
        <f aca="false">IF($D475="","",IFERROR(INDEX(상품목록!$C$3:$C$102,MATCH($D475,상품목록!$A$3:$A$102,0)),0))</f>
        <v/>
      </c>
      <c r="G475" s="17" t="str">
        <f aca="false">IF(OR($A475="",$F475=""),"",$A475+$F475)</f>
        <v/>
      </c>
      <c r="H475" s="16" t="str">
        <f aca="false">IF($D475="","",IF($J475="환불",0,IFERROR(INDEX(상품목록!$D$3:$D$102,MATCH($D475,상품목록!$A$3:$A$102,0)),0)))</f>
        <v/>
      </c>
      <c r="I475" s="10"/>
      <c r="J475" s="10"/>
      <c r="K475" s="10"/>
    </row>
    <row r="476" customFormat="false" ht="15" hidden="false" customHeight="true" outlineLevel="0" collapsed="false">
      <c r="A476" s="12"/>
      <c r="B476" s="10"/>
      <c r="C476" s="15" t="str">
        <f aca="false">IF($B476="","",IFERROR(INDEX(회원명부!$B$3:$B$502,MATCH($B476,회원명부!$A$3:$A$502,0)),"미등록회원"))</f>
        <v/>
      </c>
      <c r="D476" s="10"/>
      <c r="E476" s="16" t="str">
        <f aca="false">IF($D476="","",IF($J476="환불",0,IFERROR(INDEX(상품목록!$B$3:$B$102,MATCH($D476,상품목록!$A$3:$A$102,0)),0)))</f>
        <v/>
      </c>
      <c r="F476" s="16" t="str">
        <f aca="false">IF($D476="","",IFERROR(INDEX(상품목록!$C$3:$C$102,MATCH($D476,상품목록!$A$3:$A$102,0)),0))</f>
        <v/>
      </c>
      <c r="G476" s="17" t="str">
        <f aca="false">IF(OR($A476="",$F476=""),"",$A476+$F476)</f>
        <v/>
      </c>
      <c r="H476" s="16" t="str">
        <f aca="false">IF($D476="","",IF($J476="환불",0,IFERROR(INDEX(상품목록!$D$3:$D$102,MATCH($D476,상품목록!$A$3:$A$102,0)),0)))</f>
        <v/>
      </c>
      <c r="I476" s="10"/>
      <c r="J476" s="10"/>
      <c r="K476" s="10"/>
    </row>
    <row r="477" customFormat="false" ht="15" hidden="false" customHeight="true" outlineLevel="0" collapsed="false">
      <c r="A477" s="12"/>
      <c r="B477" s="10"/>
      <c r="C477" s="15" t="str">
        <f aca="false">IF($B477="","",IFERROR(INDEX(회원명부!$B$3:$B$502,MATCH($B477,회원명부!$A$3:$A$502,0)),"미등록회원"))</f>
        <v/>
      </c>
      <c r="D477" s="10"/>
      <c r="E477" s="16" t="str">
        <f aca="false">IF($D477="","",IF($J477="환불",0,IFERROR(INDEX(상품목록!$B$3:$B$102,MATCH($D477,상품목록!$A$3:$A$102,0)),0)))</f>
        <v/>
      </c>
      <c r="F477" s="16" t="str">
        <f aca="false">IF($D477="","",IFERROR(INDEX(상품목록!$C$3:$C$102,MATCH($D477,상품목록!$A$3:$A$102,0)),0))</f>
        <v/>
      </c>
      <c r="G477" s="17" t="str">
        <f aca="false">IF(OR($A477="",$F477=""),"",$A477+$F477)</f>
        <v/>
      </c>
      <c r="H477" s="16" t="str">
        <f aca="false">IF($D477="","",IF($J477="환불",0,IFERROR(INDEX(상품목록!$D$3:$D$102,MATCH($D477,상품목록!$A$3:$A$102,0)),0)))</f>
        <v/>
      </c>
      <c r="I477" s="10"/>
      <c r="J477" s="10"/>
      <c r="K477" s="10"/>
    </row>
    <row r="478" customFormat="false" ht="15" hidden="false" customHeight="true" outlineLevel="0" collapsed="false">
      <c r="A478" s="12"/>
      <c r="B478" s="10"/>
      <c r="C478" s="15" t="str">
        <f aca="false">IF($B478="","",IFERROR(INDEX(회원명부!$B$3:$B$502,MATCH($B478,회원명부!$A$3:$A$502,0)),"미등록회원"))</f>
        <v/>
      </c>
      <c r="D478" s="10"/>
      <c r="E478" s="16" t="str">
        <f aca="false">IF($D478="","",IF($J478="환불",0,IFERROR(INDEX(상품목록!$B$3:$B$102,MATCH($D478,상품목록!$A$3:$A$102,0)),0)))</f>
        <v/>
      </c>
      <c r="F478" s="16" t="str">
        <f aca="false">IF($D478="","",IFERROR(INDEX(상품목록!$C$3:$C$102,MATCH($D478,상품목록!$A$3:$A$102,0)),0))</f>
        <v/>
      </c>
      <c r="G478" s="17" t="str">
        <f aca="false">IF(OR($A478="",$F478=""),"",$A478+$F478)</f>
        <v/>
      </c>
      <c r="H478" s="16" t="str">
        <f aca="false">IF($D478="","",IF($J478="환불",0,IFERROR(INDEX(상품목록!$D$3:$D$102,MATCH($D478,상품목록!$A$3:$A$102,0)),0)))</f>
        <v/>
      </c>
      <c r="I478" s="10"/>
      <c r="J478" s="10"/>
      <c r="K478" s="10"/>
    </row>
    <row r="479" customFormat="false" ht="15" hidden="false" customHeight="true" outlineLevel="0" collapsed="false">
      <c r="A479" s="12"/>
      <c r="B479" s="10"/>
      <c r="C479" s="15" t="str">
        <f aca="false">IF($B479="","",IFERROR(INDEX(회원명부!$B$3:$B$502,MATCH($B479,회원명부!$A$3:$A$502,0)),"미등록회원"))</f>
        <v/>
      </c>
      <c r="D479" s="10"/>
      <c r="E479" s="16" t="str">
        <f aca="false">IF($D479="","",IF($J479="환불",0,IFERROR(INDEX(상품목록!$B$3:$B$102,MATCH($D479,상품목록!$A$3:$A$102,0)),0)))</f>
        <v/>
      </c>
      <c r="F479" s="16" t="str">
        <f aca="false">IF($D479="","",IFERROR(INDEX(상품목록!$C$3:$C$102,MATCH($D479,상품목록!$A$3:$A$102,0)),0))</f>
        <v/>
      </c>
      <c r="G479" s="17" t="str">
        <f aca="false">IF(OR($A479="",$F479=""),"",$A479+$F479)</f>
        <v/>
      </c>
      <c r="H479" s="16" t="str">
        <f aca="false">IF($D479="","",IF($J479="환불",0,IFERROR(INDEX(상품목록!$D$3:$D$102,MATCH($D479,상품목록!$A$3:$A$102,0)),0)))</f>
        <v/>
      </c>
      <c r="I479" s="10"/>
      <c r="J479" s="10"/>
      <c r="K479" s="10"/>
    </row>
    <row r="480" customFormat="false" ht="15" hidden="false" customHeight="true" outlineLevel="0" collapsed="false">
      <c r="A480" s="12"/>
      <c r="B480" s="10"/>
      <c r="C480" s="15" t="str">
        <f aca="false">IF($B480="","",IFERROR(INDEX(회원명부!$B$3:$B$502,MATCH($B480,회원명부!$A$3:$A$502,0)),"미등록회원"))</f>
        <v/>
      </c>
      <c r="D480" s="10"/>
      <c r="E480" s="16" t="str">
        <f aca="false">IF($D480="","",IF($J480="환불",0,IFERROR(INDEX(상품목록!$B$3:$B$102,MATCH($D480,상품목록!$A$3:$A$102,0)),0)))</f>
        <v/>
      </c>
      <c r="F480" s="16" t="str">
        <f aca="false">IF($D480="","",IFERROR(INDEX(상품목록!$C$3:$C$102,MATCH($D480,상품목록!$A$3:$A$102,0)),0))</f>
        <v/>
      </c>
      <c r="G480" s="17" t="str">
        <f aca="false">IF(OR($A480="",$F480=""),"",$A480+$F480)</f>
        <v/>
      </c>
      <c r="H480" s="16" t="str">
        <f aca="false">IF($D480="","",IF($J480="환불",0,IFERROR(INDEX(상품목록!$D$3:$D$102,MATCH($D480,상품목록!$A$3:$A$102,0)),0)))</f>
        <v/>
      </c>
      <c r="I480" s="10"/>
      <c r="J480" s="10"/>
      <c r="K480" s="10"/>
    </row>
    <row r="481" customFormat="false" ht="15" hidden="false" customHeight="true" outlineLevel="0" collapsed="false">
      <c r="A481" s="12"/>
      <c r="B481" s="10"/>
      <c r="C481" s="15" t="str">
        <f aca="false">IF($B481="","",IFERROR(INDEX(회원명부!$B$3:$B$502,MATCH($B481,회원명부!$A$3:$A$502,0)),"미등록회원"))</f>
        <v/>
      </c>
      <c r="D481" s="10"/>
      <c r="E481" s="16" t="str">
        <f aca="false">IF($D481="","",IF($J481="환불",0,IFERROR(INDEX(상품목록!$B$3:$B$102,MATCH($D481,상품목록!$A$3:$A$102,0)),0)))</f>
        <v/>
      </c>
      <c r="F481" s="16" t="str">
        <f aca="false">IF($D481="","",IFERROR(INDEX(상품목록!$C$3:$C$102,MATCH($D481,상품목록!$A$3:$A$102,0)),0))</f>
        <v/>
      </c>
      <c r="G481" s="17" t="str">
        <f aca="false">IF(OR($A481="",$F481=""),"",$A481+$F481)</f>
        <v/>
      </c>
      <c r="H481" s="16" t="str">
        <f aca="false">IF($D481="","",IF($J481="환불",0,IFERROR(INDEX(상품목록!$D$3:$D$102,MATCH($D481,상품목록!$A$3:$A$102,0)),0)))</f>
        <v/>
      </c>
      <c r="I481" s="10"/>
      <c r="J481" s="10"/>
      <c r="K481" s="10"/>
    </row>
    <row r="482" customFormat="false" ht="15" hidden="false" customHeight="true" outlineLevel="0" collapsed="false">
      <c r="A482" s="12"/>
      <c r="B482" s="10"/>
      <c r="C482" s="15" t="str">
        <f aca="false">IF($B482="","",IFERROR(INDEX(회원명부!$B$3:$B$502,MATCH($B482,회원명부!$A$3:$A$502,0)),"미등록회원"))</f>
        <v/>
      </c>
      <c r="D482" s="10"/>
      <c r="E482" s="16" t="str">
        <f aca="false">IF($D482="","",IF($J482="환불",0,IFERROR(INDEX(상품목록!$B$3:$B$102,MATCH($D482,상품목록!$A$3:$A$102,0)),0)))</f>
        <v/>
      </c>
      <c r="F482" s="16" t="str">
        <f aca="false">IF($D482="","",IFERROR(INDEX(상품목록!$C$3:$C$102,MATCH($D482,상품목록!$A$3:$A$102,0)),0))</f>
        <v/>
      </c>
      <c r="G482" s="17" t="str">
        <f aca="false">IF(OR($A482="",$F482=""),"",$A482+$F482)</f>
        <v/>
      </c>
      <c r="H482" s="16" t="str">
        <f aca="false">IF($D482="","",IF($J482="환불",0,IFERROR(INDEX(상품목록!$D$3:$D$102,MATCH($D482,상품목록!$A$3:$A$102,0)),0)))</f>
        <v/>
      </c>
      <c r="I482" s="10"/>
      <c r="J482" s="10"/>
      <c r="K482" s="10"/>
    </row>
    <row r="483" customFormat="false" ht="15" hidden="false" customHeight="true" outlineLevel="0" collapsed="false">
      <c r="A483" s="12"/>
      <c r="B483" s="10"/>
      <c r="C483" s="15" t="str">
        <f aca="false">IF($B483="","",IFERROR(INDEX(회원명부!$B$3:$B$502,MATCH($B483,회원명부!$A$3:$A$502,0)),"미등록회원"))</f>
        <v/>
      </c>
      <c r="D483" s="10"/>
      <c r="E483" s="16" t="str">
        <f aca="false">IF($D483="","",IF($J483="환불",0,IFERROR(INDEX(상품목록!$B$3:$B$102,MATCH($D483,상품목록!$A$3:$A$102,0)),0)))</f>
        <v/>
      </c>
      <c r="F483" s="16" t="str">
        <f aca="false">IF($D483="","",IFERROR(INDEX(상품목록!$C$3:$C$102,MATCH($D483,상품목록!$A$3:$A$102,0)),0))</f>
        <v/>
      </c>
      <c r="G483" s="17" t="str">
        <f aca="false">IF(OR($A483="",$F483=""),"",$A483+$F483)</f>
        <v/>
      </c>
      <c r="H483" s="16" t="str">
        <f aca="false">IF($D483="","",IF($J483="환불",0,IFERROR(INDEX(상품목록!$D$3:$D$102,MATCH($D483,상품목록!$A$3:$A$102,0)),0)))</f>
        <v/>
      </c>
      <c r="I483" s="10"/>
      <c r="J483" s="10"/>
      <c r="K483" s="10"/>
    </row>
    <row r="484" customFormat="false" ht="15" hidden="false" customHeight="true" outlineLevel="0" collapsed="false">
      <c r="A484" s="12"/>
      <c r="B484" s="10"/>
      <c r="C484" s="15" t="str">
        <f aca="false">IF($B484="","",IFERROR(INDEX(회원명부!$B$3:$B$502,MATCH($B484,회원명부!$A$3:$A$502,0)),"미등록회원"))</f>
        <v/>
      </c>
      <c r="D484" s="10"/>
      <c r="E484" s="16" t="str">
        <f aca="false">IF($D484="","",IF($J484="환불",0,IFERROR(INDEX(상품목록!$B$3:$B$102,MATCH($D484,상품목록!$A$3:$A$102,0)),0)))</f>
        <v/>
      </c>
      <c r="F484" s="16" t="str">
        <f aca="false">IF($D484="","",IFERROR(INDEX(상품목록!$C$3:$C$102,MATCH($D484,상품목록!$A$3:$A$102,0)),0))</f>
        <v/>
      </c>
      <c r="G484" s="17" t="str">
        <f aca="false">IF(OR($A484="",$F484=""),"",$A484+$F484)</f>
        <v/>
      </c>
      <c r="H484" s="16" t="str">
        <f aca="false">IF($D484="","",IF($J484="환불",0,IFERROR(INDEX(상품목록!$D$3:$D$102,MATCH($D484,상품목록!$A$3:$A$102,0)),0)))</f>
        <v/>
      </c>
      <c r="I484" s="10"/>
      <c r="J484" s="10"/>
      <c r="K484" s="10"/>
    </row>
    <row r="485" customFormat="false" ht="15" hidden="false" customHeight="true" outlineLevel="0" collapsed="false">
      <c r="A485" s="12"/>
      <c r="B485" s="10"/>
      <c r="C485" s="15" t="str">
        <f aca="false">IF($B485="","",IFERROR(INDEX(회원명부!$B$3:$B$502,MATCH($B485,회원명부!$A$3:$A$502,0)),"미등록회원"))</f>
        <v/>
      </c>
      <c r="D485" s="10"/>
      <c r="E485" s="16" t="str">
        <f aca="false">IF($D485="","",IF($J485="환불",0,IFERROR(INDEX(상품목록!$B$3:$B$102,MATCH($D485,상품목록!$A$3:$A$102,0)),0)))</f>
        <v/>
      </c>
      <c r="F485" s="16" t="str">
        <f aca="false">IF($D485="","",IFERROR(INDEX(상품목록!$C$3:$C$102,MATCH($D485,상품목록!$A$3:$A$102,0)),0))</f>
        <v/>
      </c>
      <c r="G485" s="17" t="str">
        <f aca="false">IF(OR($A485="",$F485=""),"",$A485+$F485)</f>
        <v/>
      </c>
      <c r="H485" s="16" t="str">
        <f aca="false">IF($D485="","",IF($J485="환불",0,IFERROR(INDEX(상품목록!$D$3:$D$102,MATCH($D485,상품목록!$A$3:$A$102,0)),0)))</f>
        <v/>
      </c>
      <c r="I485" s="10"/>
      <c r="J485" s="10"/>
      <c r="K485" s="10"/>
    </row>
    <row r="486" customFormat="false" ht="15" hidden="false" customHeight="true" outlineLevel="0" collapsed="false">
      <c r="A486" s="12"/>
      <c r="B486" s="10"/>
      <c r="C486" s="15" t="str">
        <f aca="false">IF($B486="","",IFERROR(INDEX(회원명부!$B$3:$B$502,MATCH($B486,회원명부!$A$3:$A$502,0)),"미등록회원"))</f>
        <v/>
      </c>
      <c r="D486" s="10"/>
      <c r="E486" s="16" t="str">
        <f aca="false">IF($D486="","",IF($J486="환불",0,IFERROR(INDEX(상품목록!$B$3:$B$102,MATCH($D486,상품목록!$A$3:$A$102,0)),0)))</f>
        <v/>
      </c>
      <c r="F486" s="16" t="str">
        <f aca="false">IF($D486="","",IFERROR(INDEX(상품목록!$C$3:$C$102,MATCH($D486,상품목록!$A$3:$A$102,0)),0))</f>
        <v/>
      </c>
      <c r="G486" s="17" t="str">
        <f aca="false">IF(OR($A486="",$F486=""),"",$A486+$F486)</f>
        <v/>
      </c>
      <c r="H486" s="16" t="str">
        <f aca="false">IF($D486="","",IF($J486="환불",0,IFERROR(INDEX(상품목록!$D$3:$D$102,MATCH($D486,상품목록!$A$3:$A$102,0)),0)))</f>
        <v/>
      </c>
      <c r="I486" s="10"/>
      <c r="J486" s="10"/>
      <c r="K486" s="10"/>
    </row>
    <row r="487" customFormat="false" ht="15" hidden="false" customHeight="true" outlineLevel="0" collapsed="false">
      <c r="A487" s="12"/>
      <c r="B487" s="10"/>
      <c r="C487" s="15" t="str">
        <f aca="false">IF($B487="","",IFERROR(INDEX(회원명부!$B$3:$B$502,MATCH($B487,회원명부!$A$3:$A$502,0)),"미등록회원"))</f>
        <v/>
      </c>
      <c r="D487" s="10"/>
      <c r="E487" s="16" t="str">
        <f aca="false">IF($D487="","",IF($J487="환불",0,IFERROR(INDEX(상품목록!$B$3:$B$102,MATCH($D487,상품목록!$A$3:$A$102,0)),0)))</f>
        <v/>
      </c>
      <c r="F487" s="16" t="str">
        <f aca="false">IF($D487="","",IFERROR(INDEX(상품목록!$C$3:$C$102,MATCH($D487,상품목록!$A$3:$A$102,0)),0))</f>
        <v/>
      </c>
      <c r="G487" s="17" t="str">
        <f aca="false">IF(OR($A487="",$F487=""),"",$A487+$F487)</f>
        <v/>
      </c>
      <c r="H487" s="16" t="str">
        <f aca="false">IF($D487="","",IF($J487="환불",0,IFERROR(INDEX(상품목록!$D$3:$D$102,MATCH($D487,상품목록!$A$3:$A$102,0)),0)))</f>
        <v/>
      </c>
      <c r="I487" s="10"/>
      <c r="J487" s="10"/>
      <c r="K487" s="10"/>
    </row>
    <row r="488" customFormat="false" ht="15" hidden="false" customHeight="true" outlineLevel="0" collapsed="false">
      <c r="A488" s="12"/>
      <c r="B488" s="10"/>
      <c r="C488" s="15" t="str">
        <f aca="false">IF($B488="","",IFERROR(INDEX(회원명부!$B$3:$B$502,MATCH($B488,회원명부!$A$3:$A$502,0)),"미등록회원"))</f>
        <v/>
      </c>
      <c r="D488" s="10"/>
      <c r="E488" s="16" t="str">
        <f aca="false">IF($D488="","",IF($J488="환불",0,IFERROR(INDEX(상품목록!$B$3:$B$102,MATCH($D488,상품목록!$A$3:$A$102,0)),0)))</f>
        <v/>
      </c>
      <c r="F488" s="16" t="str">
        <f aca="false">IF($D488="","",IFERROR(INDEX(상품목록!$C$3:$C$102,MATCH($D488,상품목록!$A$3:$A$102,0)),0))</f>
        <v/>
      </c>
      <c r="G488" s="17" t="str">
        <f aca="false">IF(OR($A488="",$F488=""),"",$A488+$F488)</f>
        <v/>
      </c>
      <c r="H488" s="16" t="str">
        <f aca="false">IF($D488="","",IF($J488="환불",0,IFERROR(INDEX(상품목록!$D$3:$D$102,MATCH($D488,상품목록!$A$3:$A$102,0)),0)))</f>
        <v/>
      </c>
      <c r="I488" s="10"/>
      <c r="J488" s="10"/>
      <c r="K488" s="10"/>
    </row>
    <row r="489" customFormat="false" ht="15" hidden="false" customHeight="true" outlineLevel="0" collapsed="false">
      <c r="A489" s="12"/>
      <c r="B489" s="10"/>
      <c r="C489" s="15" t="str">
        <f aca="false">IF($B489="","",IFERROR(INDEX(회원명부!$B$3:$B$502,MATCH($B489,회원명부!$A$3:$A$502,0)),"미등록회원"))</f>
        <v/>
      </c>
      <c r="D489" s="10"/>
      <c r="E489" s="16" t="str">
        <f aca="false">IF($D489="","",IF($J489="환불",0,IFERROR(INDEX(상품목록!$B$3:$B$102,MATCH($D489,상품목록!$A$3:$A$102,0)),0)))</f>
        <v/>
      </c>
      <c r="F489" s="16" t="str">
        <f aca="false">IF($D489="","",IFERROR(INDEX(상품목록!$C$3:$C$102,MATCH($D489,상품목록!$A$3:$A$102,0)),0))</f>
        <v/>
      </c>
      <c r="G489" s="17" t="str">
        <f aca="false">IF(OR($A489="",$F489=""),"",$A489+$F489)</f>
        <v/>
      </c>
      <c r="H489" s="16" t="str">
        <f aca="false">IF($D489="","",IF($J489="환불",0,IFERROR(INDEX(상품목록!$D$3:$D$102,MATCH($D489,상품목록!$A$3:$A$102,0)),0)))</f>
        <v/>
      </c>
      <c r="I489" s="10"/>
      <c r="J489" s="10"/>
      <c r="K489" s="10"/>
    </row>
    <row r="490" customFormat="false" ht="15" hidden="false" customHeight="true" outlineLevel="0" collapsed="false">
      <c r="A490" s="12"/>
      <c r="B490" s="10"/>
      <c r="C490" s="15" t="str">
        <f aca="false">IF($B490="","",IFERROR(INDEX(회원명부!$B$3:$B$502,MATCH($B490,회원명부!$A$3:$A$502,0)),"미등록회원"))</f>
        <v/>
      </c>
      <c r="D490" s="10"/>
      <c r="E490" s="16" t="str">
        <f aca="false">IF($D490="","",IF($J490="환불",0,IFERROR(INDEX(상품목록!$B$3:$B$102,MATCH($D490,상품목록!$A$3:$A$102,0)),0)))</f>
        <v/>
      </c>
      <c r="F490" s="16" t="str">
        <f aca="false">IF($D490="","",IFERROR(INDEX(상품목록!$C$3:$C$102,MATCH($D490,상품목록!$A$3:$A$102,0)),0))</f>
        <v/>
      </c>
      <c r="G490" s="17" t="str">
        <f aca="false">IF(OR($A490="",$F490=""),"",$A490+$F490)</f>
        <v/>
      </c>
      <c r="H490" s="16" t="str">
        <f aca="false">IF($D490="","",IF($J490="환불",0,IFERROR(INDEX(상품목록!$D$3:$D$102,MATCH($D490,상품목록!$A$3:$A$102,0)),0)))</f>
        <v/>
      </c>
      <c r="I490" s="10"/>
      <c r="J490" s="10"/>
      <c r="K490" s="10"/>
    </row>
    <row r="491" customFormat="false" ht="15" hidden="false" customHeight="true" outlineLevel="0" collapsed="false">
      <c r="A491" s="12"/>
      <c r="B491" s="10"/>
      <c r="C491" s="15" t="str">
        <f aca="false">IF($B491="","",IFERROR(INDEX(회원명부!$B$3:$B$502,MATCH($B491,회원명부!$A$3:$A$502,0)),"미등록회원"))</f>
        <v/>
      </c>
      <c r="D491" s="10"/>
      <c r="E491" s="16" t="str">
        <f aca="false">IF($D491="","",IF($J491="환불",0,IFERROR(INDEX(상품목록!$B$3:$B$102,MATCH($D491,상품목록!$A$3:$A$102,0)),0)))</f>
        <v/>
      </c>
      <c r="F491" s="16" t="str">
        <f aca="false">IF($D491="","",IFERROR(INDEX(상품목록!$C$3:$C$102,MATCH($D491,상품목록!$A$3:$A$102,0)),0))</f>
        <v/>
      </c>
      <c r="G491" s="17" t="str">
        <f aca="false">IF(OR($A491="",$F491=""),"",$A491+$F491)</f>
        <v/>
      </c>
      <c r="H491" s="16" t="str">
        <f aca="false">IF($D491="","",IF($J491="환불",0,IFERROR(INDEX(상품목록!$D$3:$D$102,MATCH($D491,상품목록!$A$3:$A$102,0)),0)))</f>
        <v/>
      </c>
      <c r="I491" s="10"/>
      <c r="J491" s="10"/>
      <c r="K491" s="10"/>
    </row>
    <row r="492" customFormat="false" ht="15" hidden="false" customHeight="true" outlineLevel="0" collapsed="false">
      <c r="A492" s="12"/>
      <c r="B492" s="10"/>
      <c r="C492" s="15" t="str">
        <f aca="false">IF($B492="","",IFERROR(INDEX(회원명부!$B$3:$B$502,MATCH($B492,회원명부!$A$3:$A$502,0)),"미등록회원"))</f>
        <v/>
      </c>
      <c r="D492" s="10"/>
      <c r="E492" s="16" t="str">
        <f aca="false">IF($D492="","",IF($J492="환불",0,IFERROR(INDEX(상품목록!$B$3:$B$102,MATCH($D492,상품목록!$A$3:$A$102,0)),0)))</f>
        <v/>
      </c>
      <c r="F492" s="16" t="str">
        <f aca="false">IF($D492="","",IFERROR(INDEX(상품목록!$C$3:$C$102,MATCH($D492,상품목록!$A$3:$A$102,0)),0))</f>
        <v/>
      </c>
      <c r="G492" s="17" t="str">
        <f aca="false">IF(OR($A492="",$F492=""),"",$A492+$F492)</f>
        <v/>
      </c>
      <c r="H492" s="16" t="str">
        <f aca="false">IF($D492="","",IF($J492="환불",0,IFERROR(INDEX(상품목록!$D$3:$D$102,MATCH($D492,상품목록!$A$3:$A$102,0)),0)))</f>
        <v/>
      </c>
      <c r="I492" s="10"/>
      <c r="J492" s="10"/>
      <c r="K492" s="10"/>
    </row>
    <row r="493" customFormat="false" ht="15" hidden="false" customHeight="true" outlineLevel="0" collapsed="false">
      <c r="A493" s="12"/>
      <c r="B493" s="10"/>
      <c r="C493" s="15" t="str">
        <f aca="false">IF($B493="","",IFERROR(INDEX(회원명부!$B$3:$B$502,MATCH($B493,회원명부!$A$3:$A$502,0)),"미등록회원"))</f>
        <v/>
      </c>
      <c r="D493" s="10"/>
      <c r="E493" s="16" t="str">
        <f aca="false">IF($D493="","",IF($J493="환불",0,IFERROR(INDEX(상품목록!$B$3:$B$102,MATCH($D493,상품목록!$A$3:$A$102,0)),0)))</f>
        <v/>
      </c>
      <c r="F493" s="16" t="str">
        <f aca="false">IF($D493="","",IFERROR(INDEX(상품목록!$C$3:$C$102,MATCH($D493,상품목록!$A$3:$A$102,0)),0))</f>
        <v/>
      </c>
      <c r="G493" s="17" t="str">
        <f aca="false">IF(OR($A493="",$F493=""),"",$A493+$F493)</f>
        <v/>
      </c>
      <c r="H493" s="16" t="str">
        <f aca="false">IF($D493="","",IF($J493="환불",0,IFERROR(INDEX(상품목록!$D$3:$D$102,MATCH($D493,상품목록!$A$3:$A$102,0)),0)))</f>
        <v/>
      </c>
      <c r="I493" s="10"/>
      <c r="J493" s="10"/>
      <c r="K493" s="10"/>
    </row>
    <row r="494" customFormat="false" ht="15" hidden="false" customHeight="true" outlineLevel="0" collapsed="false">
      <c r="A494" s="12"/>
      <c r="B494" s="10"/>
      <c r="C494" s="15" t="str">
        <f aca="false">IF($B494="","",IFERROR(INDEX(회원명부!$B$3:$B$502,MATCH($B494,회원명부!$A$3:$A$502,0)),"미등록회원"))</f>
        <v/>
      </c>
      <c r="D494" s="10"/>
      <c r="E494" s="16" t="str">
        <f aca="false">IF($D494="","",IF($J494="환불",0,IFERROR(INDEX(상품목록!$B$3:$B$102,MATCH($D494,상품목록!$A$3:$A$102,0)),0)))</f>
        <v/>
      </c>
      <c r="F494" s="16" t="str">
        <f aca="false">IF($D494="","",IFERROR(INDEX(상품목록!$C$3:$C$102,MATCH($D494,상품목록!$A$3:$A$102,0)),0))</f>
        <v/>
      </c>
      <c r="G494" s="17" t="str">
        <f aca="false">IF(OR($A494="",$F494=""),"",$A494+$F494)</f>
        <v/>
      </c>
      <c r="H494" s="16" t="str">
        <f aca="false">IF($D494="","",IF($J494="환불",0,IFERROR(INDEX(상품목록!$D$3:$D$102,MATCH($D494,상품목록!$A$3:$A$102,0)),0)))</f>
        <v/>
      </c>
      <c r="I494" s="10"/>
      <c r="J494" s="10"/>
      <c r="K494" s="10"/>
    </row>
    <row r="495" customFormat="false" ht="15" hidden="false" customHeight="true" outlineLevel="0" collapsed="false">
      <c r="A495" s="12"/>
      <c r="B495" s="10"/>
      <c r="C495" s="15" t="str">
        <f aca="false">IF($B495="","",IFERROR(INDEX(회원명부!$B$3:$B$502,MATCH($B495,회원명부!$A$3:$A$502,0)),"미등록회원"))</f>
        <v/>
      </c>
      <c r="D495" s="10"/>
      <c r="E495" s="16" t="str">
        <f aca="false">IF($D495="","",IF($J495="환불",0,IFERROR(INDEX(상품목록!$B$3:$B$102,MATCH($D495,상품목록!$A$3:$A$102,0)),0)))</f>
        <v/>
      </c>
      <c r="F495" s="16" t="str">
        <f aca="false">IF($D495="","",IFERROR(INDEX(상품목록!$C$3:$C$102,MATCH($D495,상품목록!$A$3:$A$102,0)),0))</f>
        <v/>
      </c>
      <c r="G495" s="17" t="str">
        <f aca="false">IF(OR($A495="",$F495=""),"",$A495+$F495)</f>
        <v/>
      </c>
      <c r="H495" s="16" t="str">
        <f aca="false">IF($D495="","",IF($J495="환불",0,IFERROR(INDEX(상품목록!$D$3:$D$102,MATCH($D495,상품목록!$A$3:$A$102,0)),0)))</f>
        <v/>
      </c>
      <c r="I495" s="10"/>
      <c r="J495" s="10"/>
      <c r="K495" s="10"/>
    </row>
    <row r="496" customFormat="false" ht="15" hidden="false" customHeight="true" outlineLevel="0" collapsed="false">
      <c r="A496" s="12"/>
      <c r="B496" s="10"/>
      <c r="C496" s="15" t="str">
        <f aca="false">IF($B496="","",IFERROR(INDEX(회원명부!$B$3:$B$502,MATCH($B496,회원명부!$A$3:$A$502,0)),"미등록회원"))</f>
        <v/>
      </c>
      <c r="D496" s="10"/>
      <c r="E496" s="16" t="str">
        <f aca="false">IF($D496="","",IF($J496="환불",0,IFERROR(INDEX(상품목록!$B$3:$B$102,MATCH($D496,상품목록!$A$3:$A$102,0)),0)))</f>
        <v/>
      </c>
      <c r="F496" s="16" t="str">
        <f aca="false">IF($D496="","",IFERROR(INDEX(상품목록!$C$3:$C$102,MATCH($D496,상품목록!$A$3:$A$102,0)),0))</f>
        <v/>
      </c>
      <c r="G496" s="17" t="str">
        <f aca="false">IF(OR($A496="",$F496=""),"",$A496+$F496)</f>
        <v/>
      </c>
      <c r="H496" s="16" t="str">
        <f aca="false">IF($D496="","",IF($J496="환불",0,IFERROR(INDEX(상품목록!$D$3:$D$102,MATCH($D496,상품목록!$A$3:$A$102,0)),0)))</f>
        <v/>
      </c>
      <c r="I496" s="10"/>
      <c r="J496" s="10"/>
      <c r="K496" s="10"/>
    </row>
    <row r="497" customFormat="false" ht="15" hidden="false" customHeight="true" outlineLevel="0" collapsed="false">
      <c r="A497" s="12"/>
      <c r="B497" s="10"/>
      <c r="C497" s="15" t="str">
        <f aca="false">IF($B497="","",IFERROR(INDEX(회원명부!$B$3:$B$502,MATCH($B497,회원명부!$A$3:$A$502,0)),"미등록회원"))</f>
        <v/>
      </c>
      <c r="D497" s="10"/>
      <c r="E497" s="16" t="str">
        <f aca="false">IF($D497="","",IF($J497="환불",0,IFERROR(INDEX(상품목록!$B$3:$B$102,MATCH($D497,상품목록!$A$3:$A$102,0)),0)))</f>
        <v/>
      </c>
      <c r="F497" s="16" t="str">
        <f aca="false">IF($D497="","",IFERROR(INDEX(상품목록!$C$3:$C$102,MATCH($D497,상품목록!$A$3:$A$102,0)),0))</f>
        <v/>
      </c>
      <c r="G497" s="17" t="str">
        <f aca="false">IF(OR($A497="",$F497=""),"",$A497+$F497)</f>
        <v/>
      </c>
      <c r="H497" s="16" t="str">
        <f aca="false">IF($D497="","",IF($J497="환불",0,IFERROR(INDEX(상품목록!$D$3:$D$102,MATCH($D497,상품목록!$A$3:$A$102,0)),0)))</f>
        <v/>
      </c>
      <c r="I497" s="10"/>
      <c r="J497" s="10"/>
      <c r="K497" s="10"/>
    </row>
    <row r="498" customFormat="false" ht="15" hidden="false" customHeight="true" outlineLevel="0" collapsed="false">
      <c r="A498" s="12"/>
      <c r="B498" s="10"/>
      <c r="C498" s="15" t="str">
        <f aca="false">IF($B498="","",IFERROR(INDEX(회원명부!$B$3:$B$502,MATCH($B498,회원명부!$A$3:$A$502,0)),"미등록회원"))</f>
        <v/>
      </c>
      <c r="D498" s="10"/>
      <c r="E498" s="16" t="str">
        <f aca="false">IF($D498="","",IF($J498="환불",0,IFERROR(INDEX(상품목록!$B$3:$B$102,MATCH($D498,상품목록!$A$3:$A$102,0)),0)))</f>
        <v/>
      </c>
      <c r="F498" s="16" t="str">
        <f aca="false">IF($D498="","",IFERROR(INDEX(상품목록!$C$3:$C$102,MATCH($D498,상품목록!$A$3:$A$102,0)),0))</f>
        <v/>
      </c>
      <c r="G498" s="17" t="str">
        <f aca="false">IF(OR($A498="",$F498=""),"",$A498+$F498)</f>
        <v/>
      </c>
      <c r="H498" s="16" t="str">
        <f aca="false">IF($D498="","",IF($J498="환불",0,IFERROR(INDEX(상품목록!$D$3:$D$102,MATCH($D498,상품목록!$A$3:$A$102,0)),0)))</f>
        <v/>
      </c>
      <c r="I498" s="10"/>
      <c r="J498" s="10"/>
      <c r="K498" s="10"/>
    </row>
    <row r="499" customFormat="false" ht="15" hidden="false" customHeight="true" outlineLevel="0" collapsed="false">
      <c r="A499" s="12"/>
      <c r="B499" s="10"/>
      <c r="C499" s="15" t="str">
        <f aca="false">IF($B499="","",IFERROR(INDEX(회원명부!$B$3:$B$502,MATCH($B499,회원명부!$A$3:$A$502,0)),"미등록회원"))</f>
        <v/>
      </c>
      <c r="D499" s="10"/>
      <c r="E499" s="16" t="str">
        <f aca="false">IF($D499="","",IF($J499="환불",0,IFERROR(INDEX(상품목록!$B$3:$B$102,MATCH($D499,상품목록!$A$3:$A$102,0)),0)))</f>
        <v/>
      </c>
      <c r="F499" s="16" t="str">
        <f aca="false">IF($D499="","",IFERROR(INDEX(상품목록!$C$3:$C$102,MATCH($D499,상품목록!$A$3:$A$102,0)),0))</f>
        <v/>
      </c>
      <c r="G499" s="17" t="str">
        <f aca="false">IF(OR($A499="",$F499=""),"",$A499+$F499)</f>
        <v/>
      </c>
      <c r="H499" s="16" t="str">
        <f aca="false">IF($D499="","",IF($J499="환불",0,IFERROR(INDEX(상품목록!$D$3:$D$102,MATCH($D499,상품목록!$A$3:$A$102,0)),0)))</f>
        <v/>
      </c>
      <c r="I499" s="10"/>
      <c r="J499" s="10"/>
      <c r="K499" s="10"/>
    </row>
    <row r="500" customFormat="false" ht="15" hidden="false" customHeight="true" outlineLevel="0" collapsed="false">
      <c r="A500" s="12"/>
      <c r="B500" s="10"/>
      <c r="C500" s="15" t="str">
        <f aca="false">IF($B500="","",IFERROR(INDEX(회원명부!$B$3:$B$502,MATCH($B500,회원명부!$A$3:$A$502,0)),"미등록회원"))</f>
        <v/>
      </c>
      <c r="D500" s="10"/>
      <c r="E500" s="16" t="str">
        <f aca="false">IF($D500="","",IF($J500="환불",0,IFERROR(INDEX(상품목록!$B$3:$B$102,MATCH($D500,상품목록!$A$3:$A$102,0)),0)))</f>
        <v/>
      </c>
      <c r="F500" s="16" t="str">
        <f aca="false">IF($D500="","",IFERROR(INDEX(상품목록!$C$3:$C$102,MATCH($D500,상품목록!$A$3:$A$102,0)),0))</f>
        <v/>
      </c>
      <c r="G500" s="17" t="str">
        <f aca="false">IF(OR($A500="",$F500=""),"",$A500+$F500)</f>
        <v/>
      </c>
      <c r="H500" s="16" t="str">
        <f aca="false">IF($D500="","",IF($J500="환불",0,IFERROR(INDEX(상품목록!$D$3:$D$102,MATCH($D500,상품목록!$A$3:$A$102,0)),0)))</f>
        <v/>
      </c>
      <c r="I500" s="10"/>
      <c r="J500" s="10"/>
      <c r="K500" s="10"/>
    </row>
    <row r="501" customFormat="false" ht="15" hidden="false" customHeight="true" outlineLevel="0" collapsed="false">
      <c r="A501" s="12"/>
      <c r="B501" s="10"/>
      <c r="C501" s="15" t="str">
        <f aca="false">IF($B501="","",IFERROR(INDEX(회원명부!$B$3:$B$502,MATCH($B501,회원명부!$A$3:$A$502,0)),"미등록회원"))</f>
        <v/>
      </c>
      <c r="D501" s="10"/>
      <c r="E501" s="16" t="str">
        <f aca="false">IF($D501="","",IF($J501="환불",0,IFERROR(INDEX(상품목록!$B$3:$B$102,MATCH($D501,상품목록!$A$3:$A$102,0)),0)))</f>
        <v/>
      </c>
      <c r="F501" s="16" t="str">
        <f aca="false">IF($D501="","",IFERROR(INDEX(상품목록!$C$3:$C$102,MATCH($D501,상품목록!$A$3:$A$102,0)),0))</f>
        <v/>
      </c>
      <c r="G501" s="17" t="str">
        <f aca="false">IF(OR($A501="",$F501=""),"",$A501+$F501)</f>
        <v/>
      </c>
      <c r="H501" s="16" t="str">
        <f aca="false">IF($D501="","",IF($J501="환불",0,IFERROR(INDEX(상품목록!$D$3:$D$102,MATCH($D501,상품목록!$A$3:$A$102,0)),0)))</f>
        <v/>
      </c>
      <c r="I501" s="10"/>
      <c r="J501" s="10"/>
      <c r="K501" s="10"/>
    </row>
    <row r="502" customFormat="false" ht="15" hidden="false" customHeight="true" outlineLevel="0" collapsed="false">
      <c r="A502" s="12"/>
      <c r="B502" s="10"/>
      <c r="C502" s="15" t="str">
        <f aca="false">IF($B502="","",IFERROR(INDEX(회원명부!$B$3:$B$502,MATCH($B502,회원명부!$A$3:$A$502,0)),"미등록회원"))</f>
        <v/>
      </c>
      <c r="D502" s="10"/>
      <c r="E502" s="16" t="str">
        <f aca="false">IF($D502="","",IF($J502="환불",0,IFERROR(INDEX(상품목록!$B$3:$B$102,MATCH($D502,상품목록!$A$3:$A$102,0)),0)))</f>
        <v/>
      </c>
      <c r="F502" s="16" t="str">
        <f aca="false">IF($D502="","",IFERROR(INDEX(상품목록!$C$3:$C$102,MATCH($D502,상품목록!$A$3:$A$102,0)),0))</f>
        <v/>
      </c>
      <c r="G502" s="17" t="str">
        <f aca="false">IF(OR($A502="",$F502=""),"",$A502+$F502)</f>
        <v/>
      </c>
      <c r="H502" s="16" t="str">
        <f aca="false">IF($D502="","",IF($J502="환불",0,IFERROR(INDEX(상품목록!$D$3:$D$102,MATCH($D502,상품목록!$A$3:$A$102,0)),0)))</f>
        <v/>
      </c>
      <c r="I502" s="10"/>
      <c r="J502" s="10"/>
      <c r="K502" s="10"/>
    </row>
    <row r="503" customFormat="false" ht="15" hidden="false" customHeight="true" outlineLevel="0" collapsed="false">
      <c r="A503" s="12"/>
      <c r="B503" s="10"/>
      <c r="C503" s="15" t="str">
        <f aca="false">IF($B503="","",IFERROR(INDEX(회원명부!$B$3:$B$502,MATCH($B503,회원명부!$A$3:$A$502,0)),"미등록회원"))</f>
        <v/>
      </c>
      <c r="D503" s="10"/>
      <c r="E503" s="16" t="str">
        <f aca="false">IF($D503="","",IF($J503="환불",0,IFERROR(INDEX(상품목록!$B$3:$B$102,MATCH($D503,상품목록!$A$3:$A$102,0)),0)))</f>
        <v/>
      </c>
      <c r="F503" s="16" t="str">
        <f aca="false">IF($D503="","",IFERROR(INDEX(상품목록!$C$3:$C$102,MATCH($D503,상품목록!$A$3:$A$102,0)),0))</f>
        <v/>
      </c>
      <c r="G503" s="17" t="str">
        <f aca="false">IF(OR($A503="",$F503=""),"",$A503+$F503)</f>
        <v/>
      </c>
      <c r="H503" s="16" t="str">
        <f aca="false">IF($D503="","",IF($J503="환불",0,IFERROR(INDEX(상품목록!$D$3:$D$102,MATCH($D503,상품목록!$A$3:$A$102,0)),0)))</f>
        <v/>
      </c>
      <c r="I503" s="10"/>
      <c r="J503" s="10"/>
      <c r="K503" s="10"/>
    </row>
    <row r="504" customFormat="false" ht="15" hidden="false" customHeight="true" outlineLevel="0" collapsed="false">
      <c r="A504" s="12"/>
      <c r="B504" s="10"/>
      <c r="C504" s="15" t="str">
        <f aca="false">IF($B504="","",IFERROR(INDEX(회원명부!$B$3:$B$502,MATCH($B504,회원명부!$A$3:$A$502,0)),"미등록회원"))</f>
        <v/>
      </c>
      <c r="D504" s="10"/>
      <c r="E504" s="16" t="str">
        <f aca="false">IF($D504="","",IF($J504="환불",0,IFERROR(INDEX(상품목록!$B$3:$B$102,MATCH($D504,상품목록!$A$3:$A$102,0)),0)))</f>
        <v/>
      </c>
      <c r="F504" s="16" t="str">
        <f aca="false">IF($D504="","",IFERROR(INDEX(상품목록!$C$3:$C$102,MATCH($D504,상품목록!$A$3:$A$102,0)),0))</f>
        <v/>
      </c>
      <c r="G504" s="17" t="str">
        <f aca="false">IF(OR($A504="",$F504=""),"",$A504+$F504)</f>
        <v/>
      </c>
      <c r="H504" s="16" t="str">
        <f aca="false">IF($D504="","",IF($J504="환불",0,IFERROR(INDEX(상품목록!$D$3:$D$102,MATCH($D504,상품목록!$A$3:$A$102,0)),0)))</f>
        <v/>
      </c>
      <c r="I504" s="10"/>
      <c r="J504" s="10"/>
      <c r="K504" s="10"/>
    </row>
    <row r="505" customFormat="false" ht="15" hidden="false" customHeight="true" outlineLevel="0" collapsed="false">
      <c r="A505" s="12"/>
      <c r="B505" s="10"/>
      <c r="C505" s="15" t="str">
        <f aca="false">IF($B505="","",IFERROR(INDEX(회원명부!$B$3:$B$502,MATCH($B505,회원명부!$A$3:$A$502,0)),"미등록회원"))</f>
        <v/>
      </c>
      <c r="D505" s="10"/>
      <c r="E505" s="16" t="str">
        <f aca="false">IF($D505="","",IF($J505="환불",0,IFERROR(INDEX(상품목록!$B$3:$B$102,MATCH($D505,상품목록!$A$3:$A$102,0)),0)))</f>
        <v/>
      </c>
      <c r="F505" s="16" t="str">
        <f aca="false">IF($D505="","",IFERROR(INDEX(상품목록!$C$3:$C$102,MATCH($D505,상품목록!$A$3:$A$102,0)),0))</f>
        <v/>
      </c>
      <c r="G505" s="17" t="str">
        <f aca="false">IF(OR($A505="",$F505=""),"",$A505+$F505)</f>
        <v/>
      </c>
      <c r="H505" s="16" t="str">
        <f aca="false">IF($D505="","",IF($J505="환불",0,IFERROR(INDEX(상품목록!$D$3:$D$102,MATCH($D505,상품목록!$A$3:$A$102,0)),0)))</f>
        <v/>
      </c>
      <c r="I505" s="10"/>
      <c r="J505" s="10"/>
      <c r="K505" s="10"/>
    </row>
    <row r="506" customFormat="false" ht="15" hidden="false" customHeight="true" outlineLevel="0" collapsed="false">
      <c r="A506" s="12"/>
      <c r="B506" s="10"/>
      <c r="C506" s="15" t="str">
        <f aca="false">IF($B506="","",IFERROR(INDEX(회원명부!$B$3:$B$502,MATCH($B506,회원명부!$A$3:$A$502,0)),"미등록회원"))</f>
        <v/>
      </c>
      <c r="D506" s="10"/>
      <c r="E506" s="16" t="str">
        <f aca="false">IF($D506="","",IF($J506="환불",0,IFERROR(INDEX(상품목록!$B$3:$B$102,MATCH($D506,상품목록!$A$3:$A$102,0)),0)))</f>
        <v/>
      </c>
      <c r="F506" s="16" t="str">
        <f aca="false">IF($D506="","",IFERROR(INDEX(상품목록!$C$3:$C$102,MATCH($D506,상품목록!$A$3:$A$102,0)),0))</f>
        <v/>
      </c>
      <c r="G506" s="17" t="str">
        <f aca="false">IF(OR($A506="",$F506=""),"",$A506+$F506)</f>
        <v/>
      </c>
      <c r="H506" s="16" t="str">
        <f aca="false">IF($D506="","",IF($J506="환불",0,IFERROR(INDEX(상품목록!$D$3:$D$102,MATCH($D506,상품목록!$A$3:$A$102,0)),0)))</f>
        <v/>
      </c>
      <c r="I506" s="10"/>
      <c r="J506" s="10"/>
      <c r="K506" s="10"/>
    </row>
    <row r="507" customFormat="false" ht="15" hidden="false" customHeight="true" outlineLevel="0" collapsed="false">
      <c r="A507" s="12"/>
      <c r="B507" s="10"/>
      <c r="C507" s="15" t="str">
        <f aca="false">IF($B507="","",IFERROR(INDEX(회원명부!$B$3:$B$502,MATCH($B507,회원명부!$A$3:$A$502,0)),"미등록회원"))</f>
        <v/>
      </c>
      <c r="D507" s="10"/>
      <c r="E507" s="16" t="str">
        <f aca="false">IF($D507="","",IF($J507="환불",0,IFERROR(INDEX(상품목록!$B$3:$B$102,MATCH($D507,상품목록!$A$3:$A$102,0)),0)))</f>
        <v/>
      </c>
      <c r="F507" s="16" t="str">
        <f aca="false">IF($D507="","",IFERROR(INDEX(상품목록!$C$3:$C$102,MATCH($D507,상품목록!$A$3:$A$102,0)),0))</f>
        <v/>
      </c>
      <c r="G507" s="17" t="str">
        <f aca="false">IF(OR($A507="",$F507=""),"",$A507+$F507)</f>
        <v/>
      </c>
      <c r="H507" s="16" t="str">
        <f aca="false">IF($D507="","",IF($J507="환불",0,IFERROR(INDEX(상품목록!$D$3:$D$102,MATCH($D507,상품목록!$A$3:$A$102,0)),0)))</f>
        <v/>
      </c>
      <c r="I507" s="10"/>
      <c r="J507" s="10"/>
      <c r="K507" s="10"/>
    </row>
    <row r="508" customFormat="false" ht="15" hidden="false" customHeight="true" outlineLevel="0" collapsed="false">
      <c r="A508" s="12"/>
      <c r="B508" s="10"/>
      <c r="C508" s="15" t="str">
        <f aca="false">IF($B508="","",IFERROR(INDEX(회원명부!$B$3:$B$502,MATCH($B508,회원명부!$A$3:$A$502,0)),"미등록회원"))</f>
        <v/>
      </c>
      <c r="D508" s="10"/>
      <c r="E508" s="16" t="str">
        <f aca="false">IF($D508="","",IF($J508="환불",0,IFERROR(INDEX(상품목록!$B$3:$B$102,MATCH($D508,상품목록!$A$3:$A$102,0)),0)))</f>
        <v/>
      </c>
      <c r="F508" s="16" t="str">
        <f aca="false">IF($D508="","",IFERROR(INDEX(상품목록!$C$3:$C$102,MATCH($D508,상품목록!$A$3:$A$102,0)),0))</f>
        <v/>
      </c>
      <c r="G508" s="17" t="str">
        <f aca="false">IF(OR($A508="",$F508=""),"",$A508+$F508)</f>
        <v/>
      </c>
      <c r="H508" s="16" t="str">
        <f aca="false">IF($D508="","",IF($J508="환불",0,IFERROR(INDEX(상품목록!$D$3:$D$102,MATCH($D508,상품목록!$A$3:$A$102,0)),0)))</f>
        <v/>
      </c>
      <c r="I508" s="10"/>
      <c r="J508" s="10"/>
      <c r="K508" s="10"/>
    </row>
    <row r="509" customFormat="false" ht="15" hidden="false" customHeight="true" outlineLevel="0" collapsed="false">
      <c r="A509" s="12"/>
      <c r="B509" s="10"/>
      <c r="C509" s="15" t="str">
        <f aca="false">IF($B509="","",IFERROR(INDEX(회원명부!$B$3:$B$502,MATCH($B509,회원명부!$A$3:$A$502,0)),"미등록회원"))</f>
        <v/>
      </c>
      <c r="D509" s="10"/>
      <c r="E509" s="16" t="str">
        <f aca="false">IF($D509="","",IF($J509="환불",0,IFERROR(INDEX(상품목록!$B$3:$B$102,MATCH($D509,상품목록!$A$3:$A$102,0)),0)))</f>
        <v/>
      </c>
      <c r="F509" s="16" t="str">
        <f aca="false">IF($D509="","",IFERROR(INDEX(상품목록!$C$3:$C$102,MATCH($D509,상품목록!$A$3:$A$102,0)),0))</f>
        <v/>
      </c>
      <c r="G509" s="17" t="str">
        <f aca="false">IF(OR($A509="",$F509=""),"",$A509+$F509)</f>
        <v/>
      </c>
      <c r="H509" s="16" t="str">
        <f aca="false">IF($D509="","",IF($J509="환불",0,IFERROR(INDEX(상품목록!$D$3:$D$102,MATCH($D509,상품목록!$A$3:$A$102,0)),0)))</f>
        <v/>
      </c>
      <c r="I509" s="10"/>
      <c r="J509" s="10"/>
      <c r="K509" s="10"/>
    </row>
    <row r="510" customFormat="false" ht="15" hidden="false" customHeight="true" outlineLevel="0" collapsed="false">
      <c r="A510" s="12"/>
      <c r="B510" s="10"/>
      <c r="C510" s="15" t="str">
        <f aca="false">IF($B510="","",IFERROR(INDEX(회원명부!$B$3:$B$502,MATCH($B510,회원명부!$A$3:$A$502,0)),"미등록회원"))</f>
        <v/>
      </c>
      <c r="D510" s="10"/>
      <c r="E510" s="16" t="str">
        <f aca="false">IF($D510="","",IF($J510="환불",0,IFERROR(INDEX(상품목록!$B$3:$B$102,MATCH($D510,상품목록!$A$3:$A$102,0)),0)))</f>
        <v/>
      </c>
      <c r="F510" s="16" t="str">
        <f aca="false">IF($D510="","",IFERROR(INDEX(상품목록!$C$3:$C$102,MATCH($D510,상품목록!$A$3:$A$102,0)),0))</f>
        <v/>
      </c>
      <c r="G510" s="17" t="str">
        <f aca="false">IF(OR($A510="",$F510=""),"",$A510+$F510)</f>
        <v/>
      </c>
      <c r="H510" s="16" t="str">
        <f aca="false">IF($D510="","",IF($J510="환불",0,IFERROR(INDEX(상품목록!$D$3:$D$102,MATCH($D510,상품목록!$A$3:$A$102,0)),0)))</f>
        <v/>
      </c>
      <c r="I510" s="10"/>
      <c r="J510" s="10"/>
      <c r="K510" s="10"/>
    </row>
    <row r="511" customFormat="false" ht="15" hidden="false" customHeight="true" outlineLevel="0" collapsed="false">
      <c r="A511" s="12"/>
      <c r="B511" s="10"/>
      <c r="C511" s="15" t="str">
        <f aca="false">IF($B511="","",IFERROR(INDEX(회원명부!$B$3:$B$502,MATCH($B511,회원명부!$A$3:$A$502,0)),"미등록회원"))</f>
        <v/>
      </c>
      <c r="D511" s="10"/>
      <c r="E511" s="16" t="str">
        <f aca="false">IF($D511="","",IF($J511="환불",0,IFERROR(INDEX(상품목록!$B$3:$B$102,MATCH($D511,상품목록!$A$3:$A$102,0)),0)))</f>
        <v/>
      </c>
      <c r="F511" s="16" t="str">
        <f aca="false">IF($D511="","",IFERROR(INDEX(상품목록!$C$3:$C$102,MATCH($D511,상품목록!$A$3:$A$102,0)),0))</f>
        <v/>
      </c>
      <c r="G511" s="17" t="str">
        <f aca="false">IF(OR($A511="",$F511=""),"",$A511+$F511)</f>
        <v/>
      </c>
      <c r="H511" s="16" t="str">
        <f aca="false">IF($D511="","",IF($J511="환불",0,IFERROR(INDEX(상품목록!$D$3:$D$102,MATCH($D511,상품목록!$A$3:$A$102,0)),0)))</f>
        <v/>
      </c>
      <c r="I511" s="10"/>
      <c r="J511" s="10"/>
      <c r="K511" s="10"/>
    </row>
    <row r="512" customFormat="false" ht="15" hidden="false" customHeight="true" outlineLevel="0" collapsed="false">
      <c r="A512" s="12"/>
      <c r="B512" s="10"/>
      <c r="C512" s="15" t="str">
        <f aca="false">IF($B512="","",IFERROR(INDEX(회원명부!$B$3:$B$502,MATCH($B512,회원명부!$A$3:$A$502,0)),"미등록회원"))</f>
        <v/>
      </c>
      <c r="D512" s="10"/>
      <c r="E512" s="16" t="str">
        <f aca="false">IF($D512="","",IF($J512="환불",0,IFERROR(INDEX(상품목록!$B$3:$B$102,MATCH($D512,상품목록!$A$3:$A$102,0)),0)))</f>
        <v/>
      </c>
      <c r="F512" s="16" t="str">
        <f aca="false">IF($D512="","",IFERROR(INDEX(상품목록!$C$3:$C$102,MATCH($D512,상품목록!$A$3:$A$102,0)),0))</f>
        <v/>
      </c>
      <c r="G512" s="17" t="str">
        <f aca="false">IF(OR($A512="",$F512=""),"",$A512+$F512)</f>
        <v/>
      </c>
      <c r="H512" s="16" t="str">
        <f aca="false">IF($D512="","",IF($J512="환불",0,IFERROR(INDEX(상품목록!$D$3:$D$102,MATCH($D512,상품목록!$A$3:$A$102,0)),0)))</f>
        <v/>
      </c>
      <c r="I512" s="10"/>
      <c r="J512" s="10"/>
      <c r="K512" s="10"/>
    </row>
    <row r="513" customFormat="false" ht="15" hidden="false" customHeight="true" outlineLevel="0" collapsed="false">
      <c r="A513" s="12"/>
      <c r="B513" s="10"/>
      <c r="C513" s="15" t="str">
        <f aca="false">IF($B513="","",IFERROR(INDEX(회원명부!$B$3:$B$502,MATCH($B513,회원명부!$A$3:$A$502,0)),"미등록회원"))</f>
        <v/>
      </c>
      <c r="D513" s="10"/>
      <c r="E513" s="16" t="str">
        <f aca="false">IF($D513="","",IF($J513="환불",0,IFERROR(INDEX(상품목록!$B$3:$B$102,MATCH($D513,상품목록!$A$3:$A$102,0)),0)))</f>
        <v/>
      </c>
      <c r="F513" s="16" t="str">
        <f aca="false">IF($D513="","",IFERROR(INDEX(상품목록!$C$3:$C$102,MATCH($D513,상품목록!$A$3:$A$102,0)),0))</f>
        <v/>
      </c>
      <c r="G513" s="17" t="str">
        <f aca="false">IF(OR($A513="",$F513=""),"",$A513+$F513)</f>
        <v/>
      </c>
      <c r="H513" s="16" t="str">
        <f aca="false">IF($D513="","",IF($J513="환불",0,IFERROR(INDEX(상품목록!$D$3:$D$102,MATCH($D513,상품목록!$A$3:$A$102,0)),0)))</f>
        <v/>
      </c>
      <c r="I513" s="10"/>
      <c r="J513" s="10"/>
      <c r="K513" s="10"/>
    </row>
    <row r="514" customFormat="false" ht="15" hidden="false" customHeight="true" outlineLevel="0" collapsed="false">
      <c r="A514" s="12"/>
      <c r="B514" s="10"/>
      <c r="C514" s="15" t="str">
        <f aca="false">IF($B514="","",IFERROR(INDEX(회원명부!$B$3:$B$502,MATCH($B514,회원명부!$A$3:$A$502,0)),"미등록회원"))</f>
        <v/>
      </c>
      <c r="D514" s="10"/>
      <c r="E514" s="16" t="str">
        <f aca="false">IF($D514="","",IF($J514="환불",0,IFERROR(INDEX(상품목록!$B$3:$B$102,MATCH($D514,상품목록!$A$3:$A$102,0)),0)))</f>
        <v/>
      </c>
      <c r="F514" s="16" t="str">
        <f aca="false">IF($D514="","",IFERROR(INDEX(상품목록!$C$3:$C$102,MATCH($D514,상품목록!$A$3:$A$102,0)),0))</f>
        <v/>
      </c>
      <c r="G514" s="17" t="str">
        <f aca="false">IF(OR($A514="",$F514=""),"",$A514+$F514)</f>
        <v/>
      </c>
      <c r="H514" s="16" t="str">
        <f aca="false">IF($D514="","",IF($J514="환불",0,IFERROR(INDEX(상품목록!$D$3:$D$102,MATCH($D514,상품목록!$A$3:$A$102,0)),0)))</f>
        <v/>
      </c>
      <c r="I514" s="10"/>
      <c r="J514" s="10"/>
      <c r="K514" s="10"/>
    </row>
    <row r="515" customFormat="false" ht="15" hidden="false" customHeight="true" outlineLevel="0" collapsed="false">
      <c r="A515" s="12"/>
      <c r="B515" s="10"/>
      <c r="C515" s="15" t="str">
        <f aca="false">IF($B515="","",IFERROR(INDEX(회원명부!$B$3:$B$502,MATCH($B515,회원명부!$A$3:$A$502,0)),"미등록회원"))</f>
        <v/>
      </c>
      <c r="D515" s="10"/>
      <c r="E515" s="16" t="str">
        <f aca="false">IF($D515="","",IF($J515="환불",0,IFERROR(INDEX(상품목록!$B$3:$B$102,MATCH($D515,상품목록!$A$3:$A$102,0)),0)))</f>
        <v/>
      </c>
      <c r="F515" s="16" t="str">
        <f aca="false">IF($D515="","",IFERROR(INDEX(상품목록!$C$3:$C$102,MATCH($D515,상품목록!$A$3:$A$102,0)),0))</f>
        <v/>
      </c>
      <c r="G515" s="17" t="str">
        <f aca="false">IF(OR($A515="",$F515=""),"",$A515+$F515)</f>
        <v/>
      </c>
      <c r="H515" s="16" t="str">
        <f aca="false">IF($D515="","",IF($J515="환불",0,IFERROR(INDEX(상품목록!$D$3:$D$102,MATCH($D515,상품목록!$A$3:$A$102,0)),0)))</f>
        <v/>
      </c>
      <c r="I515" s="10"/>
      <c r="J515" s="10"/>
      <c r="K515" s="10"/>
    </row>
    <row r="516" customFormat="false" ht="15" hidden="false" customHeight="true" outlineLevel="0" collapsed="false">
      <c r="A516" s="12"/>
      <c r="B516" s="10"/>
      <c r="C516" s="15" t="str">
        <f aca="false">IF($B516="","",IFERROR(INDEX(회원명부!$B$3:$B$502,MATCH($B516,회원명부!$A$3:$A$502,0)),"미등록회원"))</f>
        <v/>
      </c>
      <c r="D516" s="10"/>
      <c r="E516" s="16" t="str">
        <f aca="false">IF($D516="","",IF($J516="환불",0,IFERROR(INDEX(상품목록!$B$3:$B$102,MATCH($D516,상품목록!$A$3:$A$102,0)),0)))</f>
        <v/>
      </c>
      <c r="F516" s="16" t="str">
        <f aca="false">IF($D516="","",IFERROR(INDEX(상품목록!$C$3:$C$102,MATCH($D516,상품목록!$A$3:$A$102,0)),0))</f>
        <v/>
      </c>
      <c r="G516" s="17" t="str">
        <f aca="false">IF(OR($A516="",$F516=""),"",$A516+$F516)</f>
        <v/>
      </c>
      <c r="H516" s="16" t="str">
        <f aca="false">IF($D516="","",IF($J516="환불",0,IFERROR(INDEX(상품목록!$D$3:$D$102,MATCH($D516,상품목록!$A$3:$A$102,0)),0)))</f>
        <v/>
      </c>
      <c r="I516" s="10"/>
      <c r="J516" s="10"/>
      <c r="K516" s="10"/>
    </row>
    <row r="517" customFormat="false" ht="15" hidden="false" customHeight="true" outlineLevel="0" collapsed="false">
      <c r="A517" s="12"/>
      <c r="B517" s="10"/>
      <c r="C517" s="15" t="str">
        <f aca="false">IF($B517="","",IFERROR(INDEX(회원명부!$B$3:$B$502,MATCH($B517,회원명부!$A$3:$A$502,0)),"미등록회원"))</f>
        <v/>
      </c>
      <c r="D517" s="10"/>
      <c r="E517" s="16" t="str">
        <f aca="false">IF($D517="","",IF($J517="환불",0,IFERROR(INDEX(상품목록!$B$3:$B$102,MATCH($D517,상품목록!$A$3:$A$102,0)),0)))</f>
        <v/>
      </c>
      <c r="F517" s="16" t="str">
        <f aca="false">IF($D517="","",IFERROR(INDEX(상품목록!$C$3:$C$102,MATCH($D517,상품목록!$A$3:$A$102,0)),0))</f>
        <v/>
      </c>
      <c r="G517" s="17" t="str">
        <f aca="false">IF(OR($A517="",$F517=""),"",$A517+$F517)</f>
        <v/>
      </c>
      <c r="H517" s="16" t="str">
        <f aca="false">IF($D517="","",IF($J517="환불",0,IFERROR(INDEX(상품목록!$D$3:$D$102,MATCH($D517,상품목록!$A$3:$A$102,0)),0)))</f>
        <v/>
      </c>
      <c r="I517" s="10"/>
      <c r="J517" s="10"/>
      <c r="K517" s="10"/>
    </row>
    <row r="518" customFormat="false" ht="15" hidden="false" customHeight="true" outlineLevel="0" collapsed="false">
      <c r="A518" s="12"/>
      <c r="B518" s="10"/>
      <c r="C518" s="15" t="str">
        <f aca="false">IF($B518="","",IFERROR(INDEX(회원명부!$B$3:$B$502,MATCH($B518,회원명부!$A$3:$A$502,0)),"미등록회원"))</f>
        <v/>
      </c>
      <c r="D518" s="10"/>
      <c r="E518" s="16" t="str">
        <f aca="false">IF($D518="","",IF($J518="환불",0,IFERROR(INDEX(상품목록!$B$3:$B$102,MATCH($D518,상품목록!$A$3:$A$102,0)),0)))</f>
        <v/>
      </c>
      <c r="F518" s="16" t="str">
        <f aca="false">IF($D518="","",IFERROR(INDEX(상품목록!$C$3:$C$102,MATCH($D518,상품목록!$A$3:$A$102,0)),0))</f>
        <v/>
      </c>
      <c r="G518" s="17" t="str">
        <f aca="false">IF(OR($A518="",$F518=""),"",$A518+$F518)</f>
        <v/>
      </c>
      <c r="H518" s="16" t="str">
        <f aca="false">IF($D518="","",IF($J518="환불",0,IFERROR(INDEX(상품목록!$D$3:$D$102,MATCH($D518,상품목록!$A$3:$A$102,0)),0)))</f>
        <v/>
      </c>
      <c r="I518" s="10"/>
      <c r="J518" s="10"/>
      <c r="K518" s="10"/>
    </row>
    <row r="519" customFormat="false" ht="15" hidden="false" customHeight="true" outlineLevel="0" collapsed="false">
      <c r="A519" s="12"/>
      <c r="B519" s="10"/>
      <c r="C519" s="15" t="str">
        <f aca="false">IF($B519="","",IFERROR(INDEX(회원명부!$B$3:$B$502,MATCH($B519,회원명부!$A$3:$A$502,0)),"미등록회원"))</f>
        <v/>
      </c>
      <c r="D519" s="10"/>
      <c r="E519" s="16" t="str">
        <f aca="false">IF($D519="","",IF($J519="환불",0,IFERROR(INDEX(상품목록!$B$3:$B$102,MATCH($D519,상품목록!$A$3:$A$102,0)),0)))</f>
        <v/>
      </c>
      <c r="F519" s="16" t="str">
        <f aca="false">IF($D519="","",IFERROR(INDEX(상품목록!$C$3:$C$102,MATCH($D519,상품목록!$A$3:$A$102,0)),0))</f>
        <v/>
      </c>
      <c r="G519" s="17" t="str">
        <f aca="false">IF(OR($A519="",$F519=""),"",$A519+$F519)</f>
        <v/>
      </c>
      <c r="H519" s="16" t="str">
        <f aca="false">IF($D519="","",IF($J519="환불",0,IFERROR(INDEX(상품목록!$D$3:$D$102,MATCH($D519,상품목록!$A$3:$A$102,0)),0)))</f>
        <v/>
      </c>
      <c r="I519" s="10"/>
      <c r="J519" s="10"/>
      <c r="K519" s="10"/>
    </row>
    <row r="520" customFormat="false" ht="15" hidden="false" customHeight="true" outlineLevel="0" collapsed="false">
      <c r="A520" s="12"/>
      <c r="B520" s="10"/>
      <c r="C520" s="15" t="str">
        <f aca="false">IF($B520="","",IFERROR(INDEX(회원명부!$B$3:$B$502,MATCH($B520,회원명부!$A$3:$A$502,0)),"미등록회원"))</f>
        <v/>
      </c>
      <c r="D520" s="10"/>
      <c r="E520" s="16" t="str">
        <f aca="false">IF($D520="","",IF($J520="환불",0,IFERROR(INDEX(상품목록!$B$3:$B$102,MATCH($D520,상품목록!$A$3:$A$102,0)),0)))</f>
        <v/>
      </c>
      <c r="F520" s="16" t="str">
        <f aca="false">IF($D520="","",IFERROR(INDEX(상품목록!$C$3:$C$102,MATCH($D520,상품목록!$A$3:$A$102,0)),0))</f>
        <v/>
      </c>
      <c r="G520" s="17" t="str">
        <f aca="false">IF(OR($A520="",$F520=""),"",$A520+$F520)</f>
        <v/>
      </c>
      <c r="H520" s="16" t="str">
        <f aca="false">IF($D520="","",IF($J520="환불",0,IFERROR(INDEX(상품목록!$D$3:$D$102,MATCH($D520,상품목록!$A$3:$A$102,0)),0)))</f>
        <v/>
      </c>
      <c r="I520" s="10"/>
      <c r="J520" s="10"/>
      <c r="K520" s="10"/>
    </row>
    <row r="521" customFormat="false" ht="15" hidden="false" customHeight="true" outlineLevel="0" collapsed="false">
      <c r="A521" s="12"/>
      <c r="B521" s="10"/>
      <c r="C521" s="15" t="str">
        <f aca="false">IF($B521="","",IFERROR(INDEX(회원명부!$B$3:$B$502,MATCH($B521,회원명부!$A$3:$A$502,0)),"미등록회원"))</f>
        <v/>
      </c>
      <c r="D521" s="10"/>
      <c r="E521" s="16" t="str">
        <f aca="false">IF($D521="","",IF($J521="환불",0,IFERROR(INDEX(상품목록!$B$3:$B$102,MATCH($D521,상품목록!$A$3:$A$102,0)),0)))</f>
        <v/>
      </c>
      <c r="F521" s="16" t="str">
        <f aca="false">IF($D521="","",IFERROR(INDEX(상품목록!$C$3:$C$102,MATCH($D521,상품목록!$A$3:$A$102,0)),0))</f>
        <v/>
      </c>
      <c r="G521" s="17" t="str">
        <f aca="false">IF(OR($A521="",$F521=""),"",$A521+$F521)</f>
        <v/>
      </c>
      <c r="H521" s="16" t="str">
        <f aca="false">IF($D521="","",IF($J521="환불",0,IFERROR(INDEX(상품목록!$D$3:$D$102,MATCH($D521,상품목록!$A$3:$A$102,0)),0)))</f>
        <v/>
      </c>
      <c r="I521" s="10"/>
      <c r="J521" s="10"/>
      <c r="K521" s="10"/>
    </row>
    <row r="522" customFormat="false" ht="15" hidden="false" customHeight="true" outlineLevel="0" collapsed="false">
      <c r="A522" s="12"/>
      <c r="B522" s="10"/>
      <c r="C522" s="15" t="str">
        <f aca="false">IF($B522="","",IFERROR(INDEX(회원명부!$B$3:$B$502,MATCH($B522,회원명부!$A$3:$A$502,0)),"미등록회원"))</f>
        <v/>
      </c>
      <c r="D522" s="10"/>
      <c r="E522" s="16" t="str">
        <f aca="false">IF($D522="","",IF($J522="환불",0,IFERROR(INDEX(상품목록!$B$3:$B$102,MATCH($D522,상품목록!$A$3:$A$102,0)),0)))</f>
        <v/>
      </c>
      <c r="F522" s="16" t="str">
        <f aca="false">IF($D522="","",IFERROR(INDEX(상품목록!$C$3:$C$102,MATCH($D522,상품목록!$A$3:$A$102,0)),0))</f>
        <v/>
      </c>
      <c r="G522" s="17" t="str">
        <f aca="false">IF(OR($A522="",$F522=""),"",$A522+$F522)</f>
        <v/>
      </c>
      <c r="H522" s="16" t="str">
        <f aca="false">IF($D522="","",IF($J522="환불",0,IFERROR(INDEX(상품목록!$D$3:$D$102,MATCH($D522,상품목록!$A$3:$A$102,0)),0)))</f>
        <v/>
      </c>
      <c r="I522" s="10"/>
      <c r="J522" s="10"/>
      <c r="K522" s="10"/>
    </row>
    <row r="523" customFormat="false" ht="15" hidden="false" customHeight="true" outlineLevel="0" collapsed="false">
      <c r="A523" s="12"/>
      <c r="B523" s="10"/>
      <c r="C523" s="15" t="str">
        <f aca="false">IF($B523="","",IFERROR(INDEX(회원명부!$B$3:$B$502,MATCH($B523,회원명부!$A$3:$A$502,0)),"미등록회원"))</f>
        <v/>
      </c>
      <c r="D523" s="10"/>
      <c r="E523" s="16" t="str">
        <f aca="false">IF($D523="","",IF($J523="환불",0,IFERROR(INDEX(상품목록!$B$3:$B$102,MATCH($D523,상품목록!$A$3:$A$102,0)),0)))</f>
        <v/>
      </c>
      <c r="F523" s="16" t="str">
        <f aca="false">IF($D523="","",IFERROR(INDEX(상품목록!$C$3:$C$102,MATCH($D523,상품목록!$A$3:$A$102,0)),0))</f>
        <v/>
      </c>
      <c r="G523" s="17" t="str">
        <f aca="false">IF(OR($A523="",$F523=""),"",$A523+$F523)</f>
        <v/>
      </c>
      <c r="H523" s="16" t="str">
        <f aca="false">IF($D523="","",IF($J523="환불",0,IFERROR(INDEX(상품목록!$D$3:$D$102,MATCH($D523,상품목록!$A$3:$A$102,0)),0)))</f>
        <v/>
      </c>
      <c r="I523" s="10"/>
      <c r="J523" s="10"/>
      <c r="K523" s="10"/>
    </row>
    <row r="524" customFormat="false" ht="15" hidden="false" customHeight="true" outlineLevel="0" collapsed="false">
      <c r="A524" s="12"/>
      <c r="B524" s="10"/>
      <c r="C524" s="15" t="str">
        <f aca="false">IF($B524="","",IFERROR(INDEX(회원명부!$B$3:$B$502,MATCH($B524,회원명부!$A$3:$A$502,0)),"미등록회원"))</f>
        <v/>
      </c>
      <c r="D524" s="10"/>
      <c r="E524" s="16" t="str">
        <f aca="false">IF($D524="","",IF($J524="환불",0,IFERROR(INDEX(상품목록!$B$3:$B$102,MATCH($D524,상품목록!$A$3:$A$102,0)),0)))</f>
        <v/>
      </c>
      <c r="F524" s="16" t="str">
        <f aca="false">IF($D524="","",IFERROR(INDEX(상품목록!$C$3:$C$102,MATCH($D524,상품목록!$A$3:$A$102,0)),0))</f>
        <v/>
      </c>
      <c r="G524" s="17" t="str">
        <f aca="false">IF(OR($A524="",$F524=""),"",$A524+$F524)</f>
        <v/>
      </c>
      <c r="H524" s="16" t="str">
        <f aca="false">IF($D524="","",IF($J524="환불",0,IFERROR(INDEX(상품목록!$D$3:$D$102,MATCH($D524,상품목록!$A$3:$A$102,0)),0)))</f>
        <v/>
      </c>
      <c r="I524" s="10"/>
      <c r="J524" s="10"/>
      <c r="K524" s="10"/>
    </row>
    <row r="525" customFormat="false" ht="15" hidden="false" customHeight="true" outlineLevel="0" collapsed="false">
      <c r="A525" s="12"/>
      <c r="B525" s="10"/>
      <c r="C525" s="15" t="str">
        <f aca="false">IF($B525="","",IFERROR(INDEX(회원명부!$B$3:$B$502,MATCH($B525,회원명부!$A$3:$A$502,0)),"미등록회원"))</f>
        <v/>
      </c>
      <c r="D525" s="10"/>
      <c r="E525" s="16" t="str">
        <f aca="false">IF($D525="","",IF($J525="환불",0,IFERROR(INDEX(상품목록!$B$3:$B$102,MATCH($D525,상품목록!$A$3:$A$102,0)),0)))</f>
        <v/>
      </c>
      <c r="F525" s="16" t="str">
        <f aca="false">IF($D525="","",IFERROR(INDEX(상품목록!$C$3:$C$102,MATCH($D525,상품목록!$A$3:$A$102,0)),0))</f>
        <v/>
      </c>
      <c r="G525" s="17" t="str">
        <f aca="false">IF(OR($A525="",$F525=""),"",$A525+$F525)</f>
        <v/>
      </c>
      <c r="H525" s="16" t="str">
        <f aca="false">IF($D525="","",IF($J525="환불",0,IFERROR(INDEX(상품목록!$D$3:$D$102,MATCH($D525,상품목록!$A$3:$A$102,0)),0)))</f>
        <v/>
      </c>
      <c r="I525" s="10"/>
      <c r="J525" s="10"/>
      <c r="K525" s="10"/>
    </row>
    <row r="526" customFormat="false" ht="15" hidden="false" customHeight="true" outlineLevel="0" collapsed="false">
      <c r="A526" s="12"/>
      <c r="B526" s="10"/>
      <c r="C526" s="15" t="str">
        <f aca="false">IF($B526="","",IFERROR(INDEX(회원명부!$B$3:$B$502,MATCH($B526,회원명부!$A$3:$A$502,0)),"미등록회원"))</f>
        <v/>
      </c>
      <c r="D526" s="10"/>
      <c r="E526" s="16" t="str">
        <f aca="false">IF($D526="","",IF($J526="환불",0,IFERROR(INDEX(상품목록!$B$3:$B$102,MATCH($D526,상품목록!$A$3:$A$102,0)),0)))</f>
        <v/>
      </c>
      <c r="F526" s="16" t="str">
        <f aca="false">IF($D526="","",IFERROR(INDEX(상품목록!$C$3:$C$102,MATCH($D526,상품목록!$A$3:$A$102,0)),0))</f>
        <v/>
      </c>
      <c r="G526" s="17" t="str">
        <f aca="false">IF(OR($A526="",$F526=""),"",$A526+$F526)</f>
        <v/>
      </c>
      <c r="H526" s="16" t="str">
        <f aca="false">IF($D526="","",IF($J526="환불",0,IFERROR(INDEX(상품목록!$D$3:$D$102,MATCH($D526,상품목록!$A$3:$A$102,0)),0)))</f>
        <v/>
      </c>
      <c r="I526" s="10"/>
      <c r="J526" s="10"/>
      <c r="K526" s="10"/>
    </row>
    <row r="527" customFormat="false" ht="15" hidden="false" customHeight="true" outlineLevel="0" collapsed="false">
      <c r="A527" s="12"/>
      <c r="B527" s="10"/>
      <c r="C527" s="15" t="str">
        <f aca="false">IF($B527="","",IFERROR(INDEX(회원명부!$B$3:$B$502,MATCH($B527,회원명부!$A$3:$A$502,0)),"미등록회원"))</f>
        <v/>
      </c>
      <c r="D527" s="10"/>
      <c r="E527" s="16" t="str">
        <f aca="false">IF($D527="","",IF($J527="환불",0,IFERROR(INDEX(상품목록!$B$3:$B$102,MATCH($D527,상품목록!$A$3:$A$102,0)),0)))</f>
        <v/>
      </c>
      <c r="F527" s="16" t="str">
        <f aca="false">IF($D527="","",IFERROR(INDEX(상품목록!$C$3:$C$102,MATCH($D527,상품목록!$A$3:$A$102,0)),0))</f>
        <v/>
      </c>
      <c r="G527" s="17" t="str">
        <f aca="false">IF(OR($A527="",$F527=""),"",$A527+$F527)</f>
        <v/>
      </c>
      <c r="H527" s="16" t="str">
        <f aca="false">IF($D527="","",IF($J527="환불",0,IFERROR(INDEX(상품목록!$D$3:$D$102,MATCH($D527,상품목록!$A$3:$A$102,0)),0)))</f>
        <v/>
      </c>
      <c r="I527" s="10"/>
      <c r="J527" s="10"/>
      <c r="K527" s="10"/>
    </row>
    <row r="528" customFormat="false" ht="15" hidden="false" customHeight="true" outlineLevel="0" collapsed="false">
      <c r="A528" s="12"/>
      <c r="B528" s="10"/>
      <c r="C528" s="15" t="str">
        <f aca="false">IF($B528="","",IFERROR(INDEX(회원명부!$B$3:$B$502,MATCH($B528,회원명부!$A$3:$A$502,0)),"미등록회원"))</f>
        <v/>
      </c>
      <c r="D528" s="10"/>
      <c r="E528" s="16" t="str">
        <f aca="false">IF($D528="","",IF($J528="환불",0,IFERROR(INDEX(상품목록!$B$3:$B$102,MATCH($D528,상품목록!$A$3:$A$102,0)),0)))</f>
        <v/>
      </c>
      <c r="F528" s="16" t="str">
        <f aca="false">IF($D528="","",IFERROR(INDEX(상품목록!$C$3:$C$102,MATCH($D528,상품목록!$A$3:$A$102,0)),0))</f>
        <v/>
      </c>
      <c r="G528" s="17" t="str">
        <f aca="false">IF(OR($A528="",$F528=""),"",$A528+$F528)</f>
        <v/>
      </c>
      <c r="H528" s="16" t="str">
        <f aca="false">IF($D528="","",IF($J528="환불",0,IFERROR(INDEX(상품목록!$D$3:$D$102,MATCH($D528,상품목록!$A$3:$A$102,0)),0)))</f>
        <v/>
      </c>
      <c r="I528" s="10"/>
      <c r="J528" s="10"/>
      <c r="K528" s="10"/>
    </row>
    <row r="529" customFormat="false" ht="15" hidden="false" customHeight="true" outlineLevel="0" collapsed="false">
      <c r="A529" s="12"/>
      <c r="B529" s="10"/>
      <c r="C529" s="15" t="str">
        <f aca="false">IF($B529="","",IFERROR(INDEX(회원명부!$B$3:$B$502,MATCH($B529,회원명부!$A$3:$A$502,0)),"미등록회원"))</f>
        <v/>
      </c>
      <c r="D529" s="10"/>
      <c r="E529" s="16" t="str">
        <f aca="false">IF($D529="","",IF($J529="환불",0,IFERROR(INDEX(상품목록!$B$3:$B$102,MATCH($D529,상품목록!$A$3:$A$102,0)),0)))</f>
        <v/>
      </c>
      <c r="F529" s="16" t="str">
        <f aca="false">IF($D529="","",IFERROR(INDEX(상품목록!$C$3:$C$102,MATCH($D529,상품목록!$A$3:$A$102,0)),0))</f>
        <v/>
      </c>
      <c r="G529" s="17" t="str">
        <f aca="false">IF(OR($A529="",$F529=""),"",$A529+$F529)</f>
        <v/>
      </c>
      <c r="H529" s="16" t="str">
        <f aca="false">IF($D529="","",IF($J529="환불",0,IFERROR(INDEX(상품목록!$D$3:$D$102,MATCH($D529,상품목록!$A$3:$A$102,0)),0)))</f>
        <v/>
      </c>
      <c r="I529" s="10"/>
      <c r="J529" s="10"/>
      <c r="K529" s="10"/>
    </row>
    <row r="530" customFormat="false" ht="15" hidden="false" customHeight="true" outlineLevel="0" collapsed="false">
      <c r="A530" s="12"/>
      <c r="B530" s="10"/>
      <c r="C530" s="15" t="str">
        <f aca="false">IF($B530="","",IFERROR(INDEX(회원명부!$B$3:$B$502,MATCH($B530,회원명부!$A$3:$A$502,0)),"미등록회원"))</f>
        <v/>
      </c>
      <c r="D530" s="10"/>
      <c r="E530" s="16" t="str">
        <f aca="false">IF($D530="","",IF($J530="환불",0,IFERROR(INDEX(상품목록!$B$3:$B$102,MATCH($D530,상품목록!$A$3:$A$102,0)),0)))</f>
        <v/>
      </c>
      <c r="F530" s="16" t="str">
        <f aca="false">IF($D530="","",IFERROR(INDEX(상품목록!$C$3:$C$102,MATCH($D530,상품목록!$A$3:$A$102,0)),0))</f>
        <v/>
      </c>
      <c r="G530" s="17" t="str">
        <f aca="false">IF(OR($A530="",$F530=""),"",$A530+$F530)</f>
        <v/>
      </c>
      <c r="H530" s="16" t="str">
        <f aca="false">IF($D530="","",IF($J530="환불",0,IFERROR(INDEX(상품목록!$D$3:$D$102,MATCH($D530,상품목록!$A$3:$A$102,0)),0)))</f>
        <v/>
      </c>
      <c r="I530" s="10"/>
      <c r="J530" s="10"/>
      <c r="K530" s="10"/>
    </row>
    <row r="531" customFormat="false" ht="15" hidden="false" customHeight="true" outlineLevel="0" collapsed="false">
      <c r="A531" s="12"/>
      <c r="B531" s="10"/>
      <c r="C531" s="15" t="str">
        <f aca="false">IF($B531="","",IFERROR(INDEX(회원명부!$B$3:$B$502,MATCH($B531,회원명부!$A$3:$A$502,0)),"미등록회원"))</f>
        <v/>
      </c>
      <c r="D531" s="10"/>
      <c r="E531" s="16" t="str">
        <f aca="false">IF($D531="","",IF($J531="환불",0,IFERROR(INDEX(상품목록!$B$3:$B$102,MATCH($D531,상품목록!$A$3:$A$102,0)),0)))</f>
        <v/>
      </c>
      <c r="F531" s="16" t="str">
        <f aca="false">IF($D531="","",IFERROR(INDEX(상품목록!$C$3:$C$102,MATCH($D531,상품목록!$A$3:$A$102,0)),0))</f>
        <v/>
      </c>
      <c r="G531" s="17" t="str">
        <f aca="false">IF(OR($A531="",$F531=""),"",$A531+$F531)</f>
        <v/>
      </c>
      <c r="H531" s="16" t="str">
        <f aca="false">IF($D531="","",IF($J531="환불",0,IFERROR(INDEX(상품목록!$D$3:$D$102,MATCH($D531,상품목록!$A$3:$A$102,0)),0)))</f>
        <v/>
      </c>
      <c r="I531" s="10"/>
      <c r="J531" s="10"/>
      <c r="K531" s="10"/>
    </row>
    <row r="532" customFormat="false" ht="15" hidden="false" customHeight="true" outlineLevel="0" collapsed="false">
      <c r="A532" s="12"/>
      <c r="B532" s="10"/>
      <c r="C532" s="15" t="str">
        <f aca="false">IF($B532="","",IFERROR(INDEX(회원명부!$B$3:$B$502,MATCH($B532,회원명부!$A$3:$A$502,0)),"미등록회원"))</f>
        <v/>
      </c>
      <c r="D532" s="10"/>
      <c r="E532" s="16" t="str">
        <f aca="false">IF($D532="","",IF($J532="환불",0,IFERROR(INDEX(상품목록!$B$3:$B$102,MATCH($D532,상품목록!$A$3:$A$102,0)),0)))</f>
        <v/>
      </c>
      <c r="F532" s="16" t="str">
        <f aca="false">IF($D532="","",IFERROR(INDEX(상품목록!$C$3:$C$102,MATCH($D532,상품목록!$A$3:$A$102,0)),0))</f>
        <v/>
      </c>
      <c r="G532" s="17" t="str">
        <f aca="false">IF(OR($A532="",$F532=""),"",$A532+$F532)</f>
        <v/>
      </c>
      <c r="H532" s="16" t="str">
        <f aca="false">IF($D532="","",IF($J532="환불",0,IFERROR(INDEX(상품목록!$D$3:$D$102,MATCH($D532,상품목록!$A$3:$A$102,0)),0)))</f>
        <v/>
      </c>
      <c r="I532" s="10"/>
      <c r="J532" s="10"/>
      <c r="K532" s="10"/>
    </row>
    <row r="533" customFormat="false" ht="15" hidden="false" customHeight="true" outlineLevel="0" collapsed="false">
      <c r="A533" s="12"/>
      <c r="B533" s="10"/>
      <c r="C533" s="15" t="str">
        <f aca="false">IF($B533="","",IFERROR(INDEX(회원명부!$B$3:$B$502,MATCH($B533,회원명부!$A$3:$A$502,0)),"미등록회원"))</f>
        <v/>
      </c>
      <c r="D533" s="10"/>
      <c r="E533" s="16" t="str">
        <f aca="false">IF($D533="","",IF($J533="환불",0,IFERROR(INDEX(상품목록!$B$3:$B$102,MATCH($D533,상품목록!$A$3:$A$102,0)),0)))</f>
        <v/>
      </c>
      <c r="F533" s="16" t="str">
        <f aca="false">IF($D533="","",IFERROR(INDEX(상품목록!$C$3:$C$102,MATCH($D533,상품목록!$A$3:$A$102,0)),0))</f>
        <v/>
      </c>
      <c r="G533" s="17" t="str">
        <f aca="false">IF(OR($A533="",$F533=""),"",$A533+$F533)</f>
        <v/>
      </c>
      <c r="H533" s="16" t="str">
        <f aca="false">IF($D533="","",IF($J533="환불",0,IFERROR(INDEX(상품목록!$D$3:$D$102,MATCH($D533,상품목록!$A$3:$A$102,0)),0)))</f>
        <v/>
      </c>
      <c r="I533" s="10"/>
      <c r="J533" s="10"/>
      <c r="K533" s="10"/>
    </row>
    <row r="534" customFormat="false" ht="15" hidden="false" customHeight="true" outlineLevel="0" collapsed="false">
      <c r="A534" s="12"/>
      <c r="B534" s="10"/>
      <c r="C534" s="15" t="str">
        <f aca="false">IF($B534="","",IFERROR(INDEX(회원명부!$B$3:$B$502,MATCH($B534,회원명부!$A$3:$A$502,0)),"미등록회원"))</f>
        <v/>
      </c>
      <c r="D534" s="10"/>
      <c r="E534" s="16" t="str">
        <f aca="false">IF($D534="","",IF($J534="환불",0,IFERROR(INDEX(상품목록!$B$3:$B$102,MATCH($D534,상품목록!$A$3:$A$102,0)),0)))</f>
        <v/>
      </c>
      <c r="F534" s="16" t="str">
        <f aca="false">IF($D534="","",IFERROR(INDEX(상품목록!$C$3:$C$102,MATCH($D534,상품목록!$A$3:$A$102,0)),0))</f>
        <v/>
      </c>
      <c r="G534" s="17" t="str">
        <f aca="false">IF(OR($A534="",$F534=""),"",$A534+$F534)</f>
        <v/>
      </c>
      <c r="H534" s="16" t="str">
        <f aca="false">IF($D534="","",IF($J534="환불",0,IFERROR(INDEX(상품목록!$D$3:$D$102,MATCH($D534,상품목록!$A$3:$A$102,0)),0)))</f>
        <v/>
      </c>
      <c r="I534" s="10"/>
      <c r="J534" s="10"/>
      <c r="K534" s="10"/>
    </row>
    <row r="535" customFormat="false" ht="15" hidden="false" customHeight="true" outlineLevel="0" collapsed="false">
      <c r="A535" s="12"/>
      <c r="B535" s="10"/>
      <c r="C535" s="15" t="str">
        <f aca="false">IF($B535="","",IFERROR(INDEX(회원명부!$B$3:$B$502,MATCH($B535,회원명부!$A$3:$A$502,0)),"미등록회원"))</f>
        <v/>
      </c>
      <c r="D535" s="10"/>
      <c r="E535" s="16" t="str">
        <f aca="false">IF($D535="","",IF($J535="환불",0,IFERROR(INDEX(상품목록!$B$3:$B$102,MATCH($D535,상품목록!$A$3:$A$102,0)),0)))</f>
        <v/>
      </c>
      <c r="F535" s="16" t="str">
        <f aca="false">IF($D535="","",IFERROR(INDEX(상품목록!$C$3:$C$102,MATCH($D535,상품목록!$A$3:$A$102,0)),0))</f>
        <v/>
      </c>
      <c r="G535" s="17" t="str">
        <f aca="false">IF(OR($A535="",$F535=""),"",$A535+$F535)</f>
        <v/>
      </c>
      <c r="H535" s="16" t="str">
        <f aca="false">IF($D535="","",IF($J535="환불",0,IFERROR(INDEX(상품목록!$D$3:$D$102,MATCH($D535,상품목록!$A$3:$A$102,0)),0)))</f>
        <v/>
      </c>
      <c r="I535" s="10"/>
      <c r="J535" s="10"/>
      <c r="K535" s="10"/>
    </row>
    <row r="536" customFormat="false" ht="15" hidden="false" customHeight="true" outlineLevel="0" collapsed="false">
      <c r="A536" s="12"/>
      <c r="B536" s="10"/>
      <c r="C536" s="15" t="str">
        <f aca="false">IF($B536="","",IFERROR(INDEX(회원명부!$B$3:$B$502,MATCH($B536,회원명부!$A$3:$A$502,0)),"미등록회원"))</f>
        <v/>
      </c>
      <c r="D536" s="10"/>
      <c r="E536" s="16" t="str">
        <f aca="false">IF($D536="","",IF($J536="환불",0,IFERROR(INDEX(상품목록!$B$3:$B$102,MATCH($D536,상품목록!$A$3:$A$102,0)),0)))</f>
        <v/>
      </c>
      <c r="F536" s="16" t="str">
        <f aca="false">IF($D536="","",IFERROR(INDEX(상품목록!$C$3:$C$102,MATCH($D536,상품목록!$A$3:$A$102,0)),0))</f>
        <v/>
      </c>
      <c r="G536" s="17" t="str">
        <f aca="false">IF(OR($A536="",$F536=""),"",$A536+$F536)</f>
        <v/>
      </c>
      <c r="H536" s="16" t="str">
        <f aca="false">IF($D536="","",IF($J536="환불",0,IFERROR(INDEX(상품목록!$D$3:$D$102,MATCH($D536,상품목록!$A$3:$A$102,0)),0)))</f>
        <v/>
      </c>
      <c r="I536" s="10"/>
      <c r="J536" s="10"/>
      <c r="K536" s="10"/>
    </row>
    <row r="537" customFormat="false" ht="15" hidden="false" customHeight="true" outlineLevel="0" collapsed="false">
      <c r="A537" s="12"/>
      <c r="B537" s="10"/>
      <c r="C537" s="15" t="str">
        <f aca="false">IF($B537="","",IFERROR(INDEX(회원명부!$B$3:$B$502,MATCH($B537,회원명부!$A$3:$A$502,0)),"미등록회원"))</f>
        <v/>
      </c>
      <c r="D537" s="10"/>
      <c r="E537" s="16" t="str">
        <f aca="false">IF($D537="","",IF($J537="환불",0,IFERROR(INDEX(상품목록!$B$3:$B$102,MATCH($D537,상품목록!$A$3:$A$102,0)),0)))</f>
        <v/>
      </c>
      <c r="F537" s="16" t="str">
        <f aca="false">IF($D537="","",IFERROR(INDEX(상품목록!$C$3:$C$102,MATCH($D537,상품목록!$A$3:$A$102,0)),0))</f>
        <v/>
      </c>
      <c r="G537" s="17" t="str">
        <f aca="false">IF(OR($A537="",$F537=""),"",$A537+$F537)</f>
        <v/>
      </c>
      <c r="H537" s="16" t="str">
        <f aca="false">IF($D537="","",IF($J537="환불",0,IFERROR(INDEX(상품목록!$D$3:$D$102,MATCH($D537,상품목록!$A$3:$A$102,0)),0)))</f>
        <v/>
      </c>
      <c r="I537" s="10"/>
      <c r="J537" s="10"/>
      <c r="K537" s="10"/>
    </row>
    <row r="538" customFormat="false" ht="15" hidden="false" customHeight="true" outlineLevel="0" collapsed="false">
      <c r="A538" s="12"/>
      <c r="B538" s="10"/>
      <c r="C538" s="15" t="str">
        <f aca="false">IF($B538="","",IFERROR(INDEX(회원명부!$B$3:$B$502,MATCH($B538,회원명부!$A$3:$A$502,0)),"미등록회원"))</f>
        <v/>
      </c>
      <c r="D538" s="10"/>
      <c r="E538" s="16" t="str">
        <f aca="false">IF($D538="","",IF($J538="환불",0,IFERROR(INDEX(상품목록!$B$3:$B$102,MATCH($D538,상품목록!$A$3:$A$102,0)),0)))</f>
        <v/>
      </c>
      <c r="F538" s="16" t="str">
        <f aca="false">IF($D538="","",IFERROR(INDEX(상품목록!$C$3:$C$102,MATCH($D538,상품목록!$A$3:$A$102,0)),0))</f>
        <v/>
      </c>
      <c r="G538" s="17" t="str">
        <f aca="false">IF(OR($A538="",$F538=""),"",$A538+$F538)</f>
        <v/>
      </c>
      <c r="H538" s="16" t="str">
        <f aca="false">IF($D538="","",IF($J538="환불",0,IFERROR(INDEX(상품목록!$D$3:$D$102,MATCH($D538,상품목록!$A$3:$A$102,0)),0)))</f>
        <v/>
      </c>
      <c r="I538" s="10"/>
      <c r="J538" s="10"/>
      <c r="K538" s="10"/>
    </row>
    <row r="539" customFormat="false" ht="15" hidden="false" customHeight="true" outlineLevel="0" collapsed="false">
      <c r="A539" s="12"/>
      <c r="B539" s="10"/>
      <c r="C539" s="15" t="str">
        <f aca="false">IF($B539="","",IFERROR(INDEX(회원명부!$B$3:$B$502,MATCH($B539,회원명부!$A$3:$A$502,0)),"미등록회원"))</f>
        <v/>
      </c>
      <c r="D539" s="10"/>
      <c r="E539" s="16" t="str">
        <f aca="false">IF($D539="","",IF($J539="환불",0,IFERROR(INDEX(상품목록!$B$3:$B$102,MATCH($D539,상품목록!$A$3:$A$102,0)),0)))</f>
        <v/>
      </c>
      <c r="F539" s="16" t="str">
        <f aca="false">IF($D539="","",IFERROR(INDEX(상품목록!$C$3:$C$102,MATCH($D539,상품목록!$A$3:$A$102,0)),0))</f>
        <v/>
      </c>
      <c r="G539" s="17" t="str">
        <f aca="false">IF(OR($A539="",$F539=""),"",$A539+$F539)</f>
        <v/>
      </c>
      <c r="H539" s="16" t="str">
        <f aca="false">IF($D539="","",IF($J539="환불",0,IFERROR(INDEX(상품목록!$D$3:$D$102,MATCH($D539,상품목록!$A$3:$A$102,0)),0)))</f>
        <v/>
      </c>
      <c r="I539" s="10"/>
      <c r="J539" s="10"/>
      <c r="K539" s="10"/>
    </row>
    <row r="540" customFormat="false" ht="15" hidden="false" customHeight="true" outlineLevel="0" collapsed="false">
      <c r="A540" s="12"/>
      <c r="B540" s="10"/>
      <c r="C540" s="15" t="str">
        <f aca="false">IF($B540="","",IFERROR(INDEX(회원명부!$B$3:$B$502,MATCH($B540,회원명부!$A$3:$A$502,0)),"미등록회원"))</f>
        <v/>
      </c>
      <c r="D540" s="10"/>
      <c r="E540" s="16" t="str">
        <f aca="false">IF($D540="","",IF($J540="환불",0,IFERROR(INDEX(상품목록!$B$3:$B$102,MATCH($D540,상품목록!$A$3:$A$102,0)),0)))</f>
        <v/>
      </c>
      <c r="F540" s="16" t="str">
        <f aca="false">IF($D540="","",IFERROR(INDEX(상품목록!$C$3:$C$102,MATCH($D540,상품목록!$A$3:$A$102,0)),0))</f>
        <v/>
      </c>
      <c r="G540" s="17" t="str">
        <f aca="false">IF(OR($A540="",$F540=""),"",$A540+$F540)</f>
        <v/>
      </c>
      <c r="H540" s="16" t="str">
        <f aca="false">IF($D540="","",IF($J540="환불",0,IFERROR(INDEX(상품목록!$D$3:$D$102,MATCH($D540,상품목록!$A$3:$A$102,0)),0)))</f>
        <v/>
      </c>
      <c r="I540" s="10"/>
      <c r="J540" s="10"/>
      <c r="K540" s="10"/>
    </row>
    <row r="541" customFormat="false" ht="15" hidden="false" customHeight="true" outlineLevel="0" collapsed="false">
      <c r="A541" s="12"/>
      <c r="B541" s="10"/>
      <c r="C541" s="15" t="str">
        <f aca="false">IF($B541="","",IFERROR(INDEX(회원명부!$B$3:$B$502,MATCH($B541,회원명부!$A$3:$A$502,0)),"미등록회원"))</f>
        <v/>
      </c>
      <c r="D541" s="10"/>
      <c r="E541" s="16" t="str">
        <f aca="false">IF($D541="","",IF($J541="환불",0,IFERROR(INDEX(상품목록!$B$3:$B$102,MATCH($D541,상품목록!$A$3:$A$102,0)),0)))</f>
        <v/>
      </c>
      <c r="F541" s="16" t="str">
        <f aca="false">IF($D541="","",IFERROR(INDEX(상품목록!$C$3:$C$102,MATCH($D541,상품목록!$A$3:$A$102,0)),0))</f>
        <v/>
      </c>
      <c r="G541" s="17" t="str">
        <f aca="false">IF(OR($A541="",$F541=""),"",$A541+$F541)</f>
        <v/>
      </c>
      <c r="H541" s="16" t="str">
        <f aca="false">IF($D541="","",IF($J541="환불",0,IFERROR(INDEX(상품목록!$D$3:$D$102,MATCH($D541,상품목록!$A$3:$A$102,0)),0)))</f>
        <v/>
      </c>
      <c r="I541" s="10"/>
      <c r="J541" s="10"/>
      <c r="K541" s="10"/>
    </row>
    <row r="542" customFormat="false" ht="15" hidden="false" customHeight="true" outlineLevel="0" collapsed="false">
      <c r="A542" s="12"/>
      <c r="B542" s="10"/>
      <c r="C542" s="15" t="str">
        <f aca="false">IF($B542="","",IFERROR(INDEX(회원명부!$B$3:$B$502,MATCH($B542,회원명부!$A$3:$A$502,0)),"미등록회원"))</f>
        <v/>
      </c>
      <c r="D542" s="10"/>
      <c r="E542" s="16" t="str">
        <f aca="false">IF($D542="","",IF($J542="환불",0,IFERROR(INDEX(상품목록!$B$3:$B$102,MATCH($D542,상품목록!$A$3:$A$102,0)),0)))</f>
        <v/>
      </c>
      <c r="F542" s="16" t="str">
        <f aca="false">IF($D542="","",IFERROR(INDEX(상품목록!$C$3:$C$102,MATCH($D542,상품목록!$A$3:$A$102,0)),0))</f>
        <v/>
      </c>
      <c r="G542" s="17" t="str">
        <f aca="false">IF(OR($A542="",$F542=""),"",$A542+$F542)</f>
        <v/>
      </c>
      <c r="H542" s="16" t="str">
        <f aca="false">IF($D542="","",IF($J542="환불",0,IFERROR(INDEX(상품목록!$D$3:$D$102,MATCH($D542,상품목록!$A$3:$A$102,0)),0)))</f>
        <v/>
      </c>
      <c r="I542" s="10"/>
      <c r="J542" s="10"/>
      <c r="K542" s="10"/>
    </row>
    <row r="543" customFormat="false" ht="15" hidden="false" customHeight="true" outlineLevel="0" collapsed="false">
      <c r="A543" s="12"/>
      <c r="B543" s="10"/>
      <c r="C543" s="15" t="str">
        <f aca="false">IF($B543="","",IFERROR(INDEX(회원명부!$B$3:$B$502,MATCH($B543,회원명부!$A$3:$A$502,0)),"미등록회원"))</f>
        <v/>
      </c>
      <c r="D543" s="10"/>
      <c r="E543" s="16" t="str">
        <f aca="false">IF($D543="","",IF($J543="환불",0,IFERROR(INDEX(상품목록!$B$3:$B$102,MATCH($D543,상품목록!$A$3:$A$102,0)),0)))</f>
        <v/>
      </c>
      <c r="F543" s="16" t="str">
        <f aca="false">IF($D543="","",IFERROR(INDEX(상품목록!$C$3:$C$102,MATCH($D543,상품목록!$A$3:$A$102,0)),0))</f>
        <v/>
      </c>
      <c r="G543" s="17" t="str">
        <f aca="false">IF(OR($A543="",$F543=""),"",$A543+$F543)</f>
        <v/>
      </c>
      <c r="H543" s="16" t="str">
        <f aca="false">IF($D543="","",IF($J543="환불",0,IFERROR(INDEX(상품목록!$D$3:$D$102,MATCH($D543,상품목록!$A$3:$A$102,0)),0)))</f>
        <v/>
      </c>
      <c r="I543" s="10"/>
      <c r="J543" s="10"/>
      <c r="K543" s="10"/>
    </row>
    <row r="544" customFormat="false" ht="15" hidden="false" customHeight="true" outlineLevel="0" collapsed="false">
      <c r="A544" s="12"/>
      <c r="B544" s="10"/>
      <c r="C544" s="15" t="str">
        <f aca="false">IF($B544="","",IFERROR(INDEX(회원명부!$B$3:$B$502,MATCH($B544,회원명부!$A$3:$A$502,0)),"미등록회원"))</f>
        <v/>
      </c>
      <c r="D544" s="10"/>
      <c r="E544" s="16" t="str">
        <f aca="false">IF($D544="","",IF($J544="환불",0,IFERROR(INDEX(상품목록!$B$3:$B$102,MATCH($D544,상품목록!$A$3:$A$102,0)),0)))</f>
        <v/>
      </c>
      <c r="F544" s="16" t="str">
        <f aca="false">IF($D544="","",IFERROR(INDEX(상품목록!$C$3:$C$102,MATCH($D544,상품목록!$A$3:$A$102,0)),0))</f>
        <v/>
      </c>
      <c r="G544" s="17" t="str">
        <f aca="false">IF(OR($A544="",$F544=""),"",$A544+$F544)</f>
        <v/>
      </c>
      <c r="H544" s="16" t="str">
        <f aca="false">IF($D544="","",IF($J544="환불",0,IFERROR(INDEX(상품목록!$D$3:$D$102,MATCH($D544,상품목록!$A$3:$A$102,0)),0)))</f>
        <v/>
      </c>
      <c r="I544" s="10"/>
      <c r="J544" s="10"/>
      <c r="K544" s="10"/>
    </row>
    <row r="545" customFormat="false" ht="15" hidden="false" customHeight="true" outlineLevel="0" collapsed="false">
      <c r="A545" s="12"/>
      <c r="B545" s="10"/>
      <c r="C545" s="15" t="str">
        <f aca="false">IF($B545="","",IFERROR(INDEX(회원명부!$B$3:$B$502,MATCH($B545,회원명부!$A$3:$A$502,0)),"미등록회원"))</f>
        <v/>
      </c>
      <c r="D545" s="10"/>
      <c r="E545" s="16" t="str">
        <f aca="false">IF($D545="","",IF($J545="환불",0,IFERROR(INDEX(상품목록!$B$3:$B$102,MATCH($D545,상품목록!$A$3:$A$102,0)),0)))</f>
        <v/>
      </c>
      <c r="F545" s="16" t="str">
        <f aca="false">IF($D545="","",IFERROR(INDEX(상품목록!$C$3:$C$102,MATCH($D545,상품목록!$A$3:$A$102,0)),0))</f>
        <v/>
      </c>
      <c r="G545" s="17" t="str">
        <f aca="false">IF(OR($A545="",$F545=""),"",$A545+$F545)</f>
        <v/>
      </c>
      <c r="H545" s="16" t="str">
        <f aca="false">IF($D545="","",IF($J545="환불",0,IFERROR(INDEX(상품목록!$D$3:$D$102,MATCH($D545,상품목록!$A$3:$A$102,0)),0)))</f>
        <v/>
      </c>
      <c r="I545" s="10"/>
      <c r="J545" s="10"/>
      <c r="K545" s="10"/>
    </row>
    <row r="546" customFormat="false" ht="15" hidden="false" customHeight="true" outlineLevel="0" collapsed="false">
      <c r="A546" s="12"/>
      <c r="B546" s="10"/>
      <c r="C546" s="15" t="str">
        <f aca="false">IF($B546="","",IFERROR(INDEX(회원명부!$B$3:$B$502,MATCH($B546,회원명부!$A$3:$A$502,0)),"미등록회원"))</f>
        <v/>
      </c>
      <c r="D546" s="10"/>
      <c r="E546" s="16" t="str">
        <f aca="false">IF($D546="","",IF($J546="환불",0,IFERROR(INDEX(상품목록!$B$3:$B$102,MATCH($D546,상품목록!$A$3:$A$102,0)),0)))</f>
        <v/>
      </c>
      <c r="F546" s="16" t="str">
        <f aca="false">IF($D546="","",IFERROR(INDEX(상품목록!$C$3:$C$102,MATCH($D546,상품목록!$A$3:$A$102,0)),0))</f>
        <v/>
      </c>
      <c r="G546" s="17" t="str">
        <f aca="false">IF(OR($A546="",$F546=""),"",$A546+$F546)</f>
        <v/>
      </c>
      <c r="H546" s="16" t="str">
        <f aca="false">IF($D546="","",IF($J546="환불",0,IFERROR(INDEX(상품목록!$D$3:$D$102,MATCH($D546,상품목록!$A$3:$A$102,0)),0)))</f>
        <v/>
      </c>
      <c r="I546" s="10"/>
      <c r="J546" s="10"/>
      <c r="K546" s="10"/>
    </row>
    <row r="547" customFormat="false" ht="15" hidden="false" customHeight="true" outlineLevel="0" collapsed="false">
      <c r="A547" s="12"/>
      <c r="B547" s="10"/>
      <c r="C547" s="15" t="str">
        <f aca="false">IF($B547="","",IFERROR(INDEX(회원명부!$B$3:$B$502,MATCH($B547,회원명부!$A$3:$A$502,0)),"미등록회원"))</f>
        <v/>
      </c>
      <c r="D547" s="10"/>
      <c r="E547" s="16" t="str">
        <f aca="false">IF($D547="","",IF($J547="환불",0,IFERROR(INDEX(상품목록!$B$3:$B$102,MATCH($D547,상품목록!$A$3:$A$102,0)),0)))</f>
        <v/>
      </c>
      <c r="F547" s="16" t="str">
        <f aca="false">IF($D547="","",IFERROR(INDEX(상품목록!$C$3:$C$102,MATCH($D547,상품목록!$A$3:$A$102,0)),0))</f>
        <v/>
      </c>
      <c r="G547" s="17" t="str">
        <f aca="false">IF(OR($A547="",$F547=""),"",$A547+$F547)</f>
        <v/>
      </c>
      <c r="H547" s="16" t="str">
        <f aca="false">IF($D547="","",IF($J547="환불",0,IFERROR(INDEX(상품목록!$D$3:$D$102,MATCH($D547,상품목록!$A$3:$A$102,0)),0)))</f>
        <v/>
      </c>
      <c r="I547" s="10"/>
      <c r="J547" s="10"/>
      <c r="K547" s="10"/>
    </row>
    <row r="548" customFormat="false" ht="15" hidden="false" customHeight="true" outlineLevel="0" collapsed="false">
      <c r="A548" s="12"/>
      <c r="B548" s="10"/>
      <c r="C548" s="15" t="str">
        <f aca="false">IF($B548="","",IFERROR(INDEX(회원명부!$B$3:$B$502,MATCH($B548,회원명부!$A$3:$A$502,0)),"미등록회원"))</f>
        <v/>
      </c>
      <c r="D548" s="10"/>
      <c r="E548" s="16" t="str">
        <f aca="false">IF($D548="","",IF($J548="환불",0,IFERROR(INDEX(상품목록!$B$3:$B$102,MATCH($D548,상품목록!$A$3:$A$102,0)),0)))</f>
        <v/>
      </c>
      <c r="F548" s="16" t="str">
        <f aca="false">IF($D548="","",IFERROR(INDEX(상품목록!$C$3:$C$102,MATCH($D548,상품목록!$A$3:$A$102,0)),0))</f>
        <v/>
      </c>
      <c r="G548" s="17" t="str">
        <f aca="false">IF(OR($A548="",$F548=""),"",$A548+$F548)</f>
        <v/>
      </c>
      <c r="H548" s="16" t="str">
        <f aca="false">IF($D548="","",IF($J548="환불",0,IFERROR(INDEX(상품목록!$D$3:$D$102,MATCH($D548,상품목록!$A$3:$A$102,0)),0)))</f>
        <v/>
      </c>
      <c r="I548" s="10"/>
      <c r="J548" s="10"/>
      <c r="K548" s="10"/>
    </row>
    <row r="549" customFormat="false" ht="15" hidden="false" customHeight="true" outlineLevel="0" collapsed="false">
      <c r="A549" s="12"/>
      <c r="B549" s="10"/>
      <c r="C549" s="15" t="str">
        <f aca="false">IF($B549="","",IFERROR(INDEX(회원명부!$B$3:$B$502,MATCH($B549,회원명부!$A$3:$A$502,0)),"미등록회원"))</f>
        <v/>
      </c>
      <c r="D549" s="10"/>
      <c r="E549" s="16" t="str">
        <f aca="false">IF($D549="","",IF($J549="환불",0,IFERROR(INDEX(상품목록!$B$3:$B$102,MATCH($D549,상품목록!$A$3:$A$102,0)),0)))</f>
        <v/>
      </c>
      <c r="F549" s="16" t="str">
        <f aca="false">IF($D549="","",IFERROR(INDEX(상품목록!$C$3:$C$102,MATCH($D549,상품목록!$A$3:$A$102,0)),0))</f>
        <v/>
      </c>
      <c r="G549" s="17" t="str">
        <f aca="false">IF(OR($A549="",$F549=""),"",$A549+$F549)</f>
        <v/>
      </c>
      <c r="H549" s="16" t="str">
        <f aca="false">IF($D549="","",IF($J549="환불",0,IFERROR(INDEX(상품목록!$D$3:$D$102,MATCH($D549,상품목록!$A$3:$A$102,0)),0)))</f>
        <v/>
      </c>
      <c r="I549" s="10"/>
      <c r="J549" s="10"/>
      <c r="K549" s="10"/>
    </row>
    <row r="550" customFormat="false" ht="15" hidden="false" customHeight="true" outlineLevel="0" collapsed="false">
      <c r="A550" s="12"/>
      <c r="B550" s="10"/>
      <c r="C550" s="15" t="str">
        <f aca="false">IF($B550="","",IFERROR(INDEX(회원명부!$B$3:$B$502,MATCH($B550,회원명부!$A$3:$A$502,0)),"미등록회원"))</f>
        <v/>
      </c>
      <c r="D550" s="10"/>
      <c r="E550" s="16" t="str">
        <f aca="false">IF($D550="","",IF($J550="환불",0,IFERROR(INDEX(상품목록!$B$3:$B$102,MATCH($D550,상품목록!$A$3:$A$102,0)),0)))</f>
        <v/>
      </c>
      <c r="F550" s="16" t="str">
        <f aca="false">IF($D550="","",IFERROR(INDEX(상품목록!$C$3:$C$102,MATCH($D550,상품목록!$A$3:$A$102,0)),0))</f>
        <v/>
      </c>
      <c r="G550" s="17" t="str">
        <f aca="false">IF(OR($A550="",$F550=""),"",$A550+$F550)</f>
        <v/>
      </c>
      <c r="H550" s="16" t="str">
        <f aca="false">IF($D550="","",IF($J550="환불",0,IFERROR(INDEX(상품목록!$D$3:$D$102,MATCH($D550,상품목록!$A$3:$A$102,0)),0)))</f>
        <v/>
      </c>
      <c r="I550" s="10"/>
      <c r="J550" s="10"/>
      <c r="K550" s="10"/>
    </row>
    <row r="551" customFormat="false" ht="15" hidden="false" customHeight="true" outlineLevel="0" collapsed="false">
      <c r="A551" s="12"/>
      <c r="B551" s="10"/>
      <c r="C551" s="15" t="str">
        <f aca="false">IF($B551="","",IFERROR(INDEX(회원명부!$B$3:$B$502,MATCH($B551,회원명부!$A$3:$A$502,0)),"미등록회원"))</f>
        <v/>
      </c>
      <c r="D551" s="10"/>
      <c r="E551" s="16" t="str">
        <f aca="false">IF($D551="","",IF($J551="환불",0,IFERROR(INDEX(상품목록!$B$3:$B$102,MATCH($D551,상품목록!$A$3:$A$102,0)),0)))</f>
        <v/>
      </c>
      <c r="F551" s="16" t="str">
        <f aca="false">IF($D551="","",IFERROR(INDEX(상품목록!$C$3:$C$102,MATCH($D551,상품목록!$A$3:$A$102,0)),0))</f>
        <v/>
      </c>
      <c r="G551" s="17" t="str">
        <f aca="false">IF(OR($A551="",$F551=""),"",$A551+$F551)</f>
        <v/>
      </c>
      <c r="H551" s="16" t="str">
        <f aca="false">IF($D551="","",IF($J551="환불",0,IFERROR(INDEX(상품목록!$D$3:$D$102,MATCH($D551,상품목록!$A$3:$A$102,0)),0)))</f>
        <v/>
      </c>
      <c r="I551" s="10"/>
      <c r="J551" s="10"/>
      <c r="K551" s="10"/>
    </row>
    <row r="552" customFormat="false" ht="15" hidden="false" customHeight="true" outlineLevel="0" collapsed="false">
      <c r="A552" s="12"/>
      <c r="B552" s="10"/>
      <c r="C552" s="15" t="str">
        <f aca="false">IF($B552="","",IFERROR(INDEX(회원명부!$B$3:$B$502,MATCH($B552,회원명부!$A$3:$A$502,0)),"미등록회원"))</f>
        <v/>
      </c>
      <c r="D552" s="10"/>
      <c r="E552" s="16" t="str">
        <f aca="false">IF($D552="","",IF($J552="환불",0,IFERROR(INDEX(상품목록!$B$3:$B$102,MATCH($D552,상품목록!$A$3:$A$102,0)),0)))</f>
        <v/>
      </c>
      <c r="F552" s="16" t="str">
        <f aca="false">IF($D552="","",IFERROR(INDEX(상품목록!$C$3:$C$102,MATCH($D552,상품목록!$A$3:$A$102,0)),0))</f>
        <v/>
      </c>
      <c r="G552" s="17" t="str">
        <f aca="false">IF(OR($A552="",$F552=""),"",$A552+$F552)</f>
        <v/>
      </c>
      <c r="H552" s="16" t="str">
        <f aca="false">IF($D552="","",IF($J552="환불",0,IFERROR(INDEX(상품목록!$D$3:$D$102,MATCH($D552,상품목록!$A$3:$A$102,0)),0)))</f>
        <v/>
      </c>
      <c r="I552" s="10"/>
      <c r="J552" s="10"/>
      <c r="K552" s="10"/>
    </row>
    <row r="553" customFormat="false" ht="15" hidden="false" customHeight="true" outlineLevel="0" collapsed="false">
      <c r="A553" s="12"/>
      <c r="B553" s="10"/>
      <c r="C553" s="15" t="str">
        <f aca="false">IF($B553="","",IFERROR(INDEX(회원명부!$B$3:$B$502,MATCH($B553,회원명부!$A$3:$A$502,0)),"미등록회원"))</f>
        <v/>
      </c>
      <c r="D553" s="10"/>
      <c r="E553" s="16" t="str">
        <f aca="false">IF($D553="","",IF($J553="환불",0,IFERROR(INDEX(상품목록!$B$3:$B$102,MATCH($D553,상품목록!$A$3:$A$102,0)),0)))</f>
        <v/>
      </c>
      <c r="F553" s="16" t="str">
        <f aca="false">IF($D553="","",IFERROR(INDEX(상품목록!$C$3:$C$102,MATCH($D553,상품목록!$A$3:$A$102,0)),0))</f>
        <v/>
      </c>
      <c r="G553" s="17" t="str">
        <f aca="false">IF(OR($A553="",$F553=""),"",$A553+$F553)</f>
        <v/>
      </c>
      <c r="H553" s="16" t="str">
        <f aca="false">IF($D553="","",IF($J553="환불",0,IFERROR(INDEX(상품목록!$D$3:$D$102,MATCH($D553,상품목록!$A$3:$A$102,0)),0)))</f>
        <v/>
      </c>
      <c r="I553" s="10"/>
      <c r="J553" s="10"/>
      <c r="K553" s="10"/>
    </row>
    <row r="554" customFormat="false" ht="15" hidden="false" customHeight="true" outlineLevel="0" collapsed="false">
      <c r="A554" s="12"/>
      <c r="B554" s="10"/>
      <c r="C554" s="15" t="str">
        <f aca="false">IF($B554="","",IFERROR(INDEX(회원명부!$B$3:$B$502,MATCH($B554,회원명부!$A$3:$A$502,0)),"미등록회원"))</f>
        <v/>
      </c>
      <c r="D554" s="10"/>
      <c r="E554" s="16" t="str">
        <f aca="false">IF($D554="","",IF($J554="환불",0,IFERROR(INDEX(상품목록!$B$3:$B$102,MATCH($D554,상품목록!$A$3:$A$102,0)),0)))</f>
        <v/>
      </c>
      <c r="F554" s="16" t="str">
        <f aca="false">IF($D554="","",IFERROR(INDEX(상품목록!$C$3:$C$102,MATCH($D554,상품목록!$A$3:$A$102,0)),0))</f>
        <v/>
      </c>
      <c r="G554" s="17" t="str">
        <f aca="false">IF(OR($A554="",$F554=""),"",$A554+$F554)</f>
        <v/>
      </c>
      <c r="H554" s="16" t="str">
        <f aca="false">IF($D554="","",IF($J554="환불",0,IFERROR(INDEX(상품목록!$D$3:$D$102,MATCH($D554,상품목록!$A$3:$A$102,0)),0)))</f>
        <v/>
      </c>
      <c r="I554" s="10"/>
      <c r="J554" s="10"/>
      <c r="K554" s="10"/>
    </row>
    <row r="555" customFormat="false" ht="15" hidden="false" customHeight="true" outlineLevel="0" collapsed="false">
      <c r="A555" s="12"/>
      <c r="B555" s="10"/>
      <c r="C555" s="15" t="str">
        <f aca="false">IF($B555="","",IFERROR(INDEX(회원명부!$B$3:$B$502,MATCH($B555,회원명부!$A$3:$A$502,0)),"미등록회원"))</f>
        <v/>
      </c>
      <c r="D555" s="10"/>
      <c r="E555" s="16" t="str">
        <f aca="false">IF($D555="","",IF($J555="환불",0,IFERROR(INDEX(상품목록!$B$3:$B$102,MATCH($D555,상품목록!$A$3:$A$102,0)),0)))</f>
        <v/>
      </c>
      <c r="F555" s="16" t="str">
        <f aca="false">IF($D555="","",IFERROR(INDEX(상품목록!$C$3:$C$102,MATCH($D555,상품목록!$A$3:$A$102,0)),0))</f>
        <v/>
      </c>
      <c r="G555" s="17" t="str">
        <f aca="false">IF(OR($A555="",$F555=""),"",$A555+$F555)</f>
        <v/>
      </c>
      <c r="H555" s="16" t="str">
        <f aca="false">IF($D555="","",IF($J555="환불",0,IFERROR(INDEX(상품목록!$D$3:$D$102,MATCH($D555,상품목록!$A$3:$A$102,0)),0)))</f>
        <v/>
      </c>
      <c r="I555" s="10"/>
      <c r="J555" s="10"/>
      <c r="K555" s="10"/>
    </row>
    <row r="556" customFormat="false" ht="15" hidden="false" customHeight="true" outlineLevel="0" collapsed="false">
      <c r="A556" s="12"/>
      <c r="B556" s="10"/>
      <c r="C556" s="15" t="str">
        <f aca="false">IF($B556="","",IFERROR(INDEX(회원명부!$B$3:$B$502,MATCH($B556,회원명부!$A$3:$A$502,0)),"미등록회원"))</f>
        <v/>
      </c>
      <c r="D556" s="10"/>
      <c r="E556" s="16" t="str">
        <f aca="false">IF($D556="","",IF($J556="환불",0,IFERROR(INDEX(상품목록!$B$3:$B$102,MATCH($D556,상품목록!$A$3:$A$102,0)),0)))</f>
        <v/>
      </c>
      <c r="F556" s="16" t="str">
        <f aca="false">IF($D556="","",IFERROR(INDEX(상품목록!$C$3:$C$102,MATCH($D556,상품목록!$A$3:$A$102,0)),0))</f>
        <v/>
      </c>
      <c r="G556" s="17" t="str">
        <f aca="false">IF(OR($A556="",$F556=""),"",$A556+$F556)</f>
        <v/>
      </c>
      <c r="H556" s="16" t="str">
        <f aca="false">IF($D556="","",IF($J556="환불",0,IFERROR(INDEX(상품목록!$D$3:$D$102,MATCH($D556,상품목록!$A$3:$A$102,0)),0)))</f>
        <v/>
      </c>
      <c r="I556" s="10"/>
      <c r="J556" s="10"/>
      <c r="K556" s="10"/>
    </row>
    <row r="557" customFormat="false" ht="15" hidden="false" customHeight="true" outlineLevel="0" collapsed="false">
      <c r="A557" s="12"/>
      <c r="B557" s="10"/>
      <c r="C557" s="15" t="str">
        <f aca="false">IF($B557="","",IFERROR(INDEX(회원명부!$B$3:$B$502,MATCH($B557,회원명부!$A$3:$A$502,0)),"미등록회원"))</f>
        <v/>
      </c>
      <c r="D557" s="10"/>
      <c r="E557" s="16" t="str">
        <f aca="false">IF($D557="","",IF($J557="환불",0,IFERROR(INDEX(상품목록!$B$3:$B$102,MATCH($D557,상품목록!$A$3:$A$102,0)),0)))</f>
        <v/>
      </c>
      <c r="F557" s="16" t="str">
        <f aca="false">IF($D557="","",IFERROR(INDEX(상품목록!$C$3:$C$102,MATCH($D557,상품목록!$A$3:$A$102,0)),0))</f>
        <v/>
      </c>
      <c r="G557" s="17" t="str">
        <f aca="false">IF(OR($A557="",$F557=""),"",$A557+$F557)</f>
        <v/>
      </c>
      <c r="H557" s="16" t="str">
        <f aca="false">IF($D557="","",IF($J557="환불",0,IFERROR(INDEX(상품목록!$D$3:$D$102,MATCH($D557,상품목록!$A$3:$A$102,0)),0)))</f>
        <v/>
      </c>
      <c r="I557" s="10"/>
      <c r="J557" s="10"/>
      <c r="K557" s="10"/>
    </row>
    <row r="558" customFormat="false" ht="15" hidden="false" customHeight="true" outlineLevel="0" collapsed="false">
      <c r="A558" s="12"/>
      <c r="B558" s="10"/>
      <c r="C558" s="15" t="str">
        <f aca="false">IF($B558="","",IFERROR(INDEX(회원명부!$B$3:$B$502,MATCH($B558,회원명부!$A$3:$A$502,0)),"미등록회원"))</f>
        <v/>
      </c>
      <c r="D558" s="10"/>
      <c r="E558" s="16" t="str">
        <f aca="false">IF($D558="","",IF($J558="환불",0,IFERROR(INDEX(상품목록!$B$3:$B$102,MATCH($D558,상품목록!$A$3:$A$102,0)),0)))</f>
        <v/>
      </c>
      <c r="F558" s="16" t="str">
        <f aca="false">IF($D558="","",IFERROR(INDEX(상품목록!$C$3:$C$102,MATCH($D558,상품목록!$A$3:$A$102,0)),0))</f>
        <v/>
      </c>
      <c r="G558" s="17" t="str">
        <f aca="false">IF(OR($A558="",$F558=""),"",$A558+$F558)</f>
        <v/>
      </c>
      <c r="H558" s="16" t="str">
        <f aca="false">IF($D558="","",IF($J558="환불",0,IFERROR(INDEX(상품목록!$D$3:$D$102,MATCH($D558,상품목록!$A$3:$A$102,0)),0)))</f>
        <v/>
      </c>
      <c r="I558" s="10"/>
      <c r="J558" s="10"/>
      <c r="K558" s="10"/>
    </row>
    <row r="559" customFormat="false" ht="15" hidden="false" customHeight="true" outlineLevel="0" collapsed="false">
      <c r="A559" s="12"/>
      <c r="B559" s="10"/>
      <c r="C559" s="15" t="str">
        <f aca="false">IF($B559="","",IFERROR(INDEX(회원명부!$B$3:$B$502,MATCH($B559,회원명부!$A$3:$A$502,0)),"미등록회원"))</f>
        <v/>
      </c>
      <c r="D559" s="10"/>
      <c r="E559" s="16" t="str">
        <f aca="false">IF($D559="","",IF($J559="환불",0,IFERROR(INDEX(상품목록!$B$3:$B$102,MATCH($D559,상품목록!$A$3:$A$102,0)),0)))</f>
        <v/>
      </c>
      <c r="F559" s="16" t="str">
        <f aca="false">IF($D559="","",IFERROR(INDEX(상품목록!$C$3:$C$102,MATCH($D559,상품목록!$A$3:$A$102,0)),0))</f>
        <v/>
      </c>
      <c r="G559" s="17" t="str">
        <f aca="false">IF(OR($A559="",$F559=""),"",$A559+$F559)</f>
        <v/>
      </c>
      <c r="H559" s="16" t="str">
        <f aca="false">IF($D559="","",IF($J559="환불",0,IFERROR(INDEX(상품목록!$D$3:$D$102,MATCH($D559,상품목록!$A$3:$A$102,0)),0)))</f>
        <v/>
      </c>
      <c r="I559" s="10"/>
      <c r="J559" s="10"/>
      <c r="K559" s="10"/>
    </row>
    <row r="560" customFormat="false" ht="15" hidden="false" customHeight="true" outlineLevel="0" collapsed="false">
      <c r="A560" s="12"/>
      <c r="B560" s="10"/>
      <c r="C560" s="15" t="str">
        <f aca="false">IF($B560="","",IFERROR(INDEX(회원명부!$B$3:$B$502,MATCH($B560,회원명부!$A$3:$A$502,0)),"미등록회원"))</f>
        <v/>
      </c>
      <c r="D560" s="10"/>
      <c r="E560" s="16" t="str">
        <f aca="false">IF($D560="","",IF($J560="환불",0,IFERROR(INDEX(상품목록!$B$3:$B$102,MATCH($D560,상품목록!$A$3:$A$102,0)),0)))</f>
        <v/>
      </c>
      <c r="F560" s="16" t="str">
        <f aca="false">IF($D560="","",IFERROR(INDEX(상품목록!$C$3:$C$102,MATCH($D560,상품목록!$A$3:$A$102,0)),0))</f>
        <v/>
      </c>
      <c r="G560" s="17" t="str">
        <f aca="false">IF(OR($A560="",$F560=""),"",$A560+$F560)</f>
        <v/>
      </c>
      <c r="H560" s="16" t="str">
        <f aca="false">IF($D560="","",IF($J560="환불",0,IFERROR(INDEX(상품목록!$D$3:$D$102,MATCH($D560,상품목록!$A$3:$A$102,0)),0)))</f>
        <v/>
      </c>
      <c r="I560" s="10"/>
      <c r="J560" s="10"/>
      <c r="K560" s="10"/>
    </row>
    <row r="561" customFormat="false" ht="15" hidden="false" customHeight="true" outlineLevel="0" collapsed="false">
      <c r="A561" s="12"/>
      <c r="B561" s="10"/>
      <c r="C561" s="15" t="str">
        <f aca="false">IF($B561="","",IFERROR(INDEX(회원명부!$B$3:$B$502,MATCH($B561,회원명부!$A$3:$A$502,0)),"미등록회원"))</f>
        <v/>
      </c>
      <c r="D561" s="10"/>
      <c r="E561" s="16" t="str">
        <f aca="false">IF($D561="","",IF($J561="환불",0,IFERROR(INDEX(상품목록!$B$3:$B$102,MATCH($D561,상품목록!$A$3:$A$102,0)),0)))</f>
        <v/>
      </c>
      <c r="F561" s="16" t="str">
        <f aca="false">IF($D561="","",IFERROR(INDEX(상품목록!$C$3:$C$102,MATCH($D561,상품목록!$A$3:$A$102,0)),0))</f>
        <v/>
      </c>
      <c r="G561" s="17" t="str">
        <f aca="false">IF(OR($A561="",$F561=""),"",$A561+$F561)</f>
        <v/>
      </c>
      <c r="H561" s="16" t="str">
        <f aca="false">IF($D561="","",IF($J561="환불",0,IFERROR(INDEX(상품목록!$D$3:$D$102,MATCH($D561,상품목록!$A$3:$A$102,0)),0)))</f>
        <v/>
      </c>
      <c r="I561" s="10"/>
      <c r="J561" s="10"/>
      <c r="K561" s="10"/>
    </row>
    <row r="562" customFormat="false" ht="15" hidden="false" customHeight="true" outlineLevel="0" collapsed="false">
      <c r="A562" s="12"/>
      <c r="B562" s="10"/>
      <c r="C562" s="15" t="str">
        <f aca="false">IF($B562="","",IFERROR(INDEX(회원명부!$B$3:$B$502,MATCH($B562,회원명부!$A$3:$A$502,0)),"미등록회원"))</f>
        <v/>
      </c>
      <c r="D562" s="10"/>
      <c r="E562" s="16" t="str">
        <f aca="false">IF($D562="","",IF($J562="환불",0,IFERROR(INDEX(상품목록!$B$3:$B$102,MATCH($D562,상품목록!$A$3:$A$102,0)),0)))</f>
        <v/>
      </c>
      <c r="F562" s="16" t="str">
        <f aca="false">IF($D562="","",IFERROR(INDEX(상품목록!$C$3:$C$102,MATCH($D562,상품목록!$A$3:$A$102,0)),0))</f>
        <v/>
      </c>
      <c r="G562" s="17" t="str">
        <f aca="false">IF(OR($A562="",$F562=""),"",$A562+$F562)</f>
        <v/>
      </c>
      <c r="H562" s="16" t="str">
        <f aca="false">IF($D562="","",IF($J562="환불",0,IFERROR(INDEX(상품목록!$D$3:$D$102,MATCH($D562,상품목록!$A$3:$A$102,0)),0)))</f>
        <v/>
      </c>
      <c r="I562" s="10"/>
      <c r="J562" s="10"/>
      <c r="K562" s="10"/>
    </row>
    <row r="563" customFormat="false" ht="15" hidden="false" customHeight="true" outlineLevel="0" collapsed="false">
      <c r="A563" s="12"/>
      <c r="B563" s="10"/>
      <c r="C563" s="15" t="str">
        <f aca="false">IF($B563="","",IFERROR(INDEX(회원명부!$B$3:$B$502,MATCH($B563,회원명부!$A$3:$A$502,0)),"미등록회원"))</f>
        <v/>
      </c>
      <c r="D563" s="10"/>
      <c r="E563" s="16" t="str">
        <f aca="false">IF($D563="","",IF($J563="환불",0,IFERROR(INDEX(상품목록!$B$3:$B$102,MATCH($D563,상품목록!$A$3:$A$102,0)),0)))</f>
        <v/>
      </c>
      <c r="F563" s="16" t="str">
        <f aca="false">IF($D563="","",IFERROR(INDEX(상품목록!$C$3:$C$102,MATCH($D563,상품목록!$A$3:$A$102,0)),0))</f>
        <v/>
      </c>
      <c r="G563" s="17" t="str">
        <f aca="false">IF(OR($A563="",$F563=""),"",$A563+$F563)</f>
        <v/>
      </c>
      <c r="H563" s="16" t="str">
        <f aca="false">IF($D563="","",IF($J563="환불",0,IFERROR(INDEX(상품목록!$D$3:$D$102,MATCH($D563,상품목록!$A$3:$A$102,0)),0)))</f>
        <v/>
      </c>
      <c r="I563" s="10"/>
      <c r="J563" s="10"/>
      <c r="K563" s="10"/>
    </row>
    <row r="564" customFormat="false" ht="15" hidden="false" customHeight="true" outlineLevel="0" collapsed="false">
      <c r="A564" s="12"/>
      <c r="B564" s="10"/>
      <c r="C564" s="15" t="str">
        <f aca="false">IF($B564="","",IFERROR(INDEX(회원명부!$B$3:$B$502,MATCH($B564,회원명부!$A$3:$A$502,0)),"미등록회원"))</f>
        <v/>
      </c>
      <c r="D564" s="10"/>
      <c r="E564" s="16" t="str">
        <f aca="false">IF($D564="","",IF($J564="환불",0,IFERROR(INDEX(상품목록!$B$3:$B$102,MATCH($D564,상품목록!$A$3:$A$102,0)),0)))</f>
        <v/>
      </c>
      <c r="F564" s="16" t="str">
        <f aca="false">IF($D564="","",IFERROR(INDEX(상품목록!$C$3:$C$102,MATCH($D564,상품목록!$A$3:$A$102,0)),0))</f>
        <v/>
      </c>
      <c r="G564" s="17" t="str">
        <f aca="false">IF(OR($A564="",$F564=""),"",$A564+$F564)</f>
        <v/>
      </c>
      <c r="H564" s="16" t="str">
        <f aca="false">IF($D564="","",IF($J564="환불",0,IFERROR(INDEX(상품목록!$D$3:$D$102,MATCH($D564,상품목록!$A$3:$A$102,0)),0)))</f>
        <v/>
      </c>
      <c r="I564" s="10"/>
      <c r="J564" s="10"/>
      <c r="K564" s="10"/>
    </row>
    <row r="565" customFormat="false" ht="15" hidden="false" customHeight="true" outlineLevel="0" collapsed="false">
      <c r="A565" s="12"/>
      <c r="B565" s="10"/>
      <c r="C565" s="15" t="str">
        <f aca="false">IF($B565="","",IFERROR(INDEX(회원명부!$B$3:$B$502,MATCH($B565,회원명부!$A$3:$A$502,0)),"미등록회원"))</f>
        <v/>
      </c>
      <c r="D565" s="10"/>
      <c r="E565" s="16" t="str">
        <f aca="false">IF($D565="","",IF($J565="환불",0,IFERROR(INDEX(상품목록!$B$3:$B$102,MATCH($D565,상품목록!$A$3:$A$102,0)),0)))</f>
        <v/>
      </c>
      <c r="F565" s="16" t="str">
        <f aca="false">IF($D565="","",IFERROR(INDEX(상품목록!$C$3:$C$102,MATCH($D565,상품목록!$A$3:$A$102,0)),0))</f>
        <v/>
      </c>
      <c r="G565" s="17" t="str">
        <f aca="false">IF(OR($A565="",$F565=""),"",$A565+$F565)</f>
        <v/>
      </c>
      <c r="H565" s="16" t="str">
        <f aca="false">IF($D565="","",IF($J565="환불",0,IFERROR(INDEX(상품목록!$D$3:$D$102,MATCH($D565,상품목록!$A$3:$A$102,0)),0)))</f>
        <v/>
      </c>
      <c r="I565" s="10"/>
      <c r="J565" s="10"/>
      <c r="K565" s="10"/>
    </row>
    <row r="566" customFormat="false" ht="15" hidden="false" customHeight="true" outlineLevel="0" collapsed="false">
      <c r="A566" s="12"/>
      <c r="B566" s="10"/>
      <c r="C566" s="15" t="str">
        <f aca="false">IF($B566="","",IFERROR(INDEX(회원명부!$B$3:$B$502,MATCH($B566,회원명부!$A$3:$A$502,0)),"미등록회원"))</f>
        <v/>
      </c>
      <c r="D566" s="10"/>
      <c r="E566" s="16" t="str">
        <f aca="false">IF($D566="","",IF($J566="환불",0,IFERROR(INDEX(상품목록!$B$3:$B$102,MATCH($D566,상품목록!$A$3:$A$102,0)),0)))</f>
        <v/>
      </c>
      <c r="F566" s="16" t="str">
        <f aca="false">IF($D566="","",IFERROR(INDEX(상품목록!$C$3:$C$102,MATCH($D566,상품목록!$A$3:$A$102,0)),0))</f>
        <v/>
      </c>
      <c r="G566" s="17" t="str">
        <f aca="false">IF(OR($A566="",$F566=""),"",$A566+$F566)</f>
        <v/>
      </c>
      <c r="H566" s="16" t="str">
        <f aca="false">IF($D566="","",IF($J566="환불",0,IFERROR(INDEX(상품목록!$D$3:$D$102,MATCH($D566,상품목록!$A$3:$A$102,0)),0)))</f>
        <v/>
      </c>
      <c r="I566" s="10"/>
      <c r="J566" s="10"/>
      <c r="K566" s="10"/>
    </row>
    <row r="567" customFormat="false" ht="15" hidden="false" customHeight="true" outlineLevel="0" collapsed="false">
      <c r="A567" s="12"/>
      <c r="B567" s="10"/>
      <c r="C567" s="15" t="str">
        <f aca="false">IF($B567="","",IFERROR(INDEX(회원명부!$B$3:$B$502,MATCH($B567,회원명부!$A$3:$A$502,0)),"미등록회원"))</f>
        <v/>
      </c>
      <c r="D567" s="10"/>
      <c r="E567" s="16" t="str">
        <f aca="false">IF($D567="","",IF($J567="환불",0,IFERROR(INDEX(상품목록!$B$3:$B$102,MATCH($D567,상품목록!$A$3:$A$102,0)),0)))</f>
        <v/>
      </c>
      <c r="F567" s="16" t="str">
        <f aca="false">IF($D567="","",IFERROR(INDEX(상품목록!$C$3:$C$102,MATCH($D567,상품목록!$A$3:$A$102,0)),0))</f>
        <v/>
      </c>
      <c r="G567" s="17" t="str">
        <f aca="false">IF(OR($A567="",$F567=""),"",$A567+$F567)</f>
        <v/>
      </c>
      <c r="H567" s="16" t="str">
        <f aca="false">IF($D567="","",IF($J567="환불",0,IFERROR(INDEX(상품목록!$D$3:$D$102,MATCH($D567,상품목록!$A$3:$A$102,0)),0)))</f>
        <v/>
      </c>
      <c r="I567" s="10"/>
      <c r="J567" s="10"/>
      <c r="K567" s="10"/>
    </row>
    <row r="568" customFormat="false" ht="15" hidden="false" customHeight="true" outlineLevel="0" collapsed="false">
      <c r="A568" s="12"/>
      <c r="B568" s="10"/>
      <c r="C568" s="15" t="str">
        <f aca="false">IF($B568="","",IFERROR(INDEX(회원명부!$B$3:$B$502,MATCH($B568,회원명부!$A$3:$A$502,0)),"미등록회원"))</f>
        <v/>
      </c>
      <c r="D568" s="10"/>
      <c r="E568" s="16" t="str">
        <f aca="false">IF($D568="","",IF($J568="환불",0,IFERROR(INDEX(상품목록!$B$3:$B$102,MATCH($D568,상품목록!$A$3:$A$102,0)),0)))</f>
        <v/>
      </c>
      <c r="F568" s="16" t="str">
        <f aca="false">IF($D568="","",IFERROR(INDEX(상품목록!$C$3:$C$102,MATCH($D568,상품목록!$A$3:$A$102,0)),0))</f>
        <v/>
      </c>
      <c r="G568" s="17" t="str">
        <f aca="false">IF(OR($A568="",$F568=""),"",$A568+$F568)</f>
        <v/>
      </c>
      <c r="H568" s="16" t="str">
        <f aca="false">IF($D568="","",IF($J568="환불",0,IFERROR(INDEX(상품목록!$D$3:$D$102,MATCH($D568,상품목록!$A$3:$A$102,0)),0)))</f>
        <v/>
      </c>
      <c r="I568" s="10"/>
      <c r="J568" s="10"/>
      <c r="K568" s="10"/>
    </row>
    <row r="569" customFormat="false" ht="15" hidden="false" customHeight="true" outlineLevel="0" collapsed="false">
      <c r="A569" s="12"/>
      <c r="B569" s="10"/>
      <c r="C569" s="15" t="str">
        <f aca="false">IF($B569="","",IFERROR(INDEX(회원명부!$B$3:$B$502,MATCH($B569,회원명부!$A$3:$A$502,0)),"미등록회원"))</f>
        <v/>
      </c>
      <c r="D569" s="10"/>
      <c r="E569" s="16" t="str">
        <f aca="false">IF($D569="","",IF($J569="환불",0,IFERROR(INDEX(상품목록!$B$3:$B$102,MATCH($D569,상품목록!$A$3:$A$102,0)),0)))</f>
        <v/>
      </c>
      <c r="F569" s="16" t="str">
        <f aca="false">IF($D569="","",IFERROR(INDEX(상품목록!$C$3:$C$102,MATCH($D569,상품목록!$A$3:$A$102,0)),0))</f>
        <v/>
      </c>
      <c r="G569" s="17" t="str">
        <f aca="false">IF(OR($A569="",$F569=""),"",$A569+$F569)</f>
        <v/>
      </c>
      <c r="H569" s="16" t="str">
        <f aca="false">IF($D569="","",IF($J569="환불",0,IFERROR(INDEX(상품목록!$D$3:$D$102,MATCH($D569,상품목록!$A$3:$A$102,0)),0)))</f>
        <v/>
      </c>
      <c r="I569" s="10"/>
      <c r="J569" s="10"/>
      <c r="K569" s="10"/>
    </row>
    <row r="570" customFormat="false" ht="15" hidden="false" customHeight="true" outlineLevel="0" collapsed="false">
      <c r="A570" s="12"/>
      <c r="B570" s="10"/>
      <c r="C570" s="15" t="str">
        <f aca="false">IF($B570="","",IFERROR(INDEX(회원명부!$B$3:$B$502,MATCH($B570,회원명부!$A$3:$A$502,0)),"미등록회원"))</f>
        <v/>
      </c>
      <c r="D570" s="10"/>
      <c r="E570" s="16" t="str">
        <f aca="false">IF($D570="","",IF($J570="환불",0,IFERROR(INDEX(상품목록!$B$3:$B$102,MATCH($D570,상품목록!$A$3:$A$102,0)),0)))</f>
        <v/>
      </c>
      <c r="F570" s="16" t="str">
        <f aca="false">IF($D570="","",IFERROR(INDEX(상품목록!$C$3:$C$102,MATCH($D570,상품목록!$A$3:$A$102,0)),0))</f>
        <v/>
      </c>
      <c r="G570" s="17" t="str">
        <f aca="false">IF(OR($A570="",$F570=""),"",$A570+$F570)</f>
        <v/>
      </c>
      <c r="H570" s="16" t="str">
        <f aca="false">IF($D570="","",IF($J570="환불",0,IFERROR(INDEX(상품목록!$D$3:$D$102,MATCH($D570,상품목록!$A$3:$A$102,0)),0)))</f>
        <v/>
      </c>
      <c r="I570" s="10"/>
      <c r="J570" s="10"/>
      <c r="K570" s="10"/>
    </row>
    <row r="571" customFormat="false" ht="15" hidden="false" customHeight="true" outlineLevel="0" collapsed="false">
      <c r="A571" s="12"/>
      <c r="B571" s="10"/>
      <c r="C571" s="15" t="str">
        <f aca="false">IF($B571="","",IFERROR(INDEX(회원명부!$B$3:$B$502,MATCH($B571,회원명부!$A$3:$A$502,0)),"미등록회원"))</f>
        <v/>
      </c>
      <c r="D571" s="10"/>
      <c r="E571" s="16" t="str">
        <f aca="false">IF($D571="","",IF($J571="환불",0,IFERROR(INDEX(상품목록!$B$3:$B$102,MATCH($D571,상품목록!$A$3:$A$102,0)),0)))</f>
        <v/>
      </c>
      <c r="F571" s="16" t="str">
        <f aca="false">IF($D571="","",IFERROR(INDEX(상품목록!$C$3:$C$102,MATCH($D571,상품목록!$A$3:$A$102,0)),0))</f>
        <v/>
      </c>
      <c r="G571" s="17" t="str">
        <f aca="false">IF(OR($A571="",$F571=""),"",$A571+$F571)</f>
        <v/>
      </c>
      <c r="H571" s="16" t="str">
        <f aca="false">IF($D571="","",IF($J571="환불",0,IFERROR(INDEX(상품목록!$D$3:$D$102,MATCH($D571,상품목록!$A$3:$A$102,0)),0)))</f>
        <v/>
      </c>
      <c r="I571" s="10"/>
      <c r="J571" s="10"/>
      <c r="K571" s="10"/>
    </row>
    <row r="572" customFormat="false" ht="15" hidden="false" customHeight="true" outlineLevel="0" collapsed="false">
      <c r="A572" s="12"/>
      <c r="B572" s="10"/>
      <c r="C572" s="15" t="str">
        <f aca="false">IF($B572="","",IFERROR(INDEX(회원명부!$B$3:$B$502,MATCH($B572,회원명부!$A$3:$A$502,0)),"미등록회원"))</f>
        <v/>
      </c>
      <c r="D572" s="10"/>
      <c r="E572" s="16" t="str">
        <f aca="false">IF($D572="","",IF($J572="환불",0,IFERROR(INDEX(상품목록!$B$3:$B$102,MATCH($D572,상품목록!$A$3:$A$102,0)),0)))</f>
        <v/>
      </c>
      <c r="F572" s="16" t="str">
        <f aca="false">IF($D572="","",IFERROR(INDEX(상품목록!$C$3:$C$102,MATCH($D572,상품목록!$A$3:$A$102,0)),0))</f>
        <v/>
      </c>
      <c r="G572" s="17" t="str">
        <f aca="false">IF(OR($A572="",$F572=""),"",$A572+$F572)</f>
        <v/>
      </c>
      <c r="H572" s="16" t="str">
        <f aca="false">IF($D572="","",IF($J572="환불",0,IFERROR(INDEX(상품목록!$D$3:$D$102,MATCH($D572,상품목록!$A$3:$A$102,0)),0)))</f>
        <v/>
      </c>
      <c r="I572" s="10"/>
      <c r="J572" s="10"/>
      <c r="K572" s="10"/>
    </row>
    <row r="573" customFormat="false" ht="15" hidden="false" customHeight="true" outlineLevel="0" collapsed="false">
      <c r="A573" s="12"/>
      <c r="B573" s="10"/>
      <c r="C573" s="15" t="str">
        <f aca="false">IF($B573="","",IFERROR(INDEX(회원명부!$B$3:$B$502,MATCH($B573,회원명부!$A$3:$A$502,0)),"미등록회원"))</f>
        <v/>
      </c>
      <c r="D573" s="10"/>
      <c r="E573" s="16" t="str">
        <f aca="false">IF($D573="","",IF($J573="환불",0,IFERROR(INDEX(상품목록!$B$3:$B$102,MATCH($D573,상품목록!$A$3:$A$102,0)),0)))</f>
        <v/>
      </c>
      <c r="F573" s="16" t="str">
        <f aca="false">IF($D573="","",IFERROR(INDEX(상품목록!$C$3:$C$102,MATCH($D573,상품목록!$A$3:$A$102,0)),0))</f>
        <v/>
      </c>
      <c r="G573" s="17" t="str">
        <f aca="false">IF(OR($A573="",$F573=""),"",$A573+$F573)</f>
        <v/>
      </c>
      <c r="H573" s="16" t="str">
        <f aca="false">IF($D573="","",IF($J573="환불",0,IFERROR(INDEX(상품목록!$D$3:$D$102,MATCH($D573,상품목록!$A$3:$A$102,0)),0)))</f>
        <v/>
      </c>
      <c r="I573" s="10"/>
      <c r="J573" s="10"/>
      <c r="K573" s="10"/>
    </row>
    <row r="574" customFormat="false" ht="15" hidden="false" customHeight="true" outlineLevel="0" collapsed="false">
      <c r="A574" s="12"/>
      <c r="B574" s="10"/>
      <c r="C574" s="15" t="str">
        <f aca="false">IF($B574="","",IFERROR(INDEX(회원명부!$B$3:$B$502,MATCH($B574,회원명부!$A$3:$A$502,0)),"미등록회원"))</f>
        <v/>
      </c>
      <c r="D574" s="10"/>
      <c r="E574" s="16" t="str">
        <f aca="false">IF($D574="","",IF($J574="환불",0,IFERROR(INDEX(상품목록!$B$3:$B$102,MATCH($D574,상품목록!$A$3:$A$102,0)),0)))</f>
        <v/>
      </c>
      <c r="F574" s="16" t="str">
        <f aca="false">IF($D574="","",IFERROR(INDEX(상품목록!$C$3:$C$102,MATCH($D574,상품목록!$A$3:$A$102,0)),0))</f>
        <v/>
      </c>
      <c r="G574" s="17" t="str">
        <f aca="false">IF(OR($A574="",$F574=""),"",$A574+$F574)</f>
        <v/>
      </c>
      <c r="H574" s="16" t="str">
        <f aca="false">IF($D574="","",IF($J574="환불",0,IFERROR(INDEX(상품목록!$D$3:$D$102,MATCH($D574,상품목록!$A$3:$A$102,0)),0)))</f>
        <v/>
      </c>
      <c r="I574" s="10"/>
      <c r="J574" s="10"/>
      <c r="K574" s="10"/>
    </row>
    <row r="575" customFormat="false" ht="15" hidden="false" customHeight="true" outlineLevel="0" collapsed="false">
      <c r="A575" s="12"/>
      <c r="B575" s="10"/>
      <c r="C575" s="15" t="str">
        <f aca="false">IF($B575="","",IFERROR(INDEX(회원명부!$B$3:$B$502,MATCH($B575,회원명부!$A$3:$A$502,0)),"미등록회원"))</f>
        <v/>
      </c>
      <c r="D575" s="10"/>
      <c r="E575" s="16" t="str">
        <f aca="false">IF($D575="","",IF($J575="환불",0,IFERROR(INDEX(상품목록!$B$3:$B$102,MATCH($D575,상품목록!$A$3:$A$102,0)),0)))</f>
        <v/>
      </c>
      <c r="F575" s="16" t="str">
        <f aca="false">IF($D575="","",IFERROR(INDEX(상품목록!$C$3:$C$102,MATCH($D575,상품목록!$A$3:$A$102,0)),0))</f>
        <v/>
      </c>
      <c r="G575" s="17" t="str">
        <f aca="false">IF(OR($A575="",$F575=""),"",$A575+$F575)</f>
        <v/>
      </c>
      <c r="H575" s="16" t="str">
        <f aca="false">IF($D575="","",IF($J575="환불",0,IFERROR(INDEX(상품목록!$D$3:$D$102,MATCH($D575,상품목록!$A$3:$A$102,0)),0)))</f>
        <v/>
      </c>
      <c r="I575" s="10"/>
      <c r="J575" s="10"/>
      <c r="K575" s="10"/>
    </row>
    <row r="576" customFormat="false" ht="15" hidden="false" customHeight="true" outlineLevel="0" collapsed="false">
      <c r="A576" s="12"/>
      <c r="B576" s="10"/>
      <c r="C576" s="15" t="str">
        <f aca="false">IF($B576="","",IFERROR(INDEX(회원명부!$B$3:$B$502,MATCH($B576,회원명부!$A$3:$A$502,0)),"미등록회원"))</f>
        <v/>
      </c>
      <c r="D576" s="10"/>
      <c r="E576" s="16" t="str">
        <f aca="false">IF($D576="","",IF($J576="환불",0,IFERROR(INDEX(상품목록!$B$3:$B$102,MATCH($D576,상품목록!$A$3:$A$102,0)),0)))</f>
        <v/>
      </c>
      <c r="F576" s="16" t="str">
        <f aca="false">IF($D576="","",IFERROR(INDEX(상품목록!$C$3:$C$102,MATCH($D576,상품목록!$A$3:$A$102,0)),0))</f>
        <v/>
      </c>
      <c r="G576" s="17" t="str">
        <f aca="false">IF(OR($A576="",$F576=""),"",$A576+$F576)</f>
        <v/>
      </c>
      <c r="H576" s="16" t="str">
        <f aca="false">IF($D576="","",IF($J576="환불",0,IFERROR(INDEX(상품목록!$D$3:$D$102,MATCH($D576,상품목록!$A$3:$A$102,0)),0)))</f>
        <v/>
      </c>
      <c r="I576" s="10"/>
      <c r="J576" s="10"/>
      <c r="K576" s="10"/>
    </row>
    <row r="577" customFormat="false" ht="15" hidden="false" customHeight="true" outlineLevel="0" collapsed="false">
      <c r="A577" s="12"/>
      <c r="B577" s="10"/>
      <c r="C577" s="15" t="str">
        <f aca="false">IF($B577="","",IFERROR(INDEX(회원명부!$B$3:$B$502,MATCH($B577,회원명부!$A$3:$A$502,0)),"미등록회원"))</f>
        <v/>
      </c>
      <c r="D577" s="10"/>
      <c r="E577" s="16" t="str">
        <f aca="false">IF($D577="","",IF($J577="환불",0,IFERROR(INDEX(상품목록!$B$3:$B$102,MATCH($D577,상품목록!$A$3:$A$102,0)),0)))</f>
        <v/>
      </c>
      <c r="F577" s="16" t="str">
        <f aca="false">IF($D577="","",IFERROR(INDEX(상품목록!$C$3:$C$102,MATCH($D577,상품목록!$A$3:$A$102,0)),0))</f>
        <v/>
      </c>
      <c r="G577" s="17" t="str">
        <f aca="false">IF(OR($A577="",$F577=""),"",$A577+$F577)</f>
        <v/>
      </c>
      <c r="H577" s="16" t="str">
        <f aca="false">IF($D577="","",IF($J577="환불",0,IFERROR(INDEX(상품목록!$D$3:$D$102,MATCH($D577,상품목록!$A$3:$A$102,0)),0)))</f>
        <v/>
      </c>
      <c r="I577" s="10"/>
      <c r="J577" s="10"/>
      <c r="K577" s="10"/>
    </row>
    <row r="578" customFormat="false" ht="15" hidden="false" customHeight="true" outlineLevel="0" collapsed="false">
      <c r="A578" s="12"/>
      <c r="B578" s="10"/>
      <c r="C578" s="15" t="str">
        <f aca="false">IF($B578="","",IFERROR(INDEX(회원명부!$B$3:$B$502,MATCH($B578,회원명부!$A$3:$A$502,0)),"미등록회원"))</f>
        <v/>
      </c>
      <c r="D578" s="10"/>
      <c r="E578" s="16" t="str">
        <f aca="false">IF($D578="","",IF($J578="환불",0,IFERROR(INDEX(상품목록!$B$3:$B$102,MATCH($D578,상품목록!$A$3:$A$102,0)),0)))</f>
        <v/>
      </c>
      <c r="F578" s="16" t="str">
        <f aca="false">IF($D578="","",IFERROR(INDEX(상품목록!$C$3:$C$102,MATCH($D578,상품목록!$A$3:$A$102,0)),0))</f>
        <v/>
      </c>
      <c r="G578" s="17" t="str">
        <f aca="false">IF(OR($A578="",$F578=""),"",$A578+$F578)</f>
        <v/>
      </c>
      <c r="H578" s="16" t="str">
        <f aca="false">IF($D578="","",IF($J578="환불",0,IFERROR(INDEX(상품목록!$D$3:$D$102,MATCH($D578,상품목록!$A$3:$A$102,0)),0)))</f>
        <v/>
      </c>
      <c r="I578" s="10"/>
      <c r="J578" s="10"/>
      <c r="K578" s="10"/>
    </row>
    <row r="579" customFormat="false" ht="15" hidden="false" customHeight="true" outlineLevel="0" collapsed="false">
      <c r="A579" s="12"/>
      <c r="B579" s="10"/>
      <c r="C579" s="15" t="str">
        <f aca="false">IF($B579="","",IFERROR(INDEX(회원명부!$B$3:$B$502,MATCH($B579,회원명부!$A$3:$A$502,0)),"미등록회원"))</f>
        <v/>
      </c>
      <c r="D579" s="10"/>
      <c r="E579" s="16" t="str">
        <f aca="false">IF($D579="","",IF($J579="환불",0,IFERROR(INDEX(상품목록!$B$3:$B$102,MATCH($D579,상품목록!$A$3:$A$102,0)),0)))</f>
        <v/>
      </c>
      <c r="F579" s="16" t="str">
        <f aca="false">IF($D579="","",IFERROR(INDEX(상품목록!$C$3:$C$102,MATCH($D579,상품목록!$A$3:$A$102,0)),0))</f>
        <v/>
      </c>
      <c r="G579" s="17" t="str">
        <f aca="false">IF(OR($A579="",$F579=""),"",$A579+$F579)</f>
        <v/>
      </c>
      <c r="H579" s="16" t="str">
        <f aca="false">IF($D579="","",IF($J579="환불",0,IFERROR(INDEX(상품목록!$D$3:$D$102,MATCH($D579,상품목록!$A$3:$A$102,0)),0)))</f>
        <v/>
      </c>
      <c r="I579" s="10"/>
      <c r="J579" s="10"/>
      <c r="K579" s="10"/>
    </row>
    <row r="580" customFormat="false" ht="15" hidden="false" customHeight="true" outlineLevel="0" collapsed="false">
      <c r="A580" s="12"/>
      <c r="B580" s="10"/>
      <c r="C580" s="15" t="str">
        <f aca="false">IF($B580="","",IFERROR(INDEX(회원명부!$B$3:$B$502,MATCH($B580,회원명부!$A$3:$A$502,0)),"미등록회원"))</f>
        <v/>
      </c>
      <c r="D580" s="10"/>
      <c r="E580" s="16" t="str">
        <f aca="false">IF($D580="","",IF($J580="환불",0,IFERROR(INDEX(상품목록!$B$3:$B$102,MATCH($D580,상품목록!$A$3:$A$102,0)),0)))</f>
        <v/>
      </c>
      <c r="F580" s="16" t="str">
        <f aca="false">IF($D580="","",IFERROR(INDEX(상품목록!$C$3:$C$102,MATCH($D580,상품목록!$A$3:$A$102,0)),0))</f>
        <v/>
      </c>
      <c r="G580" s="17" t="str">
        <f aca="false">IF(OR($A580="",$F580=""),"",$A580+$F580)</f>
        <v/>
      </c>
      <c r="H580" s="16" t="str">
        <f aca="false">IF($D580="","",IF($J580="환불",0,IFERROR(INDEX(상품목록!$D$3:$D$102,MATCH($D580,상품목록!$A$3:$A$102,0)),0)))</f>
        <v/>
      </c>
      <c r="I580" s="10"/>
      <c r="J580" s="10"/>
      <c r="K580" s="10"/>
    </row>
    <row r="581" customFormat="false" ht="15" hidden="false" customHeight="true" outlineLevel="0" collapsed="false">
      <c r="A581" s="12"/>
      <c r="B581" s="10"/>
      <c r="C581" s="15" t="str">
        <f aca="false">IF($B581="","",IFERROR(INDEX(회원명부!$B$3:$B$502,MATCH($B581,회원명부!$A$3:$A$502,0)),"미등록회원"))</f>
        <v/>
      </c>
      <c r="D581" s="10"/>
      <c r="E581" s="16" t="str">
        <f aca="false">IF($D581="","",IF($J581="환불",0,IFERROR(INDEX(상품목록!$B$3:$B$102,MATCH($D581,상품목록!$A$3:$A$102,0)),0)))</f>
        <v/>
      </c>
      <c r="F581" s="16" t="str">
        <f aca="false">IF($D581="","",IFERROR(INDEX(상품목록!$C$3:$C$102,MATCH($D581,상품목록!$A$3:$A$102,0)),0))</f>
        <v/>
      </c>
      <c r="G581" s="17" t="str">
        <f aca="false">IF(OR($A581="",$F581=""),"",$A581+$F581)</f>
        <v/>
      </c>
      <c r="H581" s="16" t="str">
        <f aca="false">IF($D581="","",IF($J581="환불",0,IFERROR(INDEX(상품목록!$D$3:$D$102,MATCH($D581,상품목록!$A$3:$A$102,0)),0)))</f>
        <v/>
      </c>
      <c r="I581" s="10"/>
      <c r="J581" s="10"/>
      <c r="K581" s="10"/>
    </row>
    <row r="582" customFormat="false" ht="15" hidden="false" customHeight="true" outlineLevel="0" collapsed="false">
      <c r="A582" s="12"/>
      <c r="B582" s="10"/>
      <c r="C582" s="15" t="str">
        <f aca="false">IF($B582="","",IFERROR(INDEX(회원명부!$B$3:$B$502,MATCH($B582,회원명부!$A$3:$A$502,0)),"미등록회원"))</f>
        <v/>
      </c>
      <c r="D582" s="10"/>
      <c r="E582" s="16" t="str">
        <f aca="false">IF($D582="","",IF($J582="환불",0,IFERROR(INDEX(상품목록!$B$3:$B$102,MATCH($D582,상품목록!$A$3:$A$102,0)),0)))</f>
        <v/>
      </c>
      <c r="F582" s="16" t="str">
        <f aca="false">IF($D582="","",IFERROR(INDEX(상품목록!$C$3:$C$102,MATCH($D582,상품목록!$A$3:$A$102,0)),0))</f>
        <v/>
      </c>
      <c r="G582" s="17" t="str">
        <f aca="false">IF(OR($A582="",$F582=""),"",$A582+$F582)</f>
        <v/>
      </c>
      <c r="H582" s="16" t="str">
        <f aca="false">IF($D582="","",IF($J582="환불",0,IFERROR(INDEX(상품목록!$D$3:$D$102,MATCH($D582,상품목록!$A$3:$A$102,0)),0)))</f>
        <v/>
      </c>
      <c r="I582" s="10"/>
      <c r="J582" s="10"/>
      <c r="K582" s="10"/>
    </row>
    <row r="583" customFormat="false" ht="15" hidden="false" customHeight="true" outlineLevel="0" collapsed="false">
      <c r="A583" s="12"/>
      <c r="B583" s="10"/>
      <c r="C583" s="15" t="str">
        <f aca="false">IF($B583="","",IFERROR(INDEX(회원명부!$B$3:$B$502,MATCH($B583,회원명부!$A$3:$A$502,0)),"미등록회원"))</f>
        <v/>
      </c>
      <c r="D583" s="10"/>
      <c r="E583" s="16" t="str">
        <f aca="false">IF($D583="","",IF($J583="환불",0,IFERROR(INDEX(상품목록!$B$3:$B$102,MATCH($D583,상품목록!$A$3:$A$102,0)),0)))</f>
        <v/>
      </c>
      <c r="F583" s="16" t="str">
        <f aca="false">IF($D583="","",IFERROR(INDEX(상품목록!$C$3:$C$102,MATCH($D583,상품목록!$A$3:$A$102,0)),0))</f>
        <v/>
      </c>
      <c r="G583" s="17" t="str">
        <f aca="false">IF(OR($A583="",$F583=""),"",$A583+$F583)</f>
        <v/>
      </c>
      <c r="H583" s="16" t="str">
        <f aca="false">IF($D583="","",IF($J583="환불",0,IFERROR(INDEX(상품목록!$D$3:$D$102,MATCH($D583,상품목록!$A$3:$A$102,0)),0)))</f>
        <v/>
      </c>
      <c r="I583" s="10"/>
      <c r="J583" s="10"/>
      <c r="K583" s="10"/>
    </row>
    <row r="584" customFormat="false" ht="15" hidden="false" customHeight="true" outlineLevel="0" collapsed="false">
      <c r="A584" s="12"/>
      <c r="B584" s="10"/>
      <c r="C584" s="15" t="str">
        <f aca="false">IF($B584="","",IFERROR(INDEX(회원명부!$B$3:$B$502,MATCH($B584,회원명부!$A$3:$A$502,0)),"미등록회원"))</f>
        <v/>
      </c>
      <c r="D584" s="10"/>
      <c r="E584" s="16" t="str">
        <f aca="false">IF($D584="","",IF($J584="환불",0,IFERROR(INDEX(상품목록!$B$3:$B$102,MATCH($D584,상품목록!$A$3:$A$102,0)),0)))</f>
        <v/>
      </c>
      <c r="F584" s="16" t="str">
        <f aca="false">IF($D584="","",IFERROR(INDEX(상품목록!$C$3:$C$102,MATCH($D584,상품목록!$A$3:$A$102,0)),0))</f>
        <v/>
      </c>
      <c r="G584" s="17" t="str">
        <f aca="false">IF(OR($A584="",$F584=""),"",$A584+$F584)</f>
        <v/>
      </c>
      <c r="H584" s="16" t="str">
        <f aca="false">IF($D584="","",IF($J584="환불",0,IFERROR(INDEX(상품목록!$D$3:$D$102,MATCH($D584,상품목록!$A$3:$A$102,0)),0)))</f>
        <v/>
      </c>
      <c r="I584" s="10"/>
      <c r="J584" s="10"/>
      <c r="K584" s="10"/>
    </row>
    <row r="585" customFormat="false" ht="15" hidden="false" customHeight="true" outlineLevel="0" collapsed="false">
      <c r="A585" s="12"/>
      <c r="B585" s="10"/>
      <c r="C585" s="15" t="str">
        <f aca="false">IF($B585="","",IFERROR(INDEX(회원명부!$B$3:$B$502,MATCH($B585,회원명부!$A$3:$A$502,0)),"미등록회원"))</f>
        <v/>
      </c>
      <c r="D585" s="10"/>
      <c r="E585" s="16" t="str">
        <f aca="false">IF($D585="","",IF($J585="환불",0,IFERROR(INDEX(상품목록!$B$3:$B$102,MATCH($D585,상품목록!$A$3:$A$102,0)),0)))</f>
        <v/>
      </c>
      <c r="F585" s="16" t="str">
        <f aca="false">IF($D585="","",IFERROR(INDEX(상품목록!$C$3:$C$102,MATCH($D585,상품목록!$A$3:$A$102,0)),0))</f>
        <v/>
      </c>
      <c r="G585" s="17" t="str">
        <f aca="false">IF(OR($A585="",$F585=""),"",$A585+$F585)</f>
        <v/>
      </c>
      <c r="H585" s="16" t="str">
        <f aca="false">IF($D585="","",IF($J585="환불",0,IFERROR(INDEX(상품목록!$D$3:$D$102,MATCH($D585,상품목록!$A$3:$A$102,0)),0)))</f>
        <v/>
      </c>
      <c r="I585" s="10"/>
      <c r="J585" s="10"/>
      <c r="K585" s="10"/>
    </row>
    <row r="586" customFormat="false" ht="15" hidden="false" customHeight="true" outlineLevel="0" collapsed="false">
      <c r="A586" s="12"/>
      <c r="B586" s="10"/>
      <c r="C586" s="15" t="str">
        <f aca="false">IF($B586="","",IFERROR(INDEX(회원명부!$B$3:$B$502,MATCH($B586,회원명부!$A$3:$A$502,0)),"미등록회원"))</f>
        <v/>
      </c>
      <c r="D586" s="10"/>
      <c r="E586" s="16" t="str">
        <f aca="false">IF($D586="","",IF($J586="환불",0,IFERROR(INDEX(상품목록!$B$3:$B$102,MATCH($D586,상품목록!$A$3:$A$102,0)),0)))</f>
        <v/>
      </c>
      <c r="F586" s="16" t="str">
        <f aca="false">IF($D586="","",IFERROR(INDEX(상품목록!$C$3:$C$102,MATCH($D586,상품목록!$A$3:$A$102,0)),0))</f>
        <v/>
      </c>
      <c r="G586" s="17" t="str">
        <f aca="false">IF(OR($A586="",$F586=""),"",$A586+$F586)</f>
        <v/>
      </c>
      <c r="H586" s="16" t="str">
        <f aca="false">IF($D586="","",IF($J586="환불",0,IFERROR(INDEX(상품목록!$D$3:$D$102,MATCH($D586,상품목록!$A$3:$A$102,0)),0)))</f>
        <v/>
      </c>
      <c r="I586" s="10"/>
      <c r="J586" s="10"/>
      <c r="K586" s="10"/>
    </row>
    <row r="587" customFormat="false" ht="15" hidden="false" customHeight="true" outlineLevel="0" collapsed="false">
      <c r="A587" s="12"/>
      <c r="B587" s="10"/>
      <c r="C587" s="15" t="str">
        <f aca="false">IF($B587="","",IFERROR(INDEX(회원명부!$B$3:$B$502,MATCH($B587,회원명부!$A$3:$A$502,0)),"미등록회원"))</f>
        <v/>
      </c>
      <c r="D587" s="10"/>
      <c r="E587" s="16" t="str">
        <f aca="false">IF($D587="","",IF($J587="환불",0,IFERROR(INDEX(상품목록!$B$3:$B$102,MATCH($D587,상품목록!$A$3:$A$102,0)),0)))</f>
        <v/>
      </c>
      <c r="F587" s="16" t="str">
        <f aca="false">IF($D587="","",IFERROR(INDEX(상품목록!$C$3:$C$102,MATCH($D587,상품목록!$A$3:$A$102,0)),0))</f>
        <v/>
      </c>
      <c r="G587" s="17" t="str">
        <f aca="false">IF(OR($A587="",$F587=""),"",$A587+$F587)</f>
        <v/>
      </c>
      <c r="H587" s="16" t="str">
        <f aca="false">IF($D587="","",IF($J587="환불",0,IFERROR(INDEX(상품목록!$D$3:$D$102,MATCH($D587,상품목록!$A$3:$A$102,0)),0)))</f>
        <v/>
      </c>
      <c r="I587" s="10"/>
      <c r="J587" s="10"/>
      <c r="K587" s="10"/>
    </row>
    <row r="588" customFormat="false" ht="15" hidden="false" customHeight="true" outlineLevel="0" collapsed="false">
      <c r="A588" s="12"/>
      <c r="B588" s="10"/>
      <c r="C588" s="15" t="str">
        <f aca="false">IF($B588="","",IFERROR(INDEX(회원명부!$B$3:$B$502,MATCH($B588,회원명부!$A$3:$A$502,0)),"미등록회원"))</f>
        <v/>
      </c>
      <c r="D588" s="10"/>
      <c r="E588" s="16" t="str">
        <f aca="false">IF($D588="","",IF($J588="환불",0,IFERROR(INDEX(상품목록!$B$3:$B$102,MATCH($D588,상품목록!$A$3:$A$102,0)),0)))</f>
        <v/>
      </c>
      <c r="F588" s="16" t="str">
        <f aca="false">IF($D588="","",IFERROR(INDEX(상품목록!$C$3:$C$102,MATCH($D588,상품목록!$A$3:$A$102,0)),0))</f>
        <v/>
      </c>
      <c r="G588" s="17" t="str">
        <f aca="false">IF(OR($A588="",$F588=""),"",$A588+$F588)</f>
        <v/>
      </c>
      <c r="H588" s="16" t="str">
        <f aca="false">IF($D588="","",IF($J588="환불",0,IFERROR(INDEX(상품목록!$D$3:$D$102,MATCH($D588,상품목록!$A$3:$A$102,0)),0)))</f>
        <v/>
      </c>
      <c r="I588" s="10"/>
      <c r="J588" s="10"/>
      <c r="K588" s="10"/>
    </row>
    <row r="589" customFormat="false" ht="15" hidden="false" customHeight="true" outlineLevel="0" collapsed="false">
      <c r="A589" s="12"/>
      <c r="B589" s="10"/>
      <c r="C589" s="15" t="str">
        <f aca="false">IF($B589="","",IFERROR(INDEX(회원명부!$B$3:$B$502,MATCH($B589,회원명부!$A$3:$A$502,0)),"미등록회원"))</f>
        <v/>
      </c>
      <c r="D589" s="10"/>
      <c r="E589" s="16" t="str">
        <f aca="false">IF($D589="","",IF($J589="환불",0,IFERROR(INDEX(상품목록!$B$3:$B$102,MATCH($D589,상품목록!$A$3:$A$102,0)),0)))</f>
        <v/>
      </c>
      <c r="F589" s="16" t="str">
        <f aca="false">IF($D589="","",IFERROR(INDEX(상품목록!$C$3:$C$102,MATCH($D589,상품목록!$A$3:$A$102,0)),0))</f>
        <v/>
      </c>
      <c r="G589" s="17" t="str">
        <f aca="false">IF(OR($A589="",$F589=""),"",$A589+$F589)</f>
        <v/>
      </c>
      <c r="H589" s="16" t="str">
        <f aca="false">IF($D589="","",IF($J589="환불",0,IFERROR(INDEX(상품목록!$D$3:$D$102,MATCH($D589,상품목록!$A$3:$A$102,0)),0)))</f>
        <v/>
      </c>
      <c r="I589" s="10"/>
      <c r="J589" s="10"/>
      <c r="K589" s="10"/>
    </row>
    <row r="590" customFormat="false" ht="15" hidden="false" customHeight="true" outlineLevel="0" collapsed="false">
      <c r="A590" s="12"/>
      <c r="B590" s="10"/>
      <c r="C590" s="15" t="str">
        <f aca="false">IF($B590="","",IFERROR(INDEX(회원명부!$B$3:$B$502,MATCH($B590,회원명부!$A$3:$A$502,0)),"미등록회원"))</f>
        <v/>
      </c>
      <c r="D590" s="10"/>
      <c r="E590" s="16" t="str">
        <f aca="false">IF($D590="","",IF($J590="환불",0,IFERROR(INDEX(상품목록!$B$3:$B$102,MATCH($D590,상품목록!$A$3:$A$102,0)),0)))</f>
        <v/>
      </c>
      <c r="F590" s="16" t="str">
        <f aca="false">IF($D590="","",IFERROR(INDEX(상품목록!$C$3:$C$102,MATCH($D590,상품목록!$A$3:$A$102,0)),0))</f>
        <v/>
      </c>
      <c r="G590" s="17" t="str">
        <f aca="false">IF(OR($A590="",$F590=""),"",$A590+$F590)</f>
        <v/>
      </c>
      <c r="H590" s="16" t="str">
        <f aca="false">IF($D590="","",IF($J590="환불",0,IFERROR(INDEX(상품목록!$D$3:$D$102,MATCH($D590,상품목록!$A$3:$A$102,0)),0)))</f>
        <v/>
      </c>
      <c r="I590" s="10"/>
      <c r="J590" s="10"/>
      <c r="K590" s="10"/>
    </row>
    <row r="591" customFormat="false" ht="15" hidden="false" customHeight="true" outlineLevel="0" collapsed="false">
      <c r="A591" s="12"/>
      <c r="B591" s="10"/>
      <c r="C591" s="15" t="str">
        <f aca="false">IF($B591="","",IFERROR(INDEX(회원명부!$B$3:$B$502,MATCH($B591,회원명부!$A$3:$A$502,0)),"미등록회원"))</f>
        <v/>
      </c>
      <c r="D591" s="10"/>
      <c r="E591" s="16" t="str">
        <f aca="false">IF($D591="","",IF($J591="환불",0,IFERROR(INDEX(상품목록!$B$3:$B$102,MATCH($D591,상품목록!$A$3:$A$102,0)),0)))</f>
        <v/>
      </c>
      <c r="F591" s="16" t="str">
        <f aca="false">IF($D591="","",IFERROR(INDEX(상품목록!$C$3:$C$102,MATCH($D591,상품목록!$A$3:$A$102,0)),0))</f>
        <v/>
      </c>
      <c r="G591" s="17" t="str">
        <f aca="false">IF(OR($A591="",$F591=""),"",$A591+$F591)</f>
        <v/>
      </c>
      <c r="H591" s="16" t="str">
        <f aca="false">IF($D591="","",IF($J591="환불",0,IFERROR(INDEX(상품목록!$D$3:$D$102,MATCH($D591,상품목록!$A$3:$A$102,0)),0)))</f>
        <v/>
      </c>
      <c r="I591" s="10"/>
      <c r="J591" s="10"/>
      <c r="K591" s="10"/>
    </row>
    <row r="592" customFormat="false" ht="15" hidden="false" customHeight="true" outlineLevel="0" collapsed="false">
      <c r="A592" s="12"/>
      <c r="B592" s="10"/>
      <c r="C592" s="15" t="str">
        <f aca="false">IF($B592="","",IFERROR(INDEX(회원명부!$B$3:$B$502,MATCH($B592,회원명부!$A$3:$A$502,0)),"미등록회원"))</f>
        <v/>
      </c>
      <c r="D592" s="10"/>
      <c r="E592" s="16" t="str">
        <f aca="false">IF($D592="","",IF($J592="환불",0,IFERROR(INDEX(상품목록!$B$3:$B$102,MATCH($D592,상품목록!$A$3:$A$102,0)),0)))</f>
        <v/>
      </c>
      <c r="F592" s="16" t="str">
        <f aca="false">IF($D592="","",IFERROR(INDEX(상품목록!$C$3:$C$102,MATCH($D592,상품목록!$A$3:$A$102,0)),0))</f>
        <v/>
      </c>
      <c r="G592" s="17" t="str">
        <f aca="false">IF(OR($A592="",$F592=""),"",$A592+$F592)</f>
        <v/>
      </c>
      <c r="H592" s="16" t="str">
        <f aca="false">IF($D592="","",IF($J592="환불",0,IFERROR(INDEX(상품목록!$D$3:$D$102,MATCH($D592,상품목록!$A$3:$A$102,0)),0)))</f>
        <v/>
      </c>
      <c r="I592" s="10"/>
      <c r="J592" s="10"/>
      <c r="K592" s="10"/>
    </row>
    <row r="593" customFormat="false" ht="15" hidden="false" customHeight="true" outlineLevel="0" collapsed="false">
      <c r="A593" s="12"/>
      <c r="B593" s="10"/>
      <c r="C593" s="15" t="str">
        <f aca="false">IF($B593="","",IFERROR(INDEX(회원명부!$B$3:$B$502,MATCH($B593,회원명부!$A$3:$A$502,0)),"미등록회원"))</f>
        <v/>
      </c>
      <c r="D593" s="10"/>
      <c r="E593" s="16" t="str">
        <f aca="false">IF($D593="","",IF($J593="환불",0,IFERROR(INDEX(상품목록!$B$3:$B$102,MATCH($D593,상품목록!$A$3:$A$102,0)),0)))</f>
        <v/>
      </c>
      <c r="F593" s="16" t="str">
        <f aca="false">IF($D593="","",IFERROR(INDEX(상품목록!$C$3:$C$102,MATCH($D593,상품목록!$A$3:$A$102,0)),0))</f>
        <v/>
      </c>
      <c r="G593" s="17" t="str">
        <f aca="false">IF(OR($A593="",$F593=""),"",$A593+$F593)</f>
        <v/>
      </c>
      <c r="H593" s="16" t="str">
        <f aca="false">IF($D593="","",IF($J593="환불",0,IFERROR(INDEX(상품목록!$D$3:$D$102,MATCH($D593,상품목록!$A$3:$A$102,0)),0)))</f>
        <v/>
      </c>
      <c r="I593" s="10"/>
      <c r="J593" s="10"/>
      <c r="K593" s="10"/>
    </row>
    <row r="594" customFormat="false" ht="15" hidden="false" customHeight="true" outlineLevel="0" collapsed="false">
      <c r="A594" s="12"/>
      <c r="B594" s="10"/>
      <c r="C594" s="15" t="str">
        <f aca="false">IF($B594="","",IFERROR(INDEX(회원명부!$B$3:$B$502,MATCH($B594,회원명부!$A$3:$A$502,0)),"미등록회원"))</f>
        <v/>
      </c>
      <c r="D594" s="10"/>
      <c r="E594" s="16" t="str">
        <f aca="false">IF($D594="","",IF($J594="환불",0,IFERROR(INDEX(상품목록!$B$3:$B$102,MATCH($D594,상품목록!$A$3:$A$102,0)),0)))</f>
        <v/>
      </c>
      <c r="F594" s="16" t="str">
        <f aca="false">IF($D594="","",IFERROR(INDEX(상품목록!$C$3:$C$102,MATCH($D594,상품목록!$A$3:$A$102,0)),0))</f>
        <v/>
      </c>
      <c r="G594" s="17" t="str">
        <f aca="false">IF(OR($A594="",$F594=""),"",$A594+$F594)</f>
        <v/>
      </c>
      <c r="H594" s="16" t="str">
        <f aca="false">IF($D594="","",IF($J594="환불",0,IFERROR(INDEX(상품목록!$D$3:$D$102,MATCH($D594,상품목록!$A$3:$A$102,0)),0)))</f>
        <v/>
      </c>
      <c r="I594" s="10"/>
      <c r="J594" s="10"/>
      <c r="K594" s="10"/>
    </row>
    <row r="595" customFormat="false" ht="15" hidden="false" customHeight="true" outlineLevel="0" collapsed="false">
      <c r="A595" s="12"/>
      <c r="B595" s="10"/>
      <c r="C595" s="15" t="str">
        <f aca="false">IF($B595="","",IFERROR(INDEX(회원명부!$B$3:$B$502,MATCH($B595,회원명부!$A$3:$A$502,0)),"미등록회원"))</f>
        <v/>
      </c>
      <c r="D595" s="10"/>
      <c r="E595" s="16" t="str">
        <f aca="false">IF($D595="","",IF($J595="환불",0,IFERROR(INDEX(상품목록!$B$3:$B$102,MATCH($D595,상품목록!$A$3:$A$102,0)),0)))</f>
        <v/>
      </c>
      <c r="F595" s="16" t="str">
        <f aca="false">IF($D595="","",IFERROR(INDEX(상품목록!$C$3:$C$102,MATCH($D595,상품목록!$A$3:$A$102,0)),0))</f>
        <v/>
      </c>
      <c r="G595" s="17" t="str">
        <f aca="false">IF(OR($A595="",$F595=""),"",$A595+$F595)</f>
        <v/>
      </c>
      <c r="H595" s="16" t="str">
        <f aca="false">IF($D595="","",IF($J595="환불",0,IFERROR(INDEX(상품목록!$D$3:$D$102,MATCH($D595,상품목록!$A$3:$A$102,0)),0)))</f>
        <v/>
      </c>
      <c r="I595" s="10"/>
      <c r="J595" s="10"/>
      <c r="K595" s="10"/>
    </row>
    <row r="596" customFormat="false" ht="15" hidden="false" customHeight="true" outlineLevel="0" collapsed="false">
      <c r="A596" s="12"/>
      <c r="B596" s="10"/>
      <c r="C596" s="15" t="str">
        <f aca="false">IF($B596="","",IFERROR(INDEX(회원명부!$B$3:$B$502,MATCH($B596,회원명부!$A$3:$A$502,0)),"미등록회원"))</f>
        <v/>
      </c>
      <c r="D596" s="10"/>
      <c r="E596" s="16" t="str">
        <f aca="false">IF($D596="","",IF($J596="환불",0,IFERROR(INDEX(상품목록!$B$3:$B$102,MATCH($D596,상품목록!$A$3:$A$102,0)),0)))</f>
        <v/>
      </c>
      <c r="F596" s="16" t="str">
        <f aca="false">IF($D596="","",IFERROR(INDEX(상품목록!$C$3:$C$102,MATCH($D596,상품목록!$A$3:$A$102,0)),0))</f>
        <v/>
      </c>
      <c r="G596" s="17" t="str">
        <f aca="false">IF(OR($A596="",$F596=""),"",$A596+$F596)</f>
        <v/>
      </c>
      <c r="H596" s="16" t="str">
        <f aca="false">IF($D596="","",IF($J596="환불",0,IFERROR(INDEX(상품목록!$D$3:$D$102,MATCH($D596,상품목록!$A$3:$A$102,0)),0)))</f>
        <v/>
      </c>
      <c r="I596" s="10"/>
      <c r="J596" s="10"/>
      <c r="K596" s="10"/>
    </row>
    <row r="597" customFormat="false" ht="15" hidden="false" customHeight="true" outlineLevel="0" collapsed="false">
      <c r="A597" s="12"/>
      <c r="B597" s="10"/>
      <c r="C597" s="15" t="str">
        <f aca="false">IF($B597="","",IFERROR(INDEX(회원명부!$B$3:$B$502,MATCH($B597,회원명부!$A$3:$A$502,0)),"미등록회원"))</f>
        <v/>
      </c>
      <c r="D597" s="10"/>
      <c r="E597" s="16" t="str">
        <f aca="false">IF($D597="","",IF($J597="환불",0,IFERROR(INDEX(상품목록!$B$3:$B$102,MATCH($D597,상품목록!$A$3:$A$102,0)),0)))</f>
        <v/>
      </c>
      <c r="F597" s="16" t="str">
        <f aca="false">IF($D597="","",IFERROR(INDEX(상품목록!$C$3:$C$102,MATCH($D597,상품목록!$A$3:$A$102,0)),0))</f>
        <v/>
      </c>
      <c r="G597" s="17" t="str">
        <f aca="false">IF(OR($A597="",$F597=""),"",$A597+$F597)</f>
        <v/>
      </c>
      <c r="H597" s="16" t="str">
        <f aca="false">IF($D597="","",IF($J597="환불",0,IFERROR(INDEX(상품목록!$D$3:$D$102,MATCH($D597,상품목록!$A$3:$A$102,0)),0)))</f>
        <v/>
      </c>
      <c r="I597" s="10"/>
      <c r="J597" s="10"/>
      <c r="K597" s="10"/>
    </row>
    <row r="598" customFormat="false" ht="15" hidden="false" customHeight="true" outlineLevel="0" collapsed="false">
      <c r="A598" s="12"/>
      <c r="B598" s="10"/>
      <c r="C598" s="15" t="str">
        <f aca="false">IF($B598="","",IFERROR(INDEX(회원명부!$B$3:$B$502,MATCH($B598,회원명부!$A$3:$A$502,0)),"미등록회원"))</f>
        <v/>
      </c>
      <c r="D598" s="10"/>
      <c r="E598" s="16" t="str">
        <f aca="false">IF($D598="","",IF($J598="환불",0,IFERROR(INDEX(상품목록!$B$3:$B$102,MATCH($D598,상품목록!$A$3:$A$102,0)),0)))</f>
        <v/>
      </c>
      <c r="F598" s="16" t="str">
        <f aca="false">IF($D598="","",IFERROR(INDEX(상품목록!$C$3:$C$102,MATCH($D598,상품목록!$A$3:$A$102,0)),0))</f>
        <v/>
      </c>
      <c r="G598" s="17" t="str">
        <f aca="false">IF(OR($A598="",$F598=""),"",$A598+$F598)</f>
        <v/>
      </c>
      <c r="H598" s="16" t="str">
        <f aca="false">IF($D598="","",IF($J598="환불",0,IFERROR(INDEX(상품목록!$D$3:$D$102,MATCH($D598,상품목록!$A$3:$A$102,0)),0)))</f>
        <v/>
      </c>
      <c r="I598" s="10"/>
      <c r="J598" s="10"/>
      <c r="K598" s="10"/>
    </row>
    <row r="599" customFormat="false" ht="15" hidden="false" customHeight="true" outlineLevel="0" collapsed="false">
      <c r="A599" s="12"/>
      <c r="B599" s="10"/>
      <c r="C599" s="15" t="str">
        <f aca="false">IF($B599="","",IFERROR(INDEX(회원명부!$B$3:$B$502,MATCH($B599,회원명부!$A$3:$A$502,0)),"미등록회원"))</f>
        <v/>
      </c>
      <c r="D599" s="10"/>
      <c r="E599" s="16" t="str">
        <f aca="false">IF($D599="","",IF($J599="환불",0,IFERROR(INDEX(상품목록!$B$3:$B$102,MATCH($D599,상품목록!$A$3:$A$102,0)),0)))</f>
        <v/>
      </c>
      <c r="F599" s="16" t="str">
        <f aca="false">IF($D599="","",IFERROR(INDEX(상품목록!$C$3:$C$102,MATCH($D599,상품목록!$A$3:$A$102,0)),0))</f>
        <v/>
      </c>
      <c r="G599" s="17" t="str">
        <f aca="false">IF(OR($A599="",$F599=""),"",$A599+$F599)</f>
        <v/>
      </c>
      <c r="H599" s="16" t="str">
        <f aca="false">IF($D599="","",IF($J599="환불",0,IFERROR(INDEX(상품목록!$D$3:$D$102,MATCH($D599,상품목록!$A$3:$A$102,0)),0)))</f>
        <v/>
      </c>
      <c r="I599" s="10"/>
      <c r="J599" s="10"/>
      <c r="K599" s="10"/>
    </row>
    <row r="600" customFormat="false" ht="15" hidden="false" customHeight="true" outlineLevel="0" collapsed="false">
      <c r="A600" s="12"/>
      <c r="B600" s="10"/>
      <c r="C600" s="15" t="str">
        <f aca="false">IF($B600="","",IFERROR(INDEX(회원명부!$B$3:$B$502,MATCH($B600,회원명부!$A$3:$A$502,0)),"미등록회원"))</f>
        <v/>
      </c>
      <c r="D600" s="10"/>
      <c r="E600" s="16" t="str">
        <f aca="false">IF($D600="","",IF($J600="환불",0,IFERROR(INDEX(상품목록!$B$3:$B$102,MATCH($D600,상품목록!$A$3:$A$102,0)),0)))</f>
        <v/>
      </c>
      <c r="F600" s="16" t="str">
        <f aca="false">IF($D600="","",IFERROR(INDEX(상품목록!$C$3:$C$102,MATCH($D600,상품목록!$A$3:$A$102,0)),0))</f>
        <v/>
      </c>
      <c r="G600" s="17" t="str">
        <f aca="false">IF(OR($A600="",$F600=""),"",$A600+$F600)</f>
        <v/>
      </c>
      <c r="H600" s="16" t="str">
        <f aca="false">IF($D600="","",IF($J600="환불",0,IFERROR(INDEX(상품목록!$D$3:$D$102,MATCH($D600,상품목록!$A$3:$A$102,0)),0)))</f>
        <v/>
      </c>
      <c r="I600" s="10"/>
      <c r="J600" s="10"/>
      <c r="K600" s="10"/>
    </row>
    <row r="601" customFormat="false" ht="15" hidden="false" customHeight="true" outlineLevel="0" collapsed="false">
      <c r="A601" s="12"/>
      <c r="B601" s="10"/>
      <c r="C601" s="15" t="str">
        <f aca="false">IF($B601="","",IFERROR(INDEX(회원명부!$B$3:$B$502,MATCH($B601,회원명부!$A$3:$A$502,0)),"미등록회원"))</f>
        <v/>
      </c>
      <c r="D601" s="10"/>
      <c r="E601" s="16" t="str">
        <f aca="false">IF($D601="","",IF($J601="환불",0,IFERROR(INDEX(상품목록!$B$3:$B$102,MATCH($D601,상품목록!$A$3:$A$102,0)),0)))</f>
        <v/>
      </c>
      <c r="F601" s="16" t="str">
        <f aca="false">IF($D601="","",IFERROR(INDEX(상품목록!$C$3:$C$102,MATCH($D601,상품목록!$A$3:$A$102,0)),0))</f>
        <v/>
      </c>
      <c r="G601" s="17" t="str">
        <f aca="false">IF(OR($A601="",$F601=""),"",$A601+$F601)</f>
        <v/>
      </c>
      <c r="H601" s="16" t="str">
        <f aca="false">IF($D601="","",IF($J601="환불",0,IFERROR(INDEX(상품목록!$D$3:$D$102,MATCH($D601,상품목록!$A$3:$A$102,0)),0)))</f>
        <v/>
      </c>
      <c r="I601" s="10"/>
      <c r="J601" s="10"/>
      <c r="K601" s="10"/>
    </row>
    <row r="602" customFormat="false" ht="15" hidden="false" customHeight="true" outlineLevel="0" collapsed="false">
      <c r="A602" s="12"/>
      <c r="B602" s="10"/>
      <c r="C602" s="15" t="str">
        <f aca="false">IF($B602="","",IFERROR(INDEX(회원명부!$B$3:$B$502,MATCH($B602,회원명부!$A$3:$A$502,0)),"미등록회원"))</f>
        <v/>
      </c>
      <c r="D602" s="10"/>
      <c r="E602" s="16" t="str">
        <f aca="false">IF($D602="","",IF($J602="환불",0,IFERROR(INDEX(상품목록!$B$3:$B$102,MATCH($D602,상품목록!$A$3:$A$102,0)),0)))</f>
        <v/>
      </c>
      <c r="F602" s="16" t="str">
        <f aca="false">IF($D602="","",IFERROR(INDEX(상품목록!$C$3:$C$102,MATCH($D602,상품목록!$A$3:$A$102,0)),0))</f>
        <v/>
      </c>
      <c r="G602" s="17" t="str">
        <f aca="false">IF(OR($A602="",$F602=""),"",$A602+$F602)</f>
        <v/>
      </c>
      <c r="H602" s="16" t="str">
        <f aca="false">IF($D602="","",IF($J602="환불",0,IFERROR(INDEX(상품목록!$D$3:$D$102,MATCH($D602,상품목록!$A$3:$A$102,0)),0)))</f>
        <v/>
      </c>
      <c r="I602" s="10"/>
      <c r="J602" s="10"/>
      <c r="K602" s="10"/>
    </row>
    <row r="603" customFormat="false" ht="15" hidden="false" customHeight="true" outlineLevel="0" collapsed="false">
      <c r="A603" s="12"/>
      <c r="B603" s="10"/>
      <c r="C603" s="15" t="str">
        <f aca="false">IF($B603="","",IFERROR(INDEX(회원명부!$B$3:$B$502,MATCH($B603,회원명부!$A$3:$A$502,0)),"미등록회원"))</f>
        <v/>
      </c>
      <c r="D603" s="10"/>
      <c r="E603" s="16" t="str">
        <f aca="false">IF($D603="","",IF($J603="환불",0,IFERROR(INDEX(상품목록!$B$3:$B$102,MATCH($D603,상품목록!$A$3:$A$102,0)),0)))</f>
        <v/>
      </c>
      <c r="F603" s="16" t="str">
        <f aca="false">IF($D603="","",IFERROR(INDEX(상품목록!$C$3:$C$102,MATCH($D603,상품목록!$A$3:$A$102,0)),0))</f>
        <v/>
      </c>
      <c r="G603" s="17" t="str">
        <f aca="false">IF(OR($A603="",$F603=""),"",$A603+$F603)</f>
        <v/>
      </c>
      <c r="H603" s="16" t="str">
        <f aca="false">IF($D603="","",IF($J603="환불",0,IFERROR(INDEX(상품목록!$D$3:$D$102,MATCH($D603,상품목록!$A$3:$A$102,0)),0)))</f>
        <v/>
      </c>
      <c r="I603" s="10"/>
      <c r="J603" s="10"/>
      <c r="K603" s="10"/>
    </row>
    <row r="604" customFormat="false" ht="15" hidden="false" customHeight="true" outlineLevel="0" collapsed="false">
      <c r="A604" s="12"/>
      <c r="B604" s="10"/>
      <c r="C604" s="15" t="str">
        <f aca="false">IF($B604="","",IFERROR(INDEX(회원명부!$B$3:$B$502,MATCH($B604,회원명부!$A$3:$A$502,0)),"미등록회원"))</f>
        <v/>
      </c>
      <c r="D604" s="10"/>
      <c r="E604" s="16" t="str">
        <f aca="false">IF($D604="","",IF($J604="환불",0,IFERROR(INDEX(상품목록!$B$3:$B$102,MATCH($D604,상품목록!$A$3:$A$102,0)),0)))</f>
        <v/>
      </c>
      <c r="F604" s="16" t="str">
        <f aca="false">IF($D604="","",IFERROR(INDEX(상품목록!$C$3:$C$102,MATCH($D604,상품목록!$A$3:$A$102,0)),0))</f>
        <v/>
      </c>
      <c r="G604" s="17" t="str">
        <f aca="false">IF(OR($A604="",$F604=""),"",$A604+$F604)</f>
        <v/>
      </c>
      <c r="H604" s="16" t="str">
        <f aca="false">IF($D604="","",IF($J604="환불",0,IFERROR(INDEX(상품목록!$D$3:$D$102,MATCH($D604,상품목록!$A$3:$A$102,0)),0)))</f>
        <v/>
      </c>
      <c r="I604" s="10"/>
      <c r="J604" s="10"/>
      <c r="K604" s="10"/>
    </row>
    <row r="605" customFormat="false" ht="15" hidden="false" customHeight="true" outlineLevel="0" collapsed="false">
      <c r="A605" s="12"/>
      <c r="B605" s="10"/>
      <c r="C605" s="15" t="str">
        <f aca="false">IF($B605="","",IFERROR(INDEX(회원명부!$B$3:$B$502,MATCH($B605,회원명부!$A$3:$A$502,0)),"미등록회원"))</f>
        <v/>
      </c>
      <c r="D605" s="10"/>
      <c r="E605" s="16" t="str">
        <f aca="false">IF($D605="","",IF($J605="환불",0,IFERROR(INDEX(상품목록!$B$3:$B$102,MATCH($D605,상품목록!$A$3:$A$102,0)),0)))</f>
        <v/>
      </c>
      <c r="F605" s="16" t="str">
        <f aca="false">IF($D605="","",IFERROR(INDEX(상품목록!$C$3:$C$102,MATCH($D605,상품목록!$A$3:$A$102,0)),0))</f>
        <v/>
      </c>
      <c r="G605" s="17" t="str">
        <f aca="false">IF(OR($A605="",$F605=""),"",$A605+$F605)</f>
        <v/>
      </c>
      <c r="H605" s="16" t="str">
        <f aca="false">IF($D605="","",IF($J605="환불",0,IFERROR(INDEX(상품목록!$D$3:$D$102,MATCH($D605,상품목록!$A$3:$A$102,0)),0)))</f>
        <v/>
      </c>
      <c r="I605" s="10"/>
      <c r="J605" s="10"/>
      <c r="K605" s="10"/>
    </row>
    <row r="606" customFormat="false" ht="15" hidden="false" customHeight="true" outlineLevel="0" collapsed="false">
      <c r="A606" s="12"/>
      <c r="B606" s="10"/>
      <c r="C606" s="15" t="str">
        <f aca="false">IF($B606="","",IFERROR(INDEX(회원명부!$B$3:$B$502,MATCH($B606,회원명부!$A$3:$A$502,0)),"미등록회원"))</f>
        <v/>
      </c>
      <c r="D606" s="10"/>
      <c r="E606" s="16" t="str">
        <f aca="false">IF($D606="","",IF($J606="환불",0,IFERROR(INDEX(상품목록!$B$3:$B$102,MATCH($D606,상품목록!$A$3:$A$102,0)),0)))</f>
        <v/>
      </c>
      <c r="F606" s="16" t="str">
        <f aca="false">IF($D606="","",IFERROR(INDEX(상품목록!$C$3:$C$102,MATCH($D606,상품목록!$A$3:$A$102,0)),0))</f>
        <v/>
      </c>
      <c r="G606" s="17" t="str">
        <f aca="false">IF(OR($A606="",$F606=""),"",$A606+$F606)</f>
        <v/>
      </c>
      <c r="H606" s="16" t="str">
        <f aca="false">IF($D606="","",IF($J606="환불",0,IFERROR(INDEX(상품목록!$D$3:$D$102,MATCH($D606,상품목록!$A$3:$A$102,0)),0)))</f>
        <v/>
      </c>
      <c r="I606" s="10"/>
      <c r="J606" s="10"/>
      <c r="K606" s="10"/>
    </row>
    <row r="607" customFormat="false" ht="15" hidden="false" customHeight="true" outlineLevel="0" collapsed="false">
      <c r="A607" s="12"/>
      <c r="B607" s="10"/>
      <c r="C607" s="15" t="str">
        <f aca="false">IF($B607="","",IFERROR(INDEX(회원명부!$B$3:$B$502,MATCH($B607,회원명부!$A$3:$A$502,0)),"미등록회원"))</f>
        <v/>
      </c>
      <c r="D607" s="10"/>
      <c r="E607" s="16" t="str">
        <f aca="false">IF($D607="","",IF($J607="환불",0,IFERROR(INDEX(상품목록!$B$3:$B$102,MATCH($D607,상품목록!$A$3:$A$102,0)),0)))</f>
        <v/>
      </c>
      <c r="F607" s="16" t="str">
        <f aca="false">IF($D607="","",IFERROR(INDEX(상품목록!$C$3:$C$102,MATCH($D607,상품목록!$A$3:$A$102,0)),0))</f>
        <v/>
      </c>
      <c r="G607" s="17" t="str">
        <f aca="false">IF(OR($A607="",$F607=""),"",$A607+$F607)</f>
        <v/>
      </c>
      <c r="H607" s="16" t="str">
        <f aca="false">IF($D607="","",IF($J607="환불",0,IFERROR(INDEX(상품목록!$D$3:$D$102,MATCH($D607,상품목록!$A$3:$A$102,0)),0)))</f>
        <v/>
      </c>
      <c r="I607" s="10"/>
      <c r="J607" s="10"/>
      <c r="K607" s="10"/>
    </row>
    <row r="608" customFormat="false" ht="15" hidden="false" customHeight="true" outlineLevel="0" collapsed="false">
      <c r="A608" s="12"/>
      <c r="B608" s="10"/>
      <c r="C608" s="15" t="str">
        <f aca="false">IF($B608="","",IFERROR(INDEX(회원명부!$B$3:$B$502,MATCH($B608,회원명부!$A$3:$A$502,0)),"미등록회원"))</f>
        <v/>
      </c>
      <c r="D608" s="10"/>
      <c r="E608" s="16" t="str">
        <f aca="false">IF($D608="","",IF($J608="환불",0,IFERROR(INDEX(상품목록!$B$3:$B$102,MATCH($D608,상품목록!$A$3:$A$102,0)),0)))</f>
        <v/>
      </c>
      <c r="F608" s="16" t="str">
        <f aca="false">IF($D608="","",IFERROR(INDEX(상품목록!$C$3:$C$102,MATCH($D608,상품목록!$A$3:$A$102,0)),0))</f>
        <v/>
      </c>
      <c r="G608" s="17" t="str">
        <f aca="false">IF(OR($A608="",$F608=""),"",$A608+$F608)</f>
        <v/>
      </c>
      <c r="H608" s="16" t="str">
        <f aca="false">IF($D608="","",IF($J608="환불",0,IFERROR(INDEX(상품목록!$D$3:$D$102,MATCH($D608,상품목록!$A$3:$A$102,0)),0)))</f>
        <v/>
      </c>
      <c r="I608" s="10"/>
      <c r="J608" s="10"/>
      <c r="K608" s="10"/>
    </row>
    <row r="609" customFormat="false" ht="15" hidden="false" customHeight="true" outlineLevel="0" collapsed="false">
      <c r="A609" s="12"/>
      <c r="B609" s="10"/>
      <c r="C609" s="15" t="str">
        <f aca="false">IF($B609="","",IFERROR(INDEX(회원명부!$B$3:$B$502,MATCH($B609,회원명부!$A$3:$A$502,0)),"미등록회원"))</f>
        <v/>
      </c>
      <c r="D609" s="10"/>
      <c r="E609" s="16" t="str">
        <f aca="false">IF($D609="","",IF($J609="환불",0,IFERROR(INDEX(상품목록!$B$3:$B$102,MATCH($D609,상품목록!$A$3:$A$102,0)),0)))</f>
        <v/>
      </c>
      <c r="F609" s="16" t="str">
        <f aca="false">IF($D609="","",IFERROR(INDEX(상품목록!$C$3:$C$102,MATCH($D609,상품목록!$A$3:$A$102,0)),0))</f>
        <v/>
      </c>
      <c r="G609" s="17" t="str">
        <f aca="false">IF(OR($A609="",$F609=""),"",$A609+$F609)</f>
        <v/>
      </c>
      <c r="H609" s="16" t="str">
        <f aca="false">IF($D609="","",IF($J609="환불",0,IFERROR(INDEX(상품목록!$D$3:$D$102,MATCH($D609,상품목록!$A$3:$A$102,0)),0)))</f>
        <v/>
      </c>
      <c r="I609" s="10"/>
      <c r="J609" s="10"/>
      <c r="K609" s="10"/>
    </row>
    <row r="610" customFormat="false" ht="15" hidden="false" customHeight="true" outlineLevel="0" collapsed="false">
      <c r="A610" s="12"/>
      <c r="B610" s="10"/>
      <c r="C610" s="15" t="str">
        <f aca="false">IF($B610="","",IFERROR(INDEX(회원명부!$B$3:$B$502,MATCH($B610,회원명부!$A$3:$A$502,0)),"미등록회원"))</f>
        <v/>
      </c>
      <c r="D610" s="10"/>
      <c r="E610" s="16" t="str">
        <f aca="false">IF($D610="","",IF($J610="환불",0,IFERROR(INDEX(상품목록!$B$3:$B$102,MATCH($D610,상품목록!$A$3:$A$102,0)),0)))</f>
        <v/>
      </c>
      <c r="F610" s="16" t="str">
        <f aca="false">IF($D610="","",IFERROR(INDEX(상품목록!$C$3:$C$102,MATCH($D610,상품목록!$A$3:$A$102,0)),0))</f>
        <v/>
      </c>
      <c r="G610" s="17" t="str">
        <f aca="false">IF(OR($A610="",$F610=""),"",$A610+$F610)</f>
        <v/>
      </c>
      <c r="H610" s="16" t="str">
        <f aca="false">IF($D610="","",IF($J610="환불",0,IFERROR(INDEX(상품목록!$D$3:$D$102,MATCH($D610,상품목록!$A$3:$A$102,0)),0)))</f>
        <v/>
      </c>
      <c r="I610" s="10"/>
      <c r="J610" s="10"/>
      <c r="K610" s="10"/>
    </row>
    <row r="611" customFormat="false" ht="15" hidden="false" customHeight="true" outlineLevel="0" collapsed="false">
      <c r="A611" s="12"/>
      <c r="B611" s="10"/>
      <c r="C611" s="15" t="str">
        <f aca="false">IF($B611="","",IFERROR(INDEX(회원명부!$B$3:$B$502,MATCH($B611,회원명부!$A$3:$A$502,0)),"미등록회원"))</f>
        <v/>
      </c>
      <c r="D611" s="10"/>
      <c r="E611" s="16" t="str">
        <f aca="false">IF($D611="","",IF($J611="환불",0,IFERROR(INDEX(상품목록!$B$3:$B$102,MATCH($D611,상품목록!$A$3:$A$102,0)),0)))</f>
        <v/>
      </c>
      <c r="F611" s="16" t="str">
        <f aca="false">IF($D611="","",IFERROR(INDEX(상품목록!$C$3:$C$102,MATCH($D611,상품목록!$A$3:$A$102,0)),0))</f>
        <v/>
      </c>
      <c r="G611" s="17" t="str">
        <f aca="false">IF(OR($A611="",$F611=""),"",$A611+$F611)</f>
        <v/>
      </c>
      <c r="H611" s="16" t="str">
        <f aca="false">IF($D611="","",IF($J611="환불",0,IFERROR(INDEX(상품목록!$D$3:$D$102,MATCH($D611,상품목록!$A$3:$A$102,0)),0)))</f>
        <v/>
      </c>
      <c r="I611" s="10"/>
      <c r="J611" s="10"/>
      <c r="K611" s="10"/>
    </row>
    <row r="612" customFormat="false" ht="15" hidden="false" customHeight="true" outlineLevel="0" collapsed="false">
      <c r="A612" s="12"/>
      <c r="B612" s="10"/>
      <c r="C612" s="15" t="str">
        <f aca="false">IF($B612="","",IFERROR(INDEX(회원명부!$B$3:$B$502,MATCH($B612,회원명부!$A$3:$A$502,0)),"미등록회원"))</f>
        <v/>
      </c>
      <c r="D612" s="10"/>
      <c r="E612" s="16" t="str">
        <f aca="false">IF($D612="","",IF($J612="환불",0,IFERROR(INDEX(상품목록!$B$3:$B$102,MATCH($D612,상품목록!$A$3:$A$102,0)),0)))</f>
        <v/>
      </c>
      <c r="F612" s="16" t="str">
        <f aca="false">IF($D612="","",IFERROR(INDEX(상품목록!$C$3:$C$102,MATCH($D612,상품목록!$A$3:$A$102,0)),0))</f>
        <v/>
      </c>
      <c r="G612" s="17" t="str">
        <f aca="false">IF(OR($A612="",$F612=""),"",$A612+$F612)</f>
        <v/>
      </c>
      <c r="H612" s="16" t="str">
        <f aca="false">IF($D612="","",IF($J612="환불",0,IFERROR(INDEX(상품목록!$D$3:$D$102,MATCH($D612,상품목록!$A$3:$A$102,0)),0)))</f>
        <v/>
      </c>
      <c r="I612" s="10"/>
      <c r="J612" s="10"/>
      <c r="K612" s="10"/>
    </row>
    <row r="613" customFormat="false" ht="15" hidden="false" customHeight="true" outlineLevel="0" collapsed="false">
      <c r="A613" s="12"/>
      <c r="B613" s="10"/>
      <c r="C613" s="15" t="str">
        <f aca="false">IF($B613="","",IFERROR(INDEX(회원명부!$B$3:$B$502,MATCH($B613,회원명부!$A$3:$A$502,0)),"미등록회원"))</f>
        <v/>
      </c>
      <c r="D613" s="10"/>
      <c r="E613" s="16" t="str">
        <f aca="false">IF($D613="","",IF($J613="환불",0,IFERROR(INDEX(상품목록!$B$3:$B$102,MATCH($D613,상품목록!$A$3:$A$102,0)),0)))</f>
        <v/>
      </c>
      <c r="F613" s="16" t="str">
        <f aca="false">IF($D613="","",IFERROR(INDEX(상품목록!$C$3:$C$102,MATCH($D613,상품목록!$A$3:$A$102,0)),0))</f>
        <v/>
      </c>
      <c r="G613" s="17" t="str">
        <f aca="false">IF(OR($A613="",$F613=""),"",$A613+$F613)</f>
        <v/>
      </c>
      <c r="H613" s="16" t="str">
        <f aca="false">IF($D613="","",IF($J613="환불",0,IFERROR(INDEX(상품목록!$D$3:$D$102,MATCH($D613,상품목록!$A$3:$A$102,0)),0)))</f>
        <v/>
      </c>
      <c r="I613" s="10"/>
      <c r="J613" s="10"/>
      <c r="K613" s="10"/>
    </row>
    <row r="614" customFormat="false" ht="15" hidden="false" customHeight="true" outlineLevel="0" collapsed="false">
      <c r="A614" s="12"/>
      <c r="B614" s="10"/>
      <c r="C614" s="15" t="str">
        <f aca="false">IF($B614="","",IFERROR(INDEX(회원명부!$B$3:$B$502,MATCH($B614,회원명부!$A$3:$A$502,0)),"미등록회원"))</f>
        <v/>
      </c>
      <c r="D614" s="10"/>
      <c r="E614" s="16" t="str">
        <f aca="false">IF($D614="","",IF($J614="환불",0,IFERROR(INDEX(상품목록!$B$3:$B$102,MATCH($D614,상품목록!$A$3:$A$102,0)),0)))</f>
        <v/>
      </c>
      <c r="F614" s="16" t="str">
        <f aca="false">IF($D614="","",IFERROR(INDEX(상품목록!$C$3:$C$102,MATCH($D614,상품목록!$A$3:$A$102,0)),0))</f>
        <v/>
      </c>
      <c r="G614" s="17" t="str">
        <f aca="false">IF(OR($A614="",$F614=""),"",$A614+$F614)</f>
        <v/>
      </c>
      <c r="H614" s="16" t="str">
        <f aca="false">IF($D614="","",IF($J614="환불",0,IFERROR(INDEX(상품목록!$D$3:$D$102,MATCH($D614,상품목록!$A$3:$A$102,0)),0)))</f>
        <v/>
      </c>
      <c r="I614" s="10"/>
      <c r="J614" s="10"/>
      <c r="K614" s="10"/>
    </row>
    <row r="615" customFormat="false" ht="15" hidden="false" customHeight="true" outlineLevel="0" collapsed="false">
      <c r="A615" s="12"/>
      <c r="B615" s="10"/>
      <c r="C615" s="15" t="str">
        <f aca="false">IF($B615="","",IFERROR(INDEX(회원명부!$B$3:$B$502,MATCH($B615,회원명부!$A$3:$A$502,0)),"미등록회원"))</f>
        <v/>
      </c>
      <c r="D615" s="10"/>
      <c r="E615" s="16" t="str">
        <f aca="false">IF($D615="","",IF($J615="환불",0,IFERROR(INDEX(상품목록!$B$3:$B$102,MATCH($D615,상품목록!$A$3:$A$102,0)),0)))</f>
        <v/>
      </c>
      <c r="F615" s="16" t="str">
        <f aca="false">IF($D615="","",IFERROR(INDEX(상품목록!$C$3:$C$102,MATCH($D615,상품목록!$A$3:$A$102,0)),0))</f>
        <v/>
      </c>
      <c r="G615" s="17" t="str">
        <f aca="false">IF(OR($A615="",$F615=""),"",$A615+$F615)</f>
        <v/>
      </c>
      <c r="H615" s="16" t="str">
        <f aca="false">IF($D615="","",IF($J615="환불",0,IFERROR(INDEX(상품목록!$D$3:$D$102,MATCH($D615,상품목록!$A$3:$A$102,0)),0)))</f>
        <v/>
      </c>
      <c r="I615" s="10"/>
      <c r="J615" s="10"/>
      <c r="K615" s="10"/>
    </row>
    <row r="616" customFormat="false" ht="15" hidden="false" customHeight="true" outlineLevel="0" collapsed="false">
      <c r="A616" s="12"/>
      <c r="B616" s="10"/>
      <c r="C616" s="15" t="str">
        <f aca="false">IF($B616="","",IFERROR(INDEX(회원명부!$B$3:$B$502,MATCH($B616,회원명부!$A$3:$A$502,0)),"미등록회원"))</f>
        <v/>
      </c>
      <c r="D616" s="10"/>
      <c r="E616" s="16" t="str">
        <f aca="false">IF($D616="","",IF($J616="환불",0,IFERROR(INDEX(상품목록!$B$3:$B$102,MATCH($D616,상품목록!$A$3:$A$102,0)),0)))</f>
        <v/>
      </c>
      <c r="F616" s="16" t="str">
        <f aca="false">IF($D616="","",IFERROR(INDEX(상품목록!$C$3:$C$102,MATCH($D616,상품목록!$A$3:$A$102,0)),0))</f>
        <v/>
      </c>
      <c r="G616" s="17" t="str">
        <f aca="false">IF(OR($A616="",$F616=""),"",$A616+$F616)</f>
        <v/>
      </c>
      <c r="H616" s="16" t="str">
        <f aca="false">IF($D616="","",IF($J616="환불",0,IFERROR(INDEX(상품목록!$D$3:$D$102,MATCH($D616,상품목록!$A$3:$A$102,0)),0)))</f>
        <v/>
      </c>
      <c r="I616" s="10"/>
      <c r="J616" s="10"/>
      <c r="K616" s="10"/>
    </row>
    <row r="617" customFormat="false" ht="15" hidden="false" customHeight="true" outlineLevel="0" collapsed="false">
      <c r="A617" s="12"/>
      <c r="B617" s="10"/>
      <c r="C617" s="15" t="str">
        <f aca="false">IF($B617="","",IFERROR(INDEX(회원명부!$B$3:$B$502,MATCH($B617,회원명부!$A$3:$A$502,0)),"미등록회원"))</f>
        <v/>
      </c>
      <c r="D617" s="10"/>
      <c r="E617" s="16" t="str">
        <f aca="false">IF($D617="","",IF($J617="환불",0,IFERROR(INDEX(상품목록!$B$3:$B$102,MATCH($D617,상품목록!$A$3:$A$102,0)),0)))</f>
        <v/>
      </c>
      <c r="F617" s="16" t="str">
        <f aca="false">IF($D617="","",IFERROR(INDEX(상품목록!$C$3:$C$102,MATCH($D617,상품목록!$A$3:$A$102,0)),0))</f>
        <v/>
      </c>
      <c r="G617" s="17" t="str">
        <f aca="false">IF(OR($A617="",$F617=""),"",$A617+$F617)</f>
        <v/>
      </c>
      <c r="H617" s="16" t="str">
        <f aca="false">IF($D617="","",IF($J617="환불",0,IFERROR(INDEX(상품목록!$D$3:$D$102,MATCH($D617,상품목록!$A$3:$A$102,0)),0)))</f>
        <v/>
      </c>
      <c r="I617" s="10"/>
      <c r="J617" s="10"/>
      <c r="K617" s="10"/>
    </row>
    <row r="618" customFormat="false" ht="15" hidden="false" customHeight="true" outlineLevel="0" collapsed="false">
      <c r="A618" s="12"/>
      <c r="B618" s="10"/>
      <c r="C618" s="15" t="str">
        <f aca="false">IF($B618="","",IFERROR(INDEX(회원명부!$B$3:$B$502,MATCH($B618,회원명부!$A$3:$A$502,0)),"미등록회원"))</f>
        <v/>
      </c>
      <c r="D618" s="10"/>
      <c r="E618" s="16" t="str">
        <f aca="false">IF($D618="","",IF($J618="환불",0,IFERROR(INDEX(상품목록!$B$3:$B$102,MATCH($D618,상품목록!$A$3:$A$102,0)),0)))</f>
        <v/>
      </c>
      <c r="F618" s="16" t="str">
        <f aca="false">IF($D618="","",IFERROR(INDEX(상품목록!$C$3:$C$102,MATCH($D618,상품목록!$A$3:$A$102,0)),0))</f>
        <v/>
      </c>
      <c r="G618" s="17" t="str">
        <f aca="false">IF(OR($A618="",$F618=""),"",$A618+$F618)</f>
        <v/>
      </c>
      <c r="H618" s="16" t="str">
        <f aca="false">IF($D618="","",IF($J618="환불",0,IFERROR(INDEX(상품목록!$D$3:$D$102,MATCH($D618,상품목록!$A$3:$A$102,0)),0)))</f>
        <v/>
      </c>
      <c r="I618" s="10"/>
      <c r="J618" s="10"/>
      <c r="K618" s="10"/>
    </row>
    <row r="619" customFormat="false" ht="15" hidden="false" customHeight="true" outlineLevel="0" collapsed="false">
      <c r="A619" s="12"/>
      <c r="B619" s="10"/>
      <c r="C619" s="15" t="str">
        <f aca="false">IF($B619="","",IFERROR(INDEX(회원명부!$B$3:$B$502,MATCH($B619,회원명부!$A$3:$A$502,0)),"미등록회원"))</f>
        <v/>
      </c>
      <c r="D619" s="10"/>
      <c r="E619" s="16" t="str">
        <f aca="false">IF($D619="","",IF($J619="환불",0,IFERROR(INDEX(상품목록!$B$3:$B$102,MATCH($D619,상품목록!$A$3:$A$102,0)),0)))</f>
        <v/>
      </c>
      <c r="F619" s="16" t="str">
        <f aca="false">IF($D619="","",IFERROR(INDEX(상품목록!$C$3:$C$102,MATCH($D619,상품목록!$A$3:$A$102,0)),0))</f>
        <v/>
      </c>
      <c r="G619" s="17" t="str">
        <f aca="false">IF(OR($A619="",$F619=""),"",$A619+$F619)</f>
        <v/>
      </c>
      <c r="H619" s="16" t="str">
        <f aca="false">IF($D619="","",IF($J619="환불",0,IFERROR(INDEX(상품목록!$D$3:$D$102,MATCH($D619,상품목록!$A$3:$A$102,0)),0)))</f>
        <v/>
      </c>
      <c r="I619" s="10"/>
      <c r="J619" s="10"/>
      <c r="K619" s="10"/>
    </row>
    <row r="620" customFormat="false" ht="15" hidden="false" customHeight="true" outlineLevel="0" collapsed="false">
      <c r="A620" s="12"/>
      <c r="B620" s="10"/>
      <c r="C620" s="15" t="str">
        <f aca="false">IF($B620="","",IFERROR(INDEX(회원명부!$B$3:$B$502,MATCH($B620,회원명부!$A$3:$A$502,0)),"미등록회원"))</f>
        <v/>
      </c>
      <c r="D620" s="10"/>
      <c r="E620" s="16" t="str">
        <f aca="false">IF($D620="","",IF($J620="환불",0,IFERROR(INDEX(상품목록!$B$3:$B$102,MATCH($D620,상품목록!$A$3:$A$102,0)),0)))</f>
        <v/>
      </c>
      <c r="F620" s="16" t="str">
        <f aca="false">IF($D620="","",IFERROR(INDEX(상품목록!$C$3:$C$102,MATCH($D620,상품목록!$A$3:$A$102,0)),0))</f>
        <v/>
      </c>
      <c r="G620" s="17" t="str">
        <f aca="false">IF(OR($A620="",$F620=""),"",$A620+$F620)</f>
        <v/>
      </c>
      <c r="H620" s="16" t="str">
        <f aca="false">IF($D620="","",IF($J620="환불",0,IFERROR(INDEX(상품목록!$D$3:$D$102,MATCH($D620,상품목록!$A$3:$A$102,0)),0)))</f>
        <v/>
      </c>
      <c r="I620" s="10"/>
      <c r="J620" s="10"/>
      <c r="K620" s="10"/>
    </row>
    <row r="621" customFormat="false" ht="15" hidden="false" customHeight="true" outlineLevel="0" collapsed="false">
      <c r="A621" s="12"/>
      <c r="B621" s="10"/>
      <c r="C621" s="15" t="str">
        <f aca="false">IF($B621="","",IFERROR(INDEX(회원명부!$B$3:$B$502,MATCH($B621,회원명부!$A$3:$A$502,0)),"미등록회원"))</f>
        <v/>
      </c>
      <c r="D621" s="10"/>
      <c r="E621" s="16" t="str">
        <f aca="false">IF($D621="","",IF($J621="환불",0,IFERROR(INDEX(상품목록!$B$3:$B$102,MATCH($D621,상품목록!$A$3:$A$102,0)),0)))</f>
        <v/>
      </c>
      <c r="F621" s="16" t="str">
        <f aca="false">IF($D621="","",IFERROR(INDEX(상품목록!$C$3:$C$102,MATCH($D621,상품목록!$A$3:$A$102,0)),0))</f>
        <v/>
      </c>
      <c r="G621" s="17" t="str">
        <f aca="false">IF(OR($A621="",$F621=""),"",$A621+$F621)</f>
        <v/>
      </c>
      <c r="H621" s="16" t="str">
        <f aca="false">IF($D621="","",IF($J621="환불",0,IFERROR(INDEX(상품목록!$D$3:$D$102,MATCH($D621,상품목록!$A$3:$A$102,0)),0)))</f>
        <v/>
      </c>
      <c r="I621" s="10"/>
      <c r="J621" s="10"/>
      <c r="K621" s="10"/>
    </row>
    <row r="622" customFormat="false" ht="15" hidden="false" customHeight="true" outlineLevel="0" collapsed="false">
      <c r="A622" s="12"/>
      <c r="B622" s="10"/>
      <c r="C622" s="15" t="str">
        <f aca="false">IF($B622="","",IFERROR(INDEX(회원명부!$B$3:$B$502,MATCH($B622,회원명부!$A$3:$A$502,0)),"미등록회원"))</f>
        <v/>
      </c>
      <c r="D622" s="10"/>
      <c r="E622" s="16" t="str">
        <f aca="false">IF($D622="","",IF($J622="환불",0,IFERROR(INDEX(상품목록!$B$3:$B$102,MATCH($D622,상품목록!$A$3:$A$102,0)),0)))</f>
        <v/>
      </c>
      <c r="F622" s="16" t="str">
        <f aca="false">IF($D622="","",IFERROR(INDEX(상품목록!$C$3:$C$102,MATCH($D622,상품목록!$A$3:$A$102,0)),0))</f>
        <v/>
      </c>
      <c r="G622" s="17" t="str">
        <f aca="false">IF(OR($A622="",$F622=""),"",$A622+$F622)</f>
        <v/>
      </c>
      <c r="H622" s="16" t="str">
        <f aca="false">IF($D622="","",IF($J622="환불",0,IFERROR(INDEX(상품목록!$D$3:$D$102,MATCH($D622,상품목록!$A$3:$A$102,0)),0)))</f>
        <v/>
      </c>
      <c r="I622" s="10"/>
      <c r="J622" s="10"/>
      <c r="K622" s="10"/>
    </row>
    <row r="623" customFormat="false" ht="15" hidden="false" customHeight="true" outlineLevel="0" collapsed="false">
      <c r="A623" s="12"/>
      <c r="B623" s="10"/>
      <c r="C623" s="15" t="str">
        <f aca="false">IF($B623="","",IFERROR(INDEX(회원명부!$B$3:$B$502,MATCH($B623,회원명부!$A$3:$A$502,0)),"미등록회원"))</f>
        <v/>
      </c>
      <c r="D623" s="10"/>
      <c r="E623" s="16" t="str">
        <f aca="false">IF($D623="","",IF($J623="환불",0,IFERROR(INDEX(상품목록!$B$3:$B$102,MATCH($D623,상품목록!$A$3:$A$102,0)),0)))</f>
        <v/>
      </c>
      <c r="F623" s="16" t="str">
        <f aca="false">IF($D623="","",IFERROR(INDEX(상품목록!$C$3:$C$102,MATCH($D623,상품목록!$A$3:$A$102,0)),0))</f>
        <v/>
      </c>
      <c r="G623" s="17" t="str">
        <f aca="false">IF(OR($A623="",$F623=""),"",$A623+$F623)</f>
        <v/>
      </c>
      <c r="H623" s="16" t="str">
        <f aca="false">IF($D623="","",IF($J623="환불",0,IFERROR(INDEX(상품목록!$D$3:$D$102,MATCH($D623,상품목록!$A$3:$A$102,0)),0)))</f>
        <v/>
      </c>
      <c r="I623" s="10"/>
      <c r="J623" s="10"/>
      <c r="K623" s="10"/>
    </row>
    <row r="624" customFormat="false" ht="15" hidden="false" customHeight="true" outlineLevel="0" collapsed="false">
      <c r="A624" s="12"/>
      <c r="B624" s="10"/>
      <c r="C624" s="15" t="str">
        <f aca="false">IF($B624="","",IFERROR(INDEX(회원명부!$B$3:$B$502,MATCH($B624,회원명부!$A$3:$A$502,0)),"미등록회원"))</f>
        <v/>
      </c>
      <c r="D624" s="10"/>
      <c r="E624" s="16" t="str">
        <f aca="false">IF($D624="","",IF($J624="환불",0,IFERROR(INDEX(상품목록!$B$3:$B$102,MATCH($D624,상품목록!$A$3:$A$102,0)),0)))</f>
        <v/>
      </c>
      <c r="F624" s="16" t="str">
        <f aca="false">IF($D624="","",IFERROR(INDEX(상품목록!$C$3:$C$102,MATCH($D624,상품목록!$A$3:$A$102,0)),0))</f>
        <v/>
      </c>
      <c r="G624" s="17" t="str">
        <f aca="false">IF(OR($A624="",$F624=""),"",$A624+$F624)</f>
        <v/>
      </c>
      <c r="H624" s="16" t="str">
        <f aca="false">IF($D624="","",IF($J624="환불",0,IFERROR(INDEX(상품목록!$D$3:$D$102,MATCH($D624,상품목록!$A$3:$A$102,0)),0)))</f>
        <v/>
      </c>
      <c r="I624" s="10"/>
      <c r="J624" s="10"/>
      <c r="K624" s="10"/>
    </row>
    <row r="625" customFormat="false" ht="15" hidden="false" customHeight="true" outlineLevel="0" collapsed="false">
      <c r="A625" s="12"/>
      <c r="B625" s="10"/>
      <c r="C625" s="15" t="str">
        <f aca="false">IF($B625="","",IFERROR(INDEX(회원명부!$B$3:$B$502,MATCH($B625,회원명부!$A$3:$A$502,0)),"미등록회원"))</f>
        <v/>
      </c>
      <c r="D625" s="10"/>
      <c r="E625" s="16" t="str">
        <f aca="false">IF($D625="","",IF($J625="환불",0,IFERROR(INDEX(상품목록!$B$3:$B$102,MATCH($D625,상품목록!$A$3:$A$102,0)),0)))</f>
        <v/>
      </c>
      <c r="F625" s="16" t="str">
        <f aca="false">IF($D625="","",IFERROR(INDEX(상품목록!$C$3:$C$102,MATCH($D625,상품목록!$A$3:$A$102,0)),0))</f>
        <v/>
      </c>
      <c r="G625" s="17" t="str">
        <f aca="false">IF(OR($A625="",$F625=""),"",$A625+$F625)</f>
        <v/>
      </c>
      <c r="H625" s="16" t="str">
        <f aca="false">IF($D625="","",IF($J625="환불",0,IFERROR(INDEX(상품목록!$D$3:$D$102,MATCH($D625,상품목록!$A$3:$A$102,0)),0)))</f>
        <v/>
      </c>
      <c r="I625" s="10"/>
      <c r="J625" s="10"/>
      <c r="K625" s="10"/>
    </row>
    <row r="626" customFormat="false" ht="15" hidden="false" customHeight="true" outlineLevel="0" collapsed="false">
      <c r="A626" s="12"/>
      <c r="B626" s="10"/>
      <c r="C626" s="15" t="str">
        <f aca="false">IF($B626="","",IFERROR(INDEX(회원명부!$B$3:$B$502,MATCH($B626,회원명부!$A$3:$A$502,0)),"미등록회원"))</f>
        <v/>
      </c>
      <c r="D626" s="10"/>
      <c r="E626" s="16" t="str">
        <f aca="false">IF($D626="","",IF($J626="환불",0,IFERROR(INDEX(상품목록!$B$3:$B$102,MATCH($D626,상품목록!$A$3:$A$102,0)),0)))</f>
        <v/>
      </c>
      <c r="F626" s="16" t="str">
        <f aca="false">IF($D626="","",IFERROR(INDEX(상품목록!$C$3:$C$102,MATCH($D626,상품목록!$A$3:$A$102,0)),0))</f>
        <v/>
      </c>
      <c r="G626" s="17" t="str">
        <f aca="false">IF(OR($A626="",$F626=""),"",$A626+$F626)</f>
        <v/>
      </c>
      <c r="H626" s="16" t="str">
        <f aca="false">IF($D626="","",IF($J626="환불",0,IFERROR(INDEX(상품목록!$D$3:$D$102,MATCH($D626,상품목록!$A$3:$A$102,0)),0)))</f>
        <v/>
      </c>
      <c r="I626" s="10"/>
      <c r="J626" s="10"/>
      <c r="K626" s="10"/>
    </row>
    <row r="627" customFormat="false" ht="15" hidden="false" customHeight="true" outlineLevel="0" collapsed="false">
      <c r="A627" s="12"/>
      <c r="B627" s="10"/>
      <c r="C627" s="15" t="str">
        <f aca="false">IF($B627="","",IFERROR(INDEX(회원명부!$B$3:$B$502,MATCH($B627,회원명부!$A$3:$A$502,0)),"미등록회원"))</f>
        <v/>
      </c>
      <c r="D627" s="10"/>
      <c r="E627" s="16" t="str">
        <f aca="false">IF($D627="","",IF($J627="환불",0,IFERROR(INDEX(상품목록!$B$3:$B$102,MATCH($D627,상품목록!$A$3:$A$102,0)),0)))</f>
        <v/>
      </c>
      <c r="F627" s="16" t="str">
        <f aca="false">IF($D627="","",IFERROR(INDEX(상품목록!$C$3:$C$102,MATCH($D627,상품목록!$A$3:$A$102,0)),0))</f>
        <v/>
      </c>
      <c r="G627" s="17" t="str">
        <f aca="false">IF(OR($A627="",$F627=""),"",$A627+$F627)</f>
        <v/>
      </c>
      <c r="H627" s="16" t="str">
        <f aca="false">IF($D627="","",IF($J627="환불",0,IFERROR(INDEX(상품목록!$D$3:$D$102,MATCH($D627,상품목록!$A$3:$A$102,0)),0)))</f>
        <v/>
      </c>
      <c r="I627" s="10"/>
      <c r="J627" s="10"/>
      <c r="K627" s="10"/>
    </row>
    <row r="628" customFormat="false" ht="15" hidden="false" customHeight="true" outlineLevel="0" collapsed="false">
      <c r="A628" s="12"/>
      <c r="B628" s="10"/>
      <c r="C628" s="15" t="str">
        <f aca="false">IF($B628="","",IFERROR(INDEX(회원명부!$B$3:$B$502,MATCH($B628,회원명부!$A$3:$A$502,0)),"미등록회원"))</f>
        <v/>
      </c>
      <c r="D628" s="10"/>
      <c r="E628" s="16" t="str">
        <f aca="false">IF($D628="","",IF($J628="환불",0,IFERROR(INDEX(상품목록!$B$3:$B$102,MATCH($D628,상품목록!$A$3:$A$102,0)),0)))</f>
        <v/>
      </c>
      <c r="F628" s="16" t="str">
        <f aca="false">IF($D628="","",IFERROR(INDEX(상품목록!$C$3:$C$102,MATCH($D628,상품목록!$A$3:$A$102,0)),0))</f>
        <v/>
      </c>
      <c r="G628" s="17" t="str">
        <f aca="false">IF(OR($A628="",$F628=""),"",$A628+$F628)</f>
        <v/>
      </c>
      <c r="H628" s="16" t="str">
        <f aca="false">IF($D628="","",IF($J628="환불",0,IFERROR(INDEX(상품목록!$D$3:$D$102,MATCH($D628,상품목록!$A$3:$A$102,0)),0)))</f>
        <v/>
      </c>
      <c r="I628" s="10"/>
      <c r="J628" s="10"/>
      <c r="K628" s="10"/>
    </row>
    <row r="629" customFormat="false" ht="15" hidden="false" customHeight="true" outlineLevel="0" collapsed="false">
      <c r="A629" s="12"/>
      <c r="B629" s="10"/>
      <c r="C629" s="15" t="str">
        <f aca="false">IF($B629="","",IFERROR(INDEX(회원명부!$B$3:$B$502,MATCH($B629,회원명부!$A$3:$A$502,0)),"미등록회원"))</f>
        <v/>
      </c>
      <c r="D629" s="10"/>
      <c r="E629" s="16" t="str">
        <f aca="false">IF($D629="","",IF($J629="환불",0,IFERROR(INDEX(상품목록!$B$3:$B$102,MATCH($D629,상품목록!$A$3:$A$102,0)),0)))</f>
        <v/>
      </c>
      <c r="F629" s="16" t="str">
        <f aca="false">IF($D629="","",IFERROR(INDEX(상품목록!$C$3:$C$102,MATCH($D629,상품목록!$A$3:$A$102,0)),0))</f>
        <v/>
      </c>
      <c r="G629" s="17" t="str">
        <f aca="false">IF(OR($A629="",$F629=""),"",$A629+$F629)</f>
        <v/>
      </c>
      <c r="H629" s="16" t="str">
        <f aca="false">IF($D629="","",IF($J629="환불",0,IFERROR(INDEX(상품목록!$D$3:$D$102,MATCH($D629,상품목록!$A$3:$A$102,0)),0)))</f>
        <v/>
      </c>
      <c r="I629" s="10"/>
      <c r="J629" s="10"/>
      <c r="K629" s="10"/>
    </row>
    <row r="630" customFormat="false" ht="15" hidden="false" customHeight="true" outlineLevel="0" collapsed="false">
      <c r="A630" s="12"/>
      <c r="B630" s="10"/>
      <c r="C630" s="15" t="str">
        <f aca="false">IF($B630="","",IFERROR(INDEX(회원명부!$B$3:$B$502,MATCH($B630,회원명부!$A$3:$A$502,0)),"미등록회원"))</f>
        <v/>
      </c>
      <c r="D630" s="10"/>
      <c r="E630" s="16" t="str">
        <f aca="false">IF($D630="","",IF($J630="환불",0,IFERROR(INDEX(상품목록!$B$3:$B$102,MATCH($D630,상품목록!$A$3:$A$102,0)),0)))</f>
        <v/>
      </c>
      <c r="F630" s="16" t="str">
        <f aca="false">IF($D630="","",IFERROR(INDEX(상품목록!$C$3:$C$102,MATCH($D630,상품목록!$A$3:$A$102,0)),0))</f>
        <v/>
      </c>
      <c r="G630" s="17" t="str">
        <f aca="false">IF(OR($A630="",$F630=""),"",$A630+$F630)</f>
        <v/>
      </c>
      <c r="H630" s="16" t="str">
        <f aca="false">IF($D630="","",IF($J630="환불",0,IFERROR(INDEX(상품목록!$D$3:$D$102,MATCH($D630,상품목록!$A$3:$A$102,0)),0)))</f>
        <v/>
      </c>
      <c r="I630" s="10"/>
      <c r="J630" s="10"/>
      <c r="K630" s="10"/>
    </row>
    <row r="631" customFormat="false" ht="15" hidden="false" customHeight="true" outlineLevel="0" collapsed="false">
      <c r="A631" s="12"/>
      <c r="B631" s="10"/>
      <c r="C631" s="15" t="str">
        <f aca="false">IF($B631="","",IFERROR(INDEX(회원명부!$B$3:$B$502,MATCH($B631,회원명부!$A$3:$A$502,0)),"미등록회원"))</f>
        <v/>
      </c>
      <c r="D631" s="10"/>
      <c r="E631" s="16" t="str">
        <f aca="false">IF($D631="","",IF($J631="환불",0,IFERROR(INDEX(상품목록!$B$3:$B$102,MATCH($D631,상품목록!$A$3:$A$102,0)),0)))</f>
        <v/>
      </c>
      <c r="F631" s="16" t="str">
        <f aca="false">IF($D631="","",IFERROR(INDEX(상품목록!$C$3:$C$102,MATCH($D631,상품목록!$A$3:$A$102,0)),0))</f>
        <v/>
      </c>
      <c r="G631" s="17" t="str">
        <f aca="false">IF(OR($A631="",$F631=""),"",$A631+$F631)</f>
        <v/>
      </c>
      <c r="H631" s="16" t="str">
        <f aca="false">IF($D631="","",IF($J631="환불",0,IFERROR(INDEX(상품목록!$D$3:$D$102,MATCH($D631,상품목록!$A$3:$A$102,0)),0)))</f>
        <v/>
      </c>
      <c r="I631" s="10"/>
      <c r="J631" s="10"/>
      <c r="K631" s="10"/>
    </row>
    <row r="632" customFormat="false" ht="15" hidden="false" customHeight="true" outlineLevel="0" collapsed="false">
      <c r="A632" s="12"/>
      <c r="B632" s="10"/>
      <c r="C632" s="15" t="str">
        <f aca="false">IF($B632="","",IFERROR(INDEX(회원명부!$B$3:$B$502,MATCH($B632,회원명부!$A$3:$A$502,0)),"미등록회원"))</f>
        <v/>
      </c>
      <c r="D632" s="10"/>
      <c r="E632" s="16" t="str">
        <f aca="false">IF($D632="","",IF($J632="환불",0,IFERROR(INDEX(상품목록!$B$3:$B$102,MATCH($D632,상품목록!$A$3:$A$102,0)),0)))</f>
        <v/>
      </c>
      <c r="F632" s="16" t="str">
        <f aca="false">IF($D632="","",IFERROR(INDEX(상품목록!$C$3:$C$102,MATCH($D632,상품목록!$A$3:$A$102,0)),0))</f>
        <v/>
      </c>
      <c r="G632" s="17" t="str">
        <f aca="false">IF(OR($A632="",$F632=""),"",$A632+$F632)</f>
        <v/>
      </c>
      <c r="H632" s="16" t="str">
        <f aca="false">IF($D632="","",IF($J632="환불",0,IFERROR(INDEX(상품목록!$D$3:$D$102,MATCH($D632,상품목록!$A$3:$A$102,0)),0)))</f>
        <v/>
      </c>
      <c r="I632" s="10"/>
      <c r="J632" s="10"/>
      <c r="K632" s="10"/>
    </row>
    <row r="633" customFormat="false" ht="15" hidden="false" customHeight="true" outlineLevel="0" collapsed="false">
      <c r="A633" s="12"/>
      <c r="B633" s="10"/>
      <c r="C633" s="15" t="str">
        <f aca="false">IF($B633="","",IFERROR(INDEX(회원명부!$B$3:$B$502,MATCH($B633,회원명부!$A$3:$A$502,0)),"미등록회원"))</f>
        <v/>
      </c>
      <c r="D633" s="10"/>
      <c r="E633" s="16" t="str">
        <f aca="false">IF($D633="","",IF($J633="환불",0,IFERROR(INDEX(상품목록!$B$3:$B$102,MATCH($D633,상품목록!$A$3:$A$102,0)),0)))</f>
        <v/>
      </c>
      <c r="F633" s="16" t="str">
        <f aca="false">IF($D633="","",IFERROR(INDEX(상품목록!$C$3:$C$102,MATCH($D633,상품목록!$A$3:$A$102,0)),0))</f>
        <v/>
      </c>
      <c r="G633" s="17" t="str">
        <f aca="false">IF(OR($A633="",$F633=""),"",$A633+$F633)</f>
        <v/>
      </c>
      <c r="H633" s="16" t="str">
        <f aca="false">IF($D633="","",IF($J633="환불",0,IFERROR(INDEX(상품목록!$D$3:$D$102,MATCH($D633,상품목록!$A$3:$A$102,0)),0)))</f>
        <v/>
      </c>
      <c r="I633" s="10"/>
      <c r="J633" s="10"/>
      <c r="K633" s="10"/>
    </row>
    <row r="634" customFormat="false" ht="15" hidden="false" customHeight="true" outlineLevel="0" collapsed="false">
      <c r="A634" s="12"/>
      <c r="B634" s="10"/>
      <c r="C634" s="15" t="str">
        <f aca="false">IF($B634="","",IFERROR(INDEX(회원명부!$B$3:$B$502,MATCH($B634,회원명부!$A$3:$A$502,0)),"미등록회원"))</f>
        <v/>
      </c>
      <c r="D634" s="10"/>
      <c r="E634" s="16" t="str">
        <f aca="false">IF($D634="","",IF($J634="환불",0,IFERROR(INDEX(상품목록!$B$3:$B$102,MATCH($D634,상품목록!$A$3:$A$102,0)),0)))</f>
        <v/>
      </c>
      <c r="F634" s="16" t="str">
        <f aca="false">IF($D634="","",IFERROR(INDEX(상품목록!$C$3:$C$102,MATCH($D634,상품목록!$A$3:$A$102,0)),0))</f>
        <v/>
      </c>
      <c r="G634" s="17" t="str">
        <f aca="false">IF(OR($A634="",$F634=""),"",$A634+$F634)</f>
        <v/>
      </c>
      <c r="H634" s="16" t="str">
        <f aca="false">IF($D634="","",IF($J634="환불",0,IFERROR(INDEX(상품목록!$D$3:$D$102,MATCH($D634,상품목록!$A$3:$A$102,0)),0)))</f>
        <v/>
      </c>
      <c r="I634" s="10"/>
      <c r="J634" s="10"/>
      <c r="K634" s="10"/>
    </row>
    <row r="635" customFormat="false" ht="15" hidden="false" customHeight="true" outlineLevel="0" collapsed="false">
      <c r="A635" s="12"/>
      <c r="B635" s="10"/>
      <c r="C635" s="15" t="str">
        <f aca="false">IF($B635="","",IFERROR(INDEX(회원명부!$B$3:$B$502,MATCH($B635,회원명부!$A$3:$A$502,0)),"미등록회원"))</f>
        <v/>
      </c>
      <c r="D635" s="10"/>
      <c r="E635" s="16" t="str">
        <f aca="false">IF($D635="","",IF($J635="환불",0,IFERROR(INDEX(상품목록!$B$3:$B$102,MATCH($D635,상품목록!$A$3:$A$102,0)),0)))</f>
        <v/>
      </c>
      <c r="F635" s="16" t="str">
        <f aca="false">IF($D635="","",IFERROR(INDEX(상품목록!$C$3:$C$102,MATCH($D635,상품목록!$A$3:$A$102,0)),0))</f>
        <v/>
      </c>
      <c r="G635" s="17" t="str">
        <f aca="false">IF(OR($A635="",$F635=""),"",$A635+$F635)</f>
        <v/>
      </c>
      <c r="H635" s="16" t="str">
        <f aca="false">IF($D635="","",IF($J635="환불",0,IFERROR(INDEX(상품목록!$D$3:$D$102,MATCH($D635,상품목록!$A$3:$A$102,0)),0)))</f>
        <v/>
      </c>
      <c r="I635" s="10"/>
      <c r="J635" s="10"/>
      <c r="K635" s="10"/>
    </row>
    <row r="636" customFormat="false" ht="15" hidden="false" customHeight="true" outlineLevel="0" collapsed="false">
      <c r="A636" s="12"/>
      <c r="B636" s="10"/>
      <c r="C636" s="15" t="str">
        <f aca="false">IF($B636="","",IFERROR(INDEX(회원명부!$B$3:$B$502,MATCH($B636,회원명부!$A$3:$A$502,0)),"미등록회원"))</f>
        <v/>
      </c>
      <c r="D636" s="10"/>
      <c r="E636" s="16" t="str">
        <f aca="false">IF($D636="","",IF($J636="환불",0,IFERROR(INDEX(상품목록!$B$3:$B$102,MATCH($D636,상품목록!$A$3:$A$102,0)),0)))</f>
        <v/>
      </c>
      <c r="F636" s="16" t="str">
        <f aca="false">IF($D636="","",IFERROR(INDEX(상품목록!$C$3:$C$102,MATCH($D636,상품목록!$A$3:$A$102,0)),0))</f>
        <v/>
      </c>
      <c r="G636" s="17" t="str">
        <f aca="false">IF(OR($A636="",$F636=""),"",$A636+$F636)</f>
        <v/>
      </c>
      <c r="H636" s="16" t="str">
        <f aca="false">IF($D636="","",IF($J636="환불",0,IFERROR(INDEX(상품목록!$D$3:$D$102,MATCH($D636,상품목록!$A$3:$A$102,0)),0)))</f>
        <v/>
      </c>
      <c r="I636" s="10"/>
      <c r="J636" s="10"/>
      <c r="K636" s="10"/>
    </row>
    <row r="637" customFormat="false" ht="15" hidden="false" customHeight="true" outlineLevel="0" collapsed="false">
      <c r="A637" s="12"/>
      <c r="B637" s="10"/>
      <c r="C637" s="15" t="str">
        <f aca="false">IF($B637="","",IFERROR(INDEX(회원명부!$B$3:$B$502,MATCH($B637,회원명부!$A$3:$A$502,0)),"미등록회원"))</f>
        <v/>
      </c>
      <c r="D637" s="10"/>
      <c r="E637" s="16" t="str">
        <f aca="false">IF($D637="","",IF($J637="환불",0,IFERROR(INDEX(상품목록!$B$3:$B$102,MATCH($D637,상품목록!$A$3:$A$102,0)),0)))</f>
        <v/>
      </c>
      <c r="F637" s="16" t="str">
        <f aca="false">IF($D637="","",IFERROR(INDEX(상품목록!$C$3:$C$102,MATCH($D637,상품목록!$A$3:$A$102,0)),0))</f>
        <v/>
      </c>
      <c r="G637" s="17" t="str">
        <f aca="false">IF(OR($A637="",$F637=""),"",$A637+$F637)</f>
        <v/>
      </c>
      <c r="H637" s="16" t="str">
        <f aca="false">IF($D637="","",IF($J637="환불",0,IFERROR(INDEX(상품목록!$D$3:$D$102,MATCH($D637,상품목록!$A$3:$A$102,0)),0)))</f>
        <v/>
      </c>
      <c r="I637" s="10"/>
      <c r="J637" s="10"/>
      <c r="K637" s="10"/>
    </row>
    <row r="638" customFormat="false" ht="15" hidden="false" customHeight="true" outlineLevel="0" collapsed="false">
      <c r="A638" s="12"/>
      <c r="B638" s="10"/>
      <c r="C638" s="15" t="str">
        <f aca="false">IF($B638="","",IFERROR(INDEX(회원명부!$B$3:$B$502,MATCH($B638,회원명부!$A$3:$A$502,0)),"미등록회원"))</f>
        <v/>
      </c>
      <c r="D638" s="10"/>
      <c r="E638" s="16" t="str">
        <f aca="false">IF($D638="","",IF($J638="환불",0,IFERROR(INDEX(상품목록!$B$3:$B$102,MATCH($D638,상품목록!$A$3:$A$102,0)),0)))</f>
        <v/>
      </c>
      <c r="F638" s="16" t="str">
        <f aca="false">IF($D638="","",IFERROR(INDEX(상품목록!$C$3:$C$102,MATCH($D638,상품목록!$A$3:$A$102,0)),0))</f>
        <v/>
      </c>
      <c r="G638" s="17" t="str">
        <f aca="false">IF(OR($A638="",$F638=""),"",$A638+$F638)</f>
        <v/>
      </c>
      <c r="H638" s="16" t="str">
        <f aca="false">IF($D638="","",IF($J638="환불",0,IFERROR(INDEX(상품목록!$D$3:$D$102,MATCH($D638,상품목록!$A$3:$A$102,0)),0)))</f>
        <v/>
      </c>
      <c r="I638" s="10"/>
      <c r="J638" s="10"/>
      <c r="K638" s="10"/>
    </row>
    <row r="639" customFormat="false" ht="15" hidden="false" customHeight="true" outlineLevel="0" collapsed="false">
      <c r="A639" s="12"/>
      <c r="B639" s="10"/>
      <c r="C639" s="15" t="str">
        <f aca="false">IF($B639="","",IFERROR(INDEX(회원명부!$B$3:$B$502,MATCH($B639,회원명부!$A$3:$A$502,0)),"미등록회원"))</f>
        <v/>
      </c>
      <c r="D639" s="10"/>
      <c r="E639" s="16" t="str">
        <f aca="false">IF($D639="","",IF($J639="환불",0,IFERROR(INDEX(상품목록!$B$3:$B$102,MATCH($D639,상품목록!$A$3:$A$102,0)),0)))</f>
        <v/>
      </c>
      <c r="F639" s="16" t="str">
        <f aca="false">IF($D639="","",IFERROR(INDEX(상품목록!$C$3:$C$102,MATCH($D639,상품목록!$A$3:$A$102,0)),0))</f>
        <v/>
      </c>
      <c r="G639" s="17" t="str">
        <f aca="false">IF(OR($A639="",$F639=""),"",$A639+$F639)</f>
        <v/>
      </c>
      <c r="H639" s="16" t="str">
        <f aca="false">IF($D639="","",IF($J639="환불",0,IFERROR(INDEX(상품목록!$D$3:$D$102,MATCH($D639,상품목록!$A$3:$A$102,0)),0)))</f>
        <v/>
      </c>
      <c r="I639" s="10"/>
      <c r="J639" s="10"/>
      <c r="K639" s="10"/>
    </row>
    <row r="640" customFormat="false" ht="15" hidden="false" customHeight="true" outlineLevel="0" collapsed="false">
      <c r="A640" s="12"/>
      <c r="B640" s="10"/>
      <c r="C640" s="15" t="str">
        <f aca="false">IF($B640="","",IFERROR(INDEX(회원명부!$B$3:$B$502,MATCH($B640,회원명부!$A$3:$A$502,0)),"미등록회원"))</f>
        <v/>
      </c>
      <c r="D640" s="10"/>
      <c r="E640" s="16" t="str">
        <f aca="false">IF($D640="","",IF($J640="환불",0,IFERROR(INDEX(상품목록!$B$3:$B$102,MATCH($D640,상품목록!$A$3:$A$102,0)),0)))</f>
        <v/>
      </c>
      <c r="F640" s="16" t="str">
        <f aca="false">IF($D640="","",IFERROR(INDEX(상품목록!$C$3:$C$102,MATCH($D640,상품목록!$A$3:$A$102,0)),0))</f>
        <v/>
      </c>
      <c r="G640" s="17" t="str">
        <f aca="false">IF(OR($A640="",$F640=""),"",$A640+$F640)</f>
        <v/>
      </c>
      <c r="H640" s="16" t="str">
        <f aca="false">IF($D640="","",IF($J640="환불",0,IFERROR(INDEX(상품목록!$D$3:$D$102,MATCH($D640,상품목록!$A$3:$A$102,0)),0)))</f>
        <v/>
      </c>
      <c r="I640" s="10"/>
      <c r="J640" s="10"/>
      <c r="K640" s="10"/>
    </row>
    <row r="641" customFormat="false" ht="15" hidden="false" customHeight="true" outlineLevel="0" collapsed="false">
      <c r="A641" s="12"/>
      <c r="B641" s="10"/>
      <c r="C641" s="15" t="str">
        <f aca="false">IF($B641="","",IFERROR(INDEX(회원명부!$B$3:$B$502,MATCH($B641,회원명부!$A$3:$A$502,0)),"미등록회원"))</f>
        <v/>
      </c>
      <c r="D641" s="10"/>
      <c r="E641" s="16" t="str">
        <f aca="false">IF($D641="","",IF($J641="환불",0,IFERROR(INDEX(상품목록!$B$3:$B$102,MATCH($D641,상품목록!$A$3:$A$102,0)),0)))</f>
        <v/>
      </c>
      <c r="F641" s="16" t="str">
        <f aca="false">IF($D641="","",IFERROR(INDEX(상품목록!$C$3:$C$102,MATCH($D641,상품목록!$A$3:$A$102,0)),0))</f>
        <v/>
      </c>
      <c r="G641" s="17" t="str">
        <f aca="false">IF(OR($A641="",$F641=""),"",$A641+$F641)</f>
        <v/>
      </c>
      <c r="H641" s="16" t="str">
        <f aca="false">IF($D641="","",IF($J641="환불",0,IFERROR(INDEX(상품목록!$D$3:$D$102,MATCH($D641,상품목록!$A$3:$A$102,0)),0)))</f>
        <v/>
      </c>
      <c r="I641" s="10"/>
      <c r="J641" s="10"/>
      <c r="K641" s="10"/>
    </row>
    <row r="642" customFormat="false" ht="15" hidden="false" customHeight="true" outlineLevel="0" collapsed="false">
      <c r="A642" s="12"/>
      <c r="B642" s="10"/>
      <c r="C642" s="15" t="str">
        <f aca="false">IF($B642="","",IFERROR(INDEX(회원명부!$B$3:$B$502,MATCH($B642,회원명부!$A$3:$A$502,0)),"미등록회원"))</f>
        <v/>
      </c>
      <c r="D642" s="10"/>
      <c r="E642" s="16" t="str">
        <f aca="false">IF($D642="","",IF($J642="환불",0,IFERROR(INDEX(상품목록!$B$3:$B$102,MATCH($D642,상품목록!$A$3:$A$102,0)),0)))</f>
        <v/>
      </c>
      <c r="F642" s="16" t="str">
        <f aca="false">IF($D642="","",IFERROR(INDEX(상품목록!$C$3:$C$102,MATCH($D642,상품목록!$A$3:$A$102,0)),0))</f>
        <v/>
      </c>
      <c r="G642" s="17" t="str">
        <f aca="false">IF(OR($A642="",$F642=""),"",$A642+$F642)</f>
        <v/>
      </c>
      <c r="H642" s="16" t="str">
        <f aca="false">IF($D642="","",IF($J642="환불",0,IFERROR(INDEX(상품목록!$D$3:$D$102,MATCH($D642,상품목록!$A$3:$A$102,0)),0)))</f>
        <v/>
      </c>
      <c r="I642" s="10"/>
      <c r="J642" s="10"/>
      <c r="K642" s="10"/>
    </row>
    <row r="643" customFormat="false" ht="15" hidden="false" customHeight="true" outlineLevel="0" collapsed="false">
      <c r="A643" s="12"/>
      <c r="B643" s="10"/>
      <c r="C643" s="15" t="str">
        <f aca="false">IF($B643="","",IFERROR(INDEX(회원명부!$B$3:$B$502,MATCH($B643,회원명부!$A$3:$A$502,0)),"미등록회원"))</f>
        <v/>
      </c>
      <c r="D643" s="10"/>
      <c r="E643" s="16" t="str">
        <f aca="false">IF($D643="","",IF($J643="환불",0,IFERROR(INDEX(상품목록!$B$3:$B$102,MATCH($D643,상품목록!$A$3:$A$102,0)),0)))</f>
        <v/>
      </c>
      <c r="F643" s="16" t="str">
        <f aca="false">IF($D643="","",IFERROR(INDEX(상품목록!$C$3:$C$102,MATCH($D643,상품목록!$A$3:$A$102,0)),0))</f>
        <v/>
      </c>
      <c r="G643" s="17" t="str">
        <f aca="false">IF(OR($A643="",$F643=""),"",$A643+$F643)</f>
        <v/>
      </c>
      <c r="H643" s="16" t="str">
        <f aca="false">IF($D643="","",IF($J643="환불",0,IFERROR(INDEX(상품목록!$D$3:$D$102,MATCH($D643,상품목록!$A$3:$A$102,0)),0)))</f>
        <v/>
      </c>
      <c r="I643" s="10"/>
      <c r="J643" s="10"/>
      <c r="K643" s="10"/>
    </row>
    <row r="644" customFormat="false" ht="15" hidden="false" customHeight="true" outlineLevel="0" collapsed="false">
      <c r="A644" s="12"/>
      <c r="B644" s="10"/>
      <c r="C644" s="15" t="str">
        <f aca="false">IF($B644="","",IFERROR(INDEX(회원명부!$B$3:$B$502,MATCH($B644,회원명부!$A$3:$A$502,0)),"미등록회원"))</f>
        <v/>
      </c>
      <c r="D644" s="10"/>
      <c r="E644" s="16" t="str">
        <f aca="false">IF($D644="","",IF($J644="환불",0,IFERROR(INDEX(상품목록!$B$3:$B$102,MATCH($D644,상품목록!$A$3:$A$102,0)),0)))</f>
        <v/>
      </c>
      <c r="F644" s="16" t="str">
        <f aca="false">IF($D644="","",IFERROR(INDEX(상품목록!$C$3:$C$102,MATCH($D644,상품목록!$A$3:$A$102,0)),0))</f>
        <v/>
      </c>
      <c r="G644" s="17" t="str">
        <f aca="false">IF(OR($A644="",$F644=""),"",$A644+$F644)</f>
        <v/>
      </c>
      <c r="H644" s="16" t="str">
        <f aca="false">IF($D644="","",IF($J644="환불",0,IFERROR(INDEX(상품목록!$D$3:$D$102,MATCH($D644,상품목록!$A$3:$A$102,0)),0)))</f>
        <v/>
      </c>
      <c r="I644" s="10"/>
      <c r="J644" s="10"/>
      <c r="K644" s="10"/>
    </row>
    <row r="645" customFormat="false" ht="15" hidden="false" customHeight="true" outlineLevel="0" collapsed="false">
      <c r="A645" s="12"/>
      <c r="B645" s="10"/>
      <c r="C645" s="15" t="str">
        <f aca="false">IF($B645="","",IFERROR(INDEX(회원명부!$B$3:$B$502,MATCH($B645,회원명부!$A$3:$A$502,0)),"미등록회원"))</f>
        <v/>
      </c>
      <c r="D645" s="10"/>
      <c r="E645" s="16" t="str">
        <f aca="false">IF($D645="","",IF($J645="환불",0,IFERROR(INDEX(상품목록!$B$3:$B$102,MATCH($D645,상품목록!$A$3:$A$102,0)),0)))</f>
        <v/>
      </c>
      <c r="F645" s="16" t="str">
        <f aca="false">IF($D645="","",IFERROR(INDEX(상품목록!$C$3:$C$102,MATCH($D645,상품목록!$A$3:$A$102,0)),0))</f>
        <v/>
      </c>
      <c r="G645" s="17" t="str">
        <f aca="false">IF(OR($A645="",$F645=""),"",$A645+$F645)</f>
        <v/>
      </c>
      <c r="H645" s="16" t="str">
        <f aca="false">IF($D645="","",IF($J645="환불",0,IFERROR(INDEX(상품목록!$D$3:$D$102,MATCH($D645,상품목록!$A$3:$A$102,0)),0)))</f>
        <v/>
      </c>
      <c r="I645" s="10"/>
      <c r="J645" s="10"/>
      <c r="K645" s="10"/>
    </row>
    <row r="646" customFormat="false" ht="15" hidden="false" customHeight="true" outlineLevel="0" collapsed="false">
      <c r="A646" s="12"/>
      <c r="B646" s="10"/>
      <c r="C646" s="15" t="str">
        <f aca="false">IF($B646="","",IFERROR(INDEX(회원명부!$B$3:$B$502,MATCH($B646,회원명부!$A$3:$A$502,0)),"미등록회원"))</f>
        <v/>
      </c>
      <c r="D646" s="10"/>
      <c r="E646" s="16" t="str">
        <f aca="false">IF($D646="","",IF($J646="환불",0,IFERROR(INDEX(상품목록!$B$3:$B$102,MATCH($D646,상품목록!$A$3:$A$102,0)),0)))</f>
        <v/>
      </c>
      <c r="F646" s="16" t="str">
        <f aca="false">IF($D646="","",IFERROR(INDEX(상품목록!$C$3:$C$102,MATCH($D646,상품목록!$A$3:$A$102,0)),0))</f>
        <v/>
      </c>
      <c r="G646" s="17" t="str">
        <f aca="false">IF(OR($A646="",$F646=""),"",$A646+$F646)</f>
        <v/>
      </c>
      <c r="H646" s="16" t="str">
        <f aca="false">IF($D646="","",IF($J646="환불",0,IFERROR(INDEX(상품목록!$D$3:$D$102,MATCH($D646,상품목록!$A$3:$A$102,0)),0)))</f>
        <v/>
      </c>
      <c r="I646" s="10"/>
      <c r="J646" s="10"/>
      <c r="K646" s="10"/>
    </row>
    <row r="647" customFormat="false" ht="15" hidden="false" customHeight="true" outlineLevel="0" collapsed="false">
      <c r="A647" s="12"/>
      <c r="B647" s="10"/>
      <c r="C647" s="15" t="str">
        <f aca="false">IF($B647="","",IFERROR(INDEX(회원명부!$B$3:$B$502,MATCH($B647,회원명부!$A$3:$A$502,0)),"미등록회원"))</f>
        <v/>
      </c>
      <c r="D647" s="10"/>
      <c r="E647" s="16" t="str">
        <f aca="false">IF($D647="","",IF($J647="환불",0,IFERROR(INDEX(상품목록!$B$3:$B$102,MATCH($D647,상품목록!$A$3:$A$102,0)),0)))</f>
        <v/>
      </c>
      <c r="F647" s="16" t="str">
        <f aca="false">IF($D647="","",IFERROR(INDEX(상품목록!$C$3:$C$102,MATCH($D647,상품목록!$A$3:$A$102,0)),0))</f>
        <v/>
      </c>
      <c r="G647" s="17" t="str">
        <f aca="false">IF(OR($A647="",$F647=""),"",$A647+$F647)</f>
        <v/>
      </c>
      <c r="H647" s="16" t="str">
        <f aca="false">IF($D647="","",IF($J647="환불",0,IFERROR(INDEX(상품목록!$D$3:$D$102,MATCH($D647,상품목록!$A$3:$A$102,0)),0)))</f>
        <v/>
      </c>
      <c r="I647" s="10"/>
      <c r="J647" s="10"/>
      <c r="K647" s="10"/>
    </row>
    <row r="648" customFormat="false" ht="15" hidden="false" customHeight="true" outlineLevel="0" collapsed="false">
      <c r="A648" s="12"/>
      <c r="B648" s="10"/>
      <c r="C648" s="15" t="str">
        <f aca="false">IF($B648="","",IFERROR(INDEX(회원명부!$B$3:$B$502,MATCH($B648,회원명부!$A$3:$A$502,0)),"미등록회원"))</f>
        <v/>
      </c>
      <c r="D648" s="10"/>
      <c r="E648" s="16" t="str">
        <f aca="false">IF($D648="","",IF($J648="환불",0,IFERROR(INDEX(상품목록!$B$3:$B$102,MATCH($D648,상품목록!$A$3:$A$102,0)),0)))</f>
        <v/>
      </c>
      <c r="F648" s="16" t="str">
        <f aca="false">IF($D648="","",IFERROR(INDEX(상품목록!$C$3:$C$102,MATCH($D648,상품목록!$A$3:$A$102,0)),0))</f>
        <v/>
      </c>
      <c r="G648" s="17" t="str">
        <f aca="false">IF(OR($A648="",$F648=""),"",$A648+$F648)</f>
        <v/>
      </c>
      <c r="H648" s="16" t="str">
        <f aca="false">IF($D648="","",IF($J648="환불",0,IFERROR(INDEX(상품목록!$D$3:$D$102,MATCH($D648,상품목록!$A$3:$A$102,0)),0)))</f>
        <v/>
      </c>
      <c r="I648" s="10"/>
      <c r="J648" s="10"/>
      <c r="K648" s="10"/>
    </row>
    <row r="649" customFormat="false" ht="15" hidden="false" customHeight="true" outlineLevel="0" collapsed="false">
      <c r="A649" s="12"/>
      <c r="B649" s="10"/>
      <c r="C649" s="15" t="str">
        <f aca="false">IF($B649="","",IFERROR(INDEX(회원명부!$B$3:$B$502,MATCH($B649,회원명부!$A$3:$A$502,0)),"미등록회원"))</f>
        <v/>
      </c>
      <c r="D649" s="10"/>
      <c r="E649" s="16" t="str">
        <f aca="false">IF($D649="","",IF($J649="환불",0,IFERROR(INDEX(상품목록!$B$3:$B$102,MATCH($D649,상품목록!$A$3:$A$102,0)),0)))</f>
        <v/>
      </c>
      <c r="F649" s="16" t="str">
        <f aca="false">IF($D649="","",IFERROR(INDEX(상품목록!$C$3:$C$102,MATCH($D649,상품목록!$A$3:$A$102,0)),0))</f>
        <v/>
      </c>
      <c r="G649" s="17" t="str">
        <f aca="false">IF(OR($A649="",$F649=""),"",$A649+$F649)</f>
        <v/>
      </c>
      <c r="H649" s="16" t="str">
        <f aca="false">IF($D649="","",IF($J649="환불",0,IFERROR(INDEX(상품목록!$D$3:$D$102,MATCH($D649,상품목록!$A$3:$A$102,0)),0)))</f>
        <v/>
      </c>
      <c r="I649" s="10"/>
      <c r="J649" s="10"/>
      <c r="K649" s="10"/>
    </row>
    <row r="650" customFormat="false" ht="15" hidden="false" customHeight="true" outlineLevel="0" collapsed="false">
      <c r="A650" s="12"/>
      <c r="B650" s="10"/>
      <c r="C650" s="15" t="str">
        <f aca="false">IF($B650="","",IFERROR(INDEX(회원명부!$B$3:$B$502,MATCH($B650,회원명부!$A$3:$A$502,0)),"미등록회원"))</f>
        <v/>
      </c>
      <c r="D650" s="10"/>
      <c r="E650" s="16" t="str">
        <f aca="false">IF($D650="","",IF($J650="환불",0,IFERROR(INDEX(상품목록!$B$3:$B$102,MATCH($D650,상품목록!$A$3:$A$102,0)),0)))</f>
        <v/>
      </c>
      <c r="F650" s="16" t="str">
        <f aca="false">IF($D650="","",IFERROR(INDEX(상품목록!$C$3:$C$102,MATCH($D650,상품목록!$A$3:$A$102,0)),0))</f>
        <v/>
      </c>
      <c r="G650" s="17" t="str">
        <f aca="false">IF(OR($A650="",$F650=""),"",$A650+$F650)</f>
        <v/>
      </c>
      <c r="H650" s="16" t="str">
        <f aca="false">IF($D650="","",IF($J650="환불",0,IFERROR(INDEX(상품목록!$D$3:$D$102,MATCH($D650,상품목록!$A$3:$A$102,0)),0)))</f>
        <v/>
      </c>
      <c r="I650" s="10"/>
      <c r="J650" s="10"/>
      <c r="K650" s="10"/>
    </row>
    <row r="651" customFormat="false" ht="15" hidden="false" customHeight="true" outlineLevel="0" collapsed="false">
      <c r="A651" s="12"/>
      <c r="B651" s="10"/>
      <c r="C651" s="15" t="str">
        <f aca="false">IF($B651="","",IFERROR(INDEX(회원명부!$B$3:$B$502,MATCH($B651,회원명부!$A$3:$A$502,0)),"미등록회원"))</f>
        <v/>
      </c>
      <c r="D651" s="10"/>
      <c r="E651" s="16" t="str">
        <f aca="false">IF($D651="","",IF($J651="환불",0,IFERROR(INDEX(상품목록!$B$3:$B$102,MATCH($D651,상품목록!$A$3:$A$102,0)),0)))</f>
        <v/>
      </c>
      <c r="F651" s="16" t="str">
        <f aca="false">IF($D651="","",IFERROR(INDEX(상품목록!$C$3:$C$102,MATCH($D651,상품목록!$A$3:$A$102,0)),0))</f>
        <v/>
      </c>
      <c r="G651" s="17" t="str">
        <f aca="false">IF(OR($A651="",$F651=""),"",$A651+$F651)</f>
        <v/>
      </c>
      <c r="H651" s="16" t="str">
        <f aca="false">IF($D651="","",IF($J651="환불",0,IFERROR(INDEX(상품목록!$D$3:$D$102,MATCH($D651,상품목록!$A$3:$A$102,0)),0)))</f>
        <v/>
      </c>
      <c r="I651" s="10"/>
      <c r="J651" s="10"/>
      <c r="K651" s="10"/>
    </row>
    <row r="652" customFormat="false" ht="15" hidden="false" customHeight="true" outlineLevel="0" collapsed="false">
      <c r="A652" s="12"/>
      <c r="B652" s="10"/>
      <c r="C652" s="15" t="str">
        <f aca="false">IF($B652="","",IFERROR(INDEX(회원명부!$B$3:$B$502,MATCH($B652,회원명부!$A$3:$A$502,0)),"미등록회원"))</f>
        <v/>
      </c>
      <c r="D652" s="10"/>
      <c r="E652" s="16" t="str">
        <f aca="false">IF($D652="","",IF($J652="환불",0,IFERROR(INDEX(상품목록!$B$3:$B$102,MATCH($D652,상품목록!$A$3:$A$102,0)),0)))</f>
        <v/>
      </c>
      <c r="F652" s="16" t="str">
        <f aca="false">IF($D652="","",IFERROR(INDEX(상품목록!$C$3:$C$102,MATCH($D652,상품목록!$A$3:$A$102,0)),0))</f>
        <v/>
      </c>
      <c r="G652" s="17" t="str">
        <f aca="false">IF(OR($A652="",$F652=""),"",$A652+$F652)</f>
        <v/>
      </c>
      <c r="H652" s="16" t="str">
        <f aca="false">IF($D652="","",IF($J652="환불",0,IFERROR(INDEX(상품목록!$D$3:$D$102,MATCH($D652,상품목록!$A$3:$A$102,0)),0)))</f>
        <v/>
      </c>
      <c r="I652" s="10"/>
      <c r="J652" s="10"/>
      <c r="K652" s="10"/>
    </row>
    <row r="653" customFormat="false" ht="15" hidden="false" customHeight="true" outlineLevel="0" collapsed="false">
      <c r="A653" s="12"/>
      <c r="B653" s="10"/>
      <c r="C653" s="15" t="str">
        <f aca="false">IF($B653="","",IFERROR(INDEX(회원명부!$B$3:$B$502,MATCH($B653,회원명부!$A$3:$A$502,0)),"미등록회원"))</f>
        <v/>
      </c>
      <c r="D653" s="10"/>
      <c r="E653" s="16" t="str">
        <f aca="false">IF($D653="","",IF($J653="환불",0,IFERROR(INDEX(상품목록!$B$3:$B$102,MATCH($D653,상품목록!$A$3:$A$102,0)),0)))</f>
        <v/>
      </c>
      <c r="F653" s="16" t="str">
        <f aca="false">IF($D653="","",IFERROR(INDEX(상품목록!$C$3:$C$102,MATCH($D653,상품목록!$A$3:$A$102,0)),0))</f>
        <v/>
      </c>
      <c r="G653" s="17" t="str">
        <f aca="false">IF(OR($A653="",$F653=""),"",$A653+$F653)</f>
        <v/>
      </c>
      <c r="H653" s="16" t="str">
        <f aca="false">IF($D653="","",IF($J653="환불",0,IFERROR(INDEX(상품목록!$D$3:$D$102,MATCH($D653,상품목록!$A$3:$A$102,0)),0)))</f>
        <v/>
      </c>
      <c r="I653" s="10"/>
      <c r="J653" s="10"/>
      <c r="K653" s="10"/>
    </row>
    <row r="654" customFormat="false" ht="15" hidden="false" customHeight="true" outlineLevel="0" collapsed="false">
      <c r="A654" s="12"/>
      <c r="B654" s="10"/>
      <c r="C654" s="15" t="str">
        <f aca="false">IF($B654="","",IFERROR(INDEX(회원명부!$B$3:$B$502,MATCH($B654,회원명부!$A$3:$A$502,0)),"미등록회원"))</f>
        <v/>
      </c>
      <c r="D654" s="10"/>
      <c r="E654" s="16" t="str">
        <f aca="false">IF($D654="","",IF($J654="환불",0,IFERROR(INDEX(상품목록!$B$3:$B$102,MATCH($D654,상품목록!$A$3:$A$102,0)),0)))</f>
        <v/>
      </c>
      <c r="F654" s="16" t="str">
        <f aca="false">IF($D654="","",IFERROR(INDEX(상품목록!$C$3:$C$102,MATCH($D654,상품목록!$A$3:$A$102,0)),0))</f>
        <v/>
      </c>
      <c r="G654" s="17" t="str">
        <f aca="false">IF(OR($A654="",$F654=""),"",$A654+$F654)</f>
        <v/>
      </c>
      <c r="H654" s="16" t="str">
        <f aca="false">IF($D654="","",IF($J654="환불",0,IFERROR(INDEX(상품목록!$D$3:$D$102,MATCH($D654,상품목록!$A$3:$A$102,0)),0)))</f>
        <v/>
      </c>
      <c r="I654" s="10"/>
      <c r="J654" s="10"/>
      <c r="K654" s="10"/>
    </row>
    <row r="655" customFormat="false" ht="15" hidden="false" customHeight="true" outlineLevel="0" collapsed="false">
      <c r="A655" s="12"/>
      <c r="B655" s="10"/>
      <c r="C655" s="15" t="str">
        <f aca="false">IF($B655="","",IFERROR(INDEX(회원명부!$B$3:$B$502,MATCH($B655,회원명부!$A$3:$A$502,0)),"미등록회원"))</f>
        <v/>
      </c>
      <c r="D655" s="10"/>
      <c r="E655" s="16" t="str">
        <f aca="false">IF($D655="","",IF($J655="환불",0,IFERROR(INDEX(상품목록!$B$3:$B$102,MATCH($D655,상품목록!$A$3:$A$102,0)),0)))</f>
        <v/>
      </c>
      <c r="F655" s="16" t="str">
        <f aca="false">IF($D655="","",IFERROR(INDEX(상품목록!$C$3:$C$102,MATCH($D655,상품목록!$A$3:$A$102,0)),0))</f>
        <v/>
      </c>
      <c r="G655" s="17" t="str">
        <f aca="false">IF(OR($A655="",$F655=""),"",$A655+$F655)</f>
        <v/>
      </c>
      <c r="H655" s="16" t="str">
        <f aca="false">IF($D655="","",IF($J655="환불",0,IFERROR(INDEX(상품목록!$D$3:$D$102,MATCH($D655,상품목록!$A$3:$A$102,0)),0)))</f>
        <v/>
      </c>
      <c r="I655" s="10"/>
      <c r="J655" s="10"/>
      <c r="K655" s="10"/>
    </row>
    <row r="656" customFormat="false" ht="15" hidden="false" customHeight="true" outlineLevel="0" collapsed="false">
      <c r="A656" s="12"/>
      <c r="B656" s="10"/>
      <c r="C656" s="15" t="str">
        <f aca="false">IF($B656="","",IFERROR(INDEX(회원명부!$B$3:$B$502,MATCH($B656,회원명부!$A$3:$A$502,0)),"미등록회원"))</f>
        <v/>
      </c>
      <c r="D656" s="10"/>
      <c r="E656" s="16" t="str">
        <f aca="false">IF($D656="","",IF($J656="환불",0,IFERROR(INDEX(상품목록!$B$3:$B$102,MATCH($D656,상품목록!$A$3:$A$102,0)),0)))</f>
        <v/>
      </c>
      <c r="F656" s="16" t="str">
        <f aca="false">IF($D656="","",IFERROR(INDEX(상품목록!$C$3:$C$102,MATCH($D656,상품목록!$A$3:$A$102,0)),0))</f>
        <v/>
      </c>
      <c r="G656" s="17" t="str">
        <f aca="false">IF(OR($A656="",$F656=""),"",$A656+$F656)</f>
        <v/>
      </c>
      <c r="H656" s="16" t="str">
        <f aca="false">IF($D656="","",IF($J656="환불",0,IFERROR(INDEX(상품목록!$D$3:$D$102,MATCH($D656,상품목록!$A$3:$A$102,0)),0)))</f>
        <v/>
      </c>
      <c r="I656" s="10"/>
      <c r="J656" s="10"/>
      <c r="K656" s="10"/>
    </row>
    <row r="657" customFormat="false" ht="15" hidden="false" customHeight="true" outlineLevel="0" collapsed="false">
      <c r="A657" s="12"/>
      <c r="B657" s="10"/>
      <c r="C657" s="15" t="str">
        <f aca="false">IF($B657="","",IFERROR(INDEX(회원명부!$B$3:$B$502,MATCH($B657,회원명부!$A$3:$A$502,0)),"미등록회원"))</f>
        <v/>
      </c>
      <c r="D657" s="10"/>
      <c r="E657" s="16" t="str">
        <f aca="false">IF($D657="","",IF($J657="환불",0,IFERROR(INDEX(상품목록!$B$3:$B$102,MATCH($D657,상품목록!$A$3:$A$102,0)),0)))</f>
        <v/>
      </c>
      <c r="F657" s="16" t="str">
        <f aca="false">IF($D657="","",IFERROR(INDEX(상품목록!$C$3:$C$102,MATCH($D657,상품목록!$A$3:$A$102,0)),0))</f>
        <v/>
      </c>
      <c r="G657" s="17" t="str">
        <f aca="false">IF(OR($A657="",$F657=""),"",$A657+$F657)</f>
        <v/>
      </c>
      <c r="H657" s="16" t="str">
        <f aca="false">IF($D657="","",IF($J657="환불",0,IFERROR(INDEX(상품목록!$D$3:$D$102,MATCH($D657,상품목록!$A$3:$A$102,0)),0)))</f>
        <v/>
      </c>
      <c r="I657" s="10"/>
      <c r="J657" s="10"/>
      <c r="K657" s="10"/>
    </row>
    <row r="658" customFormat="false" ht="15" hidden="false" customHeight="true" outlineLevel="0" collapsed="false">
      <c r="A658" s="12"/>
      <c r="B658" s="10"/>
      <c r="C658" s="15" t="str">
        <f aca="false">IF($B658="","",IFERROR(INDEX(회원명부!$B$3:$B$502,MATCH($B658,회원명부!$A$3:$A$502,0)),"미등록회원"))</f>
        <v/>
      </c>
      <c r="D658" s="10"/>
      <c r="E658" s="16" t="str">
        <f aca="false">IF($D658="","",IF($J658="환불",0,IFERROR(INDEX(상품목록!$B$3:$B$102,MATCH($D658,상품목록!$A$3:$A$102,0)),0)))</f>
        <v/>
      </c>
      <c r="F658" s="16" t="str">
        <f aca="false">IF($D658="","",IFERROR(INDEX(상품목록!$C$3:$C$102,MATCH($D658,상품목록!$A$3:$A$102,0)),0))</f>
        <v/>
      </c>
      <c r="G658" s="17" t="str">
        <f aca="false">IF(OR($A658="",$F658=""),"",$A658+$F658)</f>
        <v/>
      </c>
      <c r="H658" s="16" t="str">
        <f aca="false">IF($D658="","",IF($J658="환불",0,IFERROR(INDEX(상품목록!$D$3:$D$102,MATCH($D658,상품목록!$A$3:$A$102,0)),0)))</f>
        <v/>
      </c>
      <c r="I658" s="10"/>
      <c r="J658" s="10"/>
      <c r="K658" s="10"/>
    </row>
    <row r="659" customFormat="false" ht="15" hidden="false" customHeight="true" outlineLevel="0" collapsed="false">
      <c r="A659" s="12"/>
      <c r="B659" s="10"/>
      <c r="C659" s="15" t="str">
        <f aca="false">IF($B659="","",IFERROR(INDEX(회원명부!$B$3:$B$502,MATCH($B659,회원명부!$A$3:$A$502,0)),"미등록회원"))</f>
        <v/>
      </c>
      <c r="D659" s="10"/>
      <c r="E659" s="16" t="str">
        <f aca="false">IF($D659="","",IF($J659="환불",0,IFERROR(INDEX(상품목록!$B$3:$B$102,MATCH($D659,상품목록!$A$3:$A$102,0)),0)))</f>
        <v/>
      </c>
      <c r="F659" s="16" t="str">
        <f aca="false">IF($D659="","",IFERROR(INDEX(상품목록!$C$3:$C$102,MATCH($D659,상품목록!$A$3:$A$102,0)),0))</f>
        <v/>
      </c>
      <c r="G659" s="17" t="str">
        <f aca="false">IF(OR($A659="",$F659=""),"",$A659+$F659)</f>
        <v/>
      </c>
      <c r="H659" s="16" t="str">
        <f aca="false">IF($D659="","",IF($J659="환불",0,IFERROR(INDEX(상품목록!$D$3:$D$102,MATCH($D659,상품목록!$A$3:$A$102,0)),0)))</f>
        <v/>
      </c>
      <c r="I659" s="10"/>
      <c r="J659" s="10"/>
      <c r="K659" s="10"/>
    </row>
    <row r="660" customFormat="false" ht="15" hidden="false" customHeight="true" outlineLevel="0" collapsed="false">
      <c r="A660" s="12"/>
      <c r="B660" s="10"/>
      <c r="C660" s="15" t="str">
        <f aca="false">IF($B660="","",IFERROR(INDEX(회원명부!$B$3:$B$502,MATCH($B660,회원명부!$A$3:$A$502,0)),"미등록회원"))</f>
        <v/>
      </c>
      <c r="D660" s="10"/>
      <c r="E660" s="16" t="str">
        <f aca="false">IF($D660="","",IF($J660="환불",0,IFERROR(INDEX(상품목록!$B$3:$B$102,MATCH($D660,상품목록!$A$3:$A$102,0)),0)))</f>
        <v/>
      </c>
      <c r="F660" s="16" t="str">
        <f aca="false">IF($D660="","",IFERROR(INDEX(상품목록!$C$3:$C$102,MATCH($D660,상품목록!$A$3:$A$102,0)),0))</f>
        <v/>
      </c>
      <c r="G660" s="17" t="str">
        <f aca="false">IF(OR($A660="",$F660=""),"",$A660+$F660)</f>
        <v/>
      </c>
      <c r="H660" s="16" t="str">
        <f aca="false">IF($D660="","",IF($J660="환불",0,IFERROR(INDEX(상품목록!$D$3:$D$102,MATCH($D660,상품목록!$A$3:$A$102,0)),0)))</f>
        <v/>
      </c>
      <c r="I660" s="10"/>
      <c r="J660" s="10"/>
      <c r="K660" s="10"/>
    </row>
    <row r="661" customFormat="false" ht="15" hidden="false" customHeight="true" outlineLevel="0" collapsed="false">
      <c r="A661" s="12"/>
      <c r="B661" s="10"/>
      <c r="C661" s="15" t="str">
        <f aca="false">IF($B661="","",IFERROR(INDEX(회원명부!$B$3:$B$502,MATCH($B661,회원명부!$A$3:$A$502,0)),"미등록회원"))</f>
        <v/>
      </c>
      <c r="D661" s="10"/>
      <c r="E661" s="16" t="str">
        <f aca="false">IF($D661="","",IF($J661="환불",0,IFERROR(INDEX(상품목록!$B$3:$B$102,MATCH($D661,상품목록!$A$3:$A$102,0)),0)))</f>
        <v/>
      </c>
      <c r="F661" s="16" t="str">
        <f aca="false">IF($D661="","",IFERROR(INDEX(상품목록!$C$3:$C$102,MATCH($D661,상품목록!$A$3:$A$102,0)),0))</f>
        <v/>
      </c>
      <c r="G661" s="17" t="str">
        <f aca="false">IF(OR($A661="",$F661=""),"",$A661+$F661)</f>
        <v/>
      </c>
      <c r="H661" s="16" t="str">
        <f aca="false">IF($D661="","",IF($J661="환불",0,IFERROR(INDEX(상품목록!$D$3:$D$102,MATCH($D661,상품목록!$A$3:$A$102,0)),0)))</f>
        <v/>
      </c>
      <c r="I661" s="10"/>
      <c r="J661" s="10"/>
      <c r="K661" s="10"/>
    </row>
    <row r="662" customFormat="false" ht="15" hidden="false" customHeight="true" outlineLevel="0" collapsed="false">
      <c r="A662" s="12"/>
      <c r="B662" s="10"/>
      <c r="C662" s="15" t="str">
        <f aca="false">IF($B662="","",IFERROR(INDEX(회원명부!$B$3:$B$502,MATCH($B662,회원명부!$A$3:$A$502,0)),"미등록회원"))</f>
        <v/>
      </c>
      <c r="D662" s="10"/>
      <c r="E662" s="16" t="str">
        <f aca="false">IF($D662="","",IF($J662="환불",0,IFERROR(INDEX(상품목록!$B$3:$B$102,MATCH($D662,상품목록!$A$3:$A$102,0)),0)))</f>
        <v/>
      </c>
      <c r="F662" s="16" t="str">
        <f aca="false">IF($D662="","",IFERROR(INDEX(상품목록!$C$3:$C$102,MATCH($D662,상품목록!$A$3:$A$102,0)),0))</f>
        <v/>
      </c>
      <c r="G662" s="17" t="str">
        <f aca="false">IF(OR($A662="",$F662=""),"",$A662+$F662)</f>
        <v/>
      </c>
      <c r="H662" s="16" t="str">
        <f aca="false">IF($D662="","",IF($J662="환불",0,IFERROR(INDEX(상품목록!$D$3:$D$102,MATCH($D662,상품목록!$A$3:$A$102,0)),0)))</f>
        <v/>
      </c>
      <c r="I662" s="10"/>
      <c r="J662" s="10"/>
      <c r="K662" s="10"/>
    </row>
    <row r="663" customFormat="false" ht="15" hidden="false" customHeight="true" outlineLevel="0" collapsed="false">
      <c r="A663" s="12"/>
      <c r="B663" s="10"/>
      <c r="C663" s="15" t="str">
        <f aca="false">IF($B663="","",IFERROR(INDEX(회원명부!$B$3:$B$502,MATCH($B663,회원명부!$A$3:$A$502,0)),"미등록회원"))</f>
        <v/>
      </c>
      <c r="D663" s="10"/>
      <c r="E663" s="16" t="str">
        <f aca="false">IF($D663="","",IF($J663="환불",0,IFERROR(INDEX(상품목록!$B$3:$B$102,MATCH($D663,상품목록!$A$3:$A$102,0)),0)))</f>
        <v/>
      </c>
      <c r="F663" s="16" t="str">
        <f aca="false">IF($D663="","",IFERROR(INDEX(상품목록!$C$3:$C$102,MATCH($D663,상품목록!$A$3:$A$102,0)),0))</f>
        <v/>
      </c>
      <c r="G663" s="17" t="str">
        <f aca="false">IF(OR($A663="",$F663=""),"",$A663+$F663)</f>
        <v/>
      </c>
      <c r="H663" s="16" t="str">
        <f aca="false">IF($D663="","",IF($J663="환불",0,IFERROR(INDEX(상품목록!$D$3:$D$102,MATCH($D663,상품목록!$A$3:$A$102,0)),0)))</f>
        <v/>
      </c>
      <c r="I663" s="10"/>
      <c r="J663" s="10"/>
      <c r="K663" s="10"/>
    </row>
    <row r="664" customFormat="false" ht="15" hidden="false" customHeight="true" outlineLevel="0" collapsed="false">
      <c r="A664" s="12"/>
      <c r="B664" s="10"/>
      <c r="C664" s="15" t="str">
        <f aca="false">IF($B664="","",IFERROR(INDEX(회원명부!$B$3:$B$502,MATCH($B664,회원명부!$A$3:$A$502,0)),"미등록회원"))</f>
        <v/>
      </c>
      <c r="D664" s="10"/>
      <c r="E664" s="16" t="str">
        <f aca="false">IF($D664="","",IF($J664="환불",0,IFERROR(INDEX(상품목록!$B$3:$B$102,MATCH($D664,상품목록!$A$3:$A$102,0)),0)))</f>
        <v/>
      </c>
      <c r="F664" s="16" t="str">
        <f aca="false">IF($D664="","",IFERROR(INDEX(상품목록!$C$3:$C$102,MATCH($D664,상품목록!$A$3:$A$102,0)),0))</f>
        <v/>
      </c>
      <c r="G664" s="17" t="str">
        <f aca="false">IF(OR($A664="",$F664=""),"",$A664+$F664)</f>
        <v/>
      </c>
      <c r="H664" s="16" t="str">
        <f aca="false">IF($D664="","",IF($J664="환불",0,IFERROR(INDEX(상품목록!$D$3:$D$102,MATCH($D664,상품목록!$A$3:$A$102,0)),0)))</f>
        <v/>
      </c>
      <c r="I664" s="10"/>
      <c r="J664" s="10"/>
      <c r="K664" s="10"/>
    </row>
    <row r="665" customFormat="false" ht="15" hidden="false" customHeight="true" outlineLevel="0" collapsed="false">
      <c r="A665" s="12"/>
      <c r="B665" s="10"/>
      <c r="C665" s="15" t="str">
        <f aca="false">IF($B665="","",IFERROR(INDEX(회원명부!$B$3:$B$502,MATCH($B665,회원명부!$A$3:$A$502,0)),"미등록회원"))</f>
        <v/>
      </c>
      <c r="D665" s="10"/>
      <c r="E665" s="16" t="str">
        <f aca="false">IF($D665="","",IF($J665="환불",0,IFERROR(INDEX(상품목록!$B$3:$B$102,MATCH($D665,상품목록!$A$3:$A$102,0)),0)))</f>
        <v/>
      </c>
      <c r="F665" s="16" t="str">
        <f aca="false">IF($D665="","",IFERROR(INDEX(상품목록!$C$3:$C$102,MATCH($D665,상품목록!$A$3:$A$102,0)),0))</f>
        <v/>
      </c>
      <c r="G665" s="17" t="str">
        <f aca="false">IF(OR($A665="",$F665=""),"",$A665+$F665)</f>
        <v/>
      </c>
      <c r="H665" s="16" t="str">
        <f aca="false">IF($D665="","",IF($J665="환불",0,IFERROR(INDEX(상품목록!$D$3:$D$102,MATCH($D665,상품목록!$A$3:$A$102,0)),0)))</f>
        <v/>
      </c>
      <c r="I665" s="10"/>
      <c r="J665" s="10"/>
      <c r="K665" s="10"/>
    </row>
    <row r="666" customFormat="false" ht="15" hidden="false" customHeight="true" outlineLevel="0" collapsed="false">
      <c r="A666" s="12"/>
      <c r="B666" s="10"/>
      <c r="C666" s="15" t="str">
        <f aca="false">IF($B666="","",IFERROR(INDEX(회원명부!$B$3:$B$502,MATCH($B666,회원명부!$A$3:$A$502,0)),"미등록회원"))</f>
        <v/>
      </c>
      <c r="D666" s="10"/>
      <c r="E666" s="16" t="str">
        <f aca="false">IF($D666="","",IF($J666="환불",0,IFERROR(INDEX(상품목록!$B$3:$B$102,MATCH($D666,상품목록!$A$3:$A$102,0)),0)))</f>
        <v/>
      </c>
      <c r="F666" s="16" t="str">
        <f aca="false">IF($D666="","",IFERROR(INDEX(상품목록!$C$3:$C$102,MATCH($D666,상품목록!$A$3:$A$102,0)),0))</f>
        <v/>
      </c>
      <c r="G666" s="17" t="str">
        <f aca="false">IF(OR($A666="",$F666=""),"",$A666+$F666)</f>
        <v/>
      </c>
      <c r="H666" s="16" t="str">
        <f aca="false">IF($D666="","",IF($J666="환불",0,IFERROR(INDEX(상품목록!$D$3:$D$102,MATCH($D666,상품목록!$A$3:$A$102,0)),0)))</f>
        <v/>
      </c>
      <c r="I666" s="10"/>
      <c r="J666" s="10"/>
      <c r="K666" s="10"/>
    </row>
    <row r="667" customFormat="false" ht="15" hidden="false" customHeight="true" outlineLevel="0" collapsed="false">
      <c r="A667" s="12"/>
      <c r="B667" s="10"/>
      <c r="C667" s="15" t="str">
        <f aca="false">IF($B667="","",IFERROR(INDEX(회원명부!$B$3:$B$502,MATCH($B667,회원명부!$A$3:$A$502,0)),"미등록회원"))</f>
        <v/>
      </c>
      <c r="D667" s="10"/>
      <c r="E667" s="16" t="str">
        <f aca="false">IF($D667="","",IF($J667="환불",0,IFERROR(INDEX(상품목록!$B$3:$B$102,MATCH($D667,상품목록!$A$3:$A$102,0)),0)))</f>
        <v/>
      </c>
      <c r="F667" s="16" t="str">
        <f aca="false">IF($D667="","",IFERROR(INDEX(상품목록!$C$3:$C$102,MATCH($D667,상품목록!$A$3:$A$102,0)),0))</f>
        <v/>
      </c>
      <c r="G667" s="17" t="str">
        <f aca="false">IF(OR($A667="",$F667=""),"",$A667+$F667)</f>
        <v/>
      </c>
      <c r="H667" s="16" t="str">
        <f aca="false">IF($D667="","",IF($J667="환불",0,IFERROR(INDEX(상품목록!$D$3:$D$102,MATCH($D667,상품목록!$A$3:$A$102,0)),0)))</f>
        <v/>
      </c>
      <c r="I667" s="10"/>
      <c r="J667" s="10"/>
      <c r="K667" s="10"/>
    </row>
    <row r="668" customFormat="false" ht="15" hidden="false" customHeight="true" outlineLevel="0" collapsed="false">
      <c r="A668" s="12"/>
      <c r="B668" s="10"/>
      <c r="C668" s="15" t="str">
        <f aca="false">IF($B668="","",IFERROR(INDEX(회원명부!$B$3:$B$502,MATCH($B668,회원명부!$A$3:$A$502,0)),"미등록회원"))</f>
        <v/>
      </c>
      <c r="D668" s="10"/>
      <c r="E668" s="16" t="str">
        <f aca="false">IF($D668="","",IF($J668="환불",0,IFERROR(INDEX(상품목록!$B$3:$B$102,MATCH($D668,상품목록!$A$3:$A$102,0)),0)))</f>
        <v/>
      </c>
      <c r="F668" s="16" t="str">
        <f aca="false">IF($D668="","",IFERROR(INDEX(상품목록!$C$3:$C$102,MATCH($D668,상품목록!$A$3:$A$102,0)),0))</f>
        <v/>
      </c>
      <c r="G668" s="17" t="str">
        <f aca="false">IF(OR($A668="",$F668=""),"",$A668+$F668)</f>
        <v/>
      </c>
      <c r="H668" s="16" t="str">
        <f aca="false">IF($D668="","",IF($J668="환불",0,IFERROR(INDEX(상품목록!$D$3:$D$102,MATCH($D668,상품목록!$A$3:$A$102,0)),0)))</f>
        <v/>
      </c>
      <c r="I668" s="10"/>
      <c r="J668" s="10"/>
      <c r="K668" s="10"/>
    </row>
    <row r="669" customFormat="false" ht="15" hidden="false" customHeight="true" outlineLevel="0" collapsed="false">
      <c r="A669" s="12"/>
      <c r="B669" s="10"/>
      <c r="C669" s="15" t="str">
        <f aca="false">IF($B669="","",IFERROR(INDEX(회원명부!$B$3:$B$502,MATCH($B669,회원명부!$A$3:$A$502,0)),"미등록회원"))</f>
        <v/>
      </c>
      <c r="D669" s="10"/>
      <c r="E669" s="16" t="str">
        <f aca="false">IF($D669="","",IF($J669="환불",0,IFERROR(INDEX(상품목록!$B$3:$B$102,MATCH($D669,상품목록!$A$3:$A$102,0)),0)))</f>
        <v/>
      </c>
      <c r="F669" s="16" t="str">
        <f aca="false">IF($D669="","",IFERROR(INDEX(상품목록!$C$3:$C$102,MATCH($D669,상품목록!$A$3:$A$102,0)),0))</f>
        <v/>
      </c>
      <c r="G669" s="17" t="str">
        <f aca="false">IF(OR($A669="",$F669=""),"",$A669+$F669)</f>
        <v/>
      </c>
      <c r="H669" s="16" t="str">
        <f aca="false">IF($D669="","",IF($J669="환불",0,IFERROR(INDEX(상품목록!$D$3:$D$102,MATCH($D669,상품목록!$A$3:$A$102,0)),0)))</f>
        <v/>
      </c>
      <c r="I669" s="10"/>
      <c r="J669" s="10"/>
      <c r="K669" s="10"/>
    </row>
    <row r="670" customFormat="false" ht="15" hidden="false" customHeight="true" outlineLevel="0" collapsed="false">
      <c r="A670" s="12"/>
      <c r="B670" s="10"/>
      <c r="C670" s="15" t="str">
        <f aca="false">IF($B670="","",IFERROR(INDEX(회원명부!$B$3:$B$502,MATCH($B670,회원명부!$A$3:$A$502,0)),"미등록회원"))</f>
        <v/>
      </c>
      <c r="D670" s="10"/>
      <c r="E670" s="16" t="str">
        <f aca="false">IF($D670="","",IF($J670="환불",0,IFERROR(INDEX(상품목록!$B$3:$B$102,MATCH($D670,상품목록!$A$3:$A$102,0)),0)))</f>
        <v/>
      </c>
      <c r="F670" s="16" t="str">
        <f aca="false">IF($D670="","",IFERROR(INDEX(상품목록!$C$3:$C$102,MATCH($D670,상품목록!$A$3:$A$102,0)),0))</f>
        <v/>
      </c>
      <c r="G670" s="17" t="str">
        <f aca="false">IF(OR($A670="",$F670=""),"",$A670+$F670)</f>
        <v/>
      </c>
      <c r="H670" s="16" t="str">
        <f aca="false">IF($D670="","",IF($J670="환불",0,IFERROR(INDEX(상품목록!$D$3:$D$102,MATCH($D670,상품목록!$A$3:$A$102,0)),0)))</f>
        <v/>
      </c>
      <c r="I670" s="10"/>
      <c r="J670" s="10"/>
      <c r="K670" s="10"/>
    </row>
    <row r="671" customFormat="false" ht="15" hidden="false" customHeight="true" outlineLevel="0" collapsed="false">
      <c r="A671" s="12"/>
      <c r="B671" s="10"/>
      <c r="C671" s="15" t="str">
        <f aca="false">IF($B671="","",IFERROR(INDEX(회원명부!$B$3:$B$502,MATCH($B671,회원명부!$A$3:$A$502,0)),"미등록회원"))</f>
        <v/>
      </c>
      <c r="D671" s="10"/>
      <c r="E671" s="16" t="str">
        <f aca="false">IF($D671="","",IF($J671="환불",0,IFERROR(INDEX(상품목록!$B$3:$B$102,MATCH($D671,상품목록!$A$3:$A$102,0)),0)))</f>
        <v/>
      </c>
      <c r="F671" s="16" t="str">
        <f aca="false">IF($D671="","",IFERROR(INDEX(상품목록!$C$3:$C$102,MATCH($D671,상품목록!$A$3:$A$102,0)),0))</f>
        <v/>
      </c>
      <c r="G671" s="17" t="str">
        <f aca="false">IF(OR($A671="",$F671=""),"",$A671+$F671)</f>
        <v/>
      </c>
      <c r="H671" s="16" t="str">
        <f aca="false">IF($D671="","",IF($J671="환불",0,IFERROR(INDEX(상품목록!$D$3:$D$102,MATCH($D671,상품목록!$A$3:$A$102,0)),0)))</f>
        <v/>
      </c>
      <c r="I671" s="10"/>
      <c r="J671" s="10"/>
      <c r="K671" s="10"/>
    </row>
    <row r="672" customFormat="false" ht="15" hidden="false" customHeight="true" outlineLevel="0" collapsed="false">
      <c r="A672" s="12"/>
      <c r="B672" s="10"/>
      <c r="C672" s="15" t="str">
        <f aca="false">IF($B672="","",IFERROR(INDEX(회원명부!$B$3:$B$502,MATCH($B672,회원명부!$A$3:$A$502,0)),"미등록회원"))</f>
        <v/>
      </c>
      <c r="D672" s="10"/>
      <c r="E672" s="16" t="str">
        <f aca="false">IF($D672="","",IF($J672="환불",0,IFERROR(INDEX(상품목록!$B$3:$B$102,MATCH($D672,상품목록!$A$3:$A$102,0)),0)))</f>
        <v/>
      </c>
      <c r="F672" s="16" t="str">
        <f aca="false">IF($D672="","",IFERROR(INDEX(상품목록!$C$3:$C$102,MATCH($D672,상품목록!$A$3:$A$102,0)),0))</f>
        <v/>
      </c>
      <c r="G672" s="17" t="str">
        <f aca="false">IF(OR($A672="",$F672=""),"",$A672+$F672)</f>
        <v/>
      </c>
      <c r="H672" s="16" t="str">
        <f aca="false">IF($D672="","",IF($J672="환불",0,IFERROR(INDEX(상품목록!$D$3:$D$102,MATCH($D672,상품목록!$A$3:$A$102,0)),0)))</f>
        <v/>
      </c>
      <c r="I672" s="10"/>
      <c r="J672" s="10"/>
      <c r="K672" s="10"/>
    </row>
    <row r="673" customFormat="false" ht="15" hidden="false" customHeight="true" outlineLevel="0" collapsed="false">
      <c r="A673" s="12"/>
      <c r="B673" s="10"/>
      <c r="C673" s="15" t="str">
        <f aca="false">IF($B673="","",IFERROR(INDEX(회원명부!$B$3:$B$502,MATCH($B673,회원명부!$A$3:$A$502,0)),"미등록회원"))</f>
        <v/>
      </c>
      <c r="D673" s="10"/>
      <c r="E673" s="16" t="str">
        <f aca="false">IF($D673="","",IF($J673="환불",0,IFERROR(INDEX(상품목록!$B$3:$B$102,MATCH($D673,상품목록!$A$3:$A$102,0)),0)))</f>
        <v/>
      </c>
      <c r="F673" s="16" t="str">
        <f aca="false">IF($D673="","",IFERROR(INDEX(상품목록!$C$3:$C$102,MATCH($D673,상품목록!$A$3:$A$102,0)),0))</f>
        <v/>
      </c>
      <c r="G673" s="17" t="str">
        <f aca="false">IF(OR($A673="",$F673=""),"",$A673+$F673)</f>
        <v/>
      </c>
      <c r="H673" s="16" t="str">
        <f aca="false">IF($D673="","",IF($J673="환불",0,IFERROR(INDEX(상품목록!$D$3:$D$102,MATCH($D673,상품목록!$A$3:$A$102,0)),0)))</f>
        <v/>
      </c>
      <c r="I673" s="10"/>
      <c r="J673" s="10"/>
      <c r="K673" s="10"/>
    </row>
    <row r="674" customFormat="false" ht="15" hidden="false" customHeight="true" outlineLevel="0" collapsed="false">
      <c r="A674" s="12"/>
      <c r="B674" s="10"/>
      <c r="C674" s="15" t="str">
        <f aca="false">IF($B674="","",IFERROR(INDEX(회원명부!$B$3:$B$502,MATCH($B674,회원명부!$A$3:$A$502,0)),"미등록회원"))</f>
        <v/>
      </c>
      <c r="D674" s="10"/>
      <c r="E674" s="16" t="str">
        <f aca="false">IF($D674="","",IF($J674="환불",0,IFERROR(INDEX(상품목록!$B$3:$B$102,MATCH($D674,상품목록!$A$3:$A$102,0)),0)))</f>
        <v/>
      </c>
      <c r="F674" s="16" t="str">
        <f aca="false">IF($D674="","",IFERROR(INDEX(상품목록!$C$3:$C$102,MATCH($D674,상품목록!$A$3:$A$102,0)),0))</f>
        <v/>
      </c>
      <c r="G674" s="17" t="str">
        <f aca="false">IF(OR($A674="",$F674=""),"",$A674+$F674)</f>
        <v/>
      </c>
      <c r="H674" s="16" t="str">
        <f aca="false">IF($D674="","",IF($J674="환불",0,IFERROR(INDEX(상품목록!$D$3:$D$102,MATCH($D674,상품목록!$A$3:$A$102,0)),0)))</f>
        <v/>
      </c>
      <c r="I674" s="10"/>
      <c r="J674" s="10"/>
      <c r="K674" s="10"/>
    </row>
    <row r="675" customFormat="false" ht="15" hidden="false" customHeight="true" outlineLevel="0" collapsed="false">
      <c r="A675" s="12"/>
      <c r="B675" s="10"/>
      <c r="C675" s="15" t="str">
        <f aca="false">IF($B675="","",IFERROR(INDEX(회원명부!$B$3:$B$502,MATCH($B675,회원명부!$A$3:$A$502,0)),"미등록회원"))</f>
        <v/>
      </c>
      <c r="D675" s="10"/>
      <c r="E675" s="16" t="str">
        <f aca="false">IF($D675="","",IF($J675="환불",0,IFERROR(INDEX(상품목록!$B$3:$B$102,MATCH($D675,상품목록!$A$3:$A$102,0)),0)))</f>
        <v/>
      </c>
      <c r="F675" s="16" t="str">
        <f aca="false">IF($D675="","",IFERROR(INDEX(상품목록!$C$3:$C$102,MATCH($D675,상품목록!$A$3:$A$102,0)),0))</f>
        <v/>
      </c>
      <c r="G675" s="17" t="str">
        <f aca="false">IF(OR($A675="",$F675=""),"",$A675+$F675)</f>
        <v/>
      </c>
      <c r="H675" s="16" t="str">
        <f aca="false">IF($D675="","",IF($J675="환불",0,IFERROR(INDEX(상품목록!$D$3:$D$102,MATCH($D675,상품목록!$A$3:$A$102,0)),0)))</f>
        <v/>
      </c>
      <c r="I675" s="10"/>
      <c r="J675" s="10"/>
      <c r="K675" s="10"/>
    </row>
    <row r="676" customFormat="false" ht="15" hidden="false" customHeight="true" outlineLevel="0" collapsed="false">
      <c r="A676" s="12"/>
      <c r="B676" s="10"/>
      <c r="C676" s="15" t="str">
        <f aca="false">IF($B676="","",IFERROR(INDEX(회원명부!$B$3:$B$502,MATCH($B676,회원명부!$A$3:$A$502,0)),"미등록회원"))</f>
        <v/>
      </c>
      <c r="D676" s="10"/>
      <c r="E676" s="16" t="str">
        <f aca="false">IF($D676="","",IF($J676="환불",0,IFERROR(INDEX(상품목록!$B$3:$B$102,MATCH($D676,상품목록!$A$3:$A$102,0)),0)))</f>
        <v/>
      </c>
      <c r="F676" s="16" t="str">
        <f aca="false">IF($D676="","",IFERROR(INDEX(상품목록!$C$3:$C$102,MATCH($D676,상품목록!$A$3:$A$102,0)),0))</f>
        <v/>
      </c>
      <c r="G676" s="17" t="str">
        <f aca="false">IF(OR($A676="",$F676=""),"",$A676+$F676)</f>
        <v/>
      </c>
      <c r="H676" s="16" t="str">
        <f aca="false">IF($D676="","",IF($J676="환불",0,IFERROR(INDEX(상품목록!$D$3:$D$102,MATCH($D676,상품목록!$A$3:$A$102,0)),0)))</f>
        <v/>
      </c>
      <c r="I676" s="10"/>
      <c r="J676" s="10"/>
      <c r="K676" s="10"/>
    </row>
    <row r="677" customFormat="false" ht="15" hidden="false" customHeight="true" outlineLevel="0" collapsed="false">
      <c r="A677" s="12"/>
      <c r="B677" s="10"/>
      <c r="C677" s="15" t="str">
        <f aca="false">IF($B677="","",IFERROR(INDEX(회원명부!$B$3:$B$502,MATCH($B677,회원명부!$A$3:$A$502,0)),"미등록회원"))</f>
        <v/>
      </c>
      <c r="D677" s="10"/>
      <c r="E677" s="16" t="str">
        <f aca="false">IF($D677="","",IF($J677="환불",0,IFERROR(INDEX(상품목록!$B$3:$B$102,MATCH($D677,상품목록!$A$3:$A$102,0)),0)))</f>
        <v/>
      </c>
      <c r="F677" s="16" t="str">
        <f aca="false">IF($D677="","",IFERROR(INDEX(상품목록!$C$3:$C$102,MATCH($D677,상품목록!$A$3:$A$102,0)),0))</f>
        <v/>
      </c>
      <c r="G677" s="17" t="str">
        <f aca="false">IF(OR($A677="",$F677=""),"",$A677+$F677)</f>
        <v/>
      </c>
      <c r="H677" s="16" t="str">
        <f aca="false">IF($D677="","",IF($J677="환불",0,IFERROR(INDEX(상품목록!$D$3:$D$102,MATCH($D677,상품목록!$A$3:$A$102,0)),0)))</f>
        <v/>
      </c>
      <c r="I677" s="10"/>
      <c r="J677" s="10"/>
      <c r="K677" s="10"/>
    </row>
    <row r="678" customFormat="false" ht="15" hidden="false" customHeight="true" outlineLevel="0" collapsed="false">
      <c r="A678" s="12"/>
      <c r="B678" s="10"/>
      <c r="C678" s="15" t="str">
        <f aca="false">IF($B678="","",IFERROR(INDEX(회원명부!$B$3:$B$502,MATCH($B678,회원명부!$A$3:$A$502,0)),"미등록회원"))</f>
        <v/>
      </c>
      <c r="D678" s="10"/>
      <c r="E678" s="16" t="str">
        <f aca="false">IF($D678="","",IF($J678="환불",0,IFERROR(INDEX(상품목록!$B$3:$B$102,MATCH($D678,상품목록!$A$3:$A$102,0)),0)))</f>
        <v/>
      </c>
      <c r="F678" s="16" t="str">
        <f aca="false">IF($D678="","",IFERROR(INDEX(상품목록!$C$3:$C$102,MATCH($D678,상품목록!$A$3:$A$102,0)),0))</f>
        <v/>
      </c>
      <c r="G678" s="17" t="str">
        <f aca="false">IF(OR($A678="",$F678=""),"",$A678+$F678)</f>
        <v/>
      </c>
      <c r="H678" s="16" t="str">
        <f aca="false">IF($D678="","",IF($J678="환불",0,IFERROR(INDEX(상품목록!$D$3:$D$102,MATCH($D678,상품목록!$A$3:$A$102,0)),0)))</f>
        <v/>
      </c>
      <c r="I678" s="10"/>
      <c r="J678" s="10"/>
      <c r="K678" s="10"/>
    </row>
    <row r="679" customFormat="false" ht="15" hidden="false" customHeight="true" outlineLevel="0" collapsed="false">
      <c r="A679" s="12"/>
      <c r="B679" s="10"/>
      <c r="C679" s="15" t="str">
        <f aca="false">IF($B679="","",IFERROR(INDEX(회원명부!$B$3:$B$502,MATCH($B679,회원명부!$A$3:$A$502,0)),"미등록회원"))</f>
        <v/>
      </c>
      <c r="D679" s="10"/>
      <c r="E679" s="16" t="str">
        <f aca="false">IF($D679="","",IF($J679="환불",0,IFERROR(INDEX(상품목록!$B$3:$B$102,MATCH($D679,상품목록!$A$3:$A$102,0)),0)))</f>
        <v/>
      </c>
      <c r="F679" s="16" t="str">
        <f aca="false">IF($D679="","",IFERROR(INDEX(상품목록!$C$3:$C$102,MATCH($D679,상품목록!$A$3:$A$102,0)),0))</f>
        <v/>
      </c>
      <c r="G679" s="17" t="str">
        <f aca="false">IF(OR($A679="",$F679=""),"",$A679+$F679)</f>
        <v/>
      </c>
      <c r="H679" s="16" t="str">
        <f aca="false">IF($D679="","",IF($J679="환불",0,IFERROR(INDEX(상품목록!$D$3:$D$102,MATCH($D679,상품목록!$A$3:$A$102,0)),0)))</f>
        <v/>
      </c>
      <c r="I679" s="10"/>
      <c r="J679" s="10"/>
      <c r="K679" s="10"/>
    </row>
    <row r="680" customFormat="false" ht="15" hidden="false" customHeight="true" outlineLevel="0" collapsed="false">
      <c r="A680" s="12"/>
      <c r="B680" s="10"/>
      <c r="C680" s="15" t="str">
        <f aca="false">IF($B680="","",IFERROR(INDEX(회원명부!$B$3:$B$502,MATCH($B680,회원명부!$A$3:$A$502,0)),"미등록회원"))</f>
        <v/>
      </c>
      <c r="D680" s="10"/>
      <c r="E680" s="16" t="str">
        <f aca="false">IF($D680="","",IF($J680="환불",0,IFERROR(INDEX(상품목록!$B$3:$B$102,MATCH($D680,상품목록!$A$3:$A$102,0)),0)))</f>
        <v/>
      </c>
      <c r="F680" s="16" t="str">
        <f aca="false">IF($D680="","",IFERROR(INDEX(상품목록!$C$3:$C$102,MATCH($D680,상품목록!$A$3:$A$102,0)),0))</f>
        <v/>
      </c>
      <c r="G680" s="17" t="str">
        <f aca="false">IF(OR($A680="",$F680=""),"",$A680+$F680)</f>
        <v/>
      </c>
      <c r="H680" s="16" t="str">
        <f aca="false">IF($D680="","",IF($J680="환불",0,IFERROR(INDEX(상품목록!$D$3:$D$102,MATCH($D680,상품목록!$A$3:$A$102,0)),0)))</f>
        <v/>
      </c>
      <c r="I680" s="10"/>
      <c r="J680" s="10"/>
      <c r="K680" s="10"/>
    </row>
    <row r="681" customFormat="false" ht="15" hidden="false" customHeight="true" outlineLevel="0" collapsed="false">
      <c r="A681" s="12"/>
      <c r="B681" s="10"/>
      <c r="C681" s="15" t="str">
        <f aca="false">IF($B681="","",IFERROR(INDEX(회원명부!$B$3:$B$502,MATCH($B681,회원명부!$A$3:$A$502,0)),"미등록회원"))</f>
        <v/>
      </c>
      <c r="D681" s="10"/>
      <c r="E681" s="16" t="str">
        <f aca="false">IF($D681="","",IF($J681="환불",0,IFERROR(INDEX(상품목록!$B$3:$B$102,MATCH($D681,상품목록!$A$3:$A$102,0)),0)))</f>
        <v/>
      </c>
      <c r="F681" s="16" t="str">
        <f aca="false">IF($D681="","",IFERROR(INDEX(상품목록!$C$3:$C$102,MATCH($D681,상품목록!$A$3:$A$102,0)),0))</f>
        <v/>
      </c>
      <c r="G681" s="17" t="str">
        <f aca="false">IF(OR($A681="",$F681=""),"",$A681+$F681)</f>
        <v/>
      </c>
      <c r="H681" s="16" t="str">
        <f aca="false">IF($D681="","",IF($J681="환불",0,IFERROR(INDEX(상품목록!$D$3:$D$102,MATCH($D681,상품목록!$A$3:$A$102,0)),0)))</f>
        <v/>
      </c>
      <c r="I681" s="10"/>
      <c r="J681" s="10"/>
      <c r="K681" s="10"/>
    </row>
    <row r="682" customFormat="false" ht="15" hidden="false" customHeight="true" outlineLevel="0" collapsed="false">
      <c r="A682" s="12"/>
      <c r="B682" s="10"/>
      <c r="C682" s="15" t="str">
        <f aca="false">IF($B682="","",IFERROR(INDEX(회원명부!$B$3:$B$502,MATCH($B682,회원명부!$A$3:$A$502,0)),"미등록회원"))</f>
        <v/>
      </c>
      <c r="D682" s="10"/>
      <c r="E682" s="16" t="str">
        <f aca="false">IF($D682="","",IF($J682="환불",0,IFERROR(INDEX(상품목록!$B$3:$B$102,MATCH($D682,상품목록!$A$3:$A$102,0)),0)))</f>
        <v/>
      </c>
      <c r="F682" s="16" t="str">
        <f aca="false">IF($D682="","",IFERROR(INDEX(상품목록!$C$3:$C$102,MATCH($D682,상품목록!$A$3:$A$102,0)),0))</f>
        <v/>
      </c>
      <c r="G682" s="17" t="str">
        <f aca="false">IF(OR($A682="",$F682=""),"",$A682+$F682)</f>
        <v/>
      </c>
      <c r="H682" s="16" t="str">
        <f aca="false">IF($D682="","",IF($J682="환불",0,IFERROR(INDEX(상품목록!$D$3:$D$102,MATCH($D682,상품목록!$A$3:$A$102,0)),0)))</f>
        <v/>
      </c>
      <c r="I682" s="10"/>
      <c r="J682" s="10"/>
      <c r="K682" s="10"/>
    </row>
    <row r="683" customFormat="false" ht="15" hidden="false" customHeight="true" outlineLevel="0" collapsed="false">
      <c r="A683" s="12"/>
      <c r="B683" s="10"/>
      <c r="C683" s="15" t="str">
        <f aca="false">IF($B683="","",IFERROR(INDEX(회원명부!$B$3:$B$502,MATCH($B683,회원명부!$A$3:$A$502,0)),"미등록회원"))</f>
        <v/>
      </c>
      <c r="D683" s="10"/>
      <c r="E683" s="16" t="str">
        <f aca="false">IF($D683="","",IF($J683="환불",0,IFERROR(INDEX(상품목록!$B$3:$B$102,MATCH($D683,상품목록!$A$3:$A$102,0)),0)))</f>
        <v/>
      </c>
      <c r="F683" s="16" t="str">
        <f aca="false">IF($D683="","",IFERROR(INDEX(상품목록!$C$3:$C$102,MATCH($D683,상품목록!$A$3:$A$102,0)),0))</f>
        <v/>
      </c>
      <c r="G683" s="17" t="str">
        <f aca="false">IF(OR($A683="",$F683=""),"",$A683+$F683)</f>
        <v/>
      </c>
      <c r="H683" s="16" t="str">
        <f aca="false">IF($D683="","",IF($J683="환불",0,IFERROR(INDEX(상품목록!$D$3:$D$102,MATCH($D683,상품목록!$A$3:$A$102,0)),0)))</f>
        <v/>
      </c>
      <c r="I683" s="10"/>
      <c r="J683" s="10"/>
      <c r="K683" s="10"/>
    </row>
    <row r="684" customFormat="false" ht="15" hidden="false" customHeight="true" outlineLevel="0" collapsed="false">
      <c r="A684" s="12"/>
      <c r="B684" s="10"/>
      <c r="C684" s="15" t="str">
        <f aca="false">IF($B684="","",IFERROR(INDEX(회원명부!$B$3:$B$502,MATCH($B684,회원명부!$A$3:$A$502,0)),"미등록회원"))</f>
        <v/>
      </c>
      <c r="D684" s="10"/>
      <c r="E684" s="16" t="str">
        <f aca="false">IF($D684="","",IF($J684="환불",0,IFERROR(INDEX(상품목록!$B$3:$B$102,MATCH($D684,상품목록!$A$3:$A$102,0)),0)))</f>
        <v/>
      </c>
      <c r="F684" s="16" t="str">
        <f aca="false">IF($D684="","",IFERROR(INDEX(상품목록!$C$3:$C$102,MATCH($D684,상품목록!$A$3:$A$102,0)),0))</f>
        <v/>
      </c>
      <c r="G684" s="17" t="str">
        <f aca="false">IF(OR($A684="",$F684=""),"",$A684+$F684)</f>
        <v/>
      </c>
      <c r="H684" s="16" t="str">
        <f aca="false">IF($D684="","",IF($J684="환불",0,IFERROR(INDEX(상품목록!$D$3:$D$102,MATCH($D684,상품목록!$A$3:$A$102,0)),0)))</f>
        <v/>
      </c>
      <c r="I684" s="10"/>
      <c r="J684" s="10"/>
      <c r="K684" s="10"/>
    </row>
    <row r="685" customFormat="false" ht="15" hidden="false" customHeight="true" outlineLevel="0" collapsed="false">
      <c r="A685" s="12"/>
      <c r="B685" s="10"/>
      <c r="C685" s="15" t="str">
        <f aca="false">IF($B685="","",IFERROR(INDEX(회원명부!$B$3:$B$502,MATCH($B685,회원명부!$A$3:$A$502,0)),"미등록회원"))</f>
        <v/>
      </c>
      <c r="D685" s="10"/>
      <c r="E685" s="16" t="str">
        <f aca="false">IF($D685="","",IF($J685="환불",0,IFERROR(INDEX(상품목록!$B$3:$B$102,MATCH($D685,상품목록!$A$3:$A$102,0)),0)))</f>
        <v/>
      </c>
      <c r="F685" s="16" t="str">
        <f aca="false">IF($D685="","",IFERROR(INDEX(상품목록!$C$3:$C$102,MATCH($D685,상품목록!$A$3:$A$102,0)),0))</f>
        <v/>
      </c>
      <c r="G685" s="17" t="str">
        <f aca="false">IF(OR($A685="",$F685=""),"",$A685+$F685)</f>
        <v/>
      </c>
      <c r="H685" s="16" t="str">
        <f aca="false">IF($D685="","",IF($J685="환불",0,IFERROR(INDEX(상품목록!$D$3:$D$102,MATCH($D685,상품목록!$A$3:$A$102,0)),0)))</f>
        <v/>
      </c>
      <c r="I685" s="10"/>
      <c r="J685" s="10"/>
      <c r="K685" s="10"/>
    </row>
    <row r="686" customFormat="false" ht="15" hidden="false" customHeight="true" outlineLevel="0" collapsed="false">
      <c r="A686" s="12"/>
      <c r="B686" s="10"/>
      <c r="C686" s="15" t="str">
        <f aca="false">IF($B686="","",IFERROR(INDEX(회원명부!$B$3:$B$502,MATCH($B686,회원명부!$A$3:$A$502,0)),"미등록회원"))</f>
        <v/>
      </c>
      <c r="D686" s="10"/>
      <c r="E686" s="16" t="str">
        <f aca="false">IF($D686="","",IF($J686="환불",0,IFERROR(INDEX(상품목록!$B$3:$B$102,MATCH($D686,상품목록!$A$3:$A$102,0)),0)))</f>
        <v/>
      </c>
      <c r="F686" s="16" t="str">
        <f aca="false">IF($D686="","",IFERROR(INDEX(상품목록!$C$3:$C$102,MATCH($D686,상품목록!$A$3:$A$102,0)),0))</f>
        <v/>
      </c>
      <c r="G686" s="17" t="str">
        <f aca="false">IF(OR($A686="",$F686=""),"",$A686+$F686)</f>
        <v/>
      </c>
      <c r="H686" s="16" t="str">
        <f aca="false">IF($D686="","",IF($J686="환불",0,IFERROR(INDEX(상품목록!$D$3:$D$102,MATCH($D686,상품목록!$A$3:$A$102,0)),0)))</f>
        <v/>
      </c>
      <c r="I686" s="10"/>
      <c r="J686" s="10"/>
      <c r="K686" s="10"/>
    </row>
    <row r="687" customFormat="false" ht="15" hidden="false" customHeight="true" outlineLevel="0" collapsed="false">
      <c r="A687" s="12"/>
      <c r="B687" s="10"/>
      <c r="C687" s="15" t="str">
        <f aca="false">IF($B687="","",IFERROR(INDEX(회원명부!$B$3:$B$502,MATCH($B687,회원명부!$A$3:$A$502,0)),"미등록회원"))</f>
        <v/>
      </c>
      <c r="D687" s="10"/>
      <c r="E687" s="16" t="str">
        <f aca="false">IF($D687="","",IF($J687="환불",0,IFERROR(INDEX(상품목록!$B$3:$B$102,MATCH($D687,상품목록!$A$3:$A$102,0)),0)))</f>
        <v/>
      </c>
      <c r="F687" s="16" t="str">
        <f aca="false">IF($D687="","",IFERROR(INDEX(상품목록!$C$3:$C$102,MATCH($D687,상품목록!$A$3:$A$102,0)),0))</f>
        <v/>
      </c>
      <c r="G687" s="17" t="str">
        <f aca="false">IF(OR($A687="",$F687=""),"",$A687+$F687)</f>
        <v/>
      </c>
      <c r="H687" s="16" t="str">
        <f aca="false">IF($D687="","",IF($J687="환불",0,IFERROR(INDEX(상품목록!$D$3:$D$102,MATCH($D687,상품목록!$A$3:$A$102,0)),0)))</f>
        <v/>
      </c>
      <c r="I687" s="10"/>
      <c r="J687" s="10"/>
      <c r="K687" s="10"/>
    </row>
    <row r="688" customFormat="false" ht="15" hidden="false" customHeight="true" outlineLevel="0" collapsed="false">
      <c r="A688" s="12"/>
      <c r="B688" s="10"/>
      <c r="C688" s="15" t="str">
        <f aca="false">IF($B688="","",IFERROR(INDEX(회원명부!$B$3:$B$502,MATCH($B688,회원명부!$A$3:$A$502,0)),"미등록회원"))</f>
        <v/>
      </c>
      <c r="D688" s="10"/>
      <c r="E688" s="16" t="str">
        <f aca="false">IF($D688="","",IF($J688="환불",0,IFERROR(INDEX(상품목록!$B$3:$B$102,MATCH($D688,상품목록!$A$3:$A$102,0)),0)))</f>
        <v/>
      </c>
      <c r="F688" s="16" t="str">
        <f aca="false">IF($D688="","",IFERROR(INDEX(상품목록!$C$3:$C$102,MATCH($D688,상품목록!$A$3:$A$102,0)),0))</f>
        <v/>
      </c>
      <c r="G688" s="17" t="str">
        <f aca="false">IF(OR($A688="",$F688=""),"",$A688+$F688)</f>
        <v/>
      </c>
      <c r="H688" s="16" t="str">
        <f aca="false">IF($D688="","",IF($J688="환불",0,IFERROR(INDEX(상품목록!$D$3:$D$102,MATCH($D688,상품목록!$A$3:$A$102,0)),0)))</f>
        <v/>
      </c>
      <c r="I688" s="10"/>
      <c r="J688" s="10"/>
      <c r="K688" s="10"/>
    </row>
    <row r="689" customFormat="false" ht="15" hidden="false" customHeight="true" outlineLevel="0" collapsed="false">
      <c r="A689" s="12"/>
      <c r="B689" s="10"/>
      <c r="C689" s="15" t="str">
        <f aca="false">IF($B689="","",IFERROR(INDEX(회원명부!$B$3:$B$502,MATCH($B689,회원명부!$A$3:$A$502,0)),"미등록회원"))</f>
        <v/>
      </c>
      <c r="D689" s="10"/>
      <c r="E689" s="16" t="str">
        <f aca="false">IF($D689="","",IF($J689="환불",0,IFERROR(INDEX(상품목록!$B$3:$B$102,MATCH($D689,상품목록!$A$3:$A$102,0)),0)))</f>
        <v/>
      </c>
      <c r="F689" s="16" t="str">
        <f aca="false">IF($D689="","",IFERROR(INDEX(상품목록!$C$3:$C$102,MATCH($D689,상품목록!$A$3:$A$102,0)),0))</f>
        <v/>
      </c>
      <c r="G689" s="17" t="str">
        <f aca="false">IF(OR($A689="",$F689=""),"",$A689+$F689)</f>
        <v/>
      </c>
      <c r="H689" s="16" t="str">
        <f aca="false">IF($D689="","",IF($J689="환불",0,IFERROR(INDEX(상품목록!$D$3:$D$102,MATCH($D689,상품목록!$A$3:$A$102,0)),0)))</f>
        <v/>
      </c>
      <c r="I689" s="10"/>
      <c r="J689" s="10"/>
      <c r="K689" s="10"/>
    </row>
    <row r="690" customFormat="false" ht="15" hidden="false" customHeight="true" outlineLevel="0" collapsed="false">
      <c r="A690" s="12"/>
      <c r="B690" s="10"/>
      <c r="C690" s="15" t="str">
        <f aca="false">IF($B690="","",IFERROR(INDEX(회원명부!$B$3:$B$502,MATCH($B690,회원명부!$A$3:$A$502,0)),"미등록회원"))</f>
        <v/>
      </c>
      <c r="D690" s="10"/>
      <c r="E690" s="16" t="str">
        <f aca="false">IF($D690="","",IF($J690="환불",0,IFERROR(INDEX(상품목록!$B$3:$B$102,MATCH($D690,상품목록!$A$3:$A$102,0)),0)))</f>
        <v/>
      </c>
      <c r="F690" s="16" t="str">
        <f aca="false">IF($D690="","",IFERROR(INDEX(상품목록!$C$3:$C$102,MATCH($D690,상품목록!$A$3:$A$102,0)),0))</f>
        <v/>
      </c>
      <c r="G690" s="17" t="str">
        <f aca="false">IF(OR($A690="",$F690=""),"",$A690+$F690)</f>
        <v/>
      </c>
      <c r="H690" s="16" t="str">
        <f aca="false">IF($D690="","",IF($J690="환불",0,IFERROR(INDEX(상품목록!$D$3:$D$102,MATCH($D690,상품목록!$A$3:$A$102,0)),0)))</f>
        <v/>
      </c>
      <c r="I690" s="10"/>
      <c r="J690" s="10"/>
      <c r="K690" s="10"/>
    </row>
    <row r="691" customFormat="false" ht="15" hidden="false" customHeight="true" outlineLevel="0" collapsed="false">
      <c r="A691" s="12"/>
      <c r="B691" s="10"/>
      <c r="C691" s="15" t="str">
        <f aca="false">IF($B691="","",IFERROR(INDEX(회원명부!$B$3:$B$502,MATCH($B691,회원명부!$A$3:$A$502,0)),"미등록회원"))</f>
        <v/>
      </c>
      <c r="D691" s="10"/>
      <c r="E691" s="16" t="str">
        <f aca="false">IF($D691="","",IF($J691="환불",0,IFERROR(INDEX(상품목록!$B$3:$B$102,MATCH($D691,상품목록!$A$3:$A$102,0)),0)))</f>
        <v/>
      </c>
      <c r="F691" s="16" t="str">
        <f aca="false">IF($D691="","",IFERROR(INDEX(상품목록!$C$3:$C$102,MATCH($D691,상품목록!$A$3:$A$102,0)),0))</f>
        <v/>
      </c>
      <c r="G691" s="17" t="str">
        <f aca="false">IF(OR($A691="",$F691=""),"",$A691+$F691)</f>
        <v/>
      </c>
      <c r="H691" s="16" t="str">
        <f aca="false">IF($D691="","",IF($J691="환불",0,IFERROR(INDEX(상품목록!$D$3:$D$102,MATCH($D691,상품목록!$A$3:$A$102,0)),0)))</f>
        <v/>
      </c>
      <c r="I691" s="10"/>
      <c r="J691" s="10"/>
      <c r="K691" s="10"/>
    </row>
    <row r="692" customFormat="false" ht="15" hidden="false" customHeight="true" outlineLevel="0" collapsed="false">
      <c r="A692" s="12"/>
      <c r="B692" s="10"/>
      <c r="C692" s="15" t="str">
        <f aca="false">IF($B692="","",IFERROR(INDEX(회원명부!$B$3:$B$502,MATCH($B692,회원명부!$A$3:$A$502,0)),"미등록회원"))</f>
        <v/>
      </c>
      <c r="D692" s="10"/>
      <c r="E692" s="16" t="str">
        <f aca="false">IF($D692="","",IF($J692="환불",0,IFERROR(INDEX(상품목록!$B$3:$B$102,MATCH($D692,상품목록!$A$3:$A$102,0)),0)))</f>
        <v/>
      </c>
      <c r="F692" s="16" t="str">
        <f aca="false">IF($D692="","",IFERROR(INDEX(상품목록!$C$3:$C$102,MATCH($D692,상품목록!$A$3:$A$102,0)),0))</f>
        <v/>
      </c>
      <c r="G692" s="17" t="str">
        <f aca="false">IF(OR($A692="",$F692=""),"",$A692+$F692)</f>
        <v/>
      </c>
      <c r="H692" s="16" t="str">
        <f aca="false">IF($D692="","",IF($J692="환불",0,IFERROR(INDEX(상품목록!$D$3:$D$102,MATCH($D692,상품목록!$A$3:$A$102,0)),0)))</f>
        <v/>
      </c>
      <c r="I692" s="10"/>
      <c r="J692" s="10"/>
      <c r="K692" s="10"/>
    </row>
    <row r="693" customFormat="false" ht="15" hidden="false" customHeight="true" outlineLevel="0" collapsed="false">
      <c r="A693" s="12"/>
      <c r="B693" s="10"/>
      <c r="C693" s="15" t="str">
        <f aca="false">IF($B693="","",IFERROR(INDEX(회원명부!$B$3:$B$502,MATCH($B693,회원명부!$A$3:$A$502,0)),"미등록회원"))</f>
        <v/>
      </c>
      <c r="D693" s="10"/>
      <c r="E693" s="16" t="str">
        <f aca="false">IF($D693="","",IF($J693="환불",0,IFERROR(INDEX(상품목록!$B$3:$B$102,MATCH($D693,상품목록!$A$3:$A$102,0)),0)))</f>
        <v/>
      </c>
      <c r="F693" s="16" t="str">
        <f aca="false">IF($D693="","",IFERROR(INDEX(상품목록!$C$3:$C$102,MATCH($D693,상품목록!$A$3:$A$102,0)),0))</f>
        <v/>
      </c>
      <c r="G693" s="17" t="str">
        <f aca="false">IF(OR($A693="",$F693=""),"",$A693+$F693)</f>
        <v/>
      </c>
      <c r="H693" s="16" t="str">
        <f aca="false">IF($D693="","",IF($J693="환불",0,IFERROR(INDEX(상품목록!$D$3:$D$102,MATCH($D693,상품목록!$A$3:$A$102,0)),0)))</f>
        <v/>
      </c>
      <c r="I693" s="10"/>
      <c r="J693" s="10"/>
      <c r="K693" s="10"/>
    </row>
    <row r="694" customFormat="false" ht="15" hidden="false" customHeight="true" outlineLevel="0" collapsed="false">
      <c r="A694" s="12"/>
      <c r="B694" s="10"/>
      <c r="C694" s="15" t="str">
        <f aca="false">IF($B694="","",IFERROR(INDEX(회원명부!$B$3:$B$502,MATCH($B694,회원명부!$A$3:$A$502,0)),"미등록회원"))</f>
        <v/>
      </c>
      <c r="D694" s="10"/>
      <c r="E694" s="16" t="str">
        <f aca="false">IF($D694="","",IF($J694="환불",0,IFERROR(INDEX(상품목록!$B$3:$B$102,MATCH($D694,상품목록!$A$3:$A$102,0)),0)))</f>
        <v/>
      </c>
      <c r="F694" s="16" t="str">
        <f aca="false">IF($D694="","",IFERROR(INDEX(상품목록!$C$3:$C$102,MATCH($D694,상품목록!$A$3:$A$102,0)),0))</f>
        <v/>
      </c>
      <c r="G694" s="17" t="str">
        <f aca="false">IF(OR($A694="",$F694=""),"",$A694+$F694)</f>
        <v/>
      </c>
      <c r="H694" s="16" t="str">
        <f aca="false">IF($D694="","",IF($J694="환불",0,IFERROR(INDEX(상품목록!$D$3:$D$102,MATCH($D694,상품목록!$A$3:$A$102,0)),0)))</f>
        <v/>
      </c>
      <c r="I694" s="10"/>
      <c r="J694" s="10"/>
      <c r="K694" s="10"/>
    </row>
    <row r="695" customFormat="false" ht="15" hidden="false" customHeight="true" outlineLevel="0" collapsed="false">
      <c r="A695" s="12"/>
      <c r="B695" s="10"/>
      <c r="C695" s="15" t="str">
        <f aca="false">IF($B695="","",IFERROR(INDEX(회원명부!$B$3:$B$502,MATCH($B695,회원명부!$A$3:$A$502,0)),"미등록회원"))</f>
        <v/>
      </c>
      <c r="D695" s="10"/>
      <c r="E695" s="16" t="str">
        <f aca="false">IF($D695="","",IF($J695="환불",0,IFERROR(INDEX(상품목록!$B$3:$B$102,MATCH($D695,상품목록!$A$3:$A$102,0)),0)))</f>
        <v/>
      </c>
      <c r="F695" s="16" t="str">
        <f aca="false">IF($D695="","",IFERROR(INDEX(상품목록!$C$3:$C$102,MATCH($D695,상품목록!$A$3:$A$102,0)),0))</f>
        <v/>
      </c>
      <c r="G695" s="17" t="str">
        <f aca="false">IF(OR($A695="",$F695=""),"",$A695+$F695)</f>
        <v/>
      </c>
      <c r="H695" s="16" t="str">
        <f aca="false">IF($D695="","",IF($J695="환불",0,IFERROR(INDEX(상품목록!$D$3:$D$102,MATCH($D695,상품목록!$A$3:$A$102,0)),0)))</f>
        <v/>
      </c>
      <c r="I695" s="10"/>
      <c r="J695" s="10"/>
      <c r="K695" s="10"/>
    </row>
    <row r="696" customFormat="false" ht="15" hidden="false" customHeight="true" outlineLevel="0" collapsed="false">
      <c r="A696" s="12"/>
      <c r="B696" s="10"/>
      <c r="C696" s="15" t="str">
        <f aca="false">IF($B696="","",IFERROR(INDEX(회원명부!$B$3:$B$502,MATCH($B696,회원명부!$A$3:$A$502,0)),"미등록회원"))</f>
        <v/>
      </c>
      <c r="D696" s="10"/>
      <c r="E696" s="16" t="str">
        <f aca="false">IF($D696="","",IF($J696="환불",0,IFERROR(INDEX(상품목록!$B$3:$B$102,MATCH($D696,상품목록!$A$3:$A$102,0)),0)))</f>
        <v/>
      </c>
      <c r="F696" s="16" t="str">
        <f aca="false">IF($D696="","",IFERROR(INDEX(상품목록!$C$3:$C$102,MATCH($D696,상품목록!$A$3:$A$102,0)),0))</f>
        <v/>
      </c>
      <c r="G696" s="17" t="str">
        <f aca="false">IF(OR($A696="",$F696=""),"",$A696+$F696)</f>
        <v/>
      </c>
      <c r="H696" s="16" t="str">
        <f aca="false">IF($D696="","",IF($J696="환불",0,IFERROR(INDEX(상품목록!$D$3:$D$102,MATCH($D696,상품목록!$A$3:$A$102,0)),0)))</f>
        <v/>
      </c>
      <c r="I696" s="10"/>
      <c r="J696" s="10"/>
      <c r="K696" s="10"/>
    </row>
    <row r="697" customFormat="false" ht="15" hidden="false" customHeight="true" outlineLevel="0" collapsed="false">
      <c r="A697" s="12"/>
      <c r="B697" s="10"/>
      <c r="C697" s="15" t="str">
        <f aca="false">IF($B697="","",IFERROR(INDEX(회원명부!$B$3:$B$502,MATCH($B697,회원명부!$A$3:$A$502,0)),"미등록회원"))</f>
        <v/>
      </c>
      <c r="D697" s="10"/>
      <c r="E697" s="16" t="str">
        <f aca="false">IF($D697="","",IF($J697="환불",0,IFERROR(INDEX(상품목록!$B$3:$B$102,MATCH($D697,상품목록!$A$3:$A$102,0)),0)))</f>
        <v/>
      </c>
      <c r="F697" s="16" t="str">
        <f aca="false">IF($D697="","",IFERROR(INDEX(상품목록!$C$3:$C$102,MATCH($D697,상품목록!$A$3:$A$102,0)),0))</f>
        <v/>
      </c>
      <c r="G697" s="17" t="str">
        <f aca="false">IF(OR($A697="",$F697=""),"",$A697+$F697)</f>
        <v/>
      </c>
      <c r="H697" s="16" t="str">
        <f aca="false">IF($D697="","",IF($J697="환불",0,IFERROR(INDEX(상품목록!$D$3:$D$102,MATCH($D697,상품목록!$A$3:$A$102,0)),0)))</f>
        <v/>
      </c>
      <c r="I697" s="10"/>
      <c r="J697" s="10"/>
      <c r="K697" s="10"/>
    </row>
    <row r="698" customFormat="false" ht="15" hidden="false" customHeight="true" outlineLevel="0" collapsed="false">
      <c r="A698" s="12"/>
      <c r="B698" s="10"/>
      <c r="C698" s="15" t="str">
        <f aca="false">IF($B698="","",IFERROR(INDEX(회원명부!$B$3:$B$502,MATCH($B698,회원명부!$A$3:$A$502,0)),"미등록회원"))</f>
        <v/>
      </c>
      <c r="D698" s="10"/>
      <c r="E698" s="16" t="str">
        <f aca="false">IF($D698="","",IF($J698="환불",0,IFERROR(INDEX(상품목록!$B$3:$B$102,MATCH($D698,상품목록!$A$3:$A$102,0)),0)))</f>
        <v/>
      </c>
      <c r="F698" s="16" t="str">
        <f aca="false">IF($D698="","",IFERROR(INDEX(상품목록!$C$3:$C$102,MATCH($D698,상품목록!$A$3:$A$102,0)),0))</f>
        <v/>
      </c>
      <c r="G698" s="17" t="str">
        <f aca="false">IF(OR($A698="",$F698=""),"",$A698+$F698)</f>
        <v/>
      </c>
      <c r="H698" s="16" t="str">
        <f aca="false">IF($D698="","",IF($J698="환불",0,IFERROR(INDEX(상품목록!$D$3:$D$102,MATCH($D698,상품목록!$A$3:$A$102,0)),0)))</f>
        <v/>
      </c>
      <c r="I698" s="10"/>
      <c r="J698" s="10"/>
      <c r="K698" s="10"/>
    </row>
    <row r="699" customFormat="false" ht="15" hidden="false" customHeight="true" outlineLevel="0" collapsed="false">
      <c r="A699" s="12"/>
      <c r="B699" s="10"/>
      <c r="C699" s="15" t="str">
        <f aca="false">IF($B699="","",IFERROR(INDEX(회원명부!$B$3:$B$502,MATCH($B699,회원명부!$A$3:$A$502,0)),"미등록회원"))</f>
        <v/>
      </c>
      <c r="D699" s="10"/>
      <c r="E699" s="16" t="str">
        <f aca="false">IF($D699="","",IF($J699="환불",0,IFERROR(INDEX(상품목록!$B$3:$B$102,MATCH($D699,상품목록!$A$3:$A$102,0)),0)))</f>
        <v/>
      </c>
      <c r="F699" s="16" t="str">
        <f aca="false">IF($D699="","",IFERROR(INDEX(상품목록!$C$3:$C$102,MATCH($D699,상품목록!$A$3:$A$102,0)),0))</f>
        <v/>
      </c>
      <c r="G699" s="17" t="str">
        <f aca="false">IF(OR($A699="",$F699=""),"",$A699+$F699)</f>
        <v/>
      </c>
      <c r="H699" s="16" t="str">
        <f aca="false">IF($D699="","",IF($J699="환불",0,IFERROR(INDEX(상품목록!$D$3:$D$102,MATCH($D699,상품목록!$A$3:$A$102,0)),0)))</f>
        <v/>
      </c>
      <c r="I699" s="10"/>
      <c r="J699" s="10"/>
      <c r="K699" s="10"/>
    </row>
    <row r="700" customFormat="false" ht="15" hidden="false" customHeight="true" outlineLevel="0" collapsed="false">
      <c r="A700" s="12"/>
      <c r="B700" s="10"/>
      <c r="C700" s="15" t="str">
        <f aca="false">IF($B700="","",IFERROR(INDEX(회원명부!$B$3:$B$502,MATCH($B700,회원명부!$A$3:$A$502,0)),"미등록회원"))</f>
        <v/>
      </c>
      <c r="D700" s="10"/>
      <c r="E700" s="16" t="str">
        <f aca="false">IF($D700="","",IF($J700="환불",0,IFERROR(INDEX(상품목록!$B$3:$B$102,MATCH($D700,상품목록!$A$3:$A$102,0)),0)))</f>
        <v/>
      </c>
      <c r="F700" s="16" t="str">
        <f aca="false">IF($D700="","",IFERROR(INDEX(상품목록!$C$3:$C$102,MATCH($D700,상품목록!$A$3:$A$102,0)),0))</f>
        <v/>
      </c>
      <c r="G700" s="17" t="str">
        <f aca="false">IF(OR($A700="",$F700=""),"",$A700+$F700)</f>
        <v/>
      </c>
      <c r="H700" s="16" t="str">
        <f aca="false">IF($D700="","",IF($J700="환불",0,IFERROR(INDEX(상품목록!$D$3:$D$102,MATCH($D700,상품목록!$A$3:$A$102,0)),0)))</f>
        <v/>
      </c>
      <c r="I700" s="10"/>
      <c r="J700" s="10"/>
      <c r="K700" s="10"/>
    </row>
    <row r="701" customFormat="false" ht="15" hidden="false" customHeight="true" outlineLevel="0" collapsed="false">
      <c r="A701" s="12"/>
      <c r="B701" s="10"/>
      <c r="C701" s="15" t="str">
        <f aca="false">IF($B701="","",IFERROR(INDEX(회원명부!$B$3:$B$502,MATCH($B701,회원명부!$A$3:$A$502,0)),"미등록회원"))</f>
        <v/>
      </c>
      <c r="D701" s="10"/>
      <c r="E701" s="16" t="str">
        <f aca="false">IF($D701="","",IF($J701="환불",0,IFERROR(INDEX(상품목록!$B$3:$B$102,MATCH($D701,상품목록!$A$3:$A$102,0)),0)))</f>
        <v/>
      </c>
      <c r="F701" s="16" t="str">
        <f aca="false">IF($D701="","",IFERROR(INDEX(상품목록!$C$3:$C$102,MATCH($D701,상품목록!$A$3:$A$102,0)),0))</f>
        <v/>
      </c>
      <c r="G701" s="17" t="str">
        <f aca="false">IF(OR($A701="",$F701=""),"",$A701+$F701)</f>
        <v/>
      </c>
      <c r="H701" s="16" t="str">
        <f aca="false">IF($D701="","",IF($J701="환불",0,IFERROR(INDEX(상품목록!$D$3:$D$102,MATCH($D701,상품목록!$A$3:$A$102,0)),0)))</f>
        <v/>
      </c>
      <c r="I701" s="10"/>
      <c r="J701" s="10"/>
      <c r="K701" s="10"/>
    </row>
    <row r="702" customFormat="false" ht="15" hidden="false" customHeight="true" outlineLevel="0" collapsed="false">
      <c r="A702" s="12"/>
      <c r="B702" s="10"/>
      <c r="C702" s="15" t="str">
        <f aca="false">IF($B702="","",IFERROR(INDEX(회원명부!$B$3:$B$502,MATCH($B702,회원명부!$A$3:$A$502,0)),"미등록회원"))</f>
        <v/>
      </c>
      <c r="D702" s="10"/>
      <c r="E702" s="16" t="str">
        <f aca="false">IF($D702="","",IF($J702="환불",0,IFERROR(INDEX(상품목록!$B$3:$B$102,MATCH($D702,상품목록!$A$3:$A$102,0)),0)))</f>
        <v/>
      </c>
      <c r="F702" s="16" t="str">
        <f aca="false">IF($D702="","",IFERROR(INDEX(상품목록!$C$3:$C$102,MATCH($D702,상품목록!$A$3:$A$102,0)),0))</f>
        <v/>
      </c>
      <c r="G702" s="17" t="str">
        <f aca="false">IF(OR($A702="",$F702=""),"",$A702+$F702)</f>
        <v/>
      </c>
      <c r="H702" s="16" t="str">
        <f aca="false">IF($D702="","",IF($J702="환불",0,IFERROR(INDEX(상품목록!$D$3:$D$102,MATCH($D702,상품목록!$A$3:$A$102,0)),0)))</f>
        <v/>
      </c>
      <c r="I702" s="10"/>
      <c r="J702" s="10"/>
      <c r="K702" s="10"/>
    </row>
    <row r="703" customFormat="false" ht="15" hidden="false" customHeight="true" outlineLevel="0" collapsed="false">
      <c r="A703" s="12"/>
      <c r="B703" s="10"/>
      <c r="C703" s="15" t="str">
        <f aca="false">IF($B703="","",IFERROR(INDEX(회원명부!$B$3:$B$502,MATCH($B703,회원명부!$A$3:$A$502,0)),"미등록회원"))</f>
        <v/>
      </c>
      <c r="D703" s="10"/>
      <c r="E703" s="16" t="str">
        <f aca="false">IF($D703="","",IF($J703="환불",0,IFERROR(INDEX(상품목록!$B$3:$B$102,MATCH($D703,상품목록!$A$3:$A$102,0)),0)))</f>
        <v/>
      </c>
      <c r="F703" s="16" t="str">
        <f aca="false">IF($D703="","",IFERROR(INDEX(상품목록!$C$3:$C$102,MATCH($D703,상품목록!$A$3:$A$102,0)),0))</f>
        <v/>
      </c>
      <c r="G703" s="17" t="str">
        <f aca="false">IF(OR($A703="",$F703=""),"",$A703+$F703)</f>
        <v/>
      </c>
      <c r="H703" s="16" t="str">
        <f aca="false">IF($D703="","",IF($J703="환불",0,IFERROR(INDEX(상품목록!$D$3:$D$102,MATCH($D703,상품목록!$A$3:$A$102,0)),0)))</f>
        <v/>
      </c>
      <c r="I703" s="10"/>
      <c r="J703" s="10"/>
      <c r="K703" s="10"/>
    </row>
    <row r="704" customFormat="false" ht="15" hidden="false" customHeight="true" outlineLevel="0" collapsed="false">
      <c r="A704" s="12"/>
      <c r="B704" s="10"/>
      <c r="C704" s="15" t="str">
        <f aca="false">IF($B704="","",IFERROR(INDEX(회원명부!$B$3:$B$502,MATCH($B704,회원명부!$A$3:$A$502,0)),"미등록회원"))</f>
        <v/>
      </c>
      <c r="D704" s="10"/>
      <c r="E704" s="16" t="str">
        <f aca="false">IF($D704="","",IF($J704="환불",0,IFERROR(INDEX(상품목록!$B$3:$B$102,MATCH($D704,상품목록!$A$3:$A$102,0)),0)))</f>
        <v/>
      </c>
      <c r="F704" s="16" t="str">
        <f aca="false">IF($D704="","",IFERROR(INDEX(상품목록!$C$3:$C$102,MATCH($D704,상품목록!$A$3:$A$102,0)),0))</f>
        <v/>
      </c>
      <c r="G704" s="17" t="str">
        <f aca="false">IF(OR($A704="",$F704=""),"",$A704+$F704)</f>
        <v/>
      </c>
      <c r="H704" s="16" t="str">
        <f aca="false">IF($D704="","",IF($J704="환불",0,IFERROR(INDEX(상품목록!$D$3:$D$102,MATCH($D704,상품목록!$A$3:$A$102,0)),0)))</f>
        <v/>
      </c>
      <c r="I704" s="10"/>
      <c r="J704" s="10"/>
      <c r="K704" s="10"/>
    </row>
    <row r="705" customFormat="false" ht="15" hidden="false" customHeight="true" outlineLevel="0" collapsed="false">
      <c r="A705" s="12"/>
      <c r="B705" s="10"/>
      <c r="C705" s="15" t="str">
        <f aca="false">IF($B705="","",IFERROR(INDEX(회원명부!$B$3:$B$502,MATCH($B705,회원명부!$A$3:$A$502,0)),"미등록회원"))</f>
        <v/>
      </c>
      <c r="D705" s="10"/>
      <c r="E705" s="16" t="str">
        <f aca="false">IF($D705="","",IF($J705="환불",0,IFERROR(INDEX(상품목록!$B$3:$B$102,MATCH($D705,상품목록!$A$3:$A$102,0)),0)))</f>
        <v/>
      </c>
      <c r="F705" s="16" t="str">
        <f aca="false">IF($D705="","",IFERROR(INDEX(상품목록!$C$3:$C$102,MATCH($D705,상품목록!$A$3:$A$102,0)),0))</f>
        <v/>
      </c>
      <c r="G705" s="17" t="str">
        <f aca="false">IF(OR($A705="",$F705=""),"",$A705+$F705)</f>
        <v/>
      </c>
      <c r="H705" s="16" t="str">
        <f aca="false">IF($D705="","",IF($J705="환불",0,IFERROR(INDEX(상품목록!$D$3:$D$102,MATCH($D705,상품목록!$A$3:$A$102,0)),0)))</f>
        <v/>
      </c>
      <c r="I705" s="10"/>
      <c r="J705" s="10"/>
      <c r="K705" s="10"/>
    </row>
    <row r="706" customFormat="false" ht="15" hidden="false" customHeight="true" outlineLevel="0" collapsed="false">
      <c r="A706" s="12"/>
      <c r="B706" s="10"/>
      <c r="C706" s="15" t="str">
        <f aca="false">IF($B706="","",IFERROR(INDEX(회원명부!$B$3:$B$502,MATCH($B706,회원명부!$A$3:$A$502,0)),"미등록회원"))</f>
        <v/>
      </c>
      <c r="D706" s="10"/>
      <c r="E706" s="16" t="str">
        <f aca="false">IF($D706="","",IF($J706="환불",0,IFERROR(INDEX(상품목록!$B$3:$B$102,MATCH($D706,상품목록!$A$3:$A$102,0)),0)))</f>
        <v/>
      </c>
      <c r="F706" s="16" t="str">
        <f aca="false">IF($D706="","",IFERROR(INDEX(상품목록!$C$3:$C$102,MATCH($D706,상품목록!$A$3:$A$102,0)),0))</f>
        <v/>
      </c>
      <c r="G706" s="17" t="str">
        <f aca="false">IF(OR($A706="",$F706=""),"",$A706+$F706)</f>
        <v/>
      </c>
      <c r="H706" s="16" t="str">
        <f aca="false">IF($D706="","",IF($J706="환불",0,IFERROR(INDEX(상품목록!$D$3:$D$102,MATCH($D706,상품목록!$A$3:$A$102,0)),0)))</f>
        <v/>
      </c>
      <c r="I706" s="10"/>
      <c r="J706" s="10"/>
      <c r="K706" s="10"/>
    </row>
    <row r="707" customFormat="false" ht="15" hidden="false" customHeight="true" outlineLevel="0" collapsed="false">
      <c r="A707" s="12"/>
      <c r="B707" s="10"/>
      <c r="C707" s="15" t="str">
        <f aca="false">IF($B707="","",IFERROR(INDEX(회원명부!$B$3:$B$502,MATCH($B707,회원명부!$A$3:$A$502,0)),"미등록회원"))</f>
        <v/>
      </c>
      <c r="D707" s="10"/>
      <c r="E707" s="16" t="str">
        <f aca="false">IF($D707="","",IF($J707="환불",0,IFERROR(INDEX(상품목록!$B$3:$B$102,MATCH($D707,상품목록!$A$3:$A$102,0)),0)))</f>
        <v/>
      </c>
      <c r="F707" s="16" t="str">
        <f aca="false">IF($D707="","",IFERROR(INDEX(상품목록!$C$3:$C$102,MATCH($D707,상품목록!$A$3:$A$102,0)),0))</f>
        <v/>
      </c>
      <c r="G707" s="17" t="str">
        <f aca="false">IF(OR($A707="",$F707=""),"",$A707+$F707)</f>
        <v/>
      </c>
      <c r="H707" s="16" t="str">
        <f aca="false">IF($D707="","",IF($J707="환불",0,IFERROR(INDEX(상품목록!$D$3:$D$102,MATCH($D707,상품목록!$A$3:$A$102,0)),0)))</f>
        <v/>
      </c>
      <c r="I707" s="10"/>
      <c r="J707" s="10"/>
      <c r="K707" s="10"/>
    </row>
    <row r="708" customFormat="false" ht="15" hidden="false" customHeight="true" outlineLevel="0" collapsed="false">
      <c r="A708" s="12"/>
      <c r="B708" s="10"/>
      <c r="C708" s="15" t="str">
        <f aca="false">IF($B708="","",IFERROR(INDEX(회원명부!$B$3:$B$502,MATCH($B708,회원명부!$A$3:$A$502,0)),"미등록회원"))</f>
        <v/>
      </c>
      <c r="D708" s="10"/>
      <c r="E708" s="16" t="str">
        <f aca="false">IF($D708="","",IF($J708="환불",0,IFERROR(INDEX(상품목록!$B$3:$B$102,MATCH($D708,상품목록!$A$3:$A$102,0)),0)))</f>
        <v/>
      </c>
      <c r="F708" s="16" t="str">
        <f aca="false">IF($D708="","",IFERROR(INDEX(상품목록!$C$3:$C$102,MATCH($D708,상품목록!$A$3:$A$102,0)),0))</f>
        <v/>
      </c>
      <c r="G708" s="17" t="str">
        <f aca="false">IF(OR($A708="",$F708=""),"",$A708+$F708)</f>
        <v/>
      </c>
      <c r="H708" s="16" t="str">
        <f aca="false">IF($D708="","",IF($J708="환불",0,IFERROR(INDEX(상품목록!$D$3:$D$102,MATCH($D708,상품목록!$A$3:$A$102,0)),0)))</f>
        <v/>
      </c>
      <c r="I708" s="10"/>
      <c r="J708" s="10"/>
      <c r="K708" s="10"/>
    </row>
    <row r="709" customFormat="false" ht="15" hidden="false" customHeight="true" outlineLevel="0" collapsed="false">
      <c r="A709" s="12"/>
      <c r="B709" s="10"/>
      <c r="C709" s="15" t="str">
        <f aca="false">IF($B709="","",IFERROR(INDEX(회원명부!$B$3:$B$502,MATCH($B709,회원명부!$A$3:$A$502,0)),"미등록회원"))</f>
        <v/>
      </c>
      <c r="D709" s="10"/>
      <c r="E709" s="16" t="str">
        <f aca="false">IF($D709="","",IF($J709="환불",0,IFERROR(INDEX(상품목록!$B$3:$B$102,MATCH($D709,상품목록!$A$3:$A$102,0)),0)))</f>
        <v/>
      </c>
      <c r="F709" s="16" t="str">
        <f aca="false">IF($D709="","",IFERROR(INDEX(상품목록!$C$3:$C$102,MATCH($D709,상품목록!$A$3:$A$102,0)),0))</f>
        <v/>
      </c>
      <c r="G709" s="17" t="str">
        <f aca="false">IF(OR($A709="",$F709=""),"",$A709+$F709)</f>
        <v/>
      </c>
      <c r="H709" s="16" t="str">
        <f aca="false">IF($D709="","",IF($J709="환불",0,IFERROR(INDEX(상품목록!$D$3:$D$102,MATCH($D709,상품목록!$A$3:$A$102,0)),0)))</f>
        <v/>
      </c>
      <c r="I709" s="10"/>
      <c r="J709" s="10"/>
      <c r="K709" s="10"/>
    </row>
    <row r="710" customFormat="false" ht="15" hidden="false" customHeight="true" outlineLevel="0" collapsed="false">
      <c r="A710" s="12"/>
      <c r="B710" s="10"/>
      <c r="C710" s="15" t="str">
        <f aca="false">IF($B710="","",IFERROR(INDEX(회원명부!$B$3:$B$502,MATCH($B710,회원명부!$A$3:$A$502,0)),"미등록회원"))</f>
        <v/>
      </c>
      <c r="D710" s="10"/>
      <c r="E710" s="16" t="str">
        <f aca="false">IF($D710="","",IF($J710="환불",0,IFERROR(INDEX(상품목록!$B$3:$B$102,MATCH($D710,상품목록!$A$3:$A$102,0)),0)))</f>
        <v/>
      </c>
      <c r="F710" s="16" t="str">
        <f aca="false">IF($D710="","",IFERROR(INDEX(상품목록!$C$3:$C$102,MATCH($D710,상품목록!$A$3:$A$102,0)),0))</f>
        <v/>
      </c>
      <c r="G710" s="17" t="str">
        <f aca="false">IF(OR($A710="",$F710=""),"",$A710+$F710)</f>
        <v/>
      </c>
      <c r="H710" s="16" t="str">
        <f aca="false">IF($D710="","",IF($J710="환불",0,IFERROR(INDEX(상품목록!$D$3:$D$102,MATCH($D710,상품목록!$A$3:$A$102,0)),0)))</f>
        <v/>
      </c>
      <c r="I710" s="10"/>
      <c r="J710" s="10"/>
      <c r="K710" s="10"/>
    </row>
    <row r="711" customFormat="false" ht="15" hidden="false" customHeight="true" outlineLevel="0" collapsed="false">
      <c r="A711" s="12"/>
      <c r="B711" s="10"/>
      <c r="C711" s="15" t="str">
        <f aca="false">IF($B711="","",IFERROR(INDEX(회원명부!$B$3:$B$502,MATCH($B711,회원명부!$A$3:$A$502,0)),"미등록회원"))</f>
        <v/>
      </c>
      <c r="D711" s="10"/>
      <c r="E711" s="16" t="str">
        <f aca="false">IF($D711="","",IF($J711="환불",0,IFERROR(INDEX(상품목록!$B$3:$B$102,MATCH($D711,상품목록!$A$3:$A$102,0)),0)))</f>
        <v/>
      </c>
      <c r="F711" s="16" t="str">
        <f aca="false">IF($D711="","",IFERROR(INDEX(상품목록!$C$3:$C$102,MATCH($D711,상품목록!$A$3:$A$102,0)),0))</f>
        <v/>
      </c>
      <c r="G711" s="17" t="str">
        <f aca="false">IF(OR($A711="",$F711=""),"",$A711+$F711)</f>
        <v/>
      </c>
      <c r="H711" s="16" t="str">
        <f aca="false">IF($D711="","",IF($J711="환불",0,IFERROR(INDEX(상품목록!$D$3:$D$102,MATCH($D711,상품목록!$A$3:$A$102,0)),0)))</f>
        <v/>
      </c>
      <c r="I711" s="10"/>
      <c r="J711" s="10"/>
      <c r="K711" s="10"/>
    </row>
    <row r="712" customFormat="false" ht="15" hidden="false" customHeight="true" outlineLevel="0" collapsed="false">
      <c r="A712" s="12"/>
      <c r="B712" s="10"/>
      <c r="C712" s="15" t="str">
        <f aca="false">IF($B712="","",IFERROR(INDEX(회원명부!$B$3:$B$502,MATCH($B712,회원명부!$A$3:$A$502,0)),"미등록회원"))</f>
        <v/>
      </c>
      <c r="D712" s="10"/>
      <c r="E712" s="16" t="str">
        <f aca="false">IF($D712="","",IF($J712="환불",0,IFERROR(INDEX(상품목록!$B$3:$B$102,MATCH($D712,상품목록!$A$3:$A$102,0)),0)))</f>
        <v/>
      </c>
      <c r="F712" s="16" t="str">
        <f aca="false">IF($D712="","",IFERROR(INDEX(상품목록!$C$3:$C$102,MATCH($D712,상품목록!$A$3:$A$102,0)),0))</f>
        <v/>
      </c>
      <c r="G712" s="17" t="str">
        <f aca="false">IF(OR($A712="",$F712=""),"",$A712+$F712)</f>
        <v/>
      </c>
      <c r="H712" s="16" t="str">
        <f aca="false">IF($D712="","",IF($J712="환불",0,IFERROR(INDEX(상품목록!$D$3:$D$102,MATCH($D712,상품목록!$A$3:$A$102,0)),0)))</f>
        <v/>
      </c>
      <c r="I712" s="10"/>
      <c r="J712" s="10"/>
      <c r="K712" s="10"/>
    </row>
    <row r="713" customFormat="false" ht="15" hidden="false" customHeight="true" outlineLevel="0" collapsed="false">
      <c r="A713" s="12"/>
      <c r="B713" s="10"/>
      <c r="C713" s="15" t="str">
        <f aca="false">IF($B713="","",IFERROR(INDEX(회원명부!$B$3:$B$502,MATCH($B713,회원명부!$A$3:$A$502,0)),"미등록회원"))</f>
        <v/>
      </c>
      <c r="D713" s="10"/>
      <c r="E713" s="16" t="str">
        <f aca="false">IF($D713="","",IF($J713="환불",0,IFERROR(INDEX(상품목록!$B$3:$B$102,MATCH($D713,상품목록!$A$3:$A$102,0)),0)))</f>
        <v/>
      </c>
      <c r="F713" s="16" t="str">
        <f aca="false">IF($D713="","",IFERROR(INDEX(상품목록!$C$3:$C$102,MATCH($D713,상품목록!$A$3:$A$102,0)),0))</f>
        <v/>
      </c>
      <c r="G713" s="17" t="str">
        <f aca="false">IF(OR($A713="",$F713=""),"",$A713+$F713)</f>
        <v/>
      </c>
      <c r="H713" s="16" t="str">
        <f aca="false">IF($D713="","",IF($J713="환불",0,IFERROR(INDEX(상품목록!$D$3:$D$102,MATCH($D713,상품목록!$A$3:$A$102,0)),0)))</f>
        <v/>
      </c>
      <c r="I713" s="10"/>
      <c r="J713" s="10"/>
      <c r="K713" s="10"/>
    </row>
    <row r="714" customFormat="false" ht="15" hidden="false" customHeight="true" outlineLevel="0" collapsed="false">
      <c r="A714" s="12"/>
      <c r="B714" s="10"/>
      <c r="C714" s="15" t="str">
        <f aca="false">IF($B714="","",IFERROR(INDEX(회원명부!$B$3:$B$502,MATCH($B714,회원명부!$A$3:$A$502,0)),"미등록회원"))</f>
        <v/>
      </c>
      <c r="D714" s="10"/>
      <c r="E714" s="16" t="str">
        <f aca="false">IF($D714="","",IF($J714="환불",0,IFERROR(INDEX(상품목록!$B$3:$B$102,MATCH($D714,상품목록!$A$3:$A$102,0)),0)))</f>
        <v/>
      </c>
      <c r="F714" s="16" t="str">
        <f aca="false">IF($D714="","",IFERROR(INDEX(상품목록!$C$3:$C$102,MATCH($D714,상품목록!$A$3:$A$102,0)),0))</f>
        <v/>
      </c>
      <c r="G714" s="17" t="str">
        <f aca="false">IF(OR($A714="",$F714=""),"",$A714+$F714)</f>
        <v/>
      </c>
      <c r="H714" s="16" t="str">
        <f aca="false">IF($D714="","",IF($J714="환불",0,IFERROR(INDEX(상품목록!$D$3:$D$102,MATCH($D714,상품목록!$A$3:$A$102,0)),0)))</f>
        <v/>
      </c>
      <c r="I714" s="10"/>
      <c r="J714" s="10"/>
      <c r="K714" s="10"/>
    </row>
    <row r="715" customFormat="false" ht="15" hidden="false" customHeight="true" outlineLevel="0" collapsed="false">
      <c r="A715" s="12"/>
      <c r="B715" s="10"/>
      <c r="C715" s="15" t="str">
        <f aca="false">IF($B715="","",IFERROR(INDEX(회원명부!$B$3:$B$502,MATCH($B715,회원명부!$A$3:$A$502,0)),"미등록회원"))</f>
        <v/>
      </c>
      <c r="D715" s="10"/>
      <c r="E715" s="16" t="str">
        <f aca="false">IF($D715="","",IF($J715="환불",0,IFERROR(INDEX(상품목록!$B$3:$B$102,MATCH($D715,상품목록!$A$3:$A$102,0)),0)))</f>
        <v/>
      </c>
      <c r="F715" s="16" t="str">
        <f aca="false">IF($D715="","",IFERROR(INDEX(상품목록!$C$3:$C$102,MATCH($D715,상품목록!$A$3:$A$102,0)),0))</f>
        <v/>
      </c>
      <c r="G715" s="17" t="str">
        <f aca="false">IF(OR($A715="",$F715=""),"",$A715+$F715)</f>
        <v/>
      </c>
      <c r="H715" s="16" t="str">
        <f aca="false">IF($D715="","",IF($J715="환불",0,IFERROR(INDEX(상품목록!$D$3:$D$102,MATCH($D715,상품목록!$A$3:$A$102,0)),0)))</f>
        <v/>
      </c>
      <c r="I715" s="10"/>
      <c r="J715" s="10"/>
      <c r="K715" s="10"/>
    </row>
    <row r="716" customFormat="false" ht="15" hidden="false" customHeight="true" outlineLevel="0" collapsed="false">
      <c r="A716" s="12"/>
      <c r="B716" s="10"/>
      <c r="C716" s="15" t="str">
        <f aca="false">IF($B716="","",IFERROR(INDEX(회원명부!$B$3:$B$502,MATCH($B716,회원명부!$A$3:$A$502,0)),"미등록회원"))</f>
        <v/>
      </c>
      <c r="D716" s="10"/>
      <c r="E716" s="16" t="str">
        <f aca="false">IF($D716="","",IF($J716="환불",0,IFERROR(INDEX(상품목록!$B$3:$B$102,MATCH($D716,상품목록!$A$3:$A$102,0)),0)))</f>
        <v/>
      </c>
      <c r="F716" s="16" t="str">
        <f aca="false">IF($D716="","",IFERROR(INDEX(상품목록!$C$3:$C$102,MATCH($D716,상품목록!$A$3:$A$102,0)),0))</f>
        <v/>
      </c>
      <c r="G716" s="17" t="str">
        <f aca="false">IF(OR($A716="",$F716=""),"",$A716+$F716)</f>
        <v/>
      </c>
      <c r="H716" s="16" t="str">
        <f aca="false">IF($D716="","",IF($J716="환불",0,IFERROR(INDEX(상품목록!$D$3:$D$102,MATCH($D716,상품목록!$A$3:$A$102,0)),0)))</f>
        <v/>
      </c>
      <c r="I716" s="10"/>
      <c r="J716" s="10"/>
      <c r="K716" s="10"/>
    </row>
    <row r="717" customFormat="false" ht="15" hidden="false" customHeight="true" outlineLevel="0" collapsed="false">
      <c r="A717" s="12"/>
      <c r="B717" s="10"/>
      <c r="C717" s="15" t="str">
        <f aca="false">IF($B717="","",IFERROR(INDEX(회원명부!$B$3:$B$502,MATCH($B717,회원명부!$A$3:$A$502,0)),"미등록회원"))</f>
        <v/>
      </c>
      <c r="D717" s="10"/>
      <c r="E717" s="16" t="str">
        <f aca="false">IF($D717="","",IF($J717="환불",0,IFERROR(INDEX(상품목록!$B$3:$B$102,MATCH($D717,상품목록!$A$3:$A$102,0)),0)))</f>
        <v/>
      </c>
      <c r="F717" s="16" t="str">
        <f aca="false">IF($D717="","",IFERROR(INDEX(상품목록!$C$3:$C$102,MATCH($D717,상품목록!$A$3:$A$102,0)),0))</f>
        <v/>
      </c>
      <c r="G717" s="17" t="str">
        <f aca="false">IF(OR($A717="",$F717=""),"",$A717+$F717)</f>
        <v/>
      </c>
      <c r="H717" s="16" t="str">
        <f aca="false">IF($D717="","",IF($J717="환불",0,IFERROR(INDEX(상품목록!$D$3:$D$102,MATCH($D717,상품목록!$A$3:$A$102,0)),0)))</f>
        <v/>
      </c>
      <c r="I717" s="10"/>
      <c r="J717" s="10"/>
      <c r="K717" s="10"/>
    </row>
    <row r="718" customFormat="false" ht="15" hidden="false" customHeight="true" outlineLevel="0" collapsed="false">
      <c r="A718" s="12"/>
      <c r="B718" s="10"/>
      <c r="C718" s="15" t="str">
        <f aca="false">IF($B718="","",IFERROR(INDEX(회원명부!$B$3:$B$502,MATCH($B718,회원명부!$A$3:$A$502,0)),"미등록회원"))</f>
        <v/>
      </c>
      <c r="D718" s="10"/>
      <c r="E718" s="16" t="str">
        <f aca="false">IF($D718="","",IF($J718="환불",0,IFERROR(INDEX(상품목록!$B$3:$B$102,MATCH($D718,상품목록!$A$3:$A$102,0)),0)))</f>
        <v/>
      </c>
      <c r="F718" s="16" t="str">
        <f aca="false">IF($D718="","",IFERROR(INDEX(상품목록!$C$3:$C$102,MATCH($D718,상품목록!$A$3:$A$102,0)),0))</f>
        <v/>
      </c>
      <c r="G718" s="17" t="str">
        <f aca="false">IF(OR($A718="",$F718=""),"",$A718+$F718)</f>
        <v/>
      </c>
      <c r="H718" s="16" t="str">
        <f aca="false">IF($D718="","",IF($J718="환불",0,IFERROR(INDEX(상품목록!$D$3:$D$102,MATCH($D718,상품목록!$A$3:$A$102,0)),0)))</f>
        <v/>
      </c>
      <c r="I718" s="10"/>
      <c r="J718" s="10"/>
      <c r="K718" s="10"/>
    </row>
    <row r="719" customFormat="false" ht="15" hidden="false" customHeight="true" outlineLevel="0" collapsed="false">
      <c r="A719" s="12"/>
      <c r="B719" s="10"/>
      <c r="C719" s="15" t="str">
        <f aca="false">IF($B719="","",IFERROR(INDEX(회원명부!$B$3:$B$502,MATCH($B719,회원명부!$A$3:$A$502,0)),"미등록회원"))</f>
        <v/>
      </c>
      <c r="D719" s="10"/>
      <c r="E719" s="16" t="str">
        <f aca="false">IF($D719="","",IF($J719="환불",0,IFERROR(INDEX(상품목록!$B$3:$B$102,MATCH($D719,상품목록!$A$3:$A$102,0)),0)))</f>
        <v/>
      </c>
      <c r="F719" s="16" t="str">
        <f aca="false">IF($D719="","",IFERROR(INDEX(상품목록!$C$3:$C$102,MATCH($D719,상품목록!$A$3:$A$102,0)),0))</f>
        <v/>
      </c>
      <c r="G719" s="17" t="str">
        <f aca="false">IF(OR($A719="",$F719=""),"",$A719+$F719)</f>
        <v/>
      </c>
      <c r="H719" s="16" t="str">
        <f aca="false">IF($D719="","",IF($J719="환불",0,IFERROR(INDEX(상품목록!$D$3:$D$102,MATCH($D719,상품목록!$A$3:$A$102,0)),0)))</f>
        <v/>
      </c>
      <c r="I719" s="10"/>
      <c r="J719" s="10"/>
      <c r="K719" s="10"/>
    </row>
    <row r="720" customFormat="false" ht="15" hidden="false" customHeight="true" outlineLevel="0" collapsed="false">
      <c r="A720" s="12"/>
      <c r="B720" s="10"/>
      <c r="C720" s="15" t="str">
        <f aca="false">IF($B720="","",IFERROR(INDEX(회원명부!$B$3:$B$502,MATCH($B720,회원명부!$A$3:$A$502,0)),"미등록회원"))</f>
        <v/>
      </c>
      <c r="D720" s="10"/>
      <c r="E720" s="16" t="str">
        <f aca="false">IF($D720="","",IF($J720="환불",0,IFERROR(INDEX(상품목록!$B$3:$B$102,MATCH($D720,상품목록!$A$3:$A$102,0)),0)))</f>
        <v/>
      </c>
      <c r="F720" s="16" t="str">
        <f aca="false">IF($D720="","",IFERROR(INDEX(상품목록!$C$3:$C$102,MATCH($D720,상품목록!$A$3:$A$102,0)),0))</f>
        <v/>
      </c>
      <c r="G720" s="17" t="str">
        <f aca="false">IF(OR($A720="",$F720=""),"",$A720+$F720)</f>
        <v/>
      </c>
      <c r="H720" s="16" t="str">
        <f aca="false">IF($D720="","",IF($J720="환불",0,IFERROR(INDEX(상품목록!$D$3:$D$102,MATCH($D720,상품목록!$A$3:$A$102,0)),0)))</f>
        <v/>
      </c>
      <c r="I720" s="10"/>
      <c r="J720" s="10"/>
      <c r="K720" s="10"/>
    </row>
    <row r="721" customFormat="false" ht="15" hidden="false" customHeight="true" outlineLevel="0" collapsed="false">
      <c r="A721" s="12"/>
      <c r="B721" s="10"/>
      <c r="C721" s="15" t="str">
        <f aca="false">IF($B721="","",IFERROR(INDEX(회원명부!$B$3:$B$502,MATCH($B721,회원명부!$A$3:$A$502,0)),"미등록회원"))</f>
        <v/>
      </c>
      <c r="D721" s="10"/>
      <c r="E721" s="16" t="str">
        <f aca="false">IF($D721="","",IF($J721="환불",0,IFERROR(INDEX(상품목록!$B$3:$B$102,MATCH($D721,상품목록!$A$3:$A$102,0)),0)))</f>
        <v/>
      </c>
      <c r="F721" s="16" t="str">
        <f aca="false">IF($D721="","",IFERROR(INDEX(상품목록!$C$3:$C$102,MATCH($D721,상품목록!$A$3:$A$102,0)),0))</f>
        <v/>
      </c>
      <c r="G721" s="17" t="str">
        <f aca="false">IF(OR($A721="",$F721=""),"",$A721+$F721)</f>
        <v/>
      </c>
      <c r="H721" s="16" t="str">
        <f aca="false">IF($D721="","",IF($J721="환불",0,IFERROR(INDEX(상품목록!$D$3:$D$102,MATCH($D721,상품목록!$A$3:$A$102,0)),0)))</f>
        <v/>
      </c>
      <c r="I721" s="10"/>
      <c r="J721" s="10"/>
      <c r="K721" s="10"/>
    </row>
    <row r="722" customFormat="false" ht="15" hidden="false" customHeight="true" outlineLevel="0" collapsed="false">
      <c r="A722" s="12"/>
      <c r="B722" s="10"/>
      <c r="C722" s="15" t="str">
        <f aca="false">IF($B722="","",IFERROR(INDEX(회원명부!$B$3:$B$502,MATCH($B722,회원명부!$A$3:$A$502,0)),"미등록회원"))</f>
        <v/>
      </c>
      <c r="D722" s="10"/>
      <c r="E722" s="16" t="str">
        <f aca="false">IF($D722="","",IF($J722="환불",0,IFERROR(INDEX(상품목록!$B$3:$B$102,MATCH($D722,상품목록!$A$3:$A$102,0)),0)))</f>
        <v/>
      </c>
      <c r="F722" s="16" t="str">
        <f aca="false">IF($D722="","",IFERROR(INDEX(상품목록!$C$3:$C$102,MATCH($D722,상품목록!$A$3:$A$102,0)),0))</f>
        <v/>
      </c>
      <c r="G722" s="17" t="str">
        <f aca="false">IF(OR($A722="",$F722=""),"",$A722+$F722)</f>
        <v/>
      </c>
      <c r="H722" s="16" t="str">
        <f aca="false">IF($D722="","",IF($J722="환불",0,IFERROR(INDEX(상품목록!$D$3:$D$102,MATCH($D722,상품목록!$A$3:$A$102,0)),0)))</f>
        <v/>
      </c>
      <c r="I722" s="10"/>
      <c r="J722" s="10"/>
      <c r="K722" s="10"/>
    </row>
    <row r="723" customFormat="false" ht="15" hidden="false" customHeight="true" outlineLevel="0" collapsed="false">
      <c r="A723" s="12"/>
      <c r="B723" s="10"/>
      <c r="C723" s="15" t="str">
        <f aca="false">IF($B723="","",IFERROR(INDEX(회원명부!$B$3:$B$502,MATCH($B723,회원명부!$A$3:$A$502,0)),"미등록회원"))</f>
        <v/>
      </c>
      <c r="D723" s="10"/>
      <c r="E723" s="16" t="str">
        <f aca="false">IF($D723="","",IF($J723="환불",0,IFERROR(INDEX(상품목록!$B$3:$B$102,MATCH($D723,상품목록!$A$3:$A$102,0)),0)))</f>
        <v/>
      </c>
      <c r="F723" s="16" t="str">
        <f aca="false">IF($D723="","",IFERROR(INDEX(상품목록!$C$3:$C$102,MATCH($D723,상품목록!$A$3:$A$102,0)),0))</f>
        <v/>
      </c>
      <c r="G723" s="17" t="str">
        <f aca="false">IF(OR($A723="",$F723=""),"",$A723+$F723)</f>
        <v/>
      </c>
      <c r="H723" s="16" t="str">
        <f aca="false">IF($D723="","",IF($J723="환불",0,IFERROR(INDEX(상품목록!$D$3:$D$102,MATCH($D723,상품목록!$A$3:$A$102,0)),0)))</f>
        <v/>
      </c>
      <c r="I723" s="10"/>
      <c r="J723" s="10"/>
      <c r="K723" s="10"/>
    </row>
    <row r="724" customFormat="false" ht="15" hidden="false" customHeight="true" outlineLevel="0" collapsed="false">
      <c r="A724" s="12"/>
      <c r="B724" s="10"/>
      <c r="C724" s="15" t="str">
        <f aca="false">IF($B724="","",IFERROR(INDEX(회원명부!$B$3:$B$502,MATCH($B724,회원명부!$A$3:$A$502,0)),"미등록회원"))</f>
        <v/>
      </c>
      <c r="D724" s="10"/>
      <c r="E724" s="16" t="str">
        <f aca="false">IF($D724="","",IF($J724="환불",0,IFERROR(INDEX(상품목록!$B$3:$B$102,MATCH($D724,상품목록!$A$3:$A$102,0)),0)))</f>
        <v/>
      </c>
      <c r="F724" s="16" t="str">
        <f aca="false">IF($D724="","",IFERROR(INDEX(상품목록!$C$3:$C$102,MATCH($D724,상품목록!$A$3:$A$102,0)),0))</f>
        <v/>
      </c>
      <c r="G724" s="17" t="str">
        <f aca="false">IF(OR($A724="",$F724=""),"",$A724+$F724)</f>
        <v/>
      </c>
      <c r="H724" s="16" t="str">
        <f aca="false">IF($D724="","",IF($J724="환불",0,IFERROR(INDEX(상품목록!$D$3:$D$102,MATCH($D724,상품목록!$A$3:$A$102,0)),0)))</f>
        <v/>
      </c>
      <c r="I724" s="10"/>
      <c r="J724" s="10"/>
      <c r="K724" s="10"/>
    </row>
    <row r="725" customFormat="false" ht="15" hidden="false" customHeight="true" outlineLevel="0" collapsed="false">
      <c r="A725" s="12"/>
      <c r="B725" s="10"/>
      <c r="C725" s="15" t="str">
        <f aca="false">IF($B725="","",IFERROR(INDEX(회원명부!$B$3:$B$502,MATCH($B725,회원명부!$A$3:$A$502,0)),"미등록회원"))</f>
        <v/>
      </c>
      <c r="D725" s="10"/>
      <c r="E725" s="16" t="str">
        <f aca="false">IF($D725="","",IF($J725="환불",0,IFERROR(INDEX(상품목록!$B$3:$B$102,MATCH($D725,상품목록!$A$3:$A$102,0)),0)))</f>
        <v/>
      </c>
      <c r="F725" s="16" t="str">
        <f aca="false">IF($D725="","",IFERROR(INDEX(상품목록!$C$3:$C$102,MATCH($D725,상품목록!$A$3:$A$102,0)),0))</f>
        <v/>
      </c>
      <c r="G725" s="17" t="str">
        <f aca="false">IF(OR($A725="",$F725=""),"",$A725+$F725)</f>
        <v/>
      </c>
      <c r="H725" s="16" t="str">
        <f aca="false">IF($D725="","",IF($J725="환불",0,IFERROR(INDEX(상품목록!$D$3:$D$102,MATCH($D725,상품목록!$A$3:$A$102,0)),0)))</f>
        <v/>
      </c>
      <c r="I725" s="10"/>
      <c r="J725" s="10"/>
      <c r="K725" s="10"/>
    </row>
    <row r="726" customFormat="false" ht="15" hidden="false" customHeight="true" outlineLevel="0" collapsed="false">
      <c r="A726" s="12"/>
      <c r="B726" s="10"/>
      <c r="C726" s="15" t="str">
        <f aca="false">IF($B726="","",IFERROR(INDEX(회원명부!$B$3:$B$502,MATCH($B726,회원명부!$A$3:$A$502,0)),"미등록회원"))</f>
        <v/>
      </c>
      <c r="D726" s="10"/>
      <c r="E726" s="16" t="str">
        <f aca="false">IF($D726="","",IF($J726="환불",0,IFERROR(INDEX(상품목록!$B$3:$B$102,MATCH($D726,상품목록!$A$3:$A$102,0)),0)))</f>
        <v/>
      </c>
      <c r="F726" s="16" t="str">
        <f aca="false">IF($D726="","",IFERROR(INDEX(상품목록!$C$3:$C$102,MATCH($D726,상품목록!$A$3:$A$102,0)),0))</f>
        <v/>
      </c>
      <c r="G726" s="17" t="str">
        <f aca="false">IF(OR($A726="",$F726=""),"",$A726+$F726)</f>
        <v/>
      </c>
      <c r="H726" s="16" t="str">
        <f aca="false">IF($D726="","",IF($J726="환불",0,IFERROR(INDEX(상품목록!$D$3:$D$102,MATCH($D726,상품목록!$A$3:$A$102,0)),0)))</f>
        <v/>
      </c>
      <c r="I726" s="10"/>
      <c r="J726" s="10"/>
      <c r="K726" s="10"/>
    </row>
    <row r="727" customFormat="false" ht="15" hidden="false" customHeight="true" outlineLevel="0" collapsed="false">
      <c r="A727" s="12"/>
      <c r="B727" s="10"/>
      <c r="C727" s="15" t="str">
        <f aca="false">IF($B727="","",IFERROR(INDEX(회원명부!$B$3:$B$502,MATCH($B727,회원명부!$A$3:$A$502,0)),"미등록회원"))</f>
        <v/>
      </c>
      <c r="D727" s="10"/>
      <c r="E727" s="16" t="str">
        <f aca="false">IF($D727="","",IF($J727="환불",0,IFERROR(INDEX(상품목록!$B$3:$B$102,MATCH($D727,상품목록!$A$3:$A$102,0)),0)))</f>
        <v/>
      </c>
      <c r="F727" s="16" t="str">
        <f aca="false">IF($D727="","",IFERROR(INDEX(상품목록!$C$3:$C$102,MATCH($D727,상품목록!$A$3:$A$102,0)),0))</f>
        <v/>
      </c>
      <c r="G727" s="17" t="str">
        <f aca="false">IF(OR($A727="",$F727=""),"",$A727+$F727)</f>
        <v/>
      </c>
      <c r="H727" s="16" t="str">
        <f aca="false">IF($D727="","",IF($J727="환불",0,IFERROR(INDEX(상품목록!$D$3:$D$102,MATCH($D727,상품목록!$A$3:$A$102,0)),0)))</f>
        <v/>
      </c>
      <c r="I727" s="10"/>
      <c r="J727" s="10"/>
      <c r="K727" s="10"/>
    </row>
    <row r="728" customFormat="false" ht="15" hidden="false" customHeight="true" outlineLevel="0" collapsed="false">
      <c r="A728" s="12"/>
      <c r="B728" s="10"/>
      <c r="C728" s="15" t="str">
        <f aca="false">IF($B728="","",IFERROR(INDEX(회원명부!$B$3:$B$502,MATCH($B728,회원명부!$A$3:$A$502,0)),"미등록회원"))</f>
        <v/>
      </c>
      <c r="D728" s="10"/>
      <c r="E728" s="16" t="str">
        <f aca="false">IF($D728="","",IF($J728="환불",0,IFERROR(INDEX(상품목록!$B$3:$B$102,MATCH($D728,상품목록!$A$3:$A$102,0)),0)))</f>
        <v/>
      </c>
      <c r="F728" s="16" t="str">
        <f aca="false">IF($D728="","",IFERROR(INDEX(상품목록!$C$3:$C$102,MATCH($D728,상품목록!$A$3:$A$102,0)),0))</f>
        <v/>
      </c>
      <c r="G728" s="17" t="str">
        <f aca="false">IF(OR($A728="",$F728=""),"",$A728+$F728)</f>
        <v/>
      </c>
      <c r="H728" s="16" t="str">
        <f aca="false">IF($D728="","",IF($J728="환불",0,IFERROR(INDEX(상품목록!$D$3:$D$102,MATCH($D728,상품목록!$A$3:$A$102,0)),0)))</f>
        <v/>
      </c>
      <c r="I728" s="10"/>
      <c r="J728" s="10"/>
      <c r="K728" s="10"/>
    </row>
    <row r="729" customFormat="false" ht="15" hidden="false" customHeight="true" outlineLevel="0" collapsed="false">
      <c r="A729" s="12"/>
      <c r="B729" s="10"/>
      <c r="C729" s="15" t="str">
        <f aca="false">IF($B729="","",IFERROR(INDEX(회원명부!$B$3:$B$502,MATCH($B729,회원명부!$A$3:$A$502,0)),"미등록회원"))</f>
        <v/>
      </c>
      <c r="D729" s="10"/>
      <c r="E729" s="16" t="str">
        <f aca="false">IF($D729="","",IF($J729="환불",0,IFERROR(INDEX(상품목록!$B$3:$B$102,MATCH($D729,상품목록!$A$3:$A$102,0)),0)))</f>
        <v/>
      </c>
      <c r="F729" s="16" t="str">
        <f aca="false">IF($D729="","",IFERROR(INDEX(상품목록!$C$3:$C$102,MATCH($D729,상품목록!$A$3:$A$102,0)),0))</f>
        <v/>
      </c>
      <c r="G729" s="17" t="str">
        <f aca="false">IF(OR($A729="",$F729=""),"",$A729+$F729)</f>
        <v/>
      </c>
      <c r="H729" s="16" t="str">
        <f aca="false">IF($D729="","",IF($J729="환불",0,IFERROR(INDEX(상품목록!$D$3:$D$102,MATCH($D729,상품목록!$A$3:$A$102,0)),0)))</f>
        <v/>
      </c>
      <c r="I729" s="10"/>
      <c r="J729" s="10"/>
      <c r="K729" s="10"/>
    </row>
    <row r="730" customFormat="false" ht="15" hidden="false" customHeight="true" outlineLevel="0" collapsed="false">
      <c r="A730" s="12"/>
      <c r="B730" s="10"/>
      <c r="C730" s="15" t="str">
        <f aca="false">IF($B730="","",IFERROR(INDEX(회원명부!$B$3:$B$502,MATCH($B730,회원명부!$A$3:$A$502,0)),"미등록회원"))</f>
        <v/>
      </c>
      <c r="D730" s="10"/>
      <c r="E730" s="16" t="str">
        <f aca="false">IF($D730="","",IF($J730="환불",0,IFERROR(INDEX(상품목록!$B$3:$B$102,MATCH($D730,상품목록!$A$3:$A$102,0)),0)))</f>
        <v/>
      </c>
      <c r="F730" s="16" t="str">
        <f aca="false">IF($D730="","",IFERROR(INDEX(상품목록!$C$3:$C$102,MATCH($D730,상품목록!$A$3:$A$102,0)),0))</f>
        <v/>
      </c>
      <c r="G730" s="17" t="str">
        <f aca="false">IF(OR($A730="",$F730=""),"",$A730+$F730)</f>
        <v/>
      </c>
      <c r="H730" s="16" t="str">
        <f aca="false">IF($D730="","",IF($J730="환불",0,IFERROR(INDEX(상품목록!$D$3:$D$102,MATCH($D730,상품목록!$A$3:$A$102,0)),0)))</f>
        <v/>
      </c>
      <c r="I730" s="10"/>
      <c r="J730" s="10"/>
      <c r="K730" s="10"/>
    </row>
    <row r="731" customFormat="false" ht="15" hidden="false" customHeight="true" outlineLevel="0" collapsed="false">
      <c r="A731" s="12"/>
      <c r="B731" s="10"/>
      <c r="C731" s="15" t="str">
        <f aca="false">IF($B731="","",IFERROR(INDEX(회원명부!$B$3:$B$502,MATCH($B731,회원명부!$A$3:$A$502,0)),"미등록회원"))</f>
        <v/>
      </c>
      <c r="D731" s="10"/>
      <c r="E731" s="16" t="str">
        <f aca="false">IF($D731="","",IF($J731="환불",0,IFERROR(INDEX(상품목록!$B$3:$B$102,MATCH($D731,상품목록!$A$3:$A$102,0)),0)))</f>
        <v/>
      </c>
      <c r="F731" s="16" t="str">
        <f aca="false">IF($D731="","",IFERROR(INDEX(상품목록!$C$3:$C$102,MATCH($D731,상품목록!$A$3:$A$102,0)),0))</f>
        <v/>
      </c>
      <c r="G731" s="17" t="str">
        <f aca="false">IF(OR($A731="",$F731=""),"",$A731+$F731)</f>
        <v/>
      </c>
      <c r="H731" s="16" t="str">
        <f aca="false">IF($D731="","",IF($J731="환불",0,IFERROR(INDEX(상품목록!$D$3:$D$102,MATCH($D731,상품목록!$A$3:$A$102,0)),0)))</f>
        <v/>
      </c>
      <c r="I731" s="10"/>
      <c r="J731" s="10"/>
      <c r="K731" s="10"/>
    </row>
    <row r="732" customFormat="false" ht="15" hidden="false" customHeight="true" outlineLevel="0" collapsed="false">
      <c r="A732" s="12"/>
      <c r="B732" s="10"/>
      <c r="C732" s="15" t="str">
        <f aca="false">IF($B732="","",IFERROR(INDEX(회원명부!$B$3:$B$502,MATCH($B732,회원명부!$A$3:$A$502,0)),"미등록회원"))</f>
        <v/>
      </c>
      <c r="D732" s="10"/>
      <c r="E732" s="16" t="str">
        <f aca="false">IF($D732="","",IF($J732="환불",0,IFERROR(INDEX(상품목록!$B$3:$B$102,MATCH($D732,상품목록!$A$3:$A$102,0)),0)))</f>
        <v/>
      </c>
      <c r="F732" s="16" t="str">
        <f aca="false">IF($D732="","",IFERROR(INDEX(상품목록!$C$3:$C$102,MATCH($D732,상품목록!$A$3:$A$102,0)),0))</f>
        <v/>
      </c>
      <c r="G732" s="17" t="str">
        <f aca="false">IF(OR($A732="",$F732=""),"",$A732+$F732)</f>
        <v/>
      </c>
      <c r="H732" s="16" t="str">
        <f aca="false">IF($D732="","",IF($J732="환불",0,IFERROR(INDEX(상품목록!$D$3:$D$102,MATCH($D732,상품목록!$A$3:$A$102,0)),0)))</f>
        <v/>
      </c>
      <c r="I732" s="10"/>
      <c r="J732" s="10"/>
      <c r="K732" s="10"/>
    </row>
    <row r="733" customFormat="false" ht="15" hidden="false" customHeight="true" outlineLevel="0" collapsed="false">
      <c r="A733" s="12"/>
      <c r="B733" s="10"/>
      <c r="C733" s="15" t="str">
        <f aca="false">IF($B733="","",IFERROR(INDEX(회원명부!$B$3:$B$502,MATCH($B733,회원명부!$A$3:$A$502,0)),"미등록회원"))</f>
        <v/>
      </c>
      <c r="D733" s="10"/>
      <c r="E733" s="16" t="str">
        <f aca="false">IF($D733="","",IF($J733="환불",0,IFERROR(INDEX(상품목록!$B$3:$B$102,MATCH($D733,상품목록!$A$3:$A$102,0)),0)))</f>
        <v/>
      </c>
      <c r="F733" s="16" t="str">
        <f aca="false">IF($D733="","",IFERROR(INDEX(상품목록!$C$3:$C$102,MATCH($D733,상품목록!$A$3:$A$102,0)),0))</f>
        <v/>
      </c>
      <c r="G733" s="17" t="str">
        <f aca="false">IF(OR($A733="",$F733=""),"",$A733+$F733)</f>
        <v/>
      </c>
      <c r="H733" s="16" t="str">
        <f aca="false">IF($D733="","",IF($J733="환불",0,IFERROR(INDEX(상품목록!$D$3:$D$102,MATCH($D733,상품목록!$A$3:$A$102,0)),0)))</f>
        <v/>
      </c>
      <c r="I733" s="10"/>
      <c r="J733" s="10"/>
      <c r="K733" s="10"/>
    </row>
    <row r="734" customFormat="false" ht="15" hidden="false" customHeight="true" outlineLevel="0" collapsed="false">
      <c r="A734" s="12"/>
      <c r="B734" s="10"/>
      <c r="C734" s="15" t="str">
        <f aca="false">IF($B734="","",IFERROR(INDEX(회원명부!$B$3:$B$502,MATCH($B734,회원명부!$A$3:$A$502,0)),"미등록회원"))</f>
        <v/>
      </c>
      <c r="D734" s="10"/>
      <c r="E734" s="16" t="str">
        <f aca="false">IF($D734="","",IF($J734="환불",0,IFERROR(INDEX(상품목록!$B$3:$B$102,MATCH($D734,상품목록!$A$3:$A$102,0)),0)))</f>
        <v/>
      </c>
      <c r="F734" s="16" t="str">
        <f aca="false">IF($D734="","",IFERROR(INDEX(상품목록!$C$3:$C$102,MATCH($D734,상품목록!$A$3:$A$102,0)),0))</f>
        <v/>
      </c>
      <c r="G734" s="17" t="str">
        <f aca="false">IF(OR($A734="",$F734=""),"",$A734+$F734)</f>
        <v/>
      </c>
      <c r="H734" s="16" t="str">
        <f aca="false">IF($D734="","",IF($J734="환불",0,IFERROR(INDEX(상품목록!$D$3:$D$102,MATCH($D734,상품목록!$A$3:$A$102,0)),0)))</f>
        <v/>
      </c>
      <c r="I734" s="10"/>
      <c r="J734" s="10"/>
      <c r="K734" s="10"/>
    </row>
    <row r="735" customFormat="false" ht="15" hidden="false" customHeight="true" outlineLevel="0" collapsed="false">
      <c r="A735" s="12"/>
      <c r="B735" s="10"/>
      <c r="C735" s="15" t="str">
        <f aca="false">IF($B735="","",IFERROR(INDEX(회원명부!$B$3:$B$502,MATCH($B735,회원명부!$A$3:$A$502,0)),"미등록회원"))</f>
        <v/>
      </c>
      <c r="D735" s="10"/>
      <c r="E735" s="16" t="str">
        <f aca="false">IF($D735="","",IF($J735="환불",0,IFERROR(INDEX(상품목록!$B$3:$B$102,MATCH($D735,상품목록!$A$3:$A$102,0)),0)))</f>
        <v/>
      </c>
      <c r="F735" s="16" t="str">
        <f aca="false">IF($D735="","",IFERROR(INDEX(상품목록!$C$3:$C$102,MATCH($D735,상품목록!$A$3:$A$102,0)),0))</f>
        <v/>
      </c>
      <c r="G735" s="17" t="str">
        <f aca="false">IF(OR($A735="",$F735=""),"",$A735+$F735)</f>
        <v/>
      </c>
      <c r="H735" s="16" t="str">
        <f aca="false">IF($D735="","",IF($J735="환불",0,IFERROR(INDEX(상품목록!$D$3:$D$102,MATCH($D735,상품목록!$A$3:$A$102,0)),0)))</f>
        <v/>
      </c>
      <c r="I735" s="10"/>
      <c r="J735" s="10"/>
      <c r="K735" s="10"/>
    </row>
    <row r="736" customFormat="false" ht="15" hidden="false" customHeight="true" outlineLevel="0" collapsed="false">
      <c r="A736" s="12"/>
      <c r="B736" s="10"/>
      <c r="C736" s="15" t="str">
        <f aca="false">IF($B736="","",IFERROR(INDEX(회원명부!$B$3:$B$502,MATCH($B736,회원명부!$A$3:$A$502,0)),"미등록회원"))</f>
        <v/>
      </c>
      <c r="D736" s="10"/>
      <c r="E736" s="16" t="str">
        <f aca="false">IF($D736="","",IF($J736="환불",0,IFERROR(INDEX(상품목록!$B$3:$B$102,MATCH($D736,상품목록!$A$3:$A$102,0)),0)))</f>
        <v/>
      </c>
      <c r="F736" s="16" t="str">
        <f aca="false">IF($D736="","",IFERROR(INDEX(상품목록!$C$3:$C$102,MATCH($D736,상품목록!$A$3:$A$102,0)),0))</f>
        <v/>
      </c>
      <c r="G736" s="17" t="str">
        <f aca="false">IF(OR($A736="",$F736=""),"",$A736+$F736)</f>
        <v/>
      </c>
      <c r="H736" s="16" t="str">
        <f aca="false">IF($D736="","",IF($J736="환불",0,IFERROR(INDEX(상품목록!$D$3:$D$102,MATCH($D736,상품목록!$A$3:$A$102,0)),0)))</f>
        <v/>
      </c>
      <c r="I736" s="10"/>
      <c r="J736" s="10"/>
      <c r="K736" s="10"/>
    </row>
    <row r="737" customFormat="false" ht="15" hidden="false" customHeight="true" outlineLevel="0" collapsed="false">
      <c r="A737" s="12"/>
      <c r="B737" s="10"/>
      <c r="C737" s="15" t="str">
        <f aca="false">IF($B737="","",IFERROR(INDEX(회원명부!$B$3:$B$502,MATCH($B737,회원명부!$A$3:$A$502,0)),"미등록회원"))</f>
        <v/>
      </c>
      <c r="D737" s="10"/>
      <c r="E737" s="16" t="str">
        <f aca="false">IF($D737="","",IF($J737="환불",0,IFERROR(INDEX(상품목록!$B$3:$B$102,MATCH($D737,상품목록!$A$3:$A$102,0)),0)))</f>
        <v/>
      </c>
      <c r="F737" s="16" t="str">
        <f aca="false">IF($D737="","",IFERROR(INDEX(상품목록!$C$3:$C$102,MATCH($D737,상품목록!$A$3:$A$102,0)),0))</f>
        <v/>
      </c>
      <c r="G737" s="17" t="str">
        <f aca="false">IF(OR($A737="",$F737=""),"",$A737+$F737)</f>
        <v/>
      </c>
      <c r="H737" s="16" t="str">
        <f aca="false">IF($D737="","",IF($J737="환불",0,IFERROR(INDEX(상품목록!$D$3:$D$102,MATCH($D737,상품목록!$A$3:$A$102,0)),0)))</f>
        <v/>
      </c>
      <c r="I737" s="10"/>
      <c r="J737" s="10"/>
      <c r="K737" s="10"/>
    </row>
    <row r="738" customFormat="false" ht="15" hidden="false" customHeight="true" outlineLevel="0" collapsed="false">
      <c r="A738" s="12"/>
      <c r="B738" s="10"/>
      <c r="C738" s="15" t="str">
        <f aca="false">IF($B738="","",IFERROR(INDEX(회원명부!$B$3:$B$502,MATCH($B738,회원명부!$A$3:$A$502,0)),"미등록회원"))</f>
        <v/>
      </c>
      <c r="D738" s="10"/>
      <c r="E738" s="16" t="str">
        <f aca="false">IF($D738="","",IF($J738="환불",0,IFERROR(INDEX(상품목록!$B$3:$B$102,MATCH($D738,상품목록!$A$3:$A$102,0)),0)))</f>
        <v/>
      </c>
      <c r="F738" s="16" t="str">
        <f aca="false">IF($D738="","",IFERROR(INDEX(상품목록!$C$3:$C$102,MATCH($D738,상품목록!$A$3:$A$102,0)),0))</f>
        <v/>
      </c>
      <c r="G738" s="17" t="str">
        <f aca="false">IF(OR($A738="",$F738=""),"",$A738+$F738)</f>
        <v/>
      </c>
      <c r="H738" s="16" t="str">
        <f aca="false">IF($D738="","",IF($J738="환불",0,IFERROR(INDEX(상품목록!$D$3:$D$102,MATCH($D738,상품목록!$A$3:$A$102,0)),0)))</f>
        <v/>
      </c>
      <c r="I738" s="10"/>
      <c r="J738" s="10"/>
      <c r="K738" s="10"/>
    </row>
    <row r="739" customFormat="false" ht="15" hidden="false" customHeight="true" outlineLevel="0" collapsed="false">
      <c r="A739" s="12"/>
      <c r="B739" s="10"/>
      <c r="C739" s="15" t="str">
        <f aca="false">IF($B739="","",IFERROR(INDEX(회원명부!$B$3:$B$502,MATCH($B739,회원명부!$A$3:$A$502,0)),"미등록회원"))</f>
        <v/>
      </c>
      <c r="D739" s="10"/>
      <c r="E739" s="16" t="str">
        <f aca="false">IF($D739="","",IF($J739="환불",0,IFERROR(INDEX(상품목록!$B$3:$B$102,MATCH($D739,상품목록!$A$3:$A$102,0)),0)))</f>
        <v/>
      </c>
      <c r="F739" s="16" t="str">
        <f aca="false">IF($D739="","",IFERROR(INDEX(상품목록!$C$3:$C$102,MATCH($D739,상품목록!$A$3:$A$102,0)),0))</f>
        <v/>
      </c>
      <c r="G739" s="17" t="str">
        <f aca="false">IF(OR($A739="",$F739=""),"",$A739+$F739)</f>
        <v/>
      </c>
      <c r="H739" s="16" t="str">
        <f aca="false">IF($D739="","",IF($J739="환불",0,IFERROR(INDEX(상품목록!$D$3:$D$102,MATCH($D739,상품목록!$A$3:$A$102,0)),0)))</f>
        <v/>
      </c>
      <c r="I739" s="10"/>
      <c r="J739" s="10"/>
      <c r="K739" s="10"/>
    </row>
    <row r="740" customFormat="false" ht="15" hidden="false" customHeight="true" outlineLevel="0" collapsed="false">
      <c r="A740" s="12"/>
      <c r="B740" s="10"/>
      <c r="C740" s="15" t="str">
        <f aca="false">IF($B740="","",IFERROR(INDEX(회원명부!$B$3:$B$502,MATCH($B740,회원명부!$A$3:$A$502,0)),"미등록회원"))</f>
        <v/>
      </c>
      <c r="D740" s="10"/>
      <c r="E740" s="16" t="str">
        <f aca="false">IF($D740="","",IF($J740="환불",0,IFERROR(INDEX(상품목록!$B$3:$B$102,MATCH($D740,상품목록!$A$3:$A$102,0)),0)))</f>
        <v/>
      </c>
      <c r="F740" s="16" t="str">
        <f aca="false">IF($D740="","",IFERROR(INDEX(상품목록!$C$3:$C$102,MATCH($D740,상품목록!$A$3:$A$102,0)),0))</f>
        <v/>
      </c>
      <c r="G740" s="17" t="str">
        <f aca="false">IF(OR($A740="",$F740=""),"",$A740+$F740)</f>
        <v/>
      </c>
      <c r="H740" s="16" t="str">
        <f aca="false">IF($D740="","",IF($J740="환불",0,IFERROR(INDEX(상품목록!$D$3:$D$102,MATCH($D740,상품목록!$A$3:$A$102,0)),0)))</f>
        <v/>
      </c>
      <c r="I740" s="10"/>
      <c r="J740" s="10"/>
      <c r="K740" s="10"/>
    </row>
    <row r="741" customFormat="false" ht="15" hidden="false" customHeight="true" outlineLevel="0" collapsed="false">
      <c r="A741" s="12"/>
      <c r="B741" s="10"/>
      <c r="C741" s="15" t="str">
        <f aca="false">IF($B741="","",IFERROR(INDEX(회원명부!$B$3:$B$502,MATCH($B741,회원명부!$A$3:$A$502,0)),"미등록회원"))</f>
        <v/>
      </c>
      <c r="D741" s="10"/>
      <c r="E741" s="16" t="str">
        <f aca="false">IF($D741="","",IF($J741="환불",0,IFERROR(INDEX(상품목록!$B$3:$B$102,MATCH($D741,상품목록!$A$3:$A$102,0)),0)))</f>
        <v/>
      </c>
      <c r="F741" s="16" t="str">
        <f aca="false">IF($D741="","",IFERROR(INDEX(상품목록!$C$3:$C$102,MATCH($D741,상품목록!$A$3:$A$102,0)),0))</f>
        <v/>
      </c>
      <c r="G741" s="17" t="str">
        <f aca="false">IF(OR($A741="",$F741=""),"",$A741+$F741)</f>
        <v/>
      </c>
      <c r="H741" s="16" t="str">
        <f aca="false">IF($D741="","",IF($J741="환불",0,IFERROR(INDEX(상품목록!$D$3:$D$102,MATCH($D741,상품목록!$A$3:$A$102,0)),0)))</f>
        <v/>
      </c>
      <c r="I741" s="10"/>
      <c r="J741" s="10"/>
      <c r="K741" s="10"/>
    </row>
    <row r="742" customFormat="false" ht="15" hidden="false" customHeight="true" outlineLevel="0" collapsed="false">
      <c r="A742" s="12"/>
      <c r="B742" s="10"/>
      <c r="C742" s="15" t="str">
        <f aca="false">IF($B742="","",IFERROR(INDEX(회원명부!$B$3:$B$502,MATCH($B742,회원명부!$A$3:$A$502,0)),"미등록회원"))</f>
        <v/>
      </c>
      <c r="D742" s="10"/>
      <c r="E742" s="16" t="str">
        <f aca="false">IF($D742="","",IF($J742="환불",0,IFERROR(INDEX(상품목록!$B$3:$B$102,MATCH($D742,상품목록!$A$3:$A$102,0)),0)))</f>
        <v/>
      </c>
      <c r="F742" s="16" t="str">
        <f aca="false">IF($D742="","",IFERROR(INDEX(상품목록!$C$3:$C$102,MATCH($D742,상품목록!$A$3:$A$102,0)),0))</f>
        <v/>
      </c>
      <c r="G742" s="17" t="str">
        <f aca="false">IF(OR($A742="",$F742=""),"",$A742+$F742)</f>
        <v/>
      </c>
      <c r="H742" s="16" t="str">
        <f aca="false">IF($D742="","",IF($J742="환불",0,IFERROR(INDEX(상품목록!$D$3:$D$102,MATCH($D742,상품목록!$A$3:$A$102,0)),0)))</f>
        <v/>
      </c>
      <c r="I742" s="10"/>
      <c r="J742" s="10"/>
      <c r="K742" s="10"/>
    </row>
    <row r="743" customFormat="false" ht="15" hidden="false" customHeight="true" outlineLevel="0" collapsed="false">
      <c r="A743" s="12"/>
      <c r="B743" s="10"/>
      <c r="C743" s="15" t="str">
        <f aca="false">IF($B743="","",IFERROR(INDEX(회원명부!$B$3:$B$502,MATCH($B743,회원명부!$A$3:$A$502,0)),"미등록회원"))</f>
        <v/>
      </c>
      <c r="D743" s="10"/>
      <c r="E743" s="16" t="str">
        <f aca="false">IF($D743="","",IF($J743="환불",0,IFERROR(INDEX(상품목록!$B$3:$B$102,MATCH($D743,상품목록!$A$3:$A$102,0)),0)))</f>
        <v/>
      </c>
      <c r="F743" s="16" t="str">
        <f aca="false">IF($D743="","",IFERROR(INDEX(상품목록!$C$3:$C$102,MATCH($D743,상품목록!$A$3:$A$102,0)),0))</f>
        <v/>
      </c>
      <c r="G743" s="17" t="str">
        <f aca="false">IF(OR($A743="",$F743=""),"",$A743+$F743)</f>
        <v/>
      </c>
      <c r="H743" s="16" t="str">
        <f aca="false">IF($D743="","",IF($J743="환불",0,IFERROR(INDEX(상품목록!$D$3:$D$102,MATCH($D743,상품목록!$A$3:$A$102,0)),0)))</f>
        <v/>
      </c>
      <c r="I743" s="10"/>
      <c r="J743" s="10"/>
      <c r="K743" s="10"/>
    </row>
    <row r="744" customFormat="false" ht="15" hidden="false" customHeight="true" outlineLevel="0" collapsed="false">
      <c r="A744" s="12"/>
      <c r="B744" s="10"/>
      <c r="C744" s="15" t="str">
        <f aca="false">IF($B744="","",IFERROR(INDEX(회원명부!$B$3:$B$502,MATCH($B744,회원명부!$A$3:$A$502,0)),"미등록회원"))</f>
        <v/>
      </c>
      <c r="D744" s="10"/>
      <c r="E744" s="16" t="str">
        <f aca="false">IF($D744="","",IF($J744="환불",0,IFERROR(INDEX(상품목록!$B$3:$B$102,MATCH($D744,상품목록!$A$3:$A$102,0)),0)))</f>
        <v/>
      </c>
      <c r="F744" s="16" t="str">
        <f aca="false">IF($D744="","",IFERROR(INDEX(상품목록!$C$3:$C$102,MATCH($D744,상품목록!$A$3:$A$102,0)),0))</f>
        <v/>
      </c>
      <c r="G744" s="17" t="str">
        <f aca="false">IF(OR($A744="",$F744=""),"",$A744+$F744)</f>
        <v/>
      </c>
      <c r="H744" s="16" t="str">
        <f aca="false">IF($D744="","",IF($J744="환불",0,IFERROR(INDEX(상품목록!$D$3:$D$102,MATCH($D744,상품목록!$A$3:$A$102,0)),0)))</f>
        <v/>
      </c>
      <c r="I744" s="10"/>
      <c r="J744" s="10"/>
      <c r="K744" s="10"/>
    </row>
    <row r="745" customFormat="false" ht="15" hidden="false" customHeight="true" outlineLevel="0" collapsed="false">
      <c r="A745" s="12"/>
      <c r="B745" s="10"/>
      <c r="C745" s="15" t="str">
        <f aca="false">IF($B745="","",IFERROR(INDEX(회원명부!$B$3:$B$502,MATCH($B745,회원명부!$A$3:$A$502,0)),"미등록회원"))</f>
        <v/>
      </c>
      <c r="D745" s="10"/>
      <c r="E745" s="16" t="str">
        <f aca="false">IF($D745="","",IF($J745="환불",0,IFERROR(INDEX(상품목록!$B$3:$B$102,MATCH($D745,상품목록!$A$3:$A$102,0)),0)))</f>
        <v/>
      </c>
      <c r="F745" s="16" t="str">
        <f aca="false">IF($D745="","",IFERROR(INDEX(상품목록!$C$3:$C$102,MATCH($D745,상품목록!$A$3:$A$102,0)),0))</f>
        <v/>
      </c>
      <c r="G745" s="17" t="str">
        <f aca="false">IF(OR($A745="",$F745=""),"",$A745+$F745)</f>
        <v/>
      </c>
      <c r="H745" s="16" t="str">
        <f aca="false">IF($D745="","",IF($J745="환불",0,IFERROR(INDEX(상품목록!$D$3:$D$102,MATCH($D745,상품목록!$A$3:$A$102,0)),0)))</f>
        <v/>
      </c>
      <c r="I745" s="10"/>
      <c r="J745" s="10"/>
      <c r="K745" s="10"/>
    </row>
    <row r="746" customFormat="false" ht="15" hidden="false" customHeight="true" outlineLevel="0" collapsed="false">
      <c r="A746" s="12"/>
      <c r="B746" s="10"/>
      <c r="C746" s="15" t="str">
        <f aca="false">IF($B746="","",IFERROR(INDEX(회원명부!$B$3:$B$502,MATCH($B746,회원명부!$A$3:$A$502,0)),"미등록회원"))</f>
        <v/>
      </c>
      <c r="D746" s="10"/>
      <c r="E746" s="16" t="str">
        <f aca="false">IF($D746="","",IF($J746="환불",0,IFERROR(INDEX(상품목록!$B$3:$B$102,MATCH($D746,상품목록!$A$3:$A$102,0)),0)))</f>
        <v/>
      </c>
      <c r="F746" s="16" t="str">
        <f aca="false">IF($D746="","",IFERROR(INDEX(상품목록!$C$3:$C$102,MATCH($D746,상품목록!$A$3:$A$102,0)),0))</f>
        <v/>
      </c>
      <c r="G746" s="17" t="str">
        <f aca="false">IF(OR($A746="",$F746=""),"",$A746+$F746)</f>
        <v/>
      </c>
      <c r="H746" s="16" t="str">
        <f aca="false">IF($D746="","",IF($J746="환불",0,IFERROR(INDEX(상품목록!$D$3:$D$102,MATCH($D746,상품목록!$A$3:$A$102,0)),0)))</f>
        <v/>
      </c>
      <c r="I746" s="10"/>
      <c r="J746" s="10"/>
      <c r="K746" s="10"/>
    </row>
    <row r="747" customFormat="false" ht="15" hidden="false" customHeight="true" outlineLevel="0" collapsed="false">
      <c r="A747" s="12"/>
      <c r="B747" s="10"/>
      <c r="C747" s="15" t="str">
        <f aca="false">IF($B747="","",IFERROR(INDEX(회원명부!$B$3:$B$502,MATCH($B747,회원명부!$A$3:$A$502,0)),"미등록회원"))</f>
        <v/>
      </c>
      <c r="D747" s="10"/>
      <c r="E747" s="16" t="str">
        <f aca="false">IF($D747="","",IF($J747="환불",0,IFERROR(INDEX(상품목록!$B$3:$B$102,MATCH($D747,상품목록!$A$3:$A$102,0)),0)))</f>
        <v/>
      </c>
      <c r="F747" s="16" t="str">
        <f aca="false">IF($D747="","",IFERROR(INDEX(상품목록!$C$3:$C$102,MATCH($D747,상품목록!$A$3:$A$102,0)),0))</f>
        <v/>
      </c>
      <c r="G747" s="17" t="str">
        <f aca="false">IF(OR($A747="",$F747=""),"",$A747+$F747)</f>
        <v/>
      </c>
      <c r="H747" s="16" t="str">
        <f aca="false">IF($D747="","",IF($J747="환불",0,IFERROR(INDEX(상품목록!$D$3:$D$102,MATCH($D747,상품목록!$A$3:$A$102,0)),0)))</f>
        <v/>
      </c>
      <c r="I747" s="10"/>
      <c r="J747" s="10"/>
      <c r="K747" s="10"/>
    </row>
    <row r="748" customFormat="false" ht="15" hidden="false" customHeight="true" outlineLevel="0" collapsed="false">
      <c r="A748" s="12"/>
      <c r="B748" s="10"/>
      <c r="C748" s="15" t="str">
        <f aca="false">IF($B748="","",IFERROR(INDEX(회원명부!$B$3:$B$502,MATCH($B748,회원명부!$A$3:$A$502,0)),"미등록회원"))</f>
        <v/>
      </c>
      <c r="D748" s="10"/>
      <c r="E748" s="16" t="str">
        <f aca="false">IF($D748="","",IF($J748="환불",0,IFERROR(INDEX(상품목록!$B$3:$B$102,MATCH($D748,상품목록!$A$3:$A$102,0)),0)))</f>
        <v/>
      </c>
      <c r="F748" s="16" t="str">
        <f aca="false">IF($D748="","",IFERROR(INDEX(상품목록!$C$3:$C$102,MATCH($D748,상품목록!$A$3:$A$102,0)),0))</f>
        <v/>
      </c>
      <c r="G748" s="17" t="str">
        <f aca="false">IF(OR($A748="",$F748=""),"",$A748+$F748)</f>
        <v/>
      </c>
      <c r="H748" s="16" t="str">
        <f aca="false">IF($D748="","",IF($J748="환불",0,IFERROR(INDEX(상품목록!$D$3:$D$102,MATCH($D748,상품목록!$A$3:$A$102,0)),0)))</f>
        <v/>
      </c>
      <c r="I748" s="10"/>
      <c r="J748" s="10"/>
      <c r="K748" s="10"/>
    </row>
    <row r="749" customFormat="false" ht="15" hidden="false" customHeight="true" outlineLevel="0" collapsed="false">
      <c r="A749" s="12"/>
      <c r="B749" s="10"/>
      <c r="C749" s="15" t="str">
        <f aca="false">IF($B749="","",IFERROR(INDEX(회원명부!$B$3:$B$502,MATCH($B749,회원명부!$A$3:$A$502,0)),"미등록회원"))</f>
        <v/>
      </c>
      <c r="D749" s="10"/>
      <c r="E749" s="16" t="str">
        <f aca="false">IF($D749="","",IF($J749="환불",0,IFERROR(INDEX(상품목록!$B$3:$B$102,MATCH($D749,상품목록!$A$3:$A$102,0)),0)))</f>
        <v/>
      </c>
      <c r="F749" s="16" t="str">
        <f aca="false">IF($D749="","",IFERROR(INDEX(상품목록!$C$3:$C$102,MATCH($D749,상품목록!$A$3:$A$102,0)),0))</f>
        <v/>
      </c>
      <c r="G749" s="17" t="str">
        <f aca="false">IF(OR($A749="",$F749=""),"",$A749+$F749)</f>
        <v/>
      </c>
      <c r="H749" s="16" t="str">
        <f aca="false">IF($D749="","",IF($J749="환불",0,IFERROR(INDEX(상품목록!$D$3:$D$102,MATCH($D749,상품목록!$A$3:$A$102,0)),0)))</f>
        <v/>
      </c>
      <c r="I749" s="10"/>
      <c r="J749" s="10"/>
      <c r="K749" s="10"/>
    </row>
    <row r="750" customFormat="false" ht="15" hidden="false" customHeight="true" outlineLevel="0" collapsed="false">
      <c r="A750" s="12"/>
      <c r="B750" s="10"/>
      <c r="C750" s="15" t="str">
        <f aca="false">IF($B750="","",IFERROR(INDEX(회원명부!$B$3:$B$502,MATCH($B750,회원명부!$A$3:$A$502,0)),"미등록회원"))</f>
        <v/>
      </c>
      <c r="D750" s="10"/>
      <c r="E750" s="16" t="str">
        <f aca="false">IF($D750="","",IF($J750="환불",0,IFERROR(INDEX(상품목록!$B$3:$B$102,MATCH($D750,상품목록!$A$3:$A$102,0)),0)))</f>
        <v/>
      </c>
      <c r="F750" s="16" t="str">
        <f aca="false">IF($D750="","",IFERROR(INDEX(상품목록!$C$3:$C$102,MATCH($D750,상품목록!$A$3:$A$102,0)),0))</f>
        <v/>
      </c>
      <c r="G750" s="17" t="str">
        <f aca="false">IF(OR($A750="",$F750=""),"",$A750+$F750)</f>
        <v/>
      </c>
      <c r="H750" s="16" t="str">
        <f aca="false">IF($D750="","",IF($J750="환불",0,IFERROR(INDEX(상품목록!$D$3:$D$102,MATCH($D750,상품목록!$A$3:$A$102,0)),0)))</f>
        <v/>
      </c>
      <c r="I750" s="10"/>
      <c r="J750" s="10"/>
      <c r="K750" s="10"/>
    </row>
    <row r="751" customFormat="false" ht="15" hidden="false" customHeight="true" outlineLevel="0" collapsed="false">
      <c r="A751" s="12"/>
      <c r="B751" s="10"/>
      <c r="C751" s="15" t="str">
        <f aca="false">IF($B751="","",IFERROR(INDEX(회원명부!$B$3:$B$502,MATCH($B751,회원명부!$A$3:$A$502,0)),"미등록회원"))</f>
        <v/>
      </c>
      <c r="D751" s="10"/>
      <c r="E751" s="16" t="str">
        <f aca="false">IF($D751="","",IF($J751="환불",0,IFERROR(INDEX(상품목록!$B$3:$B$102,MATCH($D751,상품목록!$A$3:$A$102,0)),0)))</f>
        <v/>
      </c>
      <c r="F751" s="16" t="str">
        <f aca="false">IF($D751="","",IFERROR(INDEX(상품목록!$C$3:$C$102,MATCH($D751,상품목록!$A$3:$A$102,0)),0))</f>
        <v/>
      </c>
      <c r="G751" s="17" t="str">
        <f aca="false">IF(OR($A751="",$F751=""),"",$A751+$F751)</f>
        <v/>
      </c>
      <c r="H751" s="16" t="str">
        <f aca="false">IF($D751="","",IF($J751="환불",0,IFERROR(INDEX(상품목록!$D$3:$D$102,MATCH($D751,상품목록!$A$3:$A$102,0)),0)))</f>
        <v/>
      </c>
      <c r="I751" s="10"/>
      <c r="J751" s="10"/>
      <c r="K751" s="10"/>
    </row>
    <row r="752" customFormat="false" ht="15" hidden="false" customHeight="true" outlineLevel="0" collapsed="false">
      <c r="A752" s="12"/>
      <c r="B752" s="10"/>
      <c r="C752" s="15" t="str">
        <f aca="false">IF($B752="","",IFERROR(INDEX(회원명부!$B$3:$B$502,MATCH($B752,회원명부!$A$3:$A$502,0)),"미등록회원"))</f>
        <v/>
      </c>
      <c r="D752" s="10"/>
      <c r="E752" s="16" t="str">
        <f aca="false">IF($D752="","",IF($J752="환불",0,IFERROR(INDEX(상품목록!$B$3:$B$102,MATCH($D752,상품목록!$A$3:$A$102,0)),0)))</f>
        <v/>
      </c>
      <c r="F752" s="16" t="str">
        <f aca="false">IF($D752="","",IFERROR(INDEX(상품목록!$C$3:$C$102,MATCH($D752,상품목록!$A$3:$A$102,0)),0))</f>
        <v/>
      </c>
      <c r="G752" s="17" t="str">
        <f aca="false">IF(OR($A752="",$F752=""),"",$A752+$F752)</f>
        <v/>
      </c>
      <c r="H752" s="16" t="str">
        <f aca="false">IF($D752="","",IF($J752="환불",0,IFERROR(INDEX(상품목록!$D$3:$D$102,MATCH($D752,상품목록!$A$3:$A$102,0)),0)))</f>
        <v/>
      </c>
      <c r="I752" s="10"/>
      <c r="J752" s="10"/>
      <c r="K752" s="10"/>
    </row>
    <row r="753" customFormat="false" ht="15" hidden="false" customHeight="true" outlineLevel="0" collapsed="false">
      <c r="A753" s="12"/>
      <c r="B753" s="10"/>
      <c r="C753" s="15" t="str">
        <f aca="false">IF($B753="","",IFERROR(INDEX(회원명부!$B$3:$B$502,MATCH($B753,회원명부!$A$3:$A$502,0)),"미등록회원"))</f>
        <v/>
      </c>
      <c r="D753" s="10"/>
      <c r="E753" s="16" t="str">
        <f aca="false">IF($D753="","",IF($J753="환불",0,IFERROR(INDEX(상품목록!$B$3:$B$102,MATCH($D753,상품목록!$A$3:$A$102,0)),0)))</f>
        <v/>
      </c>
      <c r="F753" s="16" t="str">
        <f aca="false">IF($D753="","",IFERROR(INDEX(상품목록!$C$3:$C$102,MATCH($D753,상품목록!$A$3:$A$102,0)),0))</f>
        <v/>
      </c>
      <c r="G753" s="17" t="str">
        <f aca="false">IF(OR($A753="",$F753=""),"",$A753+$F753)</f>
        <v/>
      </c>
      <c r="H753" s="16" t="str">
        <f aca="false">IF($D753="","",IF($J753="환불",0,IFERROR(INDEX(상품목록!$D$3:$D$102,MATCH($D753,상품목록!$A$3:$A$102,0)),0)))</f>
        <v/>
      </c>
      <c r="I753" s="10"/>
      <c r="J753" s="10"/>
      <c r="K753" s="10"/>
    </row>
    <row r="754" customFormat="false" ht="15" hidden="false" customHeight="true" outlineLevel="0" collapsed="false">
      <c r="A754" s="12"/>
      <c r="B754" s="10"/>
      <c r="C754" s="15" t="str">
        <f aca="false">IF($B754="","",IFERROR(INDEX(회원명부!$B$3:$B$502,MATCH($B754,회원명부!$A$3:$A$502,0)),"미등록회원"))</f>
        <v/>
      </c>
      <c r="D754" s="10"/>
      <c r="E754" s="16" t="str">
        <f aca="false">IF($D754="","",IF($J754="환불",0,IFERROR(INDEX(상품목록!$B$3:$B$102,MATCH($D754,상품목록!$A$3:$A$102,0)),0)))</f>
        <v/>
      </c>
      <c r="F754" s="16" t="str">
        <f aca="false">IF($D754="","",IFERROR(INDEX(상품목록!$C$3:$C$102,MATCH($D754,상품목록!$A$3:$A$102,0)),0))</f>
        <v/>
      </c>
      <c r="G754" s="17" t="str">
        <f aca="false">IF(OR($A754="",$F754=""),"",$A754+$F754)</f>
        <v/>
      </c>
      <c r="H754" s="16" t="str">
        <f aca="false">IF($D754="","",IF($J754="환불",0,IFERROR(INDEX(상품목록!$D$3:$D$102,MATCH($D754,상품목록!$A$3:$A$102,0)),0)))</f>
        <v/>
      </c>
      <c r="I754" s="10"/>
      <c r="J754" s="10"/>
      <c r="K754" s="10"/>
    </row>
    <row r="755" customFormat="false" ht="15" hidden="false" customHeight="true" outlineLevel="0" collapsed="false">
      <c r="A755" s="12"/>
      <c r="B755" s="10"/>
      <c r="C755" s="15" t="str">
        <f aca="false">IF($B755="","",IFERROR(INDEX(회원명부!$B$3:$B$502,MATCH($B755,회원명부!$A$3:$A$502,0)),"미등록회원"))</f>
        <v/>
      </c>
      <c r="D755" s="10"/>
      <c r="E755" s="16" t="str">
        <f aca="false">IF($D755="","",IF($J755="환불",0,IFERROR(INDEX(상품목록!$B$3:$B$102,MATCH($D755,상품목록!$A$3:$A$102,0)),0)))</f>
        <v/>
      </c>
      <c r="F755" s="16" t="str">
        <f aca="false">IF($D755="","",IFERROR(INDEX(상품목록!$C$3:$C$102,MATCH($D755,상품목록!$A$3:$A$102,0)),0))</f>
        <v/>
      </c>
      <c r="G755" s="17" t="str">
        <f aca="false">IF(OR($A755="",$F755=""),"",$A755+$F755)</f>
        <v/>
      </c>
      <c r="H755" s="16" t="str">
        <f aca="false">IF($D755="","",IF($J755="환불",0,IFERROR(INDEX(상품목록!$D$3:$D$102,MATCH($D755,상품목록!$A$3:$A$102,0)),0)))</f>
        <v/>
      </c>
      <c r="I755" s="10"/>
      <c r="J755" s="10"/>
      <c r="K755" s="10"/>
    </row>
    <row r="756" customFormat="false" ht="15" hidden="false" customHeight="true" outlineLevel="0" collapsed="false">
      <c r="A756" s="12"/>
      <c r="B756" s="10"/>
      <c r="C756" s="15" t="str">
        <f aca="false">IF($B756="","",IFERROR(INDEX(회원명부!$B$3:$B$502,MATCH($B756,회원명부!$A$3:$A$502,0)),"미등록회원"))</f>
        <v/>
      </c>
      <c r="D756" s="10"/>
      <c r="E756" s="16" t="str">
        <f aca="false">IF($D756="","",IF($J756="환불",0,IFERROR(INDEX(상품목록!$B$3:$B$102,MATCH($D756,상품목록!$A$3:$A$102,0)),0)))</f>
        <v/>
      </c>
      <c r="F756" s="16" t="str">
        <f aca="false">IF($D756="","",IFERROR(INDEX(상품목록!$C$3:$C$102,MATCH($D756,상품목록!$A$3:$A$102,0)),0))</f>
        <v/>
      </c>
      <c r="G756" s="17" t="str">
        <f aca="false">IF(OR($A756="",$F756=""),"",$A756+$F756)</f>
        <v/>
      </c>
      <c r="H756" s="16" t="str">
        <f aca="false">IF($D756="","",IF($J756="환불",0,IFERROR(INDEX(상품목록!$D$3:$D$102,MATCH($D756,상품목록!$A$3:$A$102,0)),0)))</f>
        <v/>
      </c>
      <c r="I756" s="10"/>
      <c r="J756" s="10"/>
      <c r="K756" s="10"/>
    </row>
    <row r="757" customFormat="false" ht="15" hidden="false" customHeight="true" outlineLevel="0" collapsed="false">
      <c r="A757" s="12"/>
      <c r="B757" s="10"/>
      <c r="C757" s="15" t="str">
        <f aca="false">IF($B757="","",IFERROR(INDEX(회원명부!$B$3:$B$502,MATCH($B757,회원명부!$A$3:$A$502,0)),"미등록회원"))</f>
        <v/>
      </c>
      <c r="D757" s="10"/>
      <c r="E757" s="16" t="str">
        <f aca="false">IF($D757="","",IF($J757="환불",0,IFERROR(INDEX(상품목록!$B$3:$B$102,MATCH($D757,상품목록!$A$3:$A$102,0)),0)))</f>
        <v/>
      </c>
      <c r="F757" s="16" t="str">
        <f aca="false">IF($D757="","",IFERROR(INDEX(상품목록!$C$3:$C$102,MATCH($D757,상품목록!$A$3:$A$102,0)),0))</f>
        <v/>
      </c>
      <c r="G757" s="17" t="str">
        <f aca="false">IF(OR($A757="",$F757=""),"",$A757+$F757)</f>
        <v/>
      </c>
      <c r="H757" s="16" t="str">
        <f aca="false">IF($D757="","",IF($J757="환불",0,IFERROR(INDEX(상품목록!$D$3:$D$102,MATCH($D757,상품목록!$A$3:$A$102,0)),0)))</f>
        <v/>
      </c>
      <c r="I757" s="10"/>
      <c r="J757" s="10"/>
      <c r="K757" s="10"/>
    </row>
    <row r="758" customFormat="false" ht="15" hidden="false" customHeight="true" outlineLevel="0" collapsed="false">
      <c r="A758" s="12"/>
      <c r="B758" s="10"/>
      <c r="C758" s="15" t="str">
        <f aca="false">IF($B758="","",IFERROR(INDEX(회원명부!$B$3:$B$502,MATCH($B758,회원명부!$A$3:$A$502,0)),"미등록회원"))</f>
        <v/>
      </c>
      <c r="D758" s="10"/>
      <c r="E758" s="16" t="str">
        <f aca="false">IF($D758="","",IF($J758="환불",0,IFERROR(INDEX(상품목록!$B$3:$B$102,MATCH($D758,상품목록!$A$3:$A$102,0)),0)))</f>
        <v/>
      </c>
      <c r="F758" s="16" t="str">
        <f aca="false">IF($D758="","",IFERROR(INDEX(상품목록!$C$3:$C$102,MATCH($D758,상품목록!$A$3:$A$102,0)),0))</f>
        <v/>
      </c>
      <c r="G758" s="17" t="str">
        <f aca="false">IF(OR($A758="",$F758=""),"",$A758+$F758)</f>
        <v/>
      </c>
      <c r="H758" s="16" t="str">
        <f aca="false">IF($D758="","",IF($J758="환불",0,IFERROR(INDEX(상품목록!$D$3:$D$102,MATCH($D758,상품목록!$A$3:$A$102,0)),0)))</f>
        <v/>
      </c>
      <c r="I758" s="10"/>
      <c r="J758" s="10"/>
      <c r="K758" s="10"/>
    </row>
    <row r="759" customFormat="false" ht="15" hidden="false" customHeight="true" outlineLevel="0" collapsed="false">
      <c r="A759" s="12"/>
      <c r="B759" s="10"/>
      <c r="C759" s="15" t="str">
        <f aca="false">IF($B759="","",IFERROR(INDEX(회원명부!$B$3:$B$502,MATCH($B759,회원명부!$A$3:$A$502,0)),"미등록회원"))</f>
        <v/>
      </c>
      <c r="D759" s="10"/>
      <c r="E759" s="16" t="str">
        <f aca="false">IF($D759="","",IF($J759="환불",0,IFERROR(INDEX(상품목록!$B$3:$B$102,MATCH($D759,상품목록!$A$3:$A$102,0)),0)))</f>
        <v/>
      </c>
      <c r="F759" s="16" t="str">
        <f aca="false">IF($D759="","",IFERROR(INDEX(상품목록!$C$3:$C$102,MATCH($D759,상품목록!$A$3:$A$102,0)),0))</f>
        <v/>
      </c>
      <c r="G759" s="17" t="str">
        <f aca="false">IF(OR($A759="",$F759=""),"",$A759+$F759)</f>
        <v/>
      </c>
      <c r="H759" s="16" t="str">
        <f aca="false">IF($D759="","",IF($J759="환불",0,IFERROR(INDEX(상품목록!$D$3:$D$102,MATCH($D759,상품목록!$A$3:$A$102,0)),0)))</f>
        <v/>
      </c>
      <c r="I759" s="10"/>
      <c r="J759" s="10"/>
      <c r="K759" s="10"/>
    </row>
    <row r="760" customFormat="false" ht="15" hidden="false" customHeight="true" outlineLevel="0" collapsed="false">
      <c r="A760" s="12"/>
      <c r="B760" s="10"/>
      <c r="C760" s="15" t="str">
        <f aca="false">IF($B760="","",IFERROR(INDEX(회원명부!$B$3:$B$502,MATCH($B760,회원명부!$A$3:$A$502,0)),"미등록회원"))</f>
        <v/>
      </c>
      <c r="D760" s="10"/>
      <c r="E760" s="16" t="str">
        <f aca="false">IF($D760="","",IF($J760="환불",0,IFERROR(INDEX(상품목록!$B$3:$B$102,MATCH($D760,상품목록!$A$3:$A$102,0)),0)))</f>
        <v/>
      </c>
      <c r="F760" s="16" t="str">
        <f aca="false">IF($D760="","",IFERROR(INDEX(상품목록!$C$3:$C$102,MATCH($D760,상품목록!$A$3:$A$102,0)),0))</f>
        <v/>
      </c>
      <c r="G760" s="17" t="str">
        <f aca="false">IF(OR($A760="",$F760=""),"",$A760+$F760)</f>
        <v/>
      </c>
      <c r="H760" s="16" t="str">
        <f aca="false">IF($D760="","",IF($J760="환불",0,IFERROR(INDEX(상품목록!$D$3:$D$102,MATCH($D760,상품목록!$A$3:$A$102,0)),0)))</f>
        <v/>
      </c>
      <c r="I760" s="10"/>
      <c r="J760" s="10"/>
      <c r="K760" s="10"/>
    </row>
    <row r="761" customFormat="false" ht="15" hidden="false" customHeight="true" outlineLevel="0" collapsed="false">
      <c r="A761" s="12"/>
      <c r="B761" s="10"/>
      <c r="C761" s="15" t="str">
        <f aca="false">IF($B761="","",IFERROR(INDEX(회원명부!$B$3:$B$502,MATCH($B761,회원명부!$A$3:$A$502,0)),"미등록회원"))</f>
        <v/>
      </c>
      <c r="D761" s="10"/>
      <c r="E761" s="16" t="str">
        <f aca="false">IF($D761="","",IF($J761="환불",0,IFERROR(INDEX(상품목록!$B$3:$B$102,MATCH($D761,상품목록!$A$3:$A$102,0)),0)))</f>
        <v/>
      </c>
      <c r="F761" s="16" t="str">
        <f aca="false">IF($D761="","",IFERROR(INDEX(상품목록!$C$3:$C$102,MATCH($D761,상품목록!$A$3:$A$102,0)),0))</f>
        <v/>
      </c>
      <c r="G761" s="17" t="str">
        <f aca="false">IF(OR($A761="",$F761=""),"",$A761+$F761)</f>
        <v/>
      </c>
      <c r="H761" s="16" t="str">
        <f aca="false">IF($D761="","",IF($J761="환불",0,IFERROR(INDEX(상품목록!$D$3:$D$102,MATCH($D761,상품목록!$A$3:$A$102,0)),0)))</f>
        <v/>
      </c>
      <c r="I761" s="10"/>
      <c r="J761" s="10"/>
      <c r="K761" s="10"/>
    </row>
    <row r="762" customFormat="false" ht="15" hidden="false" customHeight="true" outlineLevel="0" collapsed="false">
      <c r="A762" s="12"/>
      <c r="B762" s="10"/>
      <c r="C762" s="15" t="str">
        <f aca="false">IF($B762="","",IFERROR(INDEX(회원명부!$B$3:$B$502,MATCH($B762,회원명부!$A$3:$A$502,0)),"미등록회원"))</f>
        <v/>
      </c>
      <c r="D762" s="10"/>
      <c r="E762" s="16" t="str">
        <f aca="false">IF($D762="","",IF($J762="환불",0,IFERROR(INDEX(상품목록!$B$3:$B$102,MATCH($D762,상품목록!$A$3:$A$102,0)),0)))</f>
        <v/>
      </c>
      <c r="F762" s="16" t="str">
        <f aca="false">IF($D762="","",IFERROR(INDEX(상품목록!$C$3:$C$102,MATCH($D762,상품목록!$A$3:$A$102,0)),0))</f>
        <v/>
      </c>
      <c r="G762" s="17" t="str">
        <f aca="false">IF(OR($A762="",$F762=""),"",$A762+$F762)</f>
        <v/>
      </c>
      <c r="H762" s="16" t="str">
        <f aca="false">IF($D762="","",IF($J762="환불",0,IFERROR(INDEX(상품목록!$D$3:$D$102,MATCH($D762,상품목록!$A$3:$A$102,0)),0)))</f>
        <v/>
      </c>
      <c r="I762" s="10"/>
      <c r="J762" s="10"/>
      <c r="K762" s="10"/>
    </row>
    <row r="763" customFormat="false" ht="15" hidden="false" customHeight="true" outlineLevel="0" collapsed="false">
      <c r="A763" s="12"/>
      <c r="B763" s="10"/>
      <c r="C763" s="15" t="str">
        <f aca="false">IF($B763="","",IFERROR(INDEX(회원명부!$B$3:$B$502,MATCH($B763,회원명부!$A$3:$A$502,0)),"미등록회원"))</f>
        <v/>
      </c>
      <c r="D763" s="10"/>
      <c r="E763" s="16" t="str">
        <f aca="false">IF($D763="","",IF($J763="환불",0,IFERROR(INDEX(상품목록!$B$3:$B$102,MATCH($D763,상품목록!$A$3:$A$102,0)),0)))</f>
        <v/>
      </c>
      <c r="F763" s="16" t="str">
        <f aca="false">IF($D763="","",IFERROR(INDEX(상품목록!$C$3:$C$102,MATCH($D763,상품목록!$A$3:$A$102,0)),0))</f>
        <v/>
      </c>
      <c r="G763" s="17" t="str">
        <f aca="false">IF(OR($A763="",$F763=""),"",$A763+$F763)</f>
        <v/>
      </c>
      <c r="H763" s="16" t="str">
        <f aca="false">IF($D763="","",IF($J763="환불",0,IFERROR(INDEX(상품목록!$D$3:$D$102,MATCH($D763,상품목록!$A$3:$A$102,0)),0)))</f>
        <v/>
      </c>
      <c r="I763" s="10"/>
      <c r="J763" s="10"/>
      <c r="K763" s="10"/>
    </row>
    <row r="764" customFormat="false" ht="15" hidden="false" customHeight="true" outlineLevel="0" collapsed="false">
      <c r="A764" s="12"/>
      <c r="B764" s="10"/>
      <c r="C764" s="15" t="str">
        <f aca="false">IF($B764="","",IFERROR(INDEX(회원명부!$B$3:$B$502,MATCH($B764,회원명부!$A$3:$A$502,0)),"미등록회원"))</f>
        <v/>
      </c>
      <c r="D764" s="10"/>
      <c r="E764" s="16" t="str">
        <f aca="false">IF($D764="","",IF($J764="환불",0,IFERROR(INDEX(상품목록!$B$3:$B$102,MATCH($D764,상품목록!$A$3:$A$102,0)),0)))</f>
        <v/>
      </c>
      <c r="F764" s="16" t="str">
        <f aca="false">IF($D764="","",IFERROR(INDEX(상품목록!$C$3:$C$102,MATCH($D764,상품목록!$A$3:$A$102,0)),0))</f>
        <v/>
      </c>
      <c r="G764" s="17" t="str">
        <f aca="false">IF(OR($A764="",$F764=""),"",$A764+$F764)</f>
        <v/>
      </c>
      <c r="H764" s="16" t="str">
        <f aca="false">IF($D764="","",IF($J764="환불",0,IFERROR(INDEX(상품목록!$D$3:$D$102,MATCH($D764,상품목록!$A$3:$A$102,0)),0)))</f>
        <v/>
      </c>
      <c r="I764" s="10"/>
      <c r="J764" s="10"/>
      <c r="K764" s="10"/>
    </row>
    <row r="765" customFormat="false" ht="15" hidden="false" customHeight="true" outlineLevel="0" collapsed="false">
      <c r="A765" s="12"/>
      <c r="B765" s="10"/>
      <c r="C765" s="15" t="str">
        <f aca="false">IF($B765="","",IFERROR(INDEX(회원명부!$B$3:$B$502,MATCH($B765,회원명부!$A$3:$A$502,0)),"미등록회원"))</f>
        <v/>
      </c>
      <c r="D765" s="10"/>
      <c r="E765" s="16" t="str">
        <f aca="false">IF($D765="","",IF($J765="환불",0,IFERROR(INDEX(상품목록!$B$3:$B$102,MATCH($D765,상품목록!$A$3:$A$102,0)),0)))</f>
        <v/>
      </c>
      <c r="F765" s="16" t="str">
        <f aca="false">IF($D765="","",IFERROR(INDEX(상품목록!$C$3:$C$102,MATCH($D765,상품목록!$A$3:$A$102,0)),0))</f>
        <v/>
      </c>
      <c r="G765" s="17" t="str">
        <f aca="false">IF(OR($A765="",$F765=""),"",$A765+$F765)</f>
        <v/>
      </c>
      <c r="H765" s="16" t="str">
        <f aca="false">IF($D765="","",IF($J765="환불",0,IFERROR(INDEX(상품목록!$D$3:$D$102,MATCH($D765,상품목록!$A$3:$A$102,0)),0)))</f>
        <v/>
      </c>
      <c r="I765" s="10"/>
      <c r="J765" s="10"/>
      <c r="K765" s="10"/>
    </row>
    <row r="766" customFormat="false" ht="15" hidden="false" customHeight="true" outlineLevel="0" collapsed="false">
      <c r="A766" s="12"/>
      <c r="B766" s="10"/>
      <c r="C766" s="15" t="str">
        <f aca="false">IF($B766="","",IFERROR(INDEX(회원명부!$B$3:$B$502,MATCH($B766,회원명부!$A$3:$A$502,0)),"미등록회원"))</f>
        <v/>
      </c>
      <c r="D766" s="10"/>
      <c r="E766" s="16" t="str">
        <f aca="false">IF($D766="","",IF($J766="환불",0,IFERROR(INDEX(상품목록!$B$3:$B$102,MATCH($D766,상품목록!$A$3:$A$102,0)),0)))</f>
        <v/>
      </c>
      <c r="F766" s="16" t="str">
        <f aca="false">IF($D766="","",IFERROR(INDEX(상품목록!$C$3:$C$102,MATCH($D766,상품목록!$A$3:$A$102,0)),0))</f>
        <v/>
      </c>
      <c r="G766" s="17" t="str">
        <f aca="false">IF(OR($A766="",$F766=""),"",$A766+$F766)</f>
        <v/>
      </c>
      <c r="H766" s="16" t="str">
        <f aca="false">IF($D766="","",IF($J766="환불",0,IFERROR(INDEX(상품목록!$D$3:$D$102,MATCH($D766,상품목록!$A$3:$A$102,0)),0)))</f>
        <v/>
      </c>
      <c r="I766" s="10"/>
      <c r="J766" s="10"/>
      <c r="K766" s="10"/>
    </row>
    <row r="767" customFormat="false" ht="15" hidden="false" customHeight="true" outlineLevel="0" collapsed="false">
      <c r="A767" s="12"/>
      <c r="B767" s="10"/>
      <c r="C767" s="15" t="str">
        <f aca="false">IF($B767="","",IFERROR(INDEX(회원명부!$B$3:$B$502,MATCH($B767,회원명부!$A$3:$A$502,0)),"미등록회원"))</f>
        <v/>
      </c>
      <c r="D767" s="10"/>
      <c r="E767" s="16" t="str">
        <f aca="false">IF($D767="","",IF($J767="환불",0,IFERROR(INDEX(상품목록!$B$3:$B$102,MATCH($D767,상품목록!$A$3:$A$102,0)),0)))</f>
        <v/>
      </c>
      <c r="F767" s="16" t="str">
        <f aca="false">IF($D767="","",IFERROR(INDEX(상품목록!$C$3:$C$102,MATCH($D767,상품목록!$A$3:$A$102,0)),0))</f>
        <v/>
      </c>
      <c r="G767" s="17" t="str">
        <f aca="false">IF(OR($A767="",$F767=""),"",$A767+$F767)</f>
        <v/>
      </c>
      <c r="H767" s="16" t="str">
        <f aca="false">IF($D767="","",IF($J767="환불",0,IFERROR(INDEX(상품목록!$D$3:$D$102,MATCH($D767,상품목록!$A$3:$A$102,0)),0)))</f>
        <v/>
      </c>
      <c r="I767" s="10"/>
      <c r="J767" s="10"/>
      <c r="K767" s="10"/>
    </row>
    <row r="768" customFormat="false" ht="15" hidden="false" customHeight="true" outlineLevel="0" collapsed="false">
      <c r="A768" s="12"/>
      <c r="B768" s="10"/>
      <c r="C768" s="15" t="str">
        <f aca="false">IF($B768="","",IFERROR(INDEX(회원명부!$B$3:$B$502,MATCH($B768,회원명부!$A$3:$A$502,0)),"미등록회원"))</f>
        <v/>
      </c>
      <c r="D768" s="10"/>
      <c r="E768" s="16" t="str">
        <f aca="false">IF($D768="","",IF($J768="환불",0,IFERROR(INDEX(상품목록!$B$3:$B$102,MATCH($D768,상품목록!$A$3:$A$102,0)),0)))</f>
        <v/>
      </c>
      <c r="F768" s="16" t="str">
        <f aca="false">IF($D768="","",IFERROR(INDEX(상품목록!$C$3:$C$102,MATCH($D768,상품목록!$A$3:$A$102,0)),0))</f>
        <v/>
      </c>
      <c r="G768" s="17" t="str">
        <f aca="false">IF(OR($A768="",$F768=""),"",$A768+$F768)</f>
        <v/>
      </c>
      <c r="H768" s="16" t="str">
        <f aca="false">IF($D768="","",IF($J768="환불",0,IFERROR(INDEX(상품목록!$D$3:$D$102,MATCH($D768,상품목록!$A$3:$A$102,0)),0)))</f>
        <v/>
      </c>
      <c r="I768" s="10"/>
      <c r="J768" s="10"/>
      <c r="K768" s="10"/>
    </row>
    <row r="769" customFormat="false" ht="15" hidden="false" customHeight="true" outlineLevel="0" collapsed="false">
      <c r="A769" s="12"/>
      <c r="B769" s="10"/>
      <c r="C769" s="15" t="str">
        <f aca="false">IF($B769="","",IFERROR(INDEX(회원명부!$B$3:$B$502,MATCH($B769,회원명부!$A$3:$A$502,0)),"미등록회원"))</f>
        <v/>
      </c>
      <c r="D769" s="10"/>
      <c r="E769" s="16" t="str">
        <f aca="false">IF($D769="","",IF($J769="환불",0,IFERROR(INDEX(상품목록!$B$3:$B$102,MATCH($D769,상품목록!$A$3:$A$102,0)),0)))</f>
        <v/>
      </c>
      <c r="F769" s="16" t="str">
        <f aca="false">IF($D769="","",IFERROR(INDEX(상품목록!$C$3:$C$102,MATCH($D769,상품목록!$A$3:$A$102,0)),0))</f>
        <v/>
      </c>
      <c r="G769" s="17" t="str">
        <f aca="false">IF(OR($A769="",$F769=""),"",$A769+$F769)</f>
        <v/>
      </c>
      <c r="H769" s="16" t="str">
        <f aca="false">IF($D769="","",IF($J769="환불",0,IFERROR(INDEX(상품목록!$D$3:$D$102,MATCH($D769,상품목록!$A$3:$A$102,0)),0)))</f>
        <v/>
      </c>
      <c r="I769" s="10"/>
      <c r="J769" s="10"/>
      <c r="K769" s="10"/>
    </row>
    <row r="770" customFormat="false" ht="15" hidden="false" customHeight="true" outlineLevel="0" collapsed="false">
      <c r="A770" s="12"/>
      <c r="B770" s="10"/>
      <c r="C770" s="15" t="str">
        <f aca="false">IF($B770="","",IFERROR(INDEX(회원명부!$B$3:$B$502,MATCH($B770,회원명부!$A$3:$A$502,0)),"미등록회원"))</f>
        <v/>
      </c>
      <c r="D770" s="10"/>
      <c r="E770" s="16" t="str">
        <f aca="false">IF($D770="","",IF($J770="환불",0,IFERROR(INDEX(상품목록!$B$3:$B$102,MATCH($D770,상품목록!$A$3:$A$102,0)),0)))</f>
        <v/>
      </c>
      <c r="F770" s="16" t="str">
        <f aca="false">IF($D770="","",IFERROR(INDEX(상품목록!$C$3:$C$102,MATCH($D770,상품목록!$A$3:$A$102,0)),0))</f>
        <v/>
      </c>
      <c r="G770" s="17" t="str">
        <f aca="false">IF(OR($A770="",$F770=""),"",$A770+$F770)</f>
        <v/>
      </c>
      <c r="H770" s="16" t="str">
        <f aca="false">IF($D770="","",IF($J770="환불",0,IFERROR(INDEX(상품목록!$D$3:$D$102,MATCH($D770,상품목록!$A$3:$A$102,0)),0)))</f>
        <v/>
      </c>
      <c r="I770" s="10"/>
      <c r="J770" s="10"/>
      <c r="K770" s="10"/>
    </row>
    <row r="771" customFormat="false" ht="15" hidden="false" customHeight="true" outlineLevel="0" collapsed="false">
      <c r="A771" s="12"/>
      <c r="B771" s="10"/>
      <c r="C771" s="15" t="str">
        <f aca="false">IF($B771="","",IFERROR(INDEX(회원명부!$B$3:$B$502,MATCH($B771,회원명부!$A$3:$A$502,0)),"미등록회원"))</f>
        <v/>
      </c>
      <c r="D771" s="10"/>
      <c r="E771" s="16" t="str">
        <f aca="false">IF($D771="","",IF($J771="환불",0,IFERROR(INDEX(상품목록!$B$3:$B$102,MATCH($D771,상품목록!$A$3:$A$102,0)),0)))</f>
        <v/>
      </c>
      <c r="F771" s="16" t="str">
        <f aca="false">IF($D771="","",IFERROR(INDEX(상품목록!$C$3:$C$102,MATCH($D771,상품목록!$A$3:$A$102,0)),0))</f>
        <v/>
      </c>
      <c r="G771" s="17" t="str">
        <f aca="false">IF(OR($A771="",$F771=""),"",$A771+$F771)</f>
        <v/>
      </c>
      <c r="H771" s="16" t="str">
        <f aca="false">IF($D771="","",IF($J771="환불",0,IFERROR(INDEX(상품목록!$D$3:$D$102,MATCH($D771,상품목록!$A$3:$A$102,0)),0)))</f>
        <v/>
      </c>
      <c r="I771" s="10"/>
      <c r="J771" s="10"/>
      <c r="K771" s="10"/>
    </row>
    <row r="772" customFormat="false" ht="15" hidden="false" customHeight="true" outlineLevel="0" collapsed="false">
      <c r="A772" s="12"/>
      <c r="B772" s="10"/>
      <c r="C772" s="15" t="str">
        <f aca="false">IF($B772="","",IFERROR(INDEX(회원명부!$B$3:$B$502,MATCH($B772,회원명부!$A$3:$A$502,0)),"미등록회원"))</f>
        <v/>
      </c>
      <c r="D772" s="10"/>
      <c r="E772" s="16" t="str">
        <f aca="false">IF($D772="","",IF($J772="환불",0,IFERROR(INDEX(상품목록!$B$3:$B$102,MATCH($D772,상품목록!$A$3:$A$102,0)),0)))</f>
        <v/>
      </c>
      <c r="F772" s="16" t="str">
        <f aca="false">IF($D772="","",IFERROR(INDEX(상품목록!$C$3:$C$102,MATCH($D772,상품목록!$A$3:$A$102,0)),0))</f>
        <v/>
      </c>
      <c r="G772" s="17" t="str">
        <f aca="false">IF(OR($A772="",$F772=""),"",$A772+$F772)</f>
        <v/>
      </c>
      <c r="H772" s="16" t="str">
        <f aca="false">IF($D772="","",IF($J772="환불",0,IFERROR(INDEX(상품목록!$D$3:$D$102,MATCH($D772,상품목록!$A$3:$A$102,0)),0)))</f>
        <v/>
      </c>
      <c r="I772" s="10"/>
      <c r="J772" s="10"/>
      <c r="K772" s="10"/>
    </row>
    <row r="773" customFormat="false" ht="15" hidden="false" customHeight="true" outlineLevel="0" collapsed="false">
      <c r="A773" s="12"/>
      <c r="B773" s="10"/>
      <c r="C773" s="15" t="str">
        <f aca="false">IF($B773="","",IFERROR(INDEX(회원명부!$B$3:$B$502,MATCH($B773,회원명부!$A$3:$A$502,0)),"미등록회원"))</f>
        <v/>
      </c>
      <c r="D773" s="10"/>
      <c r="E773" s="16" t="str">
        <f aca="false">IF($D773="","",IF($J773="환불",0,IFERROR(INDEX(상품목록!$B$3:$B$102,MATCH($D773,상품목록!$A$3:$A$102,0)),0)))</f>
        <v/>
      </c>
      <c r="F773" s="16" t="str">
        <f aca="false">IF($D773="","",IFERROR(INDEX(상품목록!$C$3:$C$102,MATCH($D773,상품목록!$A$3:$A$102,0)),0))</f>
        <v/>
      </c>
      <c r="G773" s="17" t="str">
        <f aca="false">IF(OR($A773="",$F773=""),"",$A773+$F773)</f>
        <v/>
      </c>
      <c r="H773" s="16" t="str">
        <f aca="false">IF($D773="","",IF($J773="환불",0,IFERROR(INDEX(상품목록!$D$3:$D$102,MATCH($D773,상품목록!$A$3:$A$102,0)),0)))</f>
        <v/>
      </c>
      <c r="I773" s="10"/>
      <c r="J773" s="10"/>
      <c r="K773" s="10"/>
    </row>
    <row r="774" customFormat="false" ht="15" hidden="false" customHeight="true" outlineLevel="0" collapsed="false">
      <c r="A774" s="12"/>
      <c r="B774" s="10"/>
      <c r="C774" s="15" t="str">
        <f aca="false">IF($B774="","",IFERROR(INDEX(회원명부!$B$3:$B$502,MATCH($B774,회원명부!$A$3:$A$502,0)),"미등록회원"))</f>
        <v/>
      </c>
      <c r="D774" s="10"/>
      <c r="E774" s="16" t="str">
        <f aca="false">IF($D774="","",IF($J774="환불",0,IFERROR(INDEX(상품목록!$B$3:$B$102,MATCH($D774,상품목록!$A$3:$A$102,0)),0)))</f>
        <v/>
      </c>
      <c r="F774" s="16" t="str">
        <f aca="false">IF($D774="","",IFERROR(INDEX(상품목록!$C$3:$C$102,MATCH($D774,상품목록!$A$3:$A$102,0)),0))</f>
        <v/>
      </c>
      <c r="G774" s="17" t="str">
        <f aca="false">IF(OR($A774="",$F774=""),"",$A774+$F774)</f>
        <v/>
      </c>
      <c r="H774" s="16" t="str">
        <f aca="false">IF($D774="","",IF($J774="환불",0,IFERROR(INDEX(상품목록!$D$3:$D$102,MATCH($D774,상품목록!$A$3:$A$102,0)),0)))</f>
        <v/>
      </c>
      <c r="I774" s="10"/>
      <c r="J774" s="10"/>
      <c r="K774" s="10"/>
    </row>
    <row r="775" customFormat="false" ht="15" hidden="false" customHeight="true" outlineLevel="0" collapsed="false">
      <c r="A775" s="12"/>
      <c r="B775" s="10"/>
      <c r="C775" s="15" t="str">
        <f aca="false">IF($B775="","",IFERROR(INDEX(회원명부!$B$3:$B$502,MATCH($B775,회원명부!$A$3:$A$502,0)),"미등록회원"))</f>
        <v/>
      </c>
      <c r="D775" s="10"/>
      <c r="E775" s="16" t="str">
        <f aca="false">IF($D775="","",IF($J775="환불",0,IFERROR(INDEX(상품목록!$B$3:$B$102,MATCH($D775,상품목록!$A$3:$A$102,0)),0)))</f>
        <v/>
      </c>
      <c r="F775" s="16" t="str">
        <f aca="false">IF($D775="","",IFERROR(INDEX(상품목록!$C$3:$C$102,MATCH($D775,상품목록!$A$3:$A$102,0)),0))</f>
        <v/>
      </c>
      <c r="G775" s="17" t="str">
        <f aca="false">IF(OR($A775="",$F775=""),"",$A775+$F775)</f>
        <v/>
      </c>
      <c r="H775" s="16" t="str">
        <f aca="false">IF($D775="","",IF($J775="환불",0,IFERROR(INDEX(상품목록!$D$3:$D$102,MATCH($D775,상품목록!$A$3:$A$102,0)),0)))</f>
        <v/>
      </c>
      <c r="I775" s="10"/>
      <c r="J775" s="10"/>
      <c r="K775" s="10"/>
    </row>
    <row r="776" customFormat="false" ht="15" hidden="false" customHeight="true" outlineLevel="0" collapsed="false">
      <c r="A776" s="12"/>
      <c r="B776" s="10"/>
      <c r="C776" s="15" t="str">
        <f aca="false">IF($B776="","",IFERROR(INDEX(회원명부!$B$3:$B$502,MATCH($B776,회원명부!$A$3:$A$502,0)),"미등록회원"))</f>
        <v/>
      </c>
      <c r="D776" s="10"/>
      <c r="E776" s="16" t="str">
        <f aca="false">IF($D776="","",IF($J776="환불",0,IFERROR(INDEX(상품목록!$B$3:$B$102,MATCH($D776,상품목록!$A$3:$A$102,0)),0)))</f>
        <v/>
      </c>
      <c r="F776" s="16" t="str">
        <f aca="false">IF($D776="","",IFERROR(INDEX(상품목록!$C$3:$C$102,MATCH($D776,상품목록!$A$3:$A$102,0)),0))</f>
        <v/>
      </c>
      <c r="G776" s="17" t="str">
        <f aca="false">IF(OR($A776="",$F776=""),"",$A776+$F776)</f>
        <v/>
      </c>
      <c r="H776" s="16" t="str">
        <f aca="false">IF($D776="","",IF($J776="환불",0,IFERROR(INDEX(상품목록!$D$3:$D$102,MATCH($D776,상품목록!$A$3:$A$102,0)),0)))</f>
        <v/>
      </c>
      <c r="I776" s="10"/>
      <c r="J776" s="10"/>
      <c r="K776" s="10"/>
    </row>
    <row r="777" customFormat="false" ht="15" hidden="false" customHeight="true" outlineLevel="0" collapsed="false">
      <c r="A777" s="12"/>
      <c r="B777" s="10"/>
      <c r="C777" s="15" t="str">
        <f aca="false">IF($B777="","",IFERROR(INDEX(회원명부!$B$3:$B$502,MATCH($B777,회원명부!$A$3:$A$502,0)),"미등록회원"))</f>
        <v/>
      </c>
      <c r="D777" s="10"/>
      <c r="E777" s="16" t="str">
        <f aca="false">IF($D777="","",IF($J777="환불",0,IFERROR(INDEX(상품목록!$B$3:$B$102,MATCH($D777,상품목록!$A$3:$A$102,0)),0)))</f>
        <v/>
      </c>
      <c r="F777" s="16" t="str">
        <f aca="false">IF($D777="","",IFERROR(INDEX(상품목록!$C$3:$C$102,MATCH($D777,상품목록!$A$3:$A$102,0)),0))</f>
        <v/>
      </c>
      <c r="G777" s="17" t="str">
        <f aca="false">IF(OR($A777="",$F777=""),"",$A777+$F777)</f>
        <v/>
      </c>
      <c r="H777" s="16" t="str">
        <f aca="false">IF($D777="","",IF($J777="환불",0,IFERROR(INDEX(상품목록!$D$3:$D$102,MATCH($D777,상품목록!$A$3:$A$102,0)),0)))</f>
        <v/>
      </c>
      <c r="I777" s="10"/>
      <c r="J777" s="10"/>
      <c r="K777" s="10"/>
    </row>
    <row r="778" customFormat="false" ht="15" hidden="false" customHeight="true" outlineLevel="0" collapsed="false">
      <c r="A778" s="12"/>
      <c r="B778" s="10"/>
      <c r="C778" s="15" t="str">
        <f aca="false">IF($B778="","",IFERROR(INDEX(회원명부!$B$3:$B$502,MATCH($B778,회원명부!$A$3:$A$502,0)),"미등록회원"))</f>
        <v/>
      </c>
      <c r="D778" s="10"/>
      <c r="E778" s="16" t="str">
        <f aca="false">IF($D778="","",IF($J778="환불",0,IFERROR(INDEX(상품목록!$B$3:$B$102,MATCH($D778,상품목록!$A$3:$A$102,0)),0)))</f>
        <v/>
      </c>
      <c r="F778" s="16" t="str">
        <f aca="false">IF($D778="","",IFERROR(INDEX(상품목록!$C$3:$C$102,MATCH($D778,상품목록!$A$3:$A$102,0)),0))</f>
        <v/>
      </c>
      <c r="G778" s="17" t="str">
        <f aca="false">IF(OR($A778="",$F778=""),"",$A778+$F778)</f>
        <v/>
      </c>
      <c r="H778" s="16" t="str">
        <f aca="false">IF($D778="","",IF($J778="환불",0,IFERROR(INDEX(상품목록!$D$3:$D$102,MATCH($D778,상품목록!$A$3:$A$102,0)),0)))</f>
        <v/>
      </c>
      <c r="I778" s="10"/>
      <c r="J778" s="10"/>
      <c r="K778" s="10"/>
    </row>
    <row r="779" customFormat="false" ht="15" hidden="false" customHeight="true" outlineLevel="0" collapsed="false">
      <c r="A779" s="12"/>
      <c r="B779" s="10"/>
      <c r="C779" s="15" t="str">
        <f aca="false">IF($B779="","",IFERROR(INDEX(회원명부!$B$3:$B$502,MATCH($B779,회원명부!$A$3:$A$502,0)),"미등록회원"))</f>
        <v/>
      </c>
      <c r="D779" s="10"/>
      <c r="E779" s="16" t="str">
        <f aca="false">IF($D779="","",IF($J779="환불",0,IFERROR(INDEX(상품목록!$B$3:$B$102,MATCH($D779,상품목록!$A$3:$A$102,0)),0)))</f>
        <v/>
      </c>
      <c r="F779" s="16" t="str">
        <f aca="false">IF($D779="","",IFERROR(INDEX(상품목록!$C$3:$C$102,MATCH($D779,상품목록!$A$3:$A$102,0)),0))</f>
        <v/>
      </c>
      <c r="G779" s="17" t="str">
        <f aca="false">IF(OR($A779="",$F779=""),"",$A779+$F779)</f>
        <v/>
      </c>
      <c r="H779" s="16" t="str">
        <f aca="false">IF($D779="","",IF($J779="환불",0,IFERROR(INDEX(상품목록!$D$3:$D$102,MATCH($D779,상품목록!$A$3:$A$102,0)),0)))</f>
        <v/>
      </c>
      <c r="I779" s="10"/>
      <c r="J779" s="10"/>
      <c r="K779" s="10"/>
    </row>
    <row r="780" customFormat="false" ht="15" hidden="false" customHeight="true" outlineLevel="0" collapsed="false">
      <c r="A780" s="12"/>
      <c r="B780" s="10"/>
      <c r="C780" s="15" t="str">
        <f aca="false">IF($B780="","",IFERROR(INDEX(회원명부!$B$3:$B$502,MATCH($B780,회원명부!$A$3:$A$502,0)),"미등록회원"))</f>
        <v/>
      </c>
      <c r="D780" s="10"/>
      <c r="E780" s="16" t="str">
        <f aca="false">IF($D780="","",IF($J780="환불",0,IFERROR(INDEX(상품목록!$B$3:$B$102,MATCH($D780,상품목록!$A$3:$A$102,0)),0)))</f>
        <v/>
      </c>
      <c r="F780" s="16" t="str">
        <f aca="false">IF($D780="","",IFERROR(INDEX(상품목록!$C$3:$C$102,MATCH($D780,상품목록!$A$3:$A$102,0)),0))</f>
        <v/>
      </c>
      <c r="G780" s="17" t="str">
        <f aca="false">IF(OR($A780="",$F780=""),"",$A780+$F780)</f>
        <v/>
      </c>
      <c r="H780" s="16" t="str">
        <f aca="false">IF($D780="","",IF($J780="환불",0,IFERROR(INDEX(상품목록!$D$3:$D$102,MATCH($D780,상품목록!$A$3:$A$102,0)),0)))</f>
        <v/>
      </c>
      <c r="I780" s="10"/>
      <c r="J780" s="10"/>
      <c r="K780" s="10"/>
    </row>
    <row r="781" customFormat="false" ht="15" hidden="false" customHeight="true" outlineLevel="0" collapsed="false">
      <c r="A781" s="12"/>
      <c r="B781" s="10"/>
      <c r="C781" s="15" t="str">
        <f aca="false">IF($B781="","",IFERROR(INDEX(회원명부!$B$3:$B$502,MATCH($B781,회원명부!$A$3:$A$502,0)),"미등록회원"))</f>
        <v/>
      </c>
      <c r="D781" s="10"/>
      <c r="E781" s="16" t="str">
        <f aca="false">IF($D781="","",IF($J781="환불",0,IFERROR(INDEX(상품목록!$B$3:$B$102,MATCH($D781,상품목록!$A$3:$A$102,0)),0)))</f>
        <v/>
      </c>
      <c r="F781" s="16" t="str">
        <f aca="false">IF($D781="","",IFERROR(INDEX(상품목록!$C$3:$C$102,MATCH($D781,상품목록!$A$3:$A$102,0)),0))</f>
        <v/>
      </c>
      <c r="G781" s="17" t="str">
        <f aca="false">IF(OR($A781="",$F781=""),"",$A781+$F781)</f>
        <v/>
      </c>
      <c r="H781" s="16" t="str">
        <f aca="false">IF($D781="","",IF($J781="환불",0,IFERROR(INDEX(상품목록!$D$3:$D$102,MATCH($D781,상품목록!$A$3:$A$102,0)),0)))</f>
        <v/>
      </c>
      <c r="I781" s="10"/>
      <c r="J781" s="10"/>
      <c r="K781" s="10"/>
    </row>
    <row r="782" customFormat="false" ht="15" hidden="false" customHeight="true" outlineLevel="0" collapsed="false">
      <c r="A782" s="12"/>
      <c r="B782" s="10"/>
      <c r="C782" s="15" t="str">
        <f aca="false">IF($B782="","",IFERROR(INDEX(회원명부!$B$3:$B$502,MATCH($B782,회원명부!$A$3:$A$502,0)),"미등록회원"))</f>
        <v/>
      </c>
      <c r="D782" s="10"/>
      <c r="E782" s="16" t="str">
        <f aca="false">IF($D782="","",IF($J782="환불",0,IFERROR(INDEX(상품목록!$B$3:$B$102,MATCH($D782,상품목록!$A$3:$A$102,0)),0)))</f>
        <v/>
      </c>
      <c r="F782" s="16" t="str">
        <f aca="false">IF($D782="","",IFERROR(INDEX(상품목록!$C$3:$C$102,MATCH($D782,상품목록!$A$3:$A$102,0)),0))</f>
        <v/>
      </c>
      <c r="G782" s="17" t="str">
        <f aca="false">IF(OR($A782="",$F782=""),"",$A782+$F782)</f>
        <v/>
      </c>
      <c r="H782" s="16" t="str">
        <f aca="false">IF($D782="","",IF($J782="환불",0,IFERROR(INDEX(상품목록!$D$3:$D$102,MATCH($D782,상품목록!$A$3:$A$102,0)),0)))</f>
        <v/>
      </c>
      <c r="I782" s="10"/>
      <c r="J782" s="10"/>
      <c r="K782" s="10"/>
    </row>
    <row r="783" customFormat="false" ht="15" hidden="false" customHeight="true" outlineLevel="0" collapsed="false">
      <c r="A783" s="12"/>
      <c r="B783" s="10"/>
      <c r="C783" s="15" t="str">
        <f aca="false">IF($B783="","",IFERROR(INDEX(회원명부!$B$3:$B$502,MATCH($B783,회원명부!$A$3:$A$502,0)),"미등록회원"))</f>
        <v/>
      </c>
      <c r="D783" s="10"/>
      <c r="E783" s="16" t="str">
        <f aca="false">IF($D783="","",IF($J783="환불",0,IFERROR(INDEX(상품목록!$B$3:$B$102,MATCH($D783,상품목록!$A$3:$A$102,0)),0)))</f>
        <v/>
      </c>
      <c r="F783" s="16" t="str">
        <f aca="false">IF($D783="","",IFERROR(INDEX(상품목록!$C$3:$C$102,MATCH($D783,상품목록!$A$3:$A$102,0)),0))</f>
        <v/>
      </c>
      <c r="G783" s="17" t="str">
        <f aca="false">IF(OR($A783="",$F783=""),"",$A783+$F783)</f>
        <v/>
      </c>
      <c r="H783" s="16" t="str">
        <f aca="false">IF($D783="","",IF($J783="환불",0,IFERROR(INDEX(상품목록!$D$3:$D$102,MATCH($D783,상품목록!$A$3:$A$102,0)),0)))</f>
        <v/>
      </c>
      <c r="I783" s="10"/>
      <c r="J783" s="10"/>
      <c r="K783" s="10"/>
    </row>
    <row r="784" customFormat="false" ht="15" hidden="false" customHeight="true" outlineLevel="0" collapsed="false">
      <c r="A784" s="12"/>
      <c r="B784" s="10"/>
      <c r="C784" s="15" t="str">
        <f aca="false">IF($B784="","",IFERROR(INDEX(회원명부!$B$3:$B$502,MATCH($B784,회원명부!$A$3:$A$502,0)),"미등록회원"))</f>
        <v/>
      </c>
      <c r="D784" s="10"/>
      <c r="E784" s="16" t="str">
        <f aca="false">IF($D784="","",IF($J784="환불",0,IFERROR(INDEX(상품목록!$B$3:$B$102,MATCH($D784,상품목록!$A$3:$A$102,0)),0)))</f>
        <v/>
      </c>
      <c r="F784" s="16" t="str">
        <f aca="false">IF($D784="","",IFERROR(INDEX(상품목록!$C$3:$C$102,MATCH($D784,상품목록!$A$3:$A$102,0)),0))</f>
        <v/>
      </c>
      <c r="G784" s="17" t="str">
        <f aca="false">IF(OR($A784="",$F784=""),"",$A784+$F784)</f>
        <v/>
      </c>
      <c r="H784" s="16" t="str">
        <f aca="false">IF($D784="","",IF($J784="환불",0,IFERROR(INDEX(상품목록!$D$3:$D$102,MATCH($D784,상품목록!$A$3:$A$102,0)),0)))</f>
        <v/>
      </c>
      <c r="I784" s="10"/>
      <c r="J784" s="10"/>
      <c r="K784" s="10"/>
    </row>
    <row r="785" customFormat="false" ht="15" hidden="false" customHeight="true" outlineLevel="0" collapsed="false">
      <c r="A785" s="12"/>
      <c r="B785" s="10"/>
      <c r="C785" s="15" t="str">
        <f aca="false">IF($B785="","",IFERROR(INDEX(회원명부!$B$3:$B$502,MATCH($B785,회원명부!$A$3:$A$502,0)),"미등록회원"))</f>
        <v/>
      </c>
      <c r="D785" s="10"/>
      <c r="E785" s="16" t="str">
        <f aca="false">IF($D785="","",IF($J785="환불",0,IFERROR(INDEX(상품목록!$B$3:$B$102,MATCH($D785,상품목록!$A$3:$A$102,0)),0)))</f>
        <v/>
      </c>
      <c r="F785" s="16" t="str">
        <f aca="false">IF($D785="","",IFERROR(INDEX(상품목록!$C$3:$C$102,MATCH($D785,상품목록!$A$3:$A$102,0)),0))</f>
        <v/>
      </c>
      <c r="G785" s="17" t="str">
        <f aca="false">IF(OR($A785="",$F785=""),"",$A785+$F785)</f>
        <v/>
      </c>
      <c r="H785" s="16" t="str">
        <f aca="false">IF($D785="","",IF($J785="환불",0,IFERROR(INDEX(상품목록!$D$3:$D$102,MATCH($D785,상품목록!$A$3:$A$102,0)),0)))</f>
        <v/>
      </c>
      <c r="I785" s="10"/>
      <c r="J785" s="10"/>
      <c r="K785" s="10"/>
    </row>
    <row r="786" customFormat="false" ht="15" hidden="false" customHeight="true" outlineLevel="0" collapsed="false">
      <c r="A786" s="12"/>
      <c r="B786" s="10"/>
      <c r="C786" s="15" t="str">
        <f aca="false">IF($B786="","",IFERROR(INDEX(회원명부!$B$3:$B$502,MATCH($B786,회원명부!$A$3:$A$502,0)),"미등록회원"))</f>
        <v/>
      </c>
      <c r="D786" s="10"/>
      <c r="E786" s="16" t="str">
        <f aca="false">IF($D786="","",IF($J786="환불",0,IFERROR(INDEX(상품목록!$B$3:$B$102,MATCH($D786,상품목록!$A$3:$A$102,0)),0)))</f>
        <v/>
      </c>
      <c r="F786" s="16" t="str">
        <f aca="false">IF($D786="","",IFERROR(INDEX(상품목록!$C$3:$C$102,MATCH($D786,상품목록!$A$3:$A$102,0)),0))</f>
        <v/>
      </c>
      <c r="G786" s="17" t="str">
        <f aca="false">IF(OR($A786="",$F786=""),"",$A786+$F786)</f>
        <v/>
      </c>
      <c r="H786" s="16" t="str">
        <f aca="false">IF($D786="","",IF($J786="환불",0,IFERROR(INDEX(상품목록!$D$3:$D$102,MATCH($D786,상품목록!$A$3:$A$102,0)),0)))</f>
        <v/>
      </c>
      <c r="I786" s="10"/>
      <c r="J786" s="10"/>
      <c r="K786" s="10"/>
    </row>
    <row r="787" customFormat="false" ht="15" hidden="false" customHeight="true" outlineLevel="0" collapsed="false">
      <c r="A787" s="12"/>
      <c r="B787" s="10"/>
      <c r="C787" s="15" t="str">
        <f aca="false">IF($B787="","",IFERROR(INDEX(회원명부!$B$3:$B$502,MATCH($B787,회원명부!$A$3:$A$502,0)),"미등록회원"))</f>
        <v/>
      </c>
      <c r="D787" s="10"/>
      <c r="E787" s="16" t="str">
        <f aca="false">IF($D787="","",IF($J787="환불",0,IFERROR(INDEX(상품목록!$B$3:$B$102,MATCH($D787,상품목록!$A$3:$A$102,0)),0)))</f>
        <v/>
      </c>
      <c r="F787" s="16" t="str">
        <f aca="false">IF($D787="","",IFERROR(INDEX(상품목록!$C$3:$C$102,MATCH($D787,상품목록!$A$3:$A$102,0)),0))</f>
        <v/>
      </c>
      <c r="G787" s="17" t="str">
        <f aca="false">IF(OR($A787="",$F787=""),"",$A787+$F787)</f>
        <v/>
      </c>
      <c r="H787" s="16" t="str">
        <f aca="false">IF($D787="","",IF($J787="환불",0,IFERROR(INDEX(상품목록!$D$3:$D$102,MATCH($D787,상품목록!$A$3:$A$102,0)),0)))</f>
        <v/>
      </c>
      <c r="I787" s="10"/>
      <c r="J787" s="10"/>
      <c r="K787" s="10"/>
    </row>
    <row r="788" customFormat="false" ht="15" hidden="false" customHeight="true" outlineLevel="0" collapsed="false">
      <c r="A788" s="12"/>
      <c r="B788" s="10"/>
      <c r="C788" s="15" t="str">
        <f aca="false">IF($B788="","",IFERROR(INDEX(회원명부!$B$3:$B$502,MATCH($B788,회원명부!$A$3:$A$502,0)),"미등록회원"))</f>
        <v/>
      </c>
      <c r="D788" s="10"/>
      <c r="E788" s="16" t="str">
        <f aca="false">IF($D788="","",IF($J788="환불",0,IFERROR(INDEX(상품목록!$B$3:$B$102,MATCH($D788,상품목록!$A$3:$A$102,0)),0)))</f>
        <v/>
      </c>
      <c r="F788" s="16" t="str">
        <f aca="false">IF($D788="","",IFERROR(INDEX(상품목록!$C$3:$C$102,MATCH($D788,상품목록!$A$3:$A$102,0)),0))</f>
        <v/>
      </c>
      <c r="G788" s="17" t="str">
        <f aca="false">IF(OR($A788="",$F788=""),"",$A788+$F788)</f>
        <v/>
      </c>
      <c r="H788" s="16" t="str">
        <f aca="false">IF($D788="","",IF($J788="환불",0,IFERROR(INDEX(상품목록!$D$3:$D$102,MATCH($D788,상품목록!$A$3:$A$102,0)),0)))</f>
        <v/>
      </c>
      <c r="I788" s="10"/>
      <c r="J788" s="10"/>
      <c r="K788" s="10"/>
    </row>
    <row r="789" customFormat="false" ht="15" hidden="false" customHeight="true" outlineLevel="0" collapsed="false">
      <c r="A789" s="12"/>
      <c r="B789" s="10"/>
      <c r="C789" s="15" t="str">
        <f aca="false">IF($B789="","",IFERROR(INDEX(회원명부!$B$3:$B$502,MATCH($B789,회원명부!$A$3:$A$502,0)),"미등록회원"))</f>
        <v/>
      </c>
      <c r="D789" s="10"/>
      <c r="E789" s="16" t="str">
        <f aca="false">IF($D789="","",IF($J789="환불",0,IFERROR(INDEX(상품목록!$B$3:$B$102,MATCH($D789,상품목록!$A$3:$A$102,0)),0)))</f>
        <v/>
      </c>
      <c r="F789" s="16" t="str">
        <f aca="false">IF($D789="","",IFERROR(INDEX(상품목록!$C$3:$C$102,MATCH($D789,상품목록!$A$3:$A$102,0)),0))</f>
        <v/>
      </c>
      <c r="G789" s="17" t="str">
        <f aca="false">IF(OR($A789="",$F789=""),"",$A789+$F789)</f>
        <v/>
      </c>
      <c r="H789" s="16" t="str">
        <f aca="false">IF($D789="","",IF($J789="환불",0,IFERROR(INDEX(상품목록!$D$3:$D$102,MATCH($D789,상품목록!$A$3:$A$102,0)),0)))</f>
        <v/>
      </c>
      <c r="I789" s="10"/>
      <c r="J789" s="10"/>
      <c r="K789" s="10"/>
    </row>
    <row r="790" customFormat="false" ht="15" hidden="false" customHeight="true" outlineLevel="0" collapsed="false">
      <c r="A790" s="12"/>
      <c r="B790" s="10"/>
      <c r="C790" s="15" t="str">
        <f aca="false">IF($B790="","",IFERROR(INDEX(회원명부!$B$3:$B$502,MATCH($B790,회원명부!$A$3:$A$502,0)),"미등록회원"))</f>
        <v/>
      </c>
      <c r="D790" s="10"/>
      <c r="E790" s="16" t="str">
        <f aca="false">IF($D790="","",IF($J790="환불",0,IFERROR(INDEX(상품목록!$B$3:$B$102,MATCH($D790,상품목록!$A$3:$A$102,0)),0)))</f>
        <v/>
      </c>
      <c r="F790" s="16" t="str">
        <f aca="false">IF($D790="","",IFERROR(INDEX(상품목록!$C$3:$C$102,MATCH($D790,상품목록!$A$3:$A$102,0)),0))</f>
        <v/>
      </c>
      <c r="G790" s="17" t="str">
        <f aca="false">IF(OR($A790="",$F790=""),"",$A790+$F790)</f>
        <v/>
      </c>
      <c r="H790" s="16" t="str">
        <f aca="false">IF($D790="","",IF($J790="환불",0,IFERROR(INDEX(상품목록!$D$3:$D$102,MATCH($D790,상품목록!$A$3:$A$102,0)),0)))</f>
        <v/>
      </c>
      <c r="I790" s="10"/>
      <c r="J790" s="10"/>
      <c r="K790" s="10"/>
    </row>
    <row r="791" customFormat="false" ht="15" hidden="false" customHeight="true" outlineLevel="0" collapsed="false">
      <c r="A791" s="12"/>
      <c r="B791" s="10"/>
      <c r="C791" s="15" t="str">
        <f aca="false">IF($B791="","",IFERROR(INDEX(회원명부!$B$3:$B$502,MATCH($B791,회원명부!$A$3:$A$502,0)),"미등록회원"))</f>
        <v/>
      </c>
      <c r="D791" s="10"/>
      <c r="E791" s="16" t="str">
        <f aca="false">IF($D791="","",IF($J791="환불",0,IFERROR(INDEX(상품목록!$B$3:$B$102,MATCH($D791,상품목록!$A$3:$A$102,0)),0)))</f>
        <v/>
      </c>
      <c r="F791" s="16" t="str">
        <f aca="false">IF($D791="","",IFERROR(INDEX(상품목록!$C$3:$C$102,MATCH($D791,상품목록!$A$3:$A$102,0)),0))</f>
        <v/>
      </c>
      <c r="G791" s="17" t="str">
        <f aca="false">IF(OR($A791="",$F791=""),"",$A791+$F791)</f>
        <v/>
      </c>
      <c r="H791" s="16" t="str">
        <f aca="false">IF($D791="","",IF($J791="환불",0,IFERROR(INDEX(상품목록!$D$3:$D$102,MATCH($D791,상품목록!$A$3:$A$102,0)),0)))</f>
        <v/>
      </c>
      <c r="I791" s="10"/>
      <c r="J791" s="10"/>
      <c r="K791" s="10"/>
    </row>
    <row r="792" customFormat="false" ht="15" hidden="false" customHeight="true" outlineLevel="0" collapsed="false">
      <c r="A792" s="12"/>
      <c r="B792" s="10"/>
      <c r="C792" s="15" t="str">
        <f aca="false">IF($B792="","",IFERROR(INDEX(회원명부!$B$3:$B$502,MATCH($B792,회원명부!$A$3:$A$502,0)),"미등록회원"))</f>
        <v/>
      </c>
      <c r="D792" s="10"/>
      <c r="E792" s="16" t="str">
        <f aca="false">IF($D792="","",IF($J792="환불",0,IFERROR(INDEX(상품목록!$B$3:$B$102,MATCH($D792,상품목록!$A$3:$A$102,0)),0)))</f>
        <v/>
      </c>
      <c r="F792" s="16" t="str">
        <f aca="false">IF($D792="","",IFERROR(INDEX(상품목록!$C$3:$C$102,MATCH($D792,상품목록!$A$3:$A$102,0)),0))</f>
        <v/>
      </c>
      <c r="G792" s="17" t="str">
        <f aca="false">IF(OR($A792="",$F792=""),"",$A792+$F792)</f>
        <v/>
      </c>
      <c r="H792" s="16" t="str">
        <f aca="false">IF($D792="","",IF($J792="환불",0,IFERROR(INDEX(상품목록!$D$3:$D$102,MATCH($D792,상품목록!$A$3:$A$102,0)),0)))</f>
        <v/>
      </c>
      <c r="I792" s="10"/>
      <c r="J792" s="10"/>
      <c r="K792" s="10"/>
    </row>
    <row r="793" customFormat="false" ht="15" hidden="false" customHeight="true" outlineLevel="0" collapsed="false">
      <c r="A793" s="12"/>
      <c r="B793" s="10"/>
      <c r="C793" s="15" t="str">
        <f aca="false">IF($B793="","",IFERROR(INDEX(회원명부!$B$3:$B$502,MATCH($B793,회원명부!$A$3:$A$502,0)),"미등록회원"))</f>
        <v/>
      </c>
      <c r="D793" s="10"/>
      <c r="E793" s="16" t="str">
        <f aca="false">IF($D793="","",IF($J793="환불",0,IFERROR(INDEX(상품목록!$B$3:$B$102,MATCH($D793,상품목록!$A$3:$A$102,0)),0)))</f>
        <v/>
      </c>
      <c r="F793" s="16" t="str">
        <f aca="false">IF($D793="","",IFERROR(INDEX(상품목록!$C$3:$C$102,MATCH($D793,상품목록!$A$3:$A$102,0)),0))</f>
        <v/>
      </c>
      <c r="G793" s="17" t="str">
        <f aca="false">IF(OR($A793="",$F793=""),"",$A793+$F793)</f>
        <v/>
      </c>
      <c r="H793" s="16" t="str">
        <f aca="false">IF($D793="","",IF($J793="환불",0,IFERROR(INDEX(상품목록!$D$3:$D$102,MATCH($D793,상품목록!$A$3:$A$102,0)),0)))</f>
        <v/>
      </c>
      <c r="I793" s="10"/>
      <c r="J793" s="10"/>
      <c r="K793" s="10"/>
    </row>
    <row r="794" customFormat="false" ht="15" hidden="false" customHeight="true" outlineLevel="0" collapsed="false">
      <c r="A794" s="12"/>
      <c r="B794" s="10"/>
      <c r="C794" s="15" t="str">
        <f aca="false">IF($B794="","",IFERROR(INDEX(회원명부!$B$3:$B$502,MATCH($B794,회원명부!$A$3:$A$502,0)),"미등록회원"))</f>
        <v/>
      </c>
      <c r="D794" s="10"/>
      <c r="E794" s="16" t="str">
        <f aca="false">IF($D794="","",IF($J794="환불",0,IFERROR(INDEX(상품목록!$B$3:$B$102,MATCH($D794,상품목록!$A$3:$A$102,0)),0)))</f>
        <v/>
      </c>
      <c r="F794" s="16" t="str">
        <f aca="false">IF($D794="","",IFERROR(INDEX(상품목록!$C$3:$C$102,MATCH($D794,상품목록!$A$3:$A$102,0)),0))</f>
        <v/>
      </c>
      <c r="G794" s="17" t="str">
        <f aca="false">IF(OR($A794="",$F794=""),"",$A794+$F794)</f>
        <v/>
      </c>
      <c r="H794" s="16" t="str">
        <f aca="false">IF($D794="","",IF($J794="환불",0,IFERROR(INDEX(상품목록!$D$3:$D$102,MATCH($D794,상품목록!$A$3:$A$102,0)),0)))</f>
        <v/>
      </c>
      <c r="I794" s="10"/>
      <c r="J794" s="10"/>
      <c r="K794" s="10"/>
    </row>
    <row r="795" customFormat="false" ht="15" hidden="false" customHeight="true" outlineLevel="0" collapsed="false">
      <c r="A795" s="12"/>
      <c r="B795" s="10"/>
      <c r="C795" s="15" t="str">
        <f aca="false">IF($B795="","",IFERROR(INDEX(회원명부!$B$3:$B$502,MATCH($B795,회원명부!$A$3:$A$502,0)),"미등록회원"))</f>
        <v/>
      </c>
      <c r="D795" s="10"/>
      <c r="E795" s="16" t="str">
        <f aca="false">IF($D795="","",IF($J795="환불",0,IFERROR(INDEX(상품목록!$B$3:$B$102,MATCH($D795,상품목록!$A$3:$A$102,0)),0)))</f>
        <v/>
      </c>
      <c r="F795" s="16" t="str">
        <f aca="false">IF($D795="","",IFERROR(INDEX(상품목록!$C$3:$C$102,MATCH($D795,상품목록!$A$3:$A$102,0)),0))</f>
        <v/>
      </c>
      <c r="G795" s="17" t="str">
        <f aca="false">IF(OR($A795="",$F795=""),"",$A795+$F795)</f>
        <v/>
      </c>
      <c r="H795" s="16" t="str">
        <f aca="false">IF($D795="","",IF($J795="환불",0,IFERROR(INDEX(상품목록!$D$3:$D$102,MATCH($D795,상품목록!$A$3:$A$102,0)),0)))</f>
        <v/>
      </c>
      <c r="I795" s="10"/>
      <c r="J795" s="10"/>
      <c r="K795" s="10"/>
    </row>
    <row r="796" customFormat="false" ht="15" hidden="false" customHeight="true" outlineLevel="0" collapsed="false">
      <c r="A796" s="12"/>
      <c r="B796" s="10"/>
      <c r="C796" s="15" t="str">
        <f aca="false">IF($B796="","",IFERROR(INDEX(회원명부!$B$3:$B$502,MATCH($B796,회원명부!$A$3:$A$502,0)),"미등록회원"))</f>
        <v/>
      </c>
      <c r="D796" s="10"/>
      <c r="E796" s="16" t="str">
        <f aca="false">IF($D796="","",IF($J796="환불",0,IFERROR(INDEX(상품목록!$B$3:$B$102,MATCH($D796,상품목록!$A$3:$A$102,0)),0)))</f>
        <v/>
      </c>
      <c r="F796" s="16" t="str">
        <f aca="false">IF($D796="","",IFERROR(INDEX(상품목록!$C$3:$C$102,MATCH($D796,상품목록!$A$3:$A$102,0)),0))</f>
        <v/>
      </c>
      <c r="G796" s="17" t="str">
        <f aca="false">IF(OR($A796="",$F796=""),"",$A796+$F796)</f>
        <v/>
      </c>
      <c r="H796" s="16" t="str">
        <f aca="false">IF($D796="","",IF($J796="환불",0,IFERROR(INDEX(상품목록!$D$3:$D$102,MATCH($D796,상품목록!$A$3:$A$102,0)),0)))</f>
        <v/>
      </c>
      <c r="I796" s="10"/>
      <c r="J796" s="10"/>
      <c r="K796" s="10"/>
    </row>
    <row r="797" customFormat="false" ht="15" hidden="false" customHeight="true" outlineLevel="0" collapsed="false">
      <c r="A797" s="12"/>
      <c r="B797" s="10"/>
      <c r="C797" s="15" t="str">
        <f aca="false">IF($B797="","",IFERROR(INDEX(회원명부!$B$3:$B$502,MATCH($B797,회원명부!$A$3:$A$502,0)),"미등록회원"))</f>
        <v/>
      </c>
      <c r="D797" s="10"/>
      <c r="E797" s="16" t="str">
        <f aca="false">IF($D797="","",IF($J797="환불",0,IFERROR(INDEX(상품목록!$B$3:$B$102,MATCH($D797,상품목록!$A$3:$A$102,0)),0)))</f>
        <v/>
      </c>
      <c r="F797" s="16" t="str">
        <f aca="false">IF($D797="","",IFERROR(INDEX(상품목록!$C$3:$C$102,MATCH($D797,상품목록!$A$3:$A$102,0)),0))</f>
        <v/>
      </c>
      <c r="G797" s="17" t="str">
        <f aca="false">IF(OR($A797="",$F797=""),"",$A797+$F797)</f>
        <v/>
      </c>
      <c r="H797" s="16" t="str">
        <f aca="false">IF($D797="","",IF($J797="환불",0,IFERROR(INDEX(상품목록!$D$3:$D$102,MATCH($D797,상품목록!$A$3:$A$102,0)),0)))</f>
        <v/>
      </c>
      <c r="I797" s="10"/>
      <c r="J797" s="10"/>
      <c r="K797" s="10"/>
    </row>
    <row r="798" customFormat="false" ht="15" hidden="false" customHeight="true" outlineLevel="0" collapsed="false">
      <c r="A798" s="12"/>
      <c r="B798" s="10"/>
      <c r="C798" s="15" t="str">
        <f aca="false">IF($B798="","",IFERROR(INDEX(회원명부!$B$3:$B$502,MATCH($B798,회원명부!$A$3:$A$502,0)),"미등록회원"))</f>
        <v/>
      </c>
      <c r="D798" s="10"/>
      <c r="E798" s="16" t="str">
        <f aca="false">IF($D798="","",IF($J798="환불",0,IFERROR(INDEX(상품목록!$B$3:$B$102,MATCH($D798,상품목록!$A$3:$A$102,0)),0)))</f>
        <v/>
      </c>
      <c r="F798" s="16" t="str">
        <f aca="false">IF($D798="","",IFERROR(INDEX(상품목록!$C$3:$C$102,MATCH($D798,상품목록!$A$3:$A$102,0)),0))</f>
        <v/>
      </c>
      <c r="G798" s="17" t="str">
        <f aca="false">IF(OR($A798="",$F798=""),"",$A798+$F798)</f>
        <v/>
      </c>
      <c r="H798" s="16" t="str">
        <f aca="false">IF($D798="","",IF($J798="환불",0,IFERROR(INDEX(상품목록!$D$3:$D$102,MATCH($D798,상품목록!$A$3:$A$102,0)),0)))</f>
        <v/>
      </c>
      <c r="I798" s="10"/>
      <c r="J798" s="10"/>
      <c r="K798" s="10"/>
    </row>
    <row r="799" customFormat="false" ht="15" hidden="false" customHeight="true" outlineLevel="0" collapsed="false">
      <c r="A799" s="12"/>
      <c r="B799" s="10"/>
      <c r="C799" s="15" t="str">
        <f aca="false">IF($B799="","",IFERROR(INDEX(회원명부!$B$3:$B$502,MATCH($B799,회원명부!$A$3:$A$502,0)),"미등록회원"))</f>
        <v/>
      </c>
      <c r="D799" s="10"/>
      <c r="E799" s="16" t="str">
        <f aca="false">IF($D799="","",IF($J799="환불",0,IFERROR(INDEX(상품목록!$B$3:$B$102,MATCH($D799,상품목록!$A$3:$A$102,0)),0)))</f>
        <v/>
      </c>
      <c r="F799" s="16" t="str">
        <f aca="false">IF($D799="","",IFERROR(INDEX(상품목록!$C$3:$C$102,MATCH($D799,상품목록!$A$3:$A$102,0)),0))</f>
        <v/>
      </c>
      <c r="G799" s="17" t="str">
        <f aca="false">IF(OR($A799="",$F799=""),"",$A799+$F799)</f>
        <v/>
      </c>
      <c r="H799" s="16" t="str">
        <f aca="false">IF($D799="","",IF($J799="환불",0,IFERROR(INDEX(상품목록!$D$3:$D$102,MATCH($D799,상품목록!$A$3:$A$102,0)),0)))</f>
        <v/>
      </c>
      <c r="I799" s="10"/>
      <c r="J799" s="10"/>
      <c r="K799" s="10"/>
    </row>
    <row r="800" customFormat="false" ht="15" hidden="false" customHeight="true" outlineLevel="0" collapsed="false">
      <c r="A800" s="12"/>
      <c r="B800" s="10"/>
      <c r="C800" s="15" t="str">
        <f aca="false">IF($B800="","",IFERROR(INDEX(회원명부!$B$3:$B$502,MATCH($B800,회원명부!$A$3:$A$502,0)),"미등록회원"))</f>
        <v/>
      </c>
      <c r="D800" s="10"/>
      <c r="E800" s="16" t="str">
        <f aca="false">IF($D800="","",IF($J800="환불",0,IFERROR(INDEX(상품목록!$B$3:$B$102,MATCH($D800,상품목록!$A$3:$A$102,0)),0)))</f>
        <v/>
      </c>
      <c r="F800" s="16" t="str">
        <f aca="false">IF($D800="","",IFERROR(INDEX(상품목록!$C$3:$C$102,MATCH($D800,상품목록!$A$3:$A$102,0)),0))</f>
        <v/>
      </c>
      <c r="G800" s="17" t="str">
        <f aca="false">IF(OR($A800="",$F800=""),"",$A800+$F800)</f>
        <v/>
      </c>
      <c r="H800" s="16" t="str">
        <f aca="false">IF($D800="","",IF($J800="환불",0,IFERROR(INDEX(상품목록!$D$3:$D$102,MATCH($D800,상품목록!$A$3:$A$102,0)),0)))</f>
        <v/>
      </c>
      <c r="I800" s="10"/>
      <c r="J800" s="10"/>
      <c r="K800" s="10"/>
    </row>
    <row r="801" customFormat="false" ht="15" hidden="false" customHeight="true" outlineLevel="0" collapsed="false">
      <c r="A801" s="12"/>
      <c r="B801" s="10"/>
      <c r="C801" s="15" t="str">
        <f aca="false">IF($B801="","",IFERROR(INDEX(회원명부!$B$3:$B$502,MATCH($B801,회원명부!$A$3:$A$502,0)),"미등록회원"))</f>
        <v/>
      </c>
      <c r="D801" s="10"/>
      <c r="E801" s="16" t="str">
        <f aca="false">IF($D801="","",IF($J801="환불",0,IFERROR(INDEX(상품목록!$B$3:$B$102,MATCH($D801,상품목록!$A$3:$A$102,0)),0)))</f>
        <v/>
      </c>
      <c r="F801" s="16" t="str">
        <f aca="false">IF($D801="","",IFERROR(INDEX(상품목록!$C$3:$C$102,MATCH($D801,상품목록!$A$3:$A$102,0)),0))</f>
        <v/>
      </c>
      <c r="G801" s="17" t="str">
        <f aca="false">IF(OR($A801="",$F801=""),"",$A801+$F801)</f>
        <v/>
      </c>
      <c r="H801" s="16" t="str">
        <f aca="false">IF($D801="","",IF($J801="환불",0,IFERROR(INDEX(상품목록!$D$3:$D$102,MATCH($D801,상품목록!$A$3:$A$102,0)),0)))</f>
        <v/>
      </c>
      <c r="I801" s="10"/>
      <c r="J801" s="10"/>
      <c r="K801" s="10"/>
    </row>
    <row r="802" customFormat="false" ht="15" hidden="false" customHeight="true" outlineLevel="0" collapsed="false">
      <c r="A802" s="12"/>
      <c r="B802" s="10"/>
      <c r="C802" s="15" t="str">
        <f aca="false">IF($B802="","",IFERROR(INDEX(회원명부!$B$3:$B$502,MATCH($B802,회원명부!$A$3:$A$502,0)),"미등록회원"))</f>
        <v/>
      </c>
      <c r="D802" s="10"/>
      <c r="E802" s="16" t="str">
        <f aca="false">IF($D802="","",IF($J802="환불",0,IFERROR(INDEX(상품목록!$B$3:$B$102,MATCH($D802,상품목록!$A$3:$A$102,0)),0)))</f>
        <v/>
      </c>
      <c r="F802" s="16" t="str">
        <f aca="false">IF($D802="","",IFERROR(INDEX(상품목록!$C$3:$C$102,MATCH($D802,상품목록!$A$3:$A$102,0)),0))</f>
        <v/>
      </c>
      <c r="G802" s="17" t="str">
        <f aca="false">IF(OR($A802="",$F802=""),"",$A802+$F802)</f>
        <v/>
      </c>
      <c r="H802" s="16" t="str">
        <f aca="false">IF($D802="","",IF($J802="환불",0,IFERROR(INDEX(상품목록!$D$3:$D$102,MATCH($D802,상품목록!$A$3:$A$102,0)),0)))</f>
        <v/>
      </c>
      <c r="I802" s="10"/>
      <c r="J802" s="10"/>
      <c r="K802" s="10"/>
    </row>
    <row r="803" customFormat="false" ht="15" hidden="false" customHeight="true" outlineLevel="0" collapsed="false">
      <c r="A803" s="12"/>
      <c r="B803" s="10"/>
      <c r="C803" s="15" t="str">
        <f aca="false">IF($B803="","",IFERROR(INDEX(회원명부!$B$3:$B$502,MATCH($B803,회원명부!$A$3:$A$502,0)),"미등록회원"))</f>
        <v/>
      </c>
      <c r="D803" s="10"/>
      <c r="E803" s="16" t="str">
        <f aca="false">IF($D803="","",IF($J803="환불",0,IFERROR(INDEX(상품목록!$B$3:$B$102,MATCH($D803,상품목록!$A$3:$A$102,0)),0)))</f>
        <v/>
      </c>
      <c r="F803" s="16" t="str">
        <f aca="false">IF($D803="","",IFERROR(INDEX(상품목록!$C$3:$C$102,MATCH($D803,상품목록!$A$3:$A$102,0)),0))</f>
        <v/>
      </c>
      <c r="G803" s="17" t="str">
        <f aca="false">IF(OR($A803="",$F803=""),"",$A803+$F803)</f>
        <v/>
      </c>
      <c r="H803" s="16" t="str">
        <f aca="false">IF($D803="","",IF($J803="환불",0,IFERROR(INDEX(상품목록!$D$3:$D$102,MATCH($D803,상품목록!$A$3:$A$102,0)),0)))</f>
        <v/>
      </c>
      <c r="I803" s="10"/>
      <c r="J803" s="10"/>
      <c r="K803" s="10"/>
    </row>
    <row r="804" customFormat="false" ht="15" hidden="false" customHeight="true" outlineLevel="0" collapsed="false">
      <c r="A804" s="12"/>
      <c r="B804" s="10"/>
      <c r="C804" s="15" t="str">
        <f aca="false">IF($B804="","",IFERROR(INDEX(회원명부!$B$3:$B$502,MATCH($B804,회원명부!$A$3:$A$502,0)),"미등록회원"))</f>
        <v/>
      </c>
      <c r="D804" s="10"/>
      <c r="E804" s="16" t="str">
        <f aca="false">IF($D804="","",IF($J804="환불",0,IFERROR(INDEX(상품목록!$B$3:$B$102,MATCH($D804,상품목록!$A$3:$A$102,0)),0)))</f>
        <v/>
      </c>
      <c r="F804" s="16" t="str">
        <f aca="false">IF($D804="","",IFERROR(INDEX(상품목록!$C$3:$C$102,MATCH($D804,상품목록!$A$3:$A$102,0)),0))</f>
        <v/>
      </c>
      <c r="G804" s="17" t="str">
        <f aca="false">IF(OR($A804="",$F804=""),"",$A804+$F804)</f>
        <v/>
      </c>
      <c r="H804" s="16" t="str">
        <f aca="false">IF($D804="","",IF($J804="환불",0,IFERROR(INDEX(상품목록!$D$3:$D$102,MATCH($D804,상품목록!$A$3:$A$102,0)),0)))</f>
        <v/>
      </c>
      <c r="I804" s="10"/>
      <c r="J804" s="10"/>
      <c r="K804" s="10"/>
    </row>
    <row r="805" customFormat="false" ht="15" hidden="false" customHeight="true" outlineLevel="0" collapsed="false">
      <c r="A805" s="12"/>
      <c r="B805" s="10"/>
      <c r="C805" s="15" t="str">
        <f aca="false">IF($B805="","",IFERROR(INDEX(회원명부!$B$3:$B$502,MATCH($B805,회원명부!$A$3:$A$502,0)),"미등록회원"))</f>
        <v/>
      </c>
      <c r="D805" s="10"/>
      <c r="E805" s="16" t="str">
        <f aca="false">IF($D805="","",IF($J805="환불",0,IFERROR(INDEX(상품목록!$B$3:$B$102,MATCH($D805,상품목록!$A$3:$A$102,0)),0)))</f>
        <v/>
      </c>
      <c r="F805" s="16" t="str">
        <f aca="false">IF($D805="","",IFERROR(INDEX(상품목록!$C$3:$C$102,MATCH($D805,상품목록!$A$3:$A$102,0)),0))</f>
        <v/>
      </c>
      <c r="G805" s="17" t="str">
        <f aca="false">IF(OR($A805="",$F805=""),"",$A805+$F805)</f>
        <v/>
      </c>
      <c r="H805" s="16" t="str">
        <f aca="false">IF($D805="","",IF($J805="환불",0,IFERROR(INDEX(상품목록!$D$3:$D$102,MATCH($D805,상품목록!$A$3:$A$102,0)),0)))</f>
        <v/>
      </c>
      <c r="I805" s="10"/>
      <c r="J805" s="10"/>
      <c r="K805" s="10"/>
    </row>
    <row r="806" customFormat="false" ht="15" hidden="false" customHeight="true" outlineLevel="0" collapsed="false">
      <c r="A806" s="12"/>
      <c r="B806" s="10"/>
      <c r="C806" s="15" t="str">
        <f aca="false">IF($B806="","",IFERROR(INDEX(회원명부!$B$3:$B$502,MATCH($B806,회원명부!$A$3:$A$502,0)),"미등록회원"))</f>
        <v/>
      </c>
      <c r="D806" s="10"/>
      <c r="E806" s="16" t="str">
        <f aca="false">IF($D806="","",IF($J806="환불",0,IFERROR(INDEX(상품목록!$B$3:$B$102,MATCH($D806,상품목록!$A$3:$A$102,0)),0)))</f>
        <v/>
      </c>
      <c r="F806" s="16" t="str">
        <f aca="false">IF($D806="","",IFERROR(INDEX(상품목록!$C$3:$C$102,MATCH($D806,상품목록!$A$3:$A$102,0)),0))</f>
        <v/>
      </c>
      <c r="G806" s="17" t="str">
        <f aca="false">IF(OR($A806="",$F806=""),"",$A806+$F806)</f>
        <v/>
      </c>
      <c r="H806" s="16" t="str">
        <f aca="false">IF($D806="","",IF($J806="환불",0,IFERROR(INDEX(상품목록!$D$3:$D$102,MATCH($D806,상품목록!$A$3:$A$102,0)),0)))</f>
        <v/>
      </c>
      <c r="I806" s="10"/>
      <c r="J806" s="10"/>
      <c r="K806" s="10"/>
    </row>
    <row r="807" customFormat="false" ht="15" hidden="false" customHeight="true" outlineLevel="0" collapsed="false">
      <c r="A807" s="12"/>
      <c r="B807" s="10"/>
      <c r="C807" s="15" t="str">
        <f aca="false">IF($B807="","",IFERROR(INDEX(회원명부!$B$3:$B$502,MATCH($B807,회원명부!$A$3:$A$502,0)),"미등록회원"))</f>
        <v/>
      </c>
      <c r="D807" s="10"/>
      <c r="E807" s="16" t="str">
        <f aca="false">IF($D807="","",IF($J807="환불",0,IFERROR(INDEX(상품목록!$B$3:$B$102,MATCH($D807,상품목록!$A$3:$A$102,0)),0)))</f>
        <v/>
      </c>
      <c r="F807" s="16" t="str">
        <f aca="false">IF($D807="","",IFERROR(INDEX(상품목록!$C$3:$C$102,MATCH($D807,상품목록!$A$3:$A$102,0)),0))</f>
        <v/>
      </c>
      <c r="G807" s="17" t="str">
        <f aca="false">IF(OR($A807="",$F807=""),"",$A807+$F807)</f>
        <v/>
      </c>
      <c r="H807" s="16" t="str">
        <f aca="false">IF($D807="","",IF($J807="환불",0,IFERROR(INDEX(상품목록!$D$3:$D$102,MATCH($D807,상품목록!$A$3:$A$102,0)),0)))</f>
        <v/>
      </c>
      <c r="I807" s="10"/>
      <c r="J807" s="10"/>
      <c r="K807" s="10"/>
    </row>
    <row r="808" customFormat="false" ht="15" hidden="false" customHeight="true" outlineLevel="0" collapsed="false">
      <c r="A808" s="12"/>
      <c r="B808" s="10"/>
      <c r="C808" s="15" t="str">
        <f aca="false">IF($B808="","",IFERROR(INDEX(회원명부!$B$3:$B$502,MATCH($B808,회원명부!$A$3:$A$502,0)),"미등록회원"))</f>
        <v/>
      </c>
      <c r="D808" s="10"/>
      <c r="E808" s="16" t="str">
        <f aca="false">IF($D808="","",IF($J808="환불",0,IFERROR(INDEX(상품목록!$B$3:$B$102,MATCH($D808,상품목록!$A$3:$A$102,0)),0)))</f>
        <v/>
      </c>
      <c r="F808" s="16" t="str">
        <f aca="false">IF($D808="","",IFERROR(INDEX(상품목록!$C$3:$C$102,MATCH($D808,상품목록!$A$3:$A$102,0)),0))</f>
        <v/>
      </c>
      <c r="G808" s="17" t="str">
        <f aca="false">IF(OR($A808="",$F808=""),"",$A808+$F808)</f>
        <v/>
      </c>
      <c r="H808" s="16" t="str">
        <f aca="false">IF($D808="","",IF($J808="환불",0,IFERROR(INDEX(상품목록!$D$3:$D$102,MATCH($D808,상품목록!$A$3:$A$102,0)),0)))</f>
        <v/>
      </c>
      <c r="I808" s="10"/>
      <c r="J808" s="10"/>
      <c r="K808" s="10"/>
    </row>
    <row r="809" customFormat="false" ht="15" hidden="false" customHeight="true" outlineLevel="0" collapsed="false">
      <c r="A809" s="12"/>
      <c r="B809" s="10"/>
      <c r="C809" s="15" t="str">
        <f aca="false">IF($B809="","",IFERROR(INDEX(회원명부!$B$3:$B$502,MATCH($B809,회원명부!$A$3:$A$502,0)),"미등록회원"))</f>
        <v/>
      </c>
      <c r="D809" s="10"/>
      <c r="E809" s="16" t="str">
        <f aca="false">IF($D809="","",IF($J809="환불",0,IFERROR(INDEX(상품목록!$B$3:$B$102,MATCH($D809,상품목록!$A$3:$A$102,0)),0)))</f>
        <v/>
      </c>
      <c r="F809" s="16" t="str">
        <f aca="false">IF($D809="","",IFERROR(INDEX(상품목록!$C$3:$C$102,MATCH($D809,상품목록!$A$3:$A$102,0)),0))</f>
        <v/>
      </c>
      <c r="G809" s="17" t="str">
        <f aca="false">IF(OR($A809="",$F809=""),"",$A809+$F809)</f>
        <v/>
      </c>
      <c r="H809" s="16" t="str">
        <f aca="false">IF($D809="","",IF($J809="환불",0,IFERROR(INDEX(상품목록!$D$3:$D$102,MATCH($D809,상품목록!$A$3:$A$102,0)),0)))</f>
        <v/>
      </c>
      <c r="I809" s="10"/>
      <c r="J809" s="10"/>
      <c r="K809" s="10"/>
    </row>
    <row r="810" customFormat="false" ht="15" hidden="false" customHeight="true" outlineLevel="0" collapsed="false">
      <c r="A810" s="12"/>
      <c r="B810" s="10"/>
      <c r="C810" s="15" t="str">
        <f aca="false">IF($B810="","",IFERROR(INDEX(회원명부!$B$3:$B$502,MATCH($B810,회원명부!$A$3:$A$502,0)),"미등록회원"))</f>
        <v/>
      </c>
      <c r="D810" s="10"/>
      <c r="E810" s="16" t="str">
        <f aca="false">IF($D810="","",IF($J810="환불",0,IFERROR(INDEX(상품목록!$B$3:$B$102,MATCH($D810,상품목록!$A$3:$A$102,0)),0)))</f>
        <v/>
      </c>
      <c r="F810" s="16" t="str">
        <f aca="false">IF($D810="","",IFERROR(INDEX(상품목록!$C$3:$C$102,MATCH($D810,상품목록!$A$3:$A$102,0)),0))</f>
        <v/>
      </c>
      <c r="G810" s="17" t="str">
        <f aca="false">IF(OR($A810="",$F810=""),"",$A810+$F810)</f>
        <v/>
      </c>
      <c r="H810" s="16" t="str">
        <f aca="false">IF($D810="","",IF($J810="환불",0,IFERROR(INDEX(상품목록!$D$3:$D$102,MATCH($D810,상품목록!$A$3:$A$102,0)),0)))</f>
        <v/>
      </c>
      <c r="I810" s="10"/>
      <c r="J810" s="10"/>
      <c r="K810" s="10"/>
    </row>
    <row r="811" customFormat="false" ht="15" hidden="false" customHeight="true" outlineLevel="0" collapsed="false">
      <c r="A811" s="12"/>
      <c r="B811" s="10"/>
      <c r="C811" s="15" t="str">
        <f aca="false">IF($B811="","",IFERROR(INDEX(회원명부!$B$3:$B$502,MATCH($B811,회원명부!$A$3:$A$502,0)),"미등록회원"))</f>
        <v/>
      </c>
      <c r="D811" s="10"/>
      <c r="E811" s="16" t="str">
        <f aca="false">IF($D811="","",IF($J811="환불",0,IFERROR(INDEX(상품목록!$B$3:$B$102,MATCH($D811,상품목록!$A$3:$A$102,0)),0)))</f>
        <v/>
      </c>
      <c r="F811" s="16" t="str">
        <f aca="false">IF($D811="","",IFERROR(INDEX(상품목록!$C$3:$C$102,MATCH($D811,상품목록!$A$3:$A$102,0)),0))</f>
        <v/>
      </c>
      <c r="G811" s="17" t="str">
        <f aca="false">IF(OR($A811="",$F811=""),"",$A811+$F811)</f>
        <v/>
      </c>
      <c r="H811" s="16" t="str">
        <f aca="false">IF($D811="","",IF($J811="환불",0,IFERROR(INDEX(상품목록!$D$3:$D$102,MATCH($D811,상품목록!$A$3:$A$102,0)),0)))</f>
        <v/>
      </c>
      <c r="I811" s="10"/>
      <c r="J811" s="10"/>
      <c r="K811" s="10"/>
    </row>
    <row r="812" customFormat="false" ht="15" hidden="false" customHeight="true" outlineLevel="0" collapsed="false">
      <c r="A812" s="12"/>
      <c r="B812" s="10"/>
      <c r="C812" s="15" t="str">
        <f aca="false">IF($B812="","",IFERROR(INDEX(회원명부!$B$3:$B$502,MATCH($B812,회원명부!$A$3:$A$502,0)),"미등록회원"))</f>
        <v/>
      </c>
      <c r="D812" s="10"/>
      <c r="E812" s="16" t="str">
        <f aca="false">IF($D812="","",IF($J812="환불",0,IFERROR(INDEX(상품목록!$B$3:$B$102,MATCH($D812,상품목록!$A$3:$A$102,0)),0)))</f>
        <v/>
      </c>
      <c r="F812" s="16" t="str">
        <f aca="false">IF($D812="","",IFERROR(INDEX(상품목록!$C$3:$C$102,MATCH($D812,상품목록!$A$3:$A$102,0)),0))</f>
        <v/>
      </c>
      <c r="G812" s="17" t="str">
        <f aca="false">IF(OR($A812="",$F812=""),"",$A812+$F812)</f>
        <v/>
      </c>
      <c r="H812" s="16" t="str">
        <f aca="false">IF($D812="","",IF($J812="환불",0,IFERROR(INDEX(상품목록!$D$3:$D$102,MATCH($D812,상품목록!$A$3:$A$102,0)),0)))</f>
        <v/>
      </c>
      <c r="I812" s="10"/>
      <c r="J812" s="10"/>
      <c r="K812" s="10"/>
    </row>
    <row r="813" customFormat="false" ht="15" hidden="false" customHeight="true" outlineLevel="0" collapsed="false">
      <c r="A813" s="12"/>
      <c r="B813" s="10"/>
      <c r="C813" s="15" t="str">
        <f aca="false">IF($B813="","",IFERROR(INDEX(회원명부!$B$3:$B$502,MATCH($B813,회원명부!$A$3:$A$502,0)),"미등록회원"))</f>
        <v/>
      </c>
      <c r="D813" s="10"/>
      <c r="E813" s="16" t="str">
        <f aca="false">IF($D813="","",IF($J813="환불",0,IFERROR(INDEX(상품목록!$B$3:$B$102,MATCH($D813,상품목록!$A$3:$A$102,0)),0)))</f>
        <v/>
      </c>
      <c r="F813" s="16" t="str">
        <f aca="false">IF($D813="","",IFERROR(INDEX(상품목록!$C$3:$C$102,MATCH($D813,상품목록!$A$3:$A$102,0)),0))</f>
        <v/>
      </c>
      <c r="G813" s="17" t="str">
        <f aca="false">IF(OR($A813="",$F813=""),"",$A813+$F813)</f>
        <v/>
      </c>
      <c r="H813" s="16" t="str">
        <f aca="false">IF($D813="","",IF($J813="환불",0,IFERROR(INDEX(상품목록!$D$3:$D$102,MATCH($D813,상품목록!$A$3:$A$102,0)),0)))</f>
        <v/>
      </c>
      <c r="I813" s="10"/>
      <c r="J813" s="10"/>
      <c r="K813" s="10"/>
    </row>
    <row r="814" customFormat="false" ht="15" hidden="false" customHeight="true" outlineLevel="0" collapsed="false">
      <c r="A814" s="12"/>
      <c r="B814" s="10"/>
      <c r="C814" s="15" t="str">
        <f aca="false">IF($B814="","",IFERROR(INDEX(회원명부!$B$3:$B$502,MATCH($B814,회원명부!$A$3:$A$502,0)),"미등록회원"))</f>
        <v/>
      </c>
      <c r="D814" s="10"/>
      <c r="E814" s="16" t="str">
        <f aca="false">IF($D814="","",IF($J814="환불",0,IFERROR(INDEX(상품목록!$B$3:$B$102,MATCH($D814,상품목록!$A$3:$A$102,0)),0)))</f>
        <v/>
      </c>
      <c r="F814" s="16" t="str">
        <f aca="false">IF($D814="","",IFERROR(INDEX(상품목록!$C$3:$C$102,MATCH($D814,상품목록!$A$3:$A$102,0)),0))</f>
        <v/>
      </c>
      <c r="G814" s="17" t="str">
        <f aca="false">IF(OR($A814="",$F814=""),"",$A814+$F814)</f>
        <v/>
      </c>
      <c r="H814" s="16" t="str">
        <f aca="false">IF($D814="","",IF($J814="환불",0,IFERROR(INDEX(상품목록!$D$3:$D$102,MATCH($D814,상품목록!$A$3:$A$102,0)),0)))</f>
        <v/>
      </c>
      <c r="I814" s="10"/>
      <c r="J814" s="10"/>
      <c r="K814" s="10"/>
    </row>
    <row r="815" customFormat="false" ht="15" hidden="false" customHeight="true" outlineLevel="0" collapsed="false">
      <c r="A815" s="12"/>
      <c r="B815" s="10"/>
      <c r="C815" s="15" t="str">
        <f aca="false">IF($B815="","",IFERROR(INDEX(회원명부!$B$3:$B$502,MATCH($B815,회원명부!$A$3:$A$502,0)),"미등록회원"))</f>
        <v/>
      </c>
      <c r="D815" s="10"/>
      <c r="E815" s="16" t="str">
        <f aca="false">IF($D815="","",IF($J815="환불",0,IFERROR(INDEX(상품목록!$B$3:$B$102,MATCH($D815,상품목록!$A$3:$A$102,0)),0)))</f>
        <v/>
      </c>
      <c r="F815" s="16" t="str">
        <f aca="false">IF($D815="","",IFERROR(INDEX(상품목록!$C$3:$C$102,MATCH($D815,상품목록!$A$3:$A$102,0)),0))</f>
        <v/>
      </c>
      <c r="G815" s="17" t="str">
        <f aca="false">IF(OR($A815="",$F815=""),"",$A815+$F815)</f>
        <v/>
      </c>
      <c r="H815" s="16" t="str">
        <f aca="false">IF($D815="","",IF($J815="환불",0,IFERROR(INDEX(상품목록!$D$3:$D$102,MATCH($D815,상품목록!$A$3:$A$102,0)),0)))</f>
        <v/>
      </c>
      <c r="I815" s="10"/>
      <c r="J815" s="10"/>
      <c r="K815" s="10"/>
    </row>
    <row r="816" customFormat="false" ht="15" hidden="false" customHeight="true" outlineLevel="0" collapsed="false">
      <c r="A816" s="12"/>
      <c r="B816" s="10"/>
      <c r="C816" s="15" t="str">
        <f aca="false">IF($B816="","",IFERROR(INDEX(회원명부!$B$3:$B$502,MATCH($B816,회원명부!$A$3:$A$502,0)),"미등록회원"))</f>
        <v/>
      </c>
      <c r="D816" s="10"/>
      <c r="E816" s="16" t="str">
        <f aca="false">IF($D816="","",IF($J816="환불",0,IFERROR(INDEX(상품목록!$B$3:$B$102,MATCH($D816,상품목록!$A$3:$A$102,0)),0)))</f>
        <v/>
      </c>
      <c r="F816" s="16" t="str">
        <f aca="false">IF($D816="","",IFERROR(INDEX(상품목록!$C$3:$C$102,MATCH($D816,상품목록!$A$3:$A$102,0)),0))</f>
        <v/>
      </c>
      <c r="G816" s="17" t="str">
        <f aca="false">IF(OR($A816="",$F816=""),"",$A816+$F816)</f>
        <v/>
      </c>
      <c r="H816" s="16" t="str">
        <f aca="false">IF($D816="","",IF($J816="환불",0,IFERROR(INDEX(상품목록!$D$3:$D$102,MATCH($D816,상품목록!$A$3:$A$102,0)),0)))</f>
        <v/>
      </c>
      <c r="I816" s="10"/>
      <c r="J816" s="10"/>
      <c r="K816" s="10"/>
    </row>
    <row r="817" customFormat="false" ht="15" hidden="false" customHeight="true" outlineLevel="0" collapsed="false">
      <c r="A817" s="12"/>
      <c r="B817" s="10"/>
      <c r="C817" s="15" t="str">
        <f aca="false">IF($B817="","",IFERROR(INDEX(회원명부!$B$3:$B$502,MATCH($B817,회원명부!$A$3:$A$502,0)),"미등록회원"))</f>
        <v/>
      </c>
      <c r="D817" s="10"/>
      <c r="E817" s="16" t="str">
        <f aca="false">IF($D817="","",IF($J817="환불",0,IFERROR(INDEX(상품목록!$B$3:$B$102,MATCH($D817,상품목록!$A$3:$A$102,0)),0)))</f>
        <v/>
      </c>
      <c r="F817" s="16" t="str">
        <f aca="false">IF($D817="","",IFERROR(INDEX(상품목록!$C$3:$C$102,MATCH($D817,상품목록!$A$3:$A$102,0)),0))</f>
        <v/>
      </c>
      <c r="G817" s="17" t="str">
        <f aca="false">IF(OR($A817="",$F817=""),"",$A817+$F817)</f>
        <v/>
      </c>
      <c r="H817" s="16" t="str">
        <f aca="false">IF($D817="","",IF($J817="환불",0,IFERROR(INDEX(상품목록!$D$3:$D$102,MATCH($D817,상품목록!$A$3:$A$102,0)),0)))</f>
        <v/>
      </c>
      <c r="I817" s="10"/>
      <c r="J817" s="10"/>
      <c r="K817" s="10"/>
    </row>
    <row r="818" customFormat="false" ht="15" hidden="false" customHeight="true" outlineLevel="0" collapsed="false">
      <c r="A818" s="12"/>
      <c r="B818" s="10"/>
      <c r="C818" s="15" t="str">
        <f aca="false">IF($B818="","",IFERROR(INDEX(회원명부!$B$3:$B$502,MATCH($B818,회원명부!$A$3:$A$502,0)),"미등록회원"))</f>
        <v/>
      </c>
      <c r="D818" s="10"/>
      <c r="E818" s="16" t="str">
        <f aca="false">IF($D818="","",IF($J818="환불",0,IFERROR(INDEX(상품목록!$B$3:$B$102,MATCH($D818,상품목록!$A$3:$A$102,0)),0)))</f>
        <v/>
      </c>
      <c r="F818" s="16" t="str">
        <f aca="false">IF($D818="","",IFERROR(INDEX(상품목록!$C$3:$C$102,MATCH($D818,상품목록!$A$3:$A$102,0)),0))</f>
        <v/>
      </c>
      <c r="G818" s="17" t="str">
        <f aca="false">IF(OR($A818="",$F818=""),"",$A818+$F818)</f>
        <v/>
      </c>
      <c r="H818" s="16" t="str">
        <f aca="false">IF($D818="","",IF($J818="환불",0,IFERROR(INDEX(상품목록!$D$3:$D$102,MATCH($D818,상품목록!$A$3:$A$102,0)),0)))</f>
        <v/>
      </c>
      <c r="I818" s="10"/>
      <c r="J818" s="10"/>
      <c r="K818" s="10"/>
    </row>
    <row r="819" customFormat="false" ht="15" hidden="false" customHeight="true" outlineLevel="0" collapsed="false">
      <c r="A819" s="12"/>
      <c r="B819" s="10"/>
      <c r="C819" s="15" t="str">
        <f aca="false">IF($B819="","",IFERROR(INDEX(회원명부!$B$3:$B$502,MATCH($B819,회원명부!$A$3:$A$502,0)),"미등록회원"))</f>
        <v/>
      </c>
      <c r="D819" s="10"/>
      <c r="E819" s="16" t="str">
        <f aca="false">IF($D819="","",IF($J819="환불",0,IFERROR(INDEX(상품목록!$B$3:$B$102,MATCH($D819,상품목록!$A$3:$A$102,0)),0)))</f>
        <v/>
      </c>
      <c r="F819" s="16" t="str">
        <f aca="false">IF($D819="","",IFERROR(INDEX(상품목록!$C$3:$C$102,MATCH($D819,상품목록!$A$3:$A$102,0)),0))</f>
        <v/>
      </c>
      <c r="G819" s="17" t="str">
        <f aca="false">IF(OR($A819="",$F819=""),"",$A819+$F819)</f>
        <v/>
      </c>
      <c r="H819" s="16" t="str">
        <f aca="false">IF($D819="","",IF($J819="환불",0,IFERROR(INDEX(상품목록!$D$3:$D$102,MATCH($D819,상품목록!$A$3:$A$102,0)),0)))</f>
        <v/>
      </c>
      <c r="I819" s="10"/>
      <c r="J819" s="10"/>
      <c r="K819" s="10"/>
    </row>
    <row r="820" customFormat="false" ht="15" hidden="false" customHeight="true" outlineLevel="0" collapsed="false">
      <c r="A820" s="12"/>
      <c r="B820" s="10"/>
      <c r="C820" s="15" t="str">
        <f aca="false">IF($B820="","",IFERROR(INDEX(회원명부!$B$3:$B$502,MATCH($B820,회원명부!$A$3:$A$502,0)),"미등록회원"))</f>
        <v/>
      </c>
      <c r="D820" s="10"/>
      <c r="E820" s="16" t="str">
        <f aca="false">IF($D820="","",IF($J820="환불",0,IFERROR(INDEX(상품목록!$B$3:$B$102,MATCH($D820,상품목록!$A$3:$A$102,0)),0)))</f>
        <v/>
      </c>
      <c r="F820" s="16" t="str">
        <f aca="false">IF($D820="","",IFERROR(INDEX(상품목록!$C$3:$C$102,MATCH($D820,상품목록!$A$3:$A$102,0)),0))</f>
        <v/>
      </c>
      <c r="G820" s="17" t="str">
        <f aca="false">IF(OR($A820="",$F820=""),"",$A820+$F820)</f>
        <v/>
      </c>
      <c r="H820" s="16" t="str">
        <f aca="false">IF($D820="","",IF($J820="환불",0,IFERROR(INDEX(상품목록!$D$3:$D$102,MATCH($D820,상품목록!$A$3:$A$102,0)),0)))</f>
        <v/>
      </c>
      <c r="I820" s="10"/>
      <c r="J820" s="10"/>
      <c r="K820" s="10"/>
    </row>
    <row r="821" customFormat="false" ht="15" hidden="false" customHeight="true" outlineLevel="0" collapsed="false">
      <c r="A821" s="12"/>
      <c r="B821" s="10"/>
      <c r="C821" s="15" t="str">
        <f aca="false">IF($B821="","",IFERROR(INDEX(회원명부!$B$3:$B$502,MATCH($B821,회원명부!$A$3:$A$502,0)),"미등록회원"))</f>
        <v/>
      </c>
      <c r="D821" s="10"/>
      <c r="E821" s="16" t="str">
        <f aca="false">IF($D821="","",IF($J821="환불",0,IFERROR(INDEX(상품목록!$B$3:$B$102,MATCH($D821,상품목록!$A$3:$A$102,0)),0)))</f>
        <v/>
      </c>
      <c r="F821" s="16" t="str">
        <f aca="false">IF($D821="","",IFERROR(INDEX(상품목록!$C$3:$C$102,MATCH($D821,상품목록!$A$3:$A$102,0)),0))</f>
        <v/>
      </c>
      <c r="G821" s="17" t="str">
        <f aca="false">IF(OR($A821="",$F821=""),"",$A821+$F821)</f>
        <v/>
      </c>
      <c r="H821" s="16" t="str">
        <f aca="false">IF($D821="","",IF($J821="환불",0,IFERROR(INDEX(상품목록!$D$3:$D$102,MATCH($D821,상품목록!$A$3:$A$102,0)),0)))</f>
        <v/>
      </c>
      <c r="I821" s="10"/>
      <c r="J821" s="10"/>
      <c r="K821" s="10"/>
    </row>
    <row r="822" customFormat="false" ht="15" hidden="false" customHeight="true" outlineLevel="0" collapsed="false">
      <c r="A822" s="12"/>
      <c r="B822" s="10"/>
      <c r="C822" s="15" t="str">
        <f aca="false">IF($B822="","",IFERROR(INDEX(회원명부!$B$3:$B$502,MATCH($B822,회원명부!$A$3:$A$502,0)),"미등록회원"))</f>
        <v/>
      </c>
      <c r="D822" s="10"/>
      <c r="E822" s="16" t="str">
        <f aca="false">IF($D822="","",IF($J822="환불",0,IFERROR(INDEX(상품목록!$B$3:$B$102,MATCH($D822,상품목록!$A$3:$A$102,0)),0)))</f>
        <v/>
      </c>
      <c r="F822" s="16" t="str">
        <f aca="false">IF($D822="","",IFERROR(INDEX(상품목록!$C$3:$C$102,MATCH($D822,상품목록!$A$3:$A$102,0)),0))</f>
        <v/>
      </c>
      <c r="G822" s="17" t="str">
        <f aca="false">IF(OR($A822="",$F822=""),"",$A822+$F822)</f>
        <v/>
      </c>
      <c r="H822" s="16" t="str">
        <f aca="false">IF($D822="","",IF($J822="환불",0,IFERROR(INDEX(상품목록!$D$3:$D$102,MATCH($D822,상품목록!$A$3:$A$102,0)),0)))</f>
        <v/>
      </c>
      <c r="I822" s="10"/>
      <c r="J822" s="10"/>
      <c r="K822" s="10"/>
    </row>
    <row r="823" customFormat="false" ht="15" hidden="false" customHeight="true" outlineLevel="0" collapsed="false">
      <c r="A823" s="12"/>
      <c r="B823" s="10"/>
      <c r="C823" s="15" t="str">
        <f aca="false">IF($B823="","",IFERROR(INDEX(회원명부!$B$3:$B$502,MATCH($B823,회원명부!$A$3:$A$502,0)),"미등록회원"))</f>
        <v/>
      </c>
      <c r="D823" s="10"/>
      <c r="E823" s="16" t="str">
        <f aca="false">IF($D823="","",IF($J823="환불",0,IFERROR(INDEX(상품목록!$B$3:$B$102,MATCH($D823,상품목록!$A$3:$A$102,0)),0)))</f>
        <v/>
      </c>
      <c r="F823" s="16" t="str">
        <f aca="false">IF($D823="","",IFERROR(INDEX(상품목록!$C$3:$C$102,MATCH($D823,상품목록!$A$3:$A$102,0)),0))</f>
        <v/>
      </c>
      <c r="G823" s="17" t="str">
        <f aca="false">IF(OR($A823="",$F823=""),"",$A823+$F823)</f>
        <v/>
      </c>
      <c r="H823" s="16" t="str">
        <f aca="false">IF($D823="","",IF($J823="환불",0,IFERROR(INDEX(상품목록!$D$3:$D$102,MATCH($D823,상품목록!$A$3:$A$102,0)),0)))</f>
        <v/>
      </c>
      <c r="I823" s="10"/>
      <c r="J823" s="10"/>
      <c r="K823" s="10"/>
    </row>
    <row r="824" customFormat="false" ht="15" hidden="false" customHeight="true" outlineLevel="0" collapsed="false">
      <c r="A824" s="12"/>
      <c r="B824" s="10"/>
      <c r="C824" s="15" t="str">
        <f aca="false">IF($B824="","",IFERROR(INDEX(회원명부!$B$3:$B$502,MATCH($B824,회원명부!$A$3:$A$502,0)),"미등록회원"))</f>
        <v/>
      </c>
      <c r="D824" s="10"/>
      <c r="E824" s="16" t="str">
        <f aca="false">IF($D824="","",IF($J824="환불",0,IFERROR(INDEX(상품목록!$B$3:$B$102,MATCH($D824,상품목록!$A$3:$A$102,0)),0)))</f>
        <v/>
      </c>
      <c r="F824" s="16" t="str">
        <f aca="false">IF($D824="","",IFERROR(INDEX(상품목록!$C$3:$C$102,MATCH($D824,상품목록!$A$3:$A$102,0)),0))</f>
        <v/>
      </c>
      <c r="G824" s="17" t="str">
        <f aca="false">IF(OR($A824="",$F824=""),"",$A824+$F824)</f>
        <v/>
      </c>
      <c r="H824" s="16" t="str">
        <f aca="false">IF($D824="","",IF($J824="환불",0,IFERROR(INDEX(상품목록!$D$3:$D$102,MATCH($D824,상품목록!$A$3:$A$102,0)),0)))</f>
        <v/>
      </c>
      <c r="I824" s="10"/>
      <c r="J824" s="10"/>
      <c r="K824" s="10"/>
    </row>
    <row r="825" customFormat="false" ht="15" hidden="false" customHeight="true" outlineLevel="0" collapsed="false">
      <c r="A825" s="12"/>
      <c r="B825" s="10"/>
      <c r="C825" s="15" t="str">
        <f aca="false">IF($B825="","",IFERROR(INDEX(회원명부!$B$3:$B$502,MATCH($B825,회원명부!$A$3:$A$502,0)),"미등록회원"))</f>
        <v/>
      </c>
      <c r="D825" s="10"/>
      <c r="E825" s="16" t="str">
        <f aca="false">IF($D825="","",IF($J825="환불",0,IFERROR(INDEX(상품목록!$B$3:$B$102,MATCH($D825,상품목록!$A$3:$A$102,0)),0)))</f>
        <v/>
      </c>
      <c r="F825" s="16" t="str">
        <f aca="false">IF($D825="","",IFERROR(INDEX(상품목록!$C$3:$C$102,MATCH($D825,상품목록!$A$3:$A$102,0)),0))</f>
        <v/>
      </c>
      <c r="G825" s="17" t="str">
        <f aca="false">IF(OR($A825="",$F825=""),"",$A825+$F825)</f>
        <v/>
      </c>
      <c r="H825" s="16" t="str">
        <f aca="false">IF($D825="","",IF($J825="환불",0,IFERROR(INDEX(상품목록!$D$3:$D$102,MATCH($D825,상품목록!$A$3:$A$102,0)),0)))</f>
        <v/>
      </c>
      <c r="I825" s="10"/>
      <c r="J825" s="10"/>
      <c r="K825" s="10"/>
    </row>
    <row r="826" customFormat="false" ht="15" hidden="false" customHeight="true" outlineLevel="0" collapsed="false">
      <c r="A826" s="12"/>
      <c r="B826" s="10"/>
      <c r="C826" s="15" t="str">
        <f aca="false">IF($B826="","",IFERROR(INDEX(회원명부!$B$3:$B$502,MATCH($B826,회원명부!$A$3:$A$502,0)),"미등록회원"))</f>
        <v/>
      </c>
      <c r="D826" s="10"/>
      <c r="E826" s="16" t="str">
        <f aca="false">IF($D826="","",IF($J826="환불",0,IFERROR(INDEX(상품목록!$B$3:$B$102,MATCH($D826,상품목록!$A$3:$A$102,0)),0)))</f>
        <v/>
      </c>
      <c r="F826" s="16" t="str">
        <f aca="false">IF($D826="","",IFERROR(INDEX(상품목록!$C$3:$C$102,MATCH($D826,상품목록!$A$3:$A$102,0)),0))</f>
        <v/>
      </c>
      <c r="G826" s="17" t="str">
        <f aca="false">IF(OR($A826="",$F826=""),"",$A826+$F826)</f>
        <v/>
      </c>
      <c r="H826" s="16" t="str">
        <f aca="false">IF($D826="","",IF($J826="환불",0,IFERROR(INDEX(상품목록!$D$3:$D$102,MATCH($D826,상품목록!$A$3:$A$102,0)),0)))</f>
        <v/>
      </c>
      <c r="I826" s="10"/>
      <c r="J826" s="10"/>
      <c r="K826" s="10"/>
    </row>
    <row r="827" customFormat="false" ht="15" hidden="false" customHeight="true" outlineLevel="0" collapsed="false">
      <c r="A827" s="12"/>
      <c r="B827" s="10"/>
      <c r="C827" s="15" t="str">
        <f aca="false">IF($B827="","",IFERROR(INDEX(회원명부!$B$3:$B$502,MATCH($B827,회원명부!$A$3:$A$502,0)),"미등록회원"))</f>
        <v/>
      </c>
      <c r="D827" s="10"/>
      <c r="E827" s="16" t="str">
        <f aca="false">IF($D827="","",IF($J827="환불",0,IFERROR(INDEX(상품목록!$B$3:$B$102,MATCH($D827,상품목록!$A$3:$A$102,0)),0)))</f>
        <v/>
      </c>
      <c r="F827" s="16" t="str">
        <f aca="false">IF($D827="","",IFERROR(INDEX(상품목록!$C$3:$C$102,MATCH($D827,상품목록!$A$3:$A$102,0)),0))</f>
        <v/>
      </c>
      <c r="G827" s="17" t="str">
        <f aca="false">IF(OR($A827="",$F827=""),"",$A827+$F827)</f>
        <v/>
      </c>
      <c r="H827" s="16" t="str">
        <f aca="false">IF($D827="","",IF($J827="환불",0,IFERROR(INDEX(상품목록!$D$3:$D$102,MATCH($D827,상품목록!$A$3:$A$102,0)),0)))</f>
        <v/>
      </c>
      <c r="I827" s="10"/>
      <c r="J827" s="10"/>
      <c r="K827" s="10"/>
    </row>
    <row r="828" customFormat="false" ht="15" hidden="false" customHeight="true" outlineLevel="0" collapsed="false">
      <c r="A828" s="12"/>
      <c r="B828" s="10"/>
      <c r="C828" s="15" t="str">
        <f aca="false">IF($B828="","",IFERROR(INDEX(회원명부!$B$3:$B$502,MATCH($B828,회원명부!$A$3:$A$502,0)),"미등록회원"))</f>
        <v/>
      </c>
      <c r="D828" s="10"/>
      <c r="E828" s="16" t="str">
        <f aca="false">IF($D828="","",IF($J828="환불",0,IFERROR(INDEX(상품목록!$B$3:$B$102,MATCH($D828,상품목록!$A$3:$A$102,0)),0)))</f>
        <v/>
      </c>
      <c r="F828" s="16" t="str">
        <f aca="false">IF($D828="","",IFERROR(INDEX(상품목록!$C$3:$C$102,MATCH($D828,상품목록!$A$3:$A$102,0)),0))</f>
        <v/>
      </c>
      <c r="G828" s="17" t="str">
        <f aca="false">IF(OR($A828="",$F828=""),"",$A828+$F828)</f>
        <v/>
      </c>
      <c r="H828" s="16" t="str">
        <f aca="false">IF($D828="","",IF($J828="환불",0,IFERROR(INDEX(상품목록!$D$3:$D$102,MATCH($D828,상품목록!$A$3:$A$102,0)),0)))</f>
        <v/>
      </c>
      <c r="I828" s="10"/>
      <c r="J828" s="10"/>
      <c r="K828" s="10"/>
    </row>
    <row r="829" customFormat="false" ht="15" hidden="false" customHeight="true" outlineLevel="0" collapsed="false">
      <c r="A829" s="12"/>
      <c r="B829" s="10"/>
      <c r="C829" s="15" t="str">
        <f aca="false">IF($B829="","",IFERROR(INDEX(회원명부!$B$3:$B$502,MATCH($B829,회원명부!$A$3:$A$502,0)),"미등록회원"))</f>
        <v/>
      </c>
      <c r="D829" s="10"/>
      <c r="E829" s="16" t="str">
        <f aca="false">IF($D829="","",IF($J829="환불",0,IFERROR(INDEX(상품목록!$B$3:$B$102,MATCH($D829,상품목록!$A$3:$A$102,0)),0)))</f>
        <v/>
      </c>
      <c r="F829" s="16" t="str">
        <f aca="false">IF($D829="","",IFERROR(INDEX(상품목록!$C$3:$C$102,MATCH($D829,상품목록!$A$3:$A$102,0)),0))</f>
        <v/>
      </c>
      <c r="G829" s="17" t="str">
        <f aca="false">IF(OR($A829="",$F829=""),"",$A829+$F829)</f>
        <v/>
      </c>
      <c r="H829" s="16" t="str">
        <f aca="false">IF($D829="","",IF($J829="환불",0,IFERROR(INDEX(상품목록!$D$3:$D$102,MATCH($D829,상품목록!$A$3:$A$102,0)),0)))</f>
        <v/>
      </c>
      <c r="I829" s="10"/>
      <c r="J829" s="10"/>
      <c r="K829" s="10"/>
    </row>
    <row r="830" customFormat="false" ht="15" hidden="false" customHeight="true" outlineLevel="0" collapsed="false">
      <c r="A830" s="12"/>
      <c r="B830" s="10"/>
      <c r="C830" s="15" t="str">
        <f aca="false">IF($B830="","",IFERROR(INDEX(회원명부!$B$3:$B$502,MATCH($B830,회원명부!$A$3:$A$502,0)),"미등록회원"))</f>
        <v/>
      </c>
      <c r="D830" s="10"/>
      <c r="E830" s="16" t="str">
        <f aca="false">IF($D830="","",IF($J830="환불",0,IFERROR(INDEX(상품목록!$B$3:$B$102,MATCH($D830,상품목록!$A$3:$A$102,0)),0)))</f>
        <v/>
      </c>
      <c r="F830" s="16" t="str">
        <f aca="false">IF($D830="","",IFERROR(INDEX(상품목록!$C$3:$C$102,MATCH($D830,상품목록!$A$3:$A$102,0)),0))</f>
        <v/>
      </c>
      <c r="G830" s="17" t="str">
        <f aca="false">IF(OR($A830="",$F830=""),"",$A830+$F830)</f>
        <v/>
      </c>
      <c r="H830" s="16" t="str">
        <f aca="false">IF($D830="","",IF($J830="환불",0,IFERROR(INDEX(상품목록!$D$3:$D$102,MATCH($D830,상품목록!$A$3:$A$102,0)),0)))</f>
        <v/>
      </c>
      <c r="I830" s="10"/>
      <c r="J830" s="10"/>
      <c r="K830" s="10"/>
    </row>
    <row r="831" customFormat="false" ht="15" hidden="false" customHeight="true" outlineLevel="0" collapsed="false">
      <c r="A831" s="12"/>
      <c r="B831" s="10"/>
      <c r="C831" s="15" t="str">
        <f aca="false">IF($B831="","",IFERROR(INDEX(회원명부!$B$3:$B$502,MATCH($B831,회원명부!$A$3:$A$502,0)),"미등록회원"))</f>
        <v/>
      </c>
      <c r="D831" s="10"/>
      <c r="E831" s="16" t="str">
        <f aca="false">IF($D831="","",IF($J831="환불",0,IFERROR(INDEX(상품목록!$B$3:$B$102,MATCH($D831,상품목록!$A$3:$A$102,0)),0)))</f>
        <v/>
      </c>
      <c r="F831" s="16" t="str">
        <f aca="false">IF($D831="","",IFERROR(INDEX(상품목록!$C$3:$C$102,MATCH($D831,상품목록!$A$3:$A$102,0)),0))</f>
        <v/>
      </c>
      <c r="G831" s="17" t="str">
        <f aca="false">IF(OR($A831="",$F831=""),"",$A831+$F831)</f>
        <v/>
      </c>
      <c r="H831" s="16" t="str">
        <f aca="false">IF($D831="","",IF($J831="환불",0,IFERROR(INDEX(상품목록!$D$3:$D$102,MATCH($D831,상품목록!$A$3:$A$102,0)),0)))</f>
        <v/>
      </c>
      <c r="I831" s="10"/>
      <c r="J831" s="10"/>
      <c r="K831" s="10"/>
    </row>
    <row r="832" customFormat="false" ht="15" hidden="false" customHeight="true" outlineLevel="0" collapsed="false">
      <c r="A832" s="12"/>
      <c r="B832" s="10"/>
      <c r="C832" s="15" t="str">
        <f aca="false">IF($B832="","",IFERROR(INDEX(회원명부!$B$3:$B$502,MATCH($B832,회원명부!$A$3:$A$502,0)),"미등록회원"))</f>
        <v/>
      </c>
      <c r="D832" s="10"/>
      <c r="E832" s="16" t="str">
        <f aca="false">IF($D832="","",IF($J832="환불",0,IFERROR(INDEX(상품목록!$B$3:$B$102,MATCH($D832,상품목록!$A$3:$A$102,0)),0)))</f>
        <v/>
      </c>
      <c r="F832" s="16" t="str">
        <f aca="false">IF($D832="","",IFERROR(INDEX(상품목록!$C$3:$C$102,MATCH($D832,상품목록!$A$3:$A$102,0)),0))</f>
        <v/>
      </c>
      <c r="G832" s="17" t="str">
        <f aca="false">IF(OR($A832="",$F832=""),"",$A832+$F832)</f>
        <v/>
      </c>
      <c r="H832" s="16" t="str">
        <f aca="false">IF($D832="","",IF($J832="환불",0,IFERROR(INDEX(상품목록!$D$3:$D$102,MATCH($D832,상품목록!$A$3:$A$102,0)),0)))</f>
        <v/>
      </c>
      <c r="I832" s="10"/>
      <c r="J832" s="10"/>
      <c r="K832" s="10"/>
    </row>
    <row r="833" customFormat="false" ht="15" hidden="false" customHeight="true" outlineLevel="0" collapsed="false">
      <c r="A833" s="12"/>
      <c r="B833" s="10"/>
      <c r="C833" s="15" t="str">
        <f aca="false">IF($B833="","",IFERROR(INDEX(회원명부!$B$3:$B$502,MATCH($B833,회원명부!$A$3:$A$502,0)),"미등록회원"))</f>
        <v/>
      </c>
      <c r="D833" s="10"/>
      <c r="E833" s="16" t="str">
        <f aca="false">IF($D833="","",IF($J833="환불",0,IFERROR(INDEX(상품목록!$B$3:$B$102,MATCH($D833,상품목록!$A$3:$A$102,0)),0)))</f>
        <v/>
      </c>
      <c r="F833" s="16" t="str">
        <f aca="false">IF($D833="","",IFERROR(INDEX(상품목록!$C$3:$C$102,MATCH($D833,상품목록!$A$3:$A$102,0)),0))</f>
        <v/>
      </c>
      <c r="G833" s="17" t="str">
        <f aca="false">IF(OR($A833="",$F833=""),"",$A833+$F833)</f>
        <v/>
      </c>
      <c r="H833" s="16" t="str">
        <f aca="false">IF($D833="","",IF($J833="환불",0,IFERROR(INDEX(상품목록!$D$3:$D$102,MATCH($D833,상품목록!$A$3:$A$102,0)),0)))</f>
        <v/>
      </c>
      <c r="I833" s="10"/>
      <c r="J833" s="10"/>
      <c r="K833" s="10"/>
    </row>
    <row r="834" customFormat="false" ht="15" hidden="false" customHeight="true" outlineLevel="0" collapsed="false">
      <c r="A834" s="12"/>
      <c r="B834" s="10"/>
      <c r="C834" s="15" t="str">
        <f aca="false">IF($B834="","",IFERROR(INDEX(회원명부!$B$3:$B$502,MATCH($B834,회원명부!$A$3:$A$502,0)),"미등록회원"))</f>
        <v/>
      </c>
      <c r="D834" s="10"/>
      <c r="E834" s="16" t="str">
        <f aca="false">IF($D834="","",IF($J834="환불",0,IFERROR(INDEX(상품목록!$B$3:$B$102,MATCH($D834,상품목록!$A$3:$A$102,0)),0)))</f>
        <v/>
      </c>
      <c r="F834" s="16" t="str">
        <f aca="false">IF($D834="","",IFERROR(INDEX(상품목록!$C$3:$C$102,MATCH($D834,상품목록!$A$3:$A$102,0)),0))</f>
        <v/>
      </c>
      <c r="G834" s="17" t="str">
        <f aca="false">IF(OR($A834="",$F834=""),"",$A834+$F834)</f>
        <v/>
      </c>
      <c r="H834" s="16" t="str">
        <f aca="false">IF($D834="","",IF($J834="환불",0,IFERROR(INDEX(상품목록!$D$3:$D$102,MATCH($D834,상품목록!$A$3:$A$102,0)),0)))</f>
        <v/>
      </c>
      <c r="I834" s="10"/>
      <c r="J834" s="10"/>
      <c r="K834" s="10"/>
    </row>
    <row r="835" customFormat="false" ht="15" hidden="false" customHeight="true" outlineLevel="0" collapsed="false">
      <c r="A835" s="12"/>
      <c r="B835" s="10"/>
      <c r="C835" s="15" t="str">
        <f aca="false">IF($B835="","",IFERROR(INDEX(회원명부!$B$3:$B$502,MATCH($B835,회원명부!$A$3:$A$502,0)),"미등록회원"))</f>
        <v/>
      </c>
      <c r="D835" s="10"/>
      <c r="E835" s="16" t="str">
        <f aca="false">IF($D835="","",IF($J835="환불",0,IFERROR(INDEX(상품목록!$B$3:$B$102,MATCH($D835,상품목록!$A$3:$A$102,0)),0)))</f>
        <v/>
      </c>
      <c r="F835" s="16" t="str">
        <f aca="false">IF($D835="","",IFERROR(INDEX(상품목록!$C$3:$C$102,MATCH($D835,상품목록!$A$3:$A$102,0)),0))</f>
        <v/>
      </c>
      <c r="G835" s="17" t="str">
        <f aca="false">IF(OR($A835="",$F835=""),"",$A835+$F835)</f>
        <v/>
      </c>
      <c r="H835" s="16" t="str">
        <f aca="false">IF($D835="","",IF($J835="환불",0,IFERROR(INDEX(상품목록!$D$3:$D$102,MATCH($D835,상품목록!$A$3:$A$102,0)),0)))</f>
        <v/>
      </c>
      <c r="I835" s="10"/>
      <c r="J835" s="10"/>
      <c r="K835" s="10"/>
    </row>
    <row r="836" customFormat="false" ht="15" hidden="false" customHeight="true" outlineLevel="0" collapsed="false">
      <c r="A836" s="12"/>
      <c r="B836" s="10"/>
      <c r="C836" s="15" t="str">
        <f aca="false">IF($B836="","",IFERROR(INDEX(회원명부!$B$3:$B$502,MATCH($B836,회원명부!$A$3:$A$502,0)),"미등록회원"))</f>
        <v/>
      </c>
      <c r="D836" s="10"/>
      <c r="E836" s="16" t="str">
        <f aca="false">IF($D836="","",IF($J836="환불",0,IFERROR(INDEX(상품목록!$B$3:$B$102,MATCH($D836,상품목록!$A$3:$A$102,0)),0)))</f>
        <v/>
      </c>
      <c r="F836" s="16" t="str">
        <f aca="false">IF($D836="","",IFERROR(INDEX(상품목록!$C$3:$C$102,MATCH($D836,상품목록!$A$3:$A$102,0)),0))</f>
        <v/>
      </c>
      <c r="G836" s="17" t="str">
        <f aca="false">IF(OR($A836="",$F836=""),"",$A836+$F836)</f>
        <v/>
      </c>
      <c r="H836" s="16" t="str">
        <f aca="false">IF($D836="","",IF($J836="환불",0,IFERROR(INDEX(상품목록!$D$3:$D$102,MATCH($D836,상품목록!$A$3:$A$102,0)),0)))</f>
        <v/>
      </c>
      <c r="I836" s="10"/>
      <c r="J836" s="10"/>
      <c r="K836" s="10"/>
    </row>
    <row r="837" customFormat="false" ht="15" hidden="false" customHeight="true" outlineLevel="0" collapsed="false">
      <c r="A837" s="12"/>
      <c r="B837" s="10"/>
      <c r="C837" s="15" t="str">
        <f aca="false">IF($B837="","",IFERROR(INDEX(회원명부!$B$3:$B$502,MATCH($B837,회원명부!$A$3:$A$502,0)),"미등록회원"))</f>
        <v/>
      </c>
      <c r="D837" s="10"/>
      <c r="E837" s="16" t="str">
        <f aca="false">IF($D837="","",IF($J837="환불",0,IFERROR(INDEX(상품목록!$B$3:$B$102,MATCH($D837,상품목록!$A$3:$A$102,0)),0)))</f>
        <v/>
      </c>
      <c r="F837" s="16" t="str">
        <f aca="false">IF($D837="","",IFERROR(INDEX(상품목록!$C$3:$C$102,MATCH($D837,상품목록!$A$3:$A$102,0)),0))</f>
        <v/>
      </c>
      <c r="G837" s="17" t="str">
        <f aca="false">IF(OR($A837="",$F837=""),"",$A837+$F837)</f>
        <v/>
      </c>
      <c r="H837" s="16" t="str">
        <f aca="false">IF($D837="","",IF($J837="환불",0,IFERROR(INDEX(상품목록!$D$3:$D$102,MATCH($D837,상품목록!$A$3:$A$102,0)),0)))</f>
        <v/>
      </c>
      <c r="I837" s="10"/>
      <c r="J837" s="10"/>
      <c r="K837" s="10"/>
    </row>
    <row r="838" customFormat="false" ht="15" hidden="false" customHeight="true" outlineLevel="0" collapsed="false">
      <c r="A838" s="12"/>
      <c r="B838" s="10"/>
      <c r="C838" s="15" t="str">
        <f aca="false">IF($B838="","",IFERROR(INDEX(회원명부!$B$3:$B$502,MATCH($B838,회원명부!$A$3:$A$502,0)),"미등록회원"))</f>
        <v/>
      </c>
      <c r="D838" s="10"/>
      <c r="E838" s="16" t="str">
        <f aca="false">IF($D838="","",IF($J838="환불",0,IFERROR(INDEX(상품목록!$B$3:$B$102,MATCH($D838,상품목록!$A$3:$A$102,0)),0)))</f>
        <v/>
      </c>
      <c r="F838" s="16" t="str">
        <f aca="false">IF($D838="","",IFERROR(INDEX(상품목록!$C$3:$C$102,MATCH($D838,상품목록!$A$3:$A$102,0)),0))</f>
        <v/>
      </c>
      <c r="G838" s="17" t="str">
        <f aca="false">IF(OR($A838="",$F838=""),"",$A838+$F838)</f>
        <v/>
      </c>
      <c r="H838" s="16" t="str">
        <f aca="false">IF($D838="","",IF($J838="환불",0,IFERROR(INDEX(상품목록!$D$3:$D$102,MATCH($D838,상품목록!$A$3:$A$102,0)),0)))</f>
        <v/>
      </c>
      <c r="I838" s="10"/>
      <c r="J838" s="10"/>
      <c r="K838" s="10"/>
    </row>
    <row r="839" customFormat="false" ht="15" hidden="false" customHeight="true" outlineLevel="0" collapsed="false">
      <c r="A839" s="12"/>
      <c r="B839" s="10"/>
      <c r="C839" s="15" t="str">
        <f aca="false">IF($B839="","",IFERROR(INDEX(회원명부!$B$3:$B$502,MATCH($B839,회원명부!$A$3:$A$502,0)),"미등록회원"))</f>
        <v/>
      </c>
      <c r="D839" s="10"/>
      <c r="E839" s="16" t="str">
        <f aca="false">IF($D839="","",IF($J839="환불",0,IFERROR(INDEX(상품목록!$B$3:$B$102,MATCH($D839,상품목록!$A$3:$A$102,0)),0)))</f>
        <v/>
      </c>
      <c r="F839" s="16" t="str">
        <f aca="false">IF($D839="","",IFERROR(INDEX(상품목록!$C$3:$C$102,MATCH($D839,상품목록!$A$3:$A$102,0)),0))</f>
        <v/>
      </c>
      <c r="G839" s="17" t="str">
        <f aca="false">IF(OR($A839="",$F839=""),"",$A839+$F839)</f>
        <v/>
      </c>
      <c r="H839" s="16" t="str">
        <f aca="false">IF($D839="","",IF($J839="환불",0,IFERROR(INDEX(상품목록!$D$3:$D$102,MATCH($D839,상품목록!$A$3:$A$102,0)),0)))</f>
        <v/>
      </c>
      <c r="I839" s="10"/>
      <c r="J839" s="10"/>
      <c r="K839" s="10"/>
    </row>
    <row r="840" customFormat="false" ht="15" hidden="false" customHeight="true" outlineLevel="0" collapsed="false">
      <c r="A840" s="12"/>
      <c r="B840" s="10"/>
      <c r="C840" s="15" t="str">
        <f aca="false">IF($B840="","",IFERROR(INDEX(회원명부!$B$3:$B$502,MATCH($B840,회원명부!$A$3:$A$502,0)),"미등록회원"))</f>
        <v/>
      </c>
      <c r="D840" s="10"/>
      <c r="E840" s="16" t="str">
        <f aca="false">IF($D840="","",IF($J840="환불",0,IFERROR(INDEX(상품목록!$B$3:$B$102,MATCH($D840,상품목록!$A$3:$A$102,0)),0)))</f>
        <v/>
      </c>
      <c r="F840" s="16" t="str">
        <f aca="false">IF($D840="","",IFERROR(INDEX(상품목록!$C$3:$C$102,MATCH($D840,상품목록!$A$3:$A$102,0)),0))</f>
        <v/>
      </c>
      <c r="G840" s="17" t="str">
        <f aca="false">IF(OR($A840="",$F840=""),"",$A840+$F840)</f>
        <v/>
      </c>
      <c r="H840" s="16" t="str">
        <f aca="false">IF($D840="","",IF($J840="환불",0,IFERROR(INDEX(상품목록!$D$3:$D$102,MATCH($D840,상품목록!$A$3:$A$102,0)),0)))</f>
        <v/>
      </c>
      <c r="I840" s="10"/>
      <c r="J840" s="10"/>
      <c r="K840" s="10"/>
    </row>
    <row r="841" customFormat="false" ht="15" hidden="false" customHeight="true" outlineLevel="0" collapsed="false">
      <c r="A841" s="12"/>
      <c r="B841" s="10"/>
      <c r="C841" s="15" t="str">
        <f aca="false">IF($B841="","",IFERROR(INDEX(회원명부!$B$3:$B$502,MATCH($B841,회원명부!$A$3:$A$502,0)),"미등록회원"))</f>
        <v/>
      </c>
      <c r="D841" s="10"/>
      <c r="E841" s="16" t="str">
        <f aca="false">IF($D841="","",IF($J841="환불",0,IFERROR(INDEX(상품목록!$B$3:$B$102,MATCH($D841,상품목록!$A$3:$A$102,0)),0)))</f>
        <v/>
      </c>
      <c r="F841" s="16" t="str">
        <f aca="false">IF($D841="","",IFERROR(INDEX(상품목록!$C$3:$C$102,MATCH($D841,상품목록!$A$3:$A$102,0)),0))</f>
        <v/>
      </c>
      <c r="G841" s="17" t="str">
        <f aca="false">IF(OR($A841="",$F841=""),"",$A841+$F841)</f>
        <v/>
      </c>
      <c r="H841" s="16" t="str">
        <f aca="false">IF($D841="","",IF($J841="환불",0,IFERROR(INDEX(상품목록!$D$3:$D$102,MATCH($D841,상품목록!$A$3:$A$102,0)),0)))</f>
        <v/>
      </c>
      <c r="I841" s="10"/>
      <c r="J841" s="10"/>
      <c r="K841" s="10"/>
    </row>
    <row r="842" customFormat="false" ht="15" hidden="false" customHeight="true" outlineLevel="0" collapsed="false">
      <c r="A842" s="12"/>
      <c r="B842" s="10"/>
      <c r="C842" s="15" t="str">
        <f aca="false">IF($B842="","",IFERROR(INDEX(회원명부!$B$3:$B$502,MATCH($B842,회원명부!$A$3:$A$502,0)),"미등록회원"))</f>
        <v/>
      </c>
      <c r="D842" s="10"/>
      <c r="E842" s="16" t="str">
        <f aca="false">IF($D842="","",IF($J842="환불",0,IFERROR(INDEX(상품목록!$B$3:$B$102,MATCH($D842,상품목록!$A$3:$A$102,0)),0)))</f>
        <v/>
      </c>
      <c r="F842" s="16" t="str">
        <f aca="false">IF($D842="","",IFERROR(INDEX(상품목록!$C$3:$C$102,MATCH($D842,상품목록!$A$3:$A$102,0)),0))</f>
        <v/>
      </c>
      <c r="G842" s="17" t="str">
        <f aca="false">IF(OR($A842="",$F842=""),"",$A842+$F842)</f>
        <v/>
      </c>
      <c r="H842" s="16" t="str">
        <f aca="false">IF($D842="","",IF($J842="환불",0,IFERROR(INDEX(상품목록!$D$3:$D$102,MATCH($D842,상품목록!$A$3:$A$102,0)),0)))</f>
        <v/>
      </c>
      <c r="I842" s="10"/>
      <c r="J842" s="10"/>
      <c r="K842" s="10"/>
    </row>
    <row r="843" customFormat="false" ht="15" hidden="false" customHeight="true" outlineLevel="0" collapsed="false">
      <c r="A843" s="12"/>
      <c r="B843" s="10"/>
      <c r="C843" s="15" t="str">
        <f aca="false">IF($B843="","",IFERROR(INDEX(회원명부!$B$3:$B$502,MATCH($B843,회원명부!$A$3:$A$502,0)),"미등록회원"))</f>
        <v/>
      </c>
      <c r="D843" s="10"/>
      <c r="E843" s="16" t="str">
        <f aca="false">IF($D843="","",IF($J843="환불",0,IFERROR(INDEX(상품목록!$B$3:$B$102,MATCH($D843,상품목록!$A$3:$A$102,0)),0)))</f>
        <v/>
      </c>
      <c r="F843" s="16" t="str">
        <f aca="false">IF($D843="","",IFERROR(INDEX(상품목록!$C$3:$C$102,MATCH($D843,상품목록!$A$3:$A$102,0)),0))</f>
        <v/>
      </c>
      <c r="G843" s="17" t="str">
        <f aca="false">IF(OR($A843="",$F843=""),"",$A843+$F843)</f>
        <v/>
      </c>
      <c r="H843" s="16" t="str">
        <f aca="false">IF($D843="","",IF($J843="환불",0,IFERROR(INDEX(상품목록!$D$3:$D$102,MATCH($D843,상품목록!$A$3:$A$102,0)),0)))</f>
        <v/>
      </c>
      <c r="I843" s="10"/>
      <c r="J843" s="10"/>
      <c r="K843" s="10"/>
    </row>
    <row r="844" customFormat="false" ht="15" hidden="false" customHeight="true" outlineLevel="0" collapsed="false">
      <c r="A844" s="12"/>
      <c r="B844" s="10"/>
      <c r="C844" s="15" t="str">
        <f aca="false">IF($B844="","",IFERROR(INDEX(회원명부!$B$3:$B$502,MATCH($B844,회원명부!$A$3:$A$502,0)),"미등록회원"))</f>
        <v/>
      </c>
      <c r="D844" s="10"/>
      <c r="E844" s="16" t="str">
        <f aca="false">IF($D844="","",IF($J844="환불",0,IFERROR(INDEX(상품목록!$B$3:$B$102,MATCH($D844,상품목록!$A$3:$A$102,0)),0)))</f>
        <v/>
      </c>
      <c r="F844" s="16" t="str">
        <f aca="false">IF($D844="","",IFERROR(INDEX(상품목록!$C$3:$C$102,MATCH($D844,상품목록!$A$3:$A$102,0)),0))</f>
        <v/>
      </c>
      <c r="G844" s="17" t="str">
        <f aca="false">IF(OR($A844="",$F844=""),"",$A844+$F844)</f>
        <v/>
      </c>
      <c r="H844" s="16" t="str">
        <f aca="false">IF($D844="","",IF($J844="환불",0,IFERROR(INDEX(상품목록!$D$3:$D$102,MATCH($D844,상품목록!$A$3:$A$102,0)),0)))</f>
        <v/>
      </c>
      <c r="I844" s="10"/>
      <c r="J844" s="10"/>
      <c r="K844" s="10"/>
    </row>
    <row r="845" customFormat="false" ht="15" hidden="false" customHeight="true" outlineLevel="0" collapsed="false">
      <c r="A845" s="12"/>
      <c r="B845" s="10"/>
      <c r="C845" s="15" t="str">
        <f aca="false">IF($B845="","",IFERROR(INDEX(회원명부!$B$3:$B$502,MATCH($B845,회원명부!$A$3:$A$502,0)),"미등록회원"))</f>
        <v/>
      </c>
      <c r="D845" s="10"/>
      <c r="E845" s="16" t="str">
        <f aca="false">IF($D845="","",IF($J845="환불",0,IFERROR(INDEX(상품목록!$B$3:$B$102,MATCH($D845,상품목록!$A$3:$A$102,0)),0)))</f>
        <v/>
      </c>
      <c r="F845" s="16" t="str">
        <f aca="false">IF($D845="","",IFERROR(INDEX(상품목록!$C$3:$C$102,MATCH($D845,상품목록!$A$3:$A$102,0)),0))</f>
        <v/>
      </c>
      <c r="G845" s="17" t="str">
        <f aca="false">IF(OR($A845="",$F845=""),"",$A845+$F845)</f>
        <v/>
      </c>
      <c r="H845" s="16" t="str">
        <f aca="false">IF($D845="","",IF($J845="환불",0,IFERROR(INDEX(상품목록!$D$3:$D$102,MATCH($D845,상품목록!$A$3:$A$102,0)),0)))</f>
        <v/>
      </c>
      <c r="I845" s="10"/>
      <c r="J845" s="10"/>
      <c r="K845" s="10"/>
    </row>
    <row r="846" customFormat="false" ht="15" hidden="false" customHeight="true" outlineLevel="0" collapsed="false">
      <c r="A846" s="12"/>
      <c r="B846" s="10"/>
      <c r="C846" s="15" t="str">
        <f aca="false">IF($B846="","",IFERROR(INDEX(회원명부!$B$3:$B$502,MATCH($B846,회원명부!$A$3:$A$502,0)),"미등록회원"))</f>
        <v/>
      </c>
      <c r="D846" s="10"/>
      <c r="E846" s="16" t="str">
        <f aca="false">IF($D846="","",IF($J846="환불",0,IFERROR(INDEX(상품목록!$B$3:$B$102,MATCH($D846,상품목록!$A$3:$A$102,0)),0)))</f>
        <v/>
      </c>
      <c r="F846" s="16" t="str">
        <f aca="false">IF($D846="","",IFERROR(INDEX(상품목록!$C$3:$C$102,MATCH($D846,상품목록!$A$3:$A$102,0)),0))</f>
        <v/>
      </c>
      <c r="G846" s="17" t="str">
        <f aca="false">IF(OR($A846="",$F846=""),"",$A846+$F846)</f>
        <v/>
      </c>
      <c r="H846" s="16" t="str">
        <f aca="false">IF($D846="","",IF($J846="환불",0,IFERROR(INDEX(상품목록!$D$3:$D$102,MATCH($D846,상품목록!$A$3:$A$102,0)),0)))</f>
        <v/>
      </c>
      <c r="I846" s="10"/>
      <c r="J846" s="10"/>
      <c r="K846" s="10"/>
    </row>
    <row r="847" customFormat="false" ht="15" hidden="false" customHeight="true" outlineLevel="0" collapsed="false">
      <c r="A847" s="12"/>
      <c r="B847" s="10"/>
      <c r="C847" s="15" t="str">
        <f aca="false">IF($B847="","",IFERROR(INDEX(회원명부!$B$3:$B$502,MATCH($B847,회원명부!$A$3:$A$502,0)),"미등록회원"))</f>
        <v/>
      </c>
      <c r="D847" s="10"/>
      <c r="E847" s="16" t="str">
        <f aca="false">IF($D847="","",IF($J847="환불",0,IFERROR(INDEX(상품목록!$B$3:$B$102,MATCH($D847,상품목록!$A$3:$A$102,0)),0)))</f>
        <v/>
      </c>
      <c r="F847" s="16" t="str">
        <f aca="false">IF($D847="","",IFERROR(INDEX(상품목록!$C$3:$C$102,MATCH($D847,상품목록!$A$3:$A$102,0)),0))</f>
        <v/>
      </c>
      <c r="G847" s="17" t="str">
        <f aca="false">IF(OR($A847="",$F847=""),"",$A847+$F847)</f>
        <v/>
      </c>
      <c r="H847" s="16" t="str">
        <f aca="false">IF($D847="","",IF($J847="환불",0,IFERROR(INDEX(상품목록!$D$3:$D$102,MATCH($D847,상품목록!$A$3:$A$102,0)),0)))</f>
        <v/>
      </c>
      <c r="I847" s="10"/>
      <c r="J847" s="10"/>
      <c r="K847" s="10"/>
    </row>
    <row r="848" customFormat="false" ht="15" hidden="false" customHeight="true" outlineLevel="0" collapsed="false">
      <c r="A848" s="12"/>
      <c r="B848" s="10"/>
      <c r="C848" s="15" t="str">
        <f aca="false">IF($B848="","",IFERROR(INDEX(회원명부!$B$3:$B$502,MATCH($B848,회원명부!$A$3:$A$502,0)),"미등록회원"))</f>
        <v/>
      </c>
      <c r="D848" s="10"/>
      <c r="E848" s="16" t="str">
        <f aca="false">IF($D848="","",IF($J848="환불",0,IFERROR(INDEX(상품목록!$B$3:$B$102,MATCH($D848,상품목록!$A$3:$A$102,0)),0)))</f>
        <v/>
      </c>
      <c r="F848" s="16" t="str">
        <f aca="false">IF($D848="","",IFERROR(INDEX(상품목록!$C$3:$C$102,MATCH($D848,상품목록!$A$3:$A$102,0)),0))</f>
        <v/>
      </c>
      <c r="G848" s="17" t="str">
        <f aca="false">IF(OR($A848="",$F848=""),"",$A848+$F848)</f>
        <v/>
      </c>
      <c r="H848" s="16" t="str">
        <f aca="false">IF($D848="","",IF($J848="환불",0,IFERROR(INDEX(상품목록!$D$3:$D$102,MATCH($D848,상품목록!$A$3:$A$102,0)),0)))</f>
        <v/>
      </c>
      <c r="I848" s="10"/>
      <c r="J848" s="10"/>
      <c r="K848" s="10"/>
    </row>
    <row r="849" customFormat="false" ht="15" hidden="false" customHeight="true" outlineLevel="0" collapsed="false">
      <c r="A849" s="12"/>
      <c r="B849" s="10"/>
      <c r="C849" s="15" t="str">
        <f aca="false">IF($B849="","",IFERROR(INDEX(회원명부!$B$3:$B$502,MATCH($B849,회원명부!$A$3:$A$502,0)),"미등록회원"))</f>
        <v/>
      </c>
      <c r="D849" s="10"/>
      <c r="E849" s="16" t="str">
        <f aca="false">IF($D849="","",IF($J849="환불",0,IFERROR(INDEX(상품목록!$B$3:$B$102,MATCH($D849,상품목록!$A$3:$A$102,0)),0)))</f>
        <v/>
      </c>
      <c r="F849" s="16" t="str">
        <f aca="false">IF($D849="","",IFERROR(INDEX(상품목록!$C$3:$C$102,MATCH($D849,상품목록!$A$3:$A$102,0)),0))</f>
        <v/>
      </c>
      <c r="G849" s="17" t="str">
        <f aca="false">IF(OR($A849="",$F849=""),"",$A849+$F849)</f>
        <v/>
      </c>
      <c r="H849" s="16" t="str">
        <f aca="false">IF($D849="","",IF($J849="환불",0,IFERROR(INDEX(상품목록!$D$3:$D$102,MATCH($D849,상품목록!$A$3:$A$102,0)),0)))</f>
        <v/>
      </c>
      <c r="I849" s="10"/>
      <c r="J849" s="10"/>
      <c r="K849" s="10"/>
    </row>
    <row r="850" customFormat="false" ht="15" hidden="false" customHeight="true" outlineLevel="0" collapsed="false">
      <c r="A850" s="12"/>
      <c r="B850" s="10"/>
      <c r="C850" s="15" t="str">
        <f aca="false">IF($B850="","",IFERROR(INDEX(회원명부!$B$3:$B$502,MATCH($B850,회원명부!$A$3:$A$502,0)),"미등록회원"))</f>
        <v/>
      </c>
      <c r="D850" s="10"/>
      <c r="E850" s="16" t="str">
        <f aca="false">IF($D850="","",IF($J850="환불",0,IFERROR(INDEX(상품목록!$B$3:$B$102,MATCH($D850,상품목록!$A$3:$A$102,0)),0)))</f>
        <v/>
      </c>
      <c r="F850" s="16" t="str">
        <f aca="false">IF($D850="","",IFERROR(INDEX(상품목록!$C$3:$C$102,MATCH($D850,상품목록!$A$3:$A$102,0)),0))</f>
        <v/>
      </c>
      <c r="G850" s="17" t="str">
        <f aca="false">IF(OR($A850="",$F850=""),"",$A850+$F850)</f>
        <v/>
      </c>
      <c r="H850" s="16" t="str">
        <f aca="false">IF($D850="","",IF($J850="환불",0,IFERROR(INDEX(상품목록!$D$3:$D$102,MATCH($D850,상품목록!$A$3:$A$102,0)),0)))</f>
        <v/>
      </c>
      <c r="I850" s="10"/>
      <c r="J850" s="10"/>
      <c r="K850" s="10"/>
    </row>
    <row r="851" customFormat="false" ht="15" hidden="false" customHeight="true" outlineLevel="0" collapsed="false">
      <c r="A851" s="12"/>
      <c r="B851" s="10"/>
      <c r="C851" s="15" t="str">
        <f aca="false">IF($B851="","",IFERROR(INDEX(회원명부!$B$3:$B$502,MATCH($B851,회원명부!$A$3:$A$502,0)),"미등록회원"))</f>
        <v/>
      </c>
      <c r="D851" s="10"/>
      <c r="E851" s="16" t="str">
        <f aca="false">IF($D851="","",IF($J851="환불",0,IFERROR(INDEX(상품목록!$B$3:$B$102,MATCH($D851,상품목록!$A$3:$A$102,0)),0)))</f>
        <v/>
      </c>
      <c r="F851" s="16" t="str">
        <f aca="false">IF($D851="","",IFERROR(INDEX(상품목록!$C$3:$C$102,MATCH($D851,상품목록!$A$3:$A$102,0)),0))</f>
        <v/>
      </c>
      <c r="G851" s="17" t="str">
        <f aca="false">IF(OR($A851="",$F851=""),"",$A851+$F851)</f>
        <v/>
      </c>
      <c r="H851" s="16" t="str">
        <f aca="false">IF($D851="","",IF($J851="환불",0,IFERROR(INDEX(상품목록!$D$3:$D$102,MATCH($D851,상품목록!$A$3:$A$102,0)),0)))</f>
        <v/>
      </c>
      <c r="I851" s="10"/>
      <c r="J851" s="10"/>
      <c r="K851" s="10"/>
    </row>
    <row r="852" customFormat="false" ht="15" hidden="false" customHeight="true" outlineLevel="0" collapsed="false">
      <c r="A852" s="12"/>
      <c r="B852" s="10"/>
      <c r="C852" s="15" t="str">
        <f aca="false">IF($B852="","",IFERROR(INDEX(회원명부!$B$3:$B$502,MATCH($B852,회원명부!$A$3:$A$502,0)),"미등록회원"))</f>
        <v/>
      </c>
      <c r="D852" s="10"/>
      <c r="E852" s="16" t="str">
        <f aca="false">IF($D852="","",IF($J852="환불",0,IFERROR(INDEX(상품목록!$B$3:$B$102,MATCH($D852,상품목록!$A$3:$A$102,0)),0)))</f>
        <v/>
      </c>
      <c r="F852" s="16" t="str">
        <f aca="false">IF($D852="","",IFERROR(INDEX(상품목록!$C$3:$C$102,MATCH($D852,상품목록!$A$3:$A$102,0)),0))</f>
        <v/>
      </c>
      <c r="G852" s="17" t="str">
        <f aca="false">IF(OR($A852="",$F852=""),"",$A852+$F852)</f>
        <v/>
      </c>
      <c r="H852" s="16" t="str">
        <f aca="false">IF($D852="","",IF($J852="환불",0,IFERROR(INDEX(상품목록!$D$3:$D$102,MATCH($D852,상품목록!$A$3:$A$102,0)),0)))</f>
        <v/>
      </c>
      <c r="I852" s="10"/>
      <c r="J852" s="10"/>
      <c r="K852" s="10"/>
    </row>
    <row r="853" customFormat="false" ht="15" hidden="false" customHeight="true" outlineLevel="0" collapsed="false">
      <c r="A853" s="12"/>
      <c r="B853" s="10"/>
      <c r="C853" s="15" t="str">
        <f aca="false">IF($B853="","",IFERROR(INDEX(회원명부!$B$3:$B$502,MATCH($B853,회원명부!$A$3:$A$502,0)),"미등록회원"))</f>
        <v/>
      </c>
      <c r="D853" s="10"/>
      <c r="E853" s="16" t="str">
        <f aca="false">IF($D853="","",IF($J853="환불",0,IFERROR(INDEX(상품목록!$B$3:$B$102,MATCH($D853,상품목록!$A$3:$A$102,0)),0)))</f>
        <v/>
      </c>
      <c r="F853" s="16" t="str">
        <f aca="false">IF($D853="","",IFERROR(INDEX(상품목록!$C$3:$C$102,MATCH($D853,상품목록!$A$3:$A$102,0)),0))</f>
        <v/>
      </c>
      <c r="G853" s="17" t="str">
        <f aca="false">IF(OR($A853="",$F853=""),"",$A853+$F853)</f>
        <v/>
      </c>
      <c r="H853" s="16" t="str">
        <f aca="false">IF($D853="","",IF($J853="환불",0,IFERROR(INDEX(상품목록!$D$3:$D$102,MATCH($D853,상품목록!$A$3:$A$102,0)),0)))</f>
        <v/>
      </c>
      <c r="I853" s="10"/>
      <c r="J853" s="10"/>
      <c r="K853" s="10"/>
    </row>
    <row r="854" customFormat="false" ht="15" hidden="false" customHeight="true" outlineLevel="0" collapsed="false">
      <c r="A854" s="12"/>
      <c r="B854" s="10"/>
      <c r="C854" s="15" t="str">
        <f aca="false">IF($B854="","",IFERROR(INDEX(회원명부!$B$3:$B$502,MATCH($B854,회원명부!$A$3:$A$502,0)),"미등록회원"))</f>
        <v/>
      </c>
      <c r="D854" s="10"/>
      <c r="E854" s="16" t="str">
        <f aca="false">IF($D854="","",IF($J854="환불",0,IFERROR(INDEX(상품목록!$B$3:$B$102,MATCH($D854,상품목록!$A$3:$A$102,0)),0)))</f>
        <v/>
      </c>
      <c r="F854" s="16" t="str">
        <f aca="false">IF($D854="","",IFERROR(INDEX(상품목록!$C$3:$C$102,MATCH($D854,상품목록!$A$3:$A$102,0)),0))</f>
        <v/>
      </c>
      <c r="G854" s="17" t="str">
        <f aca="false">IF(OR($A854="",$F854=""),"",$A854+$F854)</f>
        <v/>
      </c>
      <c r="H854" s="16" t="str">
        <f aca="false">IF($D854="","",IF($J854="환불",0,IFERROR(INDEX(상품목록!$D$3:$D$102,MATCH($D854,상품목록!$A$3:$A$102,0)),0)))</f>
        <v/>
      </c>
      <c r="I854" s="10"/>
      <c r="J854" s="10"/>
      <c r="K854" s="10"/>
    </row>
    <row r="855" customFormat="false" ht="15" hidden="false" customHeight="true" outlineLevel="0" collapsed="false">
      <c r="A855" s="12"/>
      <c r="B855" s="10"/>
      <c r="C855" s="15" t="str">
        <f aca="false">IF($B855="","",IFERROR(INDEX(회원명부!$B$3:$B$502,MATCH($B855,회원명부!$A$3:$A$502,0)),"미등록회원"))</f>
        <v/>
      </c>
      <c r="D855" s="10"/>
      <c r="E855" s="16" t="str">
        <f aca="false">IF($D855="","",IF($J855="환불",0,IFERROR(INDEX(상품목록!$B$3:$B$102,MATCH($D855,상품목록!$A$3:$A$102,0)),0)))</f>
        <v/>
      </c>
      <c r="F855" s="16" t="str">
        <f aca="false">IF($D855="","",IFERROR(INDEX(상품목록!$C$3:$C$102,MATCH($D855,상품목록!$A$3:$A$102,0)),0))</f>
        <v/>
      </c>
      <c r="G855" s="17" t="str">
        <f aca="false">IF(OR($A855="",$F855=""),"",$A855+$F855)</f>
        <v/>
      </c>
      <c r="H855" s="16" t="str">
        <f aca="false">IF($D855="","",IF($J855="환불",0,IFERROR(INDEX(상품목록!$D$3:$D$102,MATCH($D855,상품목록!$A$3:$A$102,0)),0)))</f>
        <v/>
      </c>
      <c r="I855" s="10"/>
      <c r="J855" s="10"/>
      <c r="K855" s="10"/>
    </row>
    <row r="856" customFormat="false" ht="15" hidden="false" customHeight="true" outlineLevel="0" collapsed="false">
      <c r="A856" s="12"/>
      <c r="B856" s="10"/>
      <c r="C856" s="15" t="str">
        <f aca="false">IF($B856="","",IFERROR(INDEX(회원명부!$B$3:$B$502,MATCH($B856,회원명부!$A$3:$A$502,0)),"미등록회원"))</f>
        <v/>
      </c>
      <c r="D856" s="10"/>
      <c r="E856" s="16" t="str">
        <f aca="false">IF($D856="","",IF($J856="환불",0,IFERROR(INDEX(상품목록!$B$3:$B$102,MATCH($D856,상품목록!$A$3:$A$102,0)),0)))</f>
        <v/>
      </c>
      <c r="F856" s="16" t="str">
        <f aca="false">IF($D856="","",IFERROR(INDEX(상품목록!$C$3:$C$102,MATCH($D856,상품목록!$A$3:$A$102,0)),0))</f>
        <v/>
      </c>
      <c r="G856" s="17" t="str">
        <f aca="false">IF(OR($A856="",$F856=""),"",$A856+$F856)</f>
        <v/>
      </c>
      <c r="H856" s="16" t="str">
        <f aca="false">IF($D856="","",IF($J856="환불",0,IFERROR(INDEX(상품목록!$D$3:$D$102,MATCH($D856,상품목록!$A$3:$A$102,0)),0)))</f>
        <v/>
      </c>
      <c r="I856" s="10"/>
      <c r="J856" s="10"/>
      <c r="K856" s="10"/>
    </row>
    <row r="857" customFormat="false" ht="15" hidden="false" customHeight="true" outlineLevel="0" collapsed="false">
      <c r="A857" s="12"/>
      <c r="B857" s="10"/>
      <c r="C857" s="15" t="str">
        <f aca="false">IF($B857="","",IFERROR(INDEX(회원명부!$B$3:$B$502,MATCH($B857,회원명부!$A$3:$A$502,0)),"미등록회원"))</f>
        <v/>
      </c>
      <c r="D857" s="10"/>
      <c r="E857" s="16" t="str">
        <f aca="false">IF($D857="","",IF($J857="환불",0,IFERROR(INDEX(상품목록!$B$3:$B$102,MATCH($D857,상품목록!$A$3:$A$102,0)),0)))</f>
        <v/>
      </c>
      <c r="F857" s="16" t="str">
        <f aca="false">IF($D857="","",IFERROR(INDEX(상품목록!$C$3:$C$102,MATCH($D857,상품목록!$A$3:$A$102,0)),0))</f>
        <v/>
      </c>
      <c r="G857" s="17" t="str">
        <f aca="false">IF(OR($A857="",$F857=""),"",$A857+$F857)</f>
        <v/>
      </c>
      <c r="H857" s="16" t="str">
        <f aca="false">IF($D857="","",IF($J857="환불",0,IFERROR(INDEX(상품목록!$D$3:$D$102,MATCH($D857,상품목록!$A$3:$A$102,0)),0)))</f>
        <v/>
      </c>
      <c r="I857" s="10"/>
      <c r="J857" s="10"/>
      <c r="K857" s="10"/>
    </row>
    <row r="858" customFormat="false" ht="15" hidden="false" customHeight="true" outlineLevel="0" collapsed="false">
      <c r="A858" s="12"/>
      <c r="B858" s="10"/>
      <c r="C858" s="15" t="str">
        <f aca="false">IF($B858="","",IFERROR(INDEX(회원명부!$B$3:$B$502,MATCH($B858,회원명부!$A$3:$A$502,0)),"미등록회원"))</f>
        <v/>
      </c>
      <c r="D858" s="10"/>
      <c r="E858" s="16" t="str">
        <f aca="false">IF($D858="","",IF($J858="환불",0,IFERROR(INDEX(상품목록!$B$3:$B$102,MATCH($D858,상품목록!$A$3:$A$102,0)),0)))</f>
        <v/>
      </c>
      <c r="F858" s="16" t="str">
        <f aca="false">IF($D858="","",IFERROR(INDEX(상품목록!$C$3:$C$102,MATCH($D858,상품목록!$A$3:$A$102,0)),0))</f>
        <v/>
      </c>
      <c r="G858" s="17" t="str">
        <f aca="false">IF(OR($A858="",$F858=""),"",$A858+$F858)</f>
        <v/>
      </c>
      <c r="H858" s="16" t="str">
        <f aca="false">IF($D858="","",IF($J858="환불",0,IFERROR(INDEX(상품목록!$D$3:$D$102,MATCH($D858,상품목록!$A$3:$A$102,0)),0)))</f>
        <v/>
      </c>
      <c r="I858" s="10"/>
      <c r="J858" s="10"/>
      <c r="K858" s="10"/>
    </row>
    <row r="859" customFormat="false" ht="15" hidden="false" customHeight="true" outlineLevel="0" collapsed="false">
      <c r="A859" s="12"/>
      <c r="B859" s="10"/>
      <c r="C859" s="15" t="str">
        <f aca="false">IF($B859="","",IFERROR(INDEX(회원명부!$B$3:$B$502,MATCH($B859,회원명부!$A$3:$A$502,0)),"미등록회원"))</f>
        <v/>
      </c>
      <c r="D859" s="10"/>
      <c r="E859" s="16" t="str">
        <f aca="false">IF($D859="","",IF($J859="환불",0,IFERROR(INDEX(상품목록!$B$3:$B$102,MATCH($D859,상품목록!$A$3:$A$102,0)),0)))</f>
        <v/>
      </c>
      <c r="F859" s="16" t="str">
        <f aca="false">IF($D859="","",IFERROR(INDEX(상품목록!$C$3:$C$102,MATCH($D859,상품목록!$A$3:$A$102,0)),0))</f>
        <v/>
      </c>
      <c r="G859" s="17" t="str">
        <f aca="false">IF(OR($A859="",$F859=""),"",$A859+$F859)</f>
        <v/>
      </c>
      <c r="H859" s="16" t="str">
        <f aca="false">IF($D859="","",IF($J859="환불",0,IFERROR(INDEX(상품목록!$D$3:$D$102,MATCH($D859,상품목록!$A$3:$A$102,0)),0)))</f>
        <v/>
      </c>
      <c r="I859" s="10"/>
      <c r="J859" s="10"/>
      <c r="K859" s="10"/>
    </row>
    <row r="860" customFormat="false" ht="15" hidden="false" customHeight="true" outlineLevel="0" collapsed="false">
      <c r="A860" s="12"/>
      <c r="B860" s="10"/>
      <c r="C860" s="15" t="str">
        <f aca="false">IF($B860="","",IFERROR(INDEX(회원명부!$B$3:$B$502,MATCH($B860,회원명부!$A$3:$A$502,0)),"미등록회원"))</f>
        <v/>
      </c>
      <c r="D860" s="10"/>
      <c r="E860" s="16" t="str">
        <f aca="false">IF($D860="","",IF($J860="환불",0,IFERROR(INDEX(상품목록!$B$3:$B$102,MATCH($D860,상품목록!$A$3:$A$102,0)),0)))</f>
        <v/>
      </c>
      <c r="F860" s="16" t="str">
        <f aca="false">IF($D860="","",IFERROR(INDEX(상품목록!$C$3:$C$102,MATCH($D860,상품목록!$A$3:$A$102,0)),0))</f>
        <v/>
      </c>
      <c r="G860" s="17" t="str">
        <f aca="false">IF(OR($A860="",$F860=""),"",$A860+$F860)</f>
        <v/>
      </c>
      <c r="H860" s="16" t="str">
        <f aca="false">IF($D860="","",IF($J860="환불",0,IFERROR(INDEX(상품목록!$D$3:$D$102,MATCH($D860,상품목록!$A$3:$A$102,0)),0)))</f>
        <v/>
      </c>
      <c r="I860" s="10"/>
      <c r="J860" s="10"/>
      <c r="K860" s="10"/>
    </row>
    <row r="861" customFormat="false" ht="15" hidden="false" customHeight="true" outlineLevel="0" collapsed="false">
      <c r="A861" s="12"/>
      <c r="B861" s="10"/>
      <c r="C861" s="15" t="str">
        <f aca="false">IF($B861="","",IFERROR(INDEX(회원명부!$B$3:$B$502,MATCH($B861,회원명부!$A$3:$A$502,0)),"미등록회원"))</f>
        <v/>
      </c>
      <c r="D861" s="10"/>
      <c r="E861" s="16" t="str">
        <f aca="false">IF($D861="","",IF($J861="환불",0,IFERROR(INDEX(상품목록!$B$3:$B$102,MATCH($D861,상품목록!$A$3:$A$102,0)),0)))</f>
        <v/>
      </c>
      <c r="F861" s="16" t="str">
        <f aca="false">IF($D861="","",IFERROR(INDEX(상품목록!$C$3:$C$102,MATCH($D861,상품목록!$A$3:$A$102,0)),0))</f>
        <v/>
      </c>
      <c r="G861" s="17" t="str">
        <f aca="false">IF(OR($A861="",$F861=""),"",$A861+$F861)</f>
        <v/>
      </c>
      <c r="H861" s="16" t="str">
        <f aca="false">IF($D861="","",IF($J861="환불",0,IFERROR(INDEX(상품목록!$D$3:$D$102,MATCH($D861,상품목록!$A$3:$A$102,0)),0)))</f>
        <v/>
      </c>
      <c r="I861" s="10"/>
      <c r="J861" s="10"/>
      <c r="K861" s="10"/>
    </row>
    <row r="862" customFormat="false" ht="15" hidden="false" customHeight="true" outlineLevel="0" collapsed="false">
      <c r="A862" s="12"/>
      <c r="B862" s="10"/>
      <c r="C862" s="15" t="str">
        <f aca="false">IF($B862="","",IFERROR(INDEX(회원명부!$B$3:$B$502,MATCH($B862,회원명부!$A$3:$A$502,0)),"미등록회원"))</f>
        <v/>
      </c>
      <c r="D862" s="10"/>
      <c r="E862" s="16" t="str">
        <f aca="false">IF($D862="","",IF($J862="환불",0,IFERROR(INDEX(상품목록!$B$3:$B$102,MATCH($D862,상품목록!$A$3:$A$102,0)),0)))</f>
        <v/>
      </c>
      <c r="F862" s="16" t="str">
        <f aca="false">IF($D862="","",IFERROR(INDEX(상품목록!$C$3:$C$102,MATCH($D862,상품목록!$A$3:$A$102,0)),0))</f>
        <v/>
      </c>
      <c r="G862" s="17" t="str">
        <f aca="false">IF(OR($A862="",$F862=""),"",$A862+$F862)</f>
        <v/>
      </c>
      <c r="H862" s="16" t="str">
        <f aca="false">IF($D862="","",IF($J862="환불",0,IFERROR(INDEX(상품목록!$D$3:$D$102,MATCH($D862,상품목록!$A$3:$A$102,0)),0)))</f>
        <v/>
      </c>
      <c r="I862" s="10"/>
      <c r="J862" s="10"/>
      <c r="K862" s="10"/>
    </row>
    <row r="863" customFormat="false" ht="15" hidden="false" customHeight="true" outlineLevel="0" collapsed="false">
      <c r="A863" s="12"/>
      <c r="B863" s="10"/>
      <c r="C863" s="15" t="str">
        <f aca="false">IF($B863="","",IFERROR(INDEX(회원명부!$B$3:$B$502,MATCH($B863,회원명부!$A$3:$A$502,0)),"미등록회원"))</f>
        <v/>
      </c>
      <c r="D863" s="10"/>
      <c r="E863" s="16" t="str">
        <f aca="false">IF($D863="","",IF($J863="환불",0,IFERROR(INDEX(상품목록!$B$3:$B$102,MATCH($D863,상품목록!$A$3:$A$102,0)),0)))</f>
        <v/>
      </c>
      <c r="F863" s="16" t="str">
        <f aca="false">IF($D863="","",IFERROR(INDEX(상품목록!$C$3:$C$102,MATCH($D863,상품목록!$A$3:$A$102,0)),0))</f>
        <v/>
      </c>
      <c r="G863" s="17" t="str">
        <f aca="false">IF(OR($A863="",$F863=""),"",$A863+$F863)</f>
        <v/>
      </c>
      <c r="H863" s="16" t="str">
        <f aca="false">IF($D863="","",IF($J863="환불",0,IFERROR(INDEX(상품목록!$D$3:$D$102,MATCH($D863,상품목록!$A$3:$A$102,0)),0)))</f>
        <v/>
      </c>
      <c r="I863" s="10"/>
      <c r="J863" s="10"/>
      <c r="K863" s="10"/>
    </row>
    <row r="864" customFormat="false" ht="15" hidden="false" customHeight="true" outlineLevel="0" collapsed="false">
      <c r="A864" s="12"/>
      <c r="B864" s="10"/>
      <c r="C864" s="15" t="str">
        <f aca="false">IF($B864="","",IFERROR(INDEX(회원명부!$B$3:$B$502,MATCH($B864,회원명부!$A$3:$A$502,0)),"미등록회원"))</f>
        <v/>
      </c>
      <c r="D864" s="10"/>
      <c r="E864" s="16" t="str">
        <f aca="false">IF($D864="","",IF($J864="환불",0,IFERROR(INDEX(상품목록!$B$3:$B$102,MATCH($D864,상품목록!$A$3:$A$102,0)),0)))</f>
        <v/>
      </c>
      <c r="F864" s="16" t="str">
        <f aca="false">IF($D864="","",IFERROR(INDEX(상품목록!$C$3:$C$102,MATCH($D864,상품목록!$A$3:$A$102,0)),0))</f>
        <v/>
      </c>
      <c r="G864" s="17" t="str">
        <f aca="false">IF(OR($A864="",$F864=""),"",$A864+$F864)</f>
        <v/>
      </c>
      <c r="H864" s="16" t="str">
        <f aca="false">IF($D864="","",IF($J864="환불",0,IFERROR(INDEX(상품목록!$D$3:$D$102,MATCH($D864,상품목록!$A$3:$A$102,0)),0)))</f>
        <v/>
      </c>
      <c r="I864" s="10"/>
      <c r="J864" s="10"/>
      <c r="K864" s="10"/>
    </row>
    <row r="865" customFormat="false" ht="15" hidden="false" customHeight="true" outlineLevel="0" collapsed="false">
      <c r="A865" s="12"/>
      <c r="B865" s="10"/>
      <c r="C865" s="15" t="str">
        <f aca="false">IF($B865="","",IFERROR(INDEX(회원명부!$B$3:$B$502,MATCH($B865,회원명부!$A$3:$A$502,0)),"미등록회원"))</f>
        <v/>
      </c>
      <c r="D865" s="10"/>
      <c r="E865" s="16" t="str">
        <f aca="false">IF($D865="","",IF($J865="환불",0,IFERROR(INDEX(상품목록!$B$3:$B$102,MATCH($D865,상품목록!$A$3:$A$102,0)),0)))</f>
        <v/>
      </c>
      <c r="F865" s="16" t="str">
        <f aca="false">IF($D865="","",IFERROR(INDEX(상품목록!$C$3:$C$102,MATCH($D865,상품목록!$A$3:$A$102,0)),0))</f>
        <v/>
      </c>
      <c r="G865" s="17" t="str">
        <f aca="false">IF(OR($A865="",$F865=""),"",$A865+$F865)</f>
        <v/>
      </c>
      <c r="H865" s="16" t="str">
        <f aca="false">IF($D865="","",IF($J865="환불",0,IFERROR(INDEX(상품목록!$D$3:$D$102,MATCH($D865,상품목록!$A$3:$A$102,0)),0)))</f>
        <v/>
      </c>
      <c r="I865" s="10"/>
      <c r="J865" s="10"/>
      <c r="K865" s="10"/>
    </row>
    <row r="866" customFormat="false" ht="15" hidden="false" customHeight="true" outlineLevel="0" collapsed="false">
      <c r="A866" s="12"/>
      <c r="B866" s="10"/>
      <c r="C866" s="15" t="str">
        <f aca="false">IF($B866="","",IFERROR(INDEX(회원명부!$B$3:$B$502,MATCH($B866,회원명부!$A$3:$A$502,0)),"미등록회원"))</f>
        <v/>
      </c>
      <c r="D866" s="10"/>
      <c r="E866" s="16" t="str">
        <f aca="false">IF($D866="","",IF($J866="환불",0,IFERROR(INDEX(상품목록!$B$3:$B$102,MATCH($D866,상품목록!$A$3:$A$102,0)),0)))</f>
        <v/>
      </c>
      <c r="F866" s="16" t="str">
        <f aca="false">IF($D866="","",IFERROR(INDEX(상품목록!$C$3:$C$102,MATCH($D866,상품목록!$A$3:$A$102,0)),0))</f>
        <v/>
      </c>
      <c r="G866" s="17" t="str">
        <f aca="false">IF(OR($A866="",$F866=""),"",$A866+$F866)</f>
        <v/>
      </c>
      <c r="H866" s="16" t="str">
        <f aca="false">IF($D866="","",IF($J866="환불",0,IFERROR(INDEX(상품목록!$D$3:$D$102,MATCH($D866,상품목록!$A$3:$A$102,0)),0)))</f>
        <v/>
      </c>
      <c r="I866" s="10"/>
      <c r="J866" s="10"/>
      <c r="K866" s="10"/>
    </row>
    <row r="867" customFormat="false" ht="15" hidden="false" customHeight="true" outlineLevel="0" collapsed="false">
      <c r="A867" s="12"/>
      <c r="B867" s="10"/>
      <c r="C867" s="15" t="str">
        <f aca="false">IF($B867="","",IFERROR(INDEX(회원명부!$B$3:$B$502,MATCH($B867,회원명부!$A$3:$A$502,0)),"미등록회원"))</f>
        <v/>
      </c>
      <c r="D867" s="10"/>
      <c r="E867" s="16" t="str">
        <f aca="false">IF($D867="","",IF($J867="환불",0,IFERROR(INDEX(상품목록!$B$3:$B$102,MATCH($D867,상품목록!$A$3:$A$102,0)),0)))</f>
        <v/>
      </c>
      <c r="F867" s="16" t="str">
        <f aca="false">IF($D867="","",IFERROR(INDEX(상품목록!$C$3:$C$102,MATCH($D867,상품목록!$A$3:$A$102,0)),0))</f>
        <v/>
      </c>
      <c r="G867" s="17" t="str">
        <f aca="false">IF(OR($A867="",$F867=""),"",$A867+$F867)</f>
        <v/>
      </c>
      <c r="H867" s="16" t="str">
        <f aca="false">IF($D867="","",IF($J867="환불",0,IFERROR(INDEX(상품목록!$D$3:$D$102,MATCH($D867,상품목록!$A$3:$A$102,0)),0)))</f>
        <v/>
      </c>
      <c r="I867" s="10"/>
      <c r="J867" s="10"/>
      <c r="K867" s="10"/>
    </row>
    <row r="868" customFormat="false" ht="15" hidden="false" customHeight="true" outlineLevel="0" collapsed="false">
      <c r="A868" s="12"/>
      <c r="B868" s="10"/>
      <c r="C868" s="15" t="str">
        <f aca="false">IF($B868="","",IFERROR(INDEX(회원명부!$B$3:$B$502,MATCH($B868,회원명부!$A$3:$A$502,0)),"미등록회원"))</f>
        <v/>
      </c>
      <c r="D868" s="10"/>
      <c r="E868" s="16" t="str">
        <f aca="false">IF($D868="","",IF($J868="환불",0,IFERROR(INDEX(상품목록!$B$3:$B$102,MATCH($D868,상품목록!$A$3:$A$102,0)),0)))</f>
        <v/>
      </c>
      <c r="F868" s="16" t="str">
        <f aca="false">IF($D868="","",IFERROR(INDEX(상품목록!$C$3:$C$102,MATCH($D868,상품목록!$A$3:$A$102,0)),0))</f>
        <v/>
      </c>
      <c r="G868" s="17" t="str">
        <f aca="false">IF(OR($A868="",$F868=""),"",$A868+$F868)</f>
        <v/>
      </c>
      <c r="H868" s="16" t="str">
        <f aca="false">IF($D868="","",IF($J868="환불",0,IFERROR(INDEX(상품목록!$D$3:$D$102,MATCH($D868,상품목록!$A$3:$A$102,0)),0)))</f>
        <v/>
      </c>
      <c r="I868" s="10"/>
      <c r="J868" s="10"/>
      <c r="K868" s="10"/>
    </row>
    <row r="869" customFormat="false" ht="15" hidden="false" customHeight="true" outlineLevel="0" collapsed="false">
      <c r="A869" s="12"/>
      <c r="B869" s="10"/>
      <c r="C869" s="15" t="str">
        <f aca="false">IF($B869="","",IFERROR(INDEX(회원명부!$B$3:$B$502,MATCH($B869,회원명부!$A$3:$A$502,0)),"미등록회원"))</f>
        <v/>
      </c>
      <c r="D869" s="10"/>
      <c r="E869" s="16" t="str">
        <f aca="false">IF($D869="","",IF($J869="환불",0,IFERROR(INDEX(상품목록!$B$3:$B$102,MATCH($D869,상품목록!$A$3:$A$102,0)),0)))</f>
        <v/>
      </c>
      <c r="F869" s="16" t="str">
        <f aca="false">IF($D869="","",IFERROR(INDEX(상품목록!$C$3:$C$102,MATCH($D869,상품목록!$A$3:$A$102,0)),0))</f>
        <v/>
      </c>
      <c r="G869" s="17" t="str">
        <f aca="false">IF(OR($A869="",$F869=""),"",$A869+$F869)</f>
        <v/>
      </c>
      <c r="H869" s="16" t="str">
        <f aca="false">IF($D869="","",IF($J869="환불",0,IFERROR(INDEX(상품목록!$D$3:$D$102,MATCH($D869,상품목록!$A$3:$A$102,0)),0)))</f>
        <v/>
      </c>
      <c r="I869" s="10"/>
      <c r="J869" s="10"/>
      <c r="K869" s="10"/>
    </row>
    <row r="870" customFormat="false" ht="15" hidden="false" customHeight="true" outlineLevel="0" collapsed="false">
      <c r="A870" s="12"/>
      <c r="B870" s="10"/>
      <c r="C870" s="15" t="str">
        <f aca="false">IF($B870="","",IFERROR(INDEX(회원명부!$B$3:$B$502,MATCH($B870,회원명부!$A$3:$A$502,0)),"미등록회원"))</f>
        <v/>
      </c>
      <c r="D870" s="10"/>
      <c r="E870" s="16" t="str">
        <f aca="false">IF($D870="","",IF($J870="환불",0,IFERROR(INDEX(상품목록!$B$3:$B$102,MATCH($D870,상품목록!$A$3:$A$102,0)),0)))</f>
        <v/>
      </c>
      <c r="F870" s="16" t="str">
        <f aca="false">IF($D870="","",IFERROR(INDEX(상품목록!$C$3:$C$102,MATCH($D870,상품목록!$A$3:$A$102,0)),0))</f>
        <v/>
      </c>
      <c r="G870" s="17" t="str">
        <f aca="false">IF(OR($A870="",$F870=""),"",$A870+$F870)</f>
        <v/>
      </c>
      <c r="H870" s="16" t="str">
        <f aca="false">IF($D870="","",IF($J870="환불",0,IFERROR(INDEX(상품목록!$D$3:$D$102,MATCH($D870,상품목록!$A$3:$A$102,0)),0)))</f>
        <v/>
      </c>
      <c r="I870" s="10"/>
      <c r="J870" s="10"/>
      <c r="K870" s="10"/>
    </row>
    <row r="871" customFormat="false" ht="15" hidden="false" customHeight="true" outlineLevel="0" collapsed="false">
      <c r="A871" s="12"/>
      <c r="B871" s="10"/>
      <c r="C871" s="15" t="str">
        <f aca="false">IF($B871="","",IFERROR(INDEX(회원명부!$B$3:$B$502,MATCH($B871,회원명부!$A$3:$A$502,0)),"미등록회원"))</f>
        <v/>
      </c>
      <c r="D871" s="10"/>
      <c r="E871" s="16" t="str">
        <f aca="false">IF($D871="","",IF($J871="환불",0,IFERROR(INDEX(상품목록!$B$3:$B$102,MATCH($D871,상품목록!$A$3:$A$102,0)),0)))</f>
        <v/>
      </c>
      <c r="F871" s="16" t="str">
        <f aca="false">IF($D871="","",IFERROR(INDEX(상품목록!$C$3:$C$102,MATCH($D871,상품목록!$A$3:$A$102,0)),0))</f>
        <v/>
      </c>
      <c r="G871" s="17" t="str">
        <f aca="false">IF(OR($A871="",$F871=""),"",$A871+$F871)</f>
        <v/>
      </c>
      <c r="H871" s="16" t="str">
        <f aca="false">IF($D871="","",IF($J871="환불",0,IFERROR(INDEX(상품목록!$D$3:$D$102,MATCH($D871,상품목록!$A$3:$A$102,0)),0)))</f>
        <v/>
      </c>
      <c r="I871" s="10"/>
      <c r="J871" s="10"/>
      <c r="K871" s="10"/>
    </row>
    <row r="872" customFormat="false" ht="15" hidden="false" customHeight="true" outlineLevel="0" collapsed="false">
      <c r="A872" s="12"/>
      <c r="B872" s="10"/>
      <c r="C872" s="15" t="str">
        <f aca="false">IF($B872="","",IFERROR(INDEX(회원명부!$B$3:$B$502,MATCH($B872,회원명부!$A$3:$A$502,0)),"미등록회원"))</f>
        <v/>
      </c>
      <c r="D872" s="10"/>
      <c r="E872" s="16" t="str">
        <f aca="false">IF($D872="","",IF($J872="환불",0,IFERROR(INDEX(상품목록!$B$3:$B$102,MATCH($D872,상품목록!$A$3:$A$102,0)),0)))</f>
        <v/>
      </c>
      <c r="F872" s="16" t="str">
        <f aca="false">IF($D872="","",IFERROR(INDEX(상품목록!$C$3:$C$102,MATCH($D872,상품목록!$A$3:$A$102,0)),0))</f>
        <v/>
      </c>
      <c r="G872" s="17" t="str">
        <f aca="false">IF(OR($A872="",$F872=""),"",$A872+$F872)</f>
        <v/>
      </c>
      <c r="H872" s="16" t="str">
        <f aca="false">IF($D872="","",IF($J872="환불",0,IFERROR(INDEX(상품목록!$D$3:$D$102,MATCH($D872,상품목록!$A$3:$A$102,0)),0)))</f>
        <v/>
      </c>
      <c r="I872" s="10"/>
      <c r="J872" s="10"/>
      <c r="K872" s="10"/>
    </row>
    <row r="873" customFormat="false" ht="15" hidden="false" customHeight="true" outlineLevel="0" collapsed="false">
      <c r="A873" s="12"/>
      <c r="B873" s="10"/>
      <c r="C873" s="15" t="str">
        <f aca="false">IF($B873="","",IFERROR(INDEX(회원명부!$B$3:$B$502,MATCH($B873,회원명부!$A$3:$A$502,0)),"미등록회원"))</f>
        <v/>
      </c>
      <c r="D873" s="10"/>
      <c r="E873" s="16" t="str">
        <f aca="false">IF($D873="","",IF($J873="환불",0,IFERROR(INDEX(상품목록!$B$3:$B$102,MATCH($D873,상품목록!$A$3:$A$102,0)),0)))</f>
        <v/>
      </c>
      <c r="F873" s="16" t="str">
        <f aca="false">IF($D873="","",IFERROR(INDEX(상품목록!$C$3:$C$102,MATCH($D873,상품목록!$A$3:$A$102,0)),0))</f>
        <v/>
      </c>
      <c r="G873" s="17" t="str">
        <f aca="false">IF(OR($A873="",$F873=""),"",$A873+$F873)</f>
        <v/>
      </c>
      <c r="H873" s="16" t="str">
        <f aca="false">IF($D873="","",IF($J873="환불",0,IFERROR(INDEX(상품목록!$D$3:$D$102,MATCH($D873,상품목록!$A$3:$A$102,0)),0)))</f>
        <v/>
      </c>
      <c r="I873" s="10"/>
      <c r="J873" s="10"/>
      <c r="K873" s="10"/>
    </row>
    <row r="874" customFormat="false" ht="15" hidden="false" customHeight="true" outlineLevel="0" collapsed="false">
      <c r="A874" s="12"/>
      <c r="B874" s="10"/>
      <c r="C874" s="15" t="str">
        <f aca="false">IF($B874="","",IFERROR(INDEX(회원명부!$B$3:$B$502,MATCH($B874,회원명부!$A$3:$A$502,0)),"미등록회원"))</f>
        <v/>
      </c>
      <c r="D874" s="10"/>
      <c r="E874" s="16" t="str">
        <f aca="false">IF($D874="","",IF($J874="환불",0,IFERROR(INDEX(상품목록!$B$3:$B$102,MATCH($D874,상품목록!$A$3:$A$102,0)),0)))</f>
        <v/>
      </c>
      <c r="F874" s="16" t="str">
        <f aca="false">IF($D874="","",IFERROR(INDEX(상품목록!$C$3:$C$102,MATCH($D874,상품목록!$A$3:$A$102,0)),0))</f>
        <v/>
      </c>
      <c r="G874" s="17" t="str">
        <f aca="false">IF(OR($A874="",$F874=""),"",$A874+$F874)</f>
        <v/>
      </c>
      <c r="H874" s="16" t="str">
        <f aca="false">IF($D874="","",IF($J874="환불",0,IFERROR(INDEX(상품목록!$D$3:$D$102,MATCH($D874,상품목록!$A$3:$A$102,0)),0)))</f>
        <v/>
      </c>
      <c r="I874" s="10"/>
      <c r="J874" s="10"/>
      <c r="K874" s="10"/>
    </row>
    <row r="875" customFormat="false" ht="15" hidden="false" customHeight="true" outlineLevel="0" collapsed="false">
      <c r="A875" s="12"/>
      <c r="B875" s="10"/>
      <c r="C875" s="15" t="str">
        <f aca="false">IF($B875="","",IFERROR(INDEX(회원명부!$B$3:$B$502,MATCH($B875,회원명부!$A$3:$A$502,0)),"미등록회원"))</f>
        <v/>
      </c>
      <c r="D875" s="10"/>
      <c r="E875" s="16" t="str">
        <f aca="false">IF($D875="","",IF($J875="환불",0,IFERROR(INDEX(상품목록!$B$3:$B$102,MATCH($D875,상품목록!$A$3:$A$102,0)),0)))</f>
        <v/>
      </c>
      <c r="F875" s="16" t="str">
        <f aca="false">IF($D875="","",IFERROR(INDEX(상품목록!$C$3:$C$102,MATCH($D875,상품목록!$A$3:$A$102,0)),0))</f>
        <v/>
      </c>
      <c r="G875" s="17" t="str">
        <f aca="false">IF(OR($A875="",$F875=""),"",$A875+$F875)</f>
        <v/>
      </c>
      <c r="H875" s="16" t="str">
        <f aca="false">IF($D875="","",IF($J875="환불",0,IFERROR(INDEX(상품목록!$D$3:$D$102,MATCH($D875,상품목록!$A$3:$A$102,0)),0)))</f>
        <v/>
      </c>
      <c r="I875" s="10"/>
      <c r="J875" s="10"/>
      <c r="K875" s="10"/>
    </row>
    <row r="876" customFormat="false" ht="15" hidden="false" customHeight="true" outlineLevel="0" collapsed="false">
      <c r="A876" s="12"/>
      <c r="B876" s="10"/>
      <c r="C876" s="15" t="str">
        <f aca="false">IF($B876="","",IFERROR(INDEX(회원명부!$B$3:$B$502,MATCH($B876,회원명부!$A$3:$A$502,0)),"미등록회원"))</f>
        <v/>
      </c>
      <c r="D876" s="10"/>
      <c r="E876" s="16" t="str">
        <f aca="false">IF($D876="","",IF($J876="환불",0,IFERROR(INDEX(상품목록!$B$3:$B$102,MATCH($D876,상품목록!$A$3:$A$102,0)),0)))</f>
        <v/>
      </c>
      <c r="F876" s="16" t="str">
        <f aca="false">IF($D876="","",IFERROR(INDEX(상품목록!$C$3:$C$102,MATCH($D876,상품목록!$A$3:$A$102,0)),0))</f>
        <v/>
      </c>
      <c r="G876" s="17" t="str">
        <f aca="false">IF(OR($A876="",$F876=""),"",$A876+$F876)</f>
        <v/>
      </c>
      <c r="H876" s="16" t="str">
        <f aca="false">IF($D876="","",IF($J876="환불",0,IFERROR(INDEX(상품목록!$D$3:$D$102,MATCH($D876,상품목록!$A$3:$A$102,0)),0)))</f>
        <v/>
      </c>
      <c r="I876" s="10"/>
      <c r="J876" s="10"/>
      <c r="K876" s="10"/>
    </row>
    <row r="877" customFormat="false" ht="15" hidden="false" customHeight="true" outlineLevel="0" collapsed="false">
      <c r="A877" s="12"/>
      <c r="B877" s="10"/>
      <c r="C877" s="15" t="str">
        <f aca="false">IF($B877="","",IFERROR(INDEX(회원명부!$B$3:$B$502,MATCH($B877,회원명부!$A$3:$A$502,0)),"미등록회원"))</f>
        <v/>
      </c>
      <c r="D877" s="10"/>
      <c r="E877" s="16" t="str">
        <f aca="false">IF($D877="","",IF($J877="환불",0,IFERROR(INDEX(상품목록!$B$3:$B$102,MATCH($D877,상품목록!$A$3:$A$102,0)),0)))</f>
        <v/>
      </c>
      <c r="F877" s="16" t="str">
        <f aca="false">IF($D877="","",IFERROR(INDEX(상품목록!$C$3:$C$102,MATCH($D877,상품목록!$A$3:$A$102,0)),0))</f>
        <v/>
      </c>
      <c r="G877" s="17" t="str">
        <f aca="false">IF(OR($A877="",$F877=""),"",$A877+$F877)</f>
        <v/>
      </c>
      <c r="H877" s="16" t="str">
        <f aca="false">IF($D877="","",IF($J877="환불",0,IFERROR(INDEX(상품목록!$D$3:$D$102,MATCH($D877,상품목록!$A$3:$A$102,0)),0)))</f>
        <v/>
      </c>
      <c r="I877" s="10"/>
      <c r="J877" s="10"/>
      <c r="K877" s="10"/>
    </row>
    <row r="878" customFormat="false" ht="15" hidden="false" customHeight="true" outlineLevel="0" collapsed="false">
      <c r="A878" s="12"/>
      <c r="B878" s="10"/>
      <c r="C878" s="15" t="str">
        <f aca="false">IF($B878="","",IFERROR(INDEX(회원명부!$B$3:$B$502,MATCH($B878,회원명부!$A$3:$A$502,0)),"미등록회원"))</f>
        <v/>
      </c>
      <c r="D878" s="10"/>
      <c r="E878" s="16" t="str">
        <f aca="false">IF($D878="","",IF($J878="환불",0,IFERROR(INDEX(상품목록!$B$3:$B$102,MATCH($D878,상품목록!$A$3:$A$102,0)),0)))</f>
        <v/>
      </c>
      <c r="F878" s="16" t="str">
        <f aca="false">IF($D878="","",IFERROR(INDEX(상품목록!$C$3:$C$102,MATCH($D878,상품목록!$A$3:$A$102,0)),0))</f>
        <v/>
      </c>
      <c r="G878" s="17" t="str">
        <f aca="false">IF(OR($A878="",$F878=""),"",$A878+$F878)</f>
        <v/>
      </c>
      <c r="H878" s="16" t="str">
        <f aca="false">IF($D878="","",IF($J878="환불",0,IFERROR(INDEX(상품목록!$D$3:$D$102,MATCH($D878,상품목록!$A$3:$A$102,0)),0)))</f>
        <v/>
      </c>
      <c r="I878" s="10"/>
      <c r="J878" s="10"/>
      <c r="K878" s="10"/>
    </row>
    <row r="879" customFormat="false" ht="15" hidden="false" customHeight="true" outlineLevel="0" collapsed="false">
      <c r="A879" s="12"/>
      <c r="B879" s="10"/>
      <c r="C879" s="15" t="str">
        <f aca="false">IF($B879="","",IFERROR(INDEX(회원명부!$B$3:$B$502,MATCH($B879,회원명부!$A$3:$A$502,0)),"미등록회원"))</f>
        <v/>
      </c>
      <c r="D879" s="10"/>
      <c r="E879" s="16" t="str">
        <f aca="false">IF($D879="","",IF($J879="환불",0,IFERROR(INDEX(상품목록!$B$3:$B$102,MATCH($D879,상품목록!$A$3:$A$102,0)),0)))</f>
        <v/>
      </c>
      <c r="F879" s="16" t="str">
        <f aca="false">IF($D879="","",IFERROR(INDEX(상품목록!$C$3:$C$102,MATCH($D879,상품목록!$A$3:$A$102,0)),0))</f>
        <v/>
      </c>
      <c r="G879" s="17" t="str">
        <f aca="false">IF(OR($A879="",$F879=""),"",$A879+$F879)</f>
        <v/>
      </c>
      <c r="H879" s="16" t="str">
        <f aca="false">IF($D879="","",IF($J879="환불",0,IFERROR(INDEX(상품목록!$D$3:$D$102,MATCH($D879,상품목록!$A$3:$A$102,0)),0)))</f>
        <v/>
      </c>
      <c r="I879" s="10"/>
      <c r="J879" s="10"/>
      <c r="K879" s="10"/>
    </row>
    <row r="880" customFormat="false" ht="15" hidden="false" customHeight="true" outlineLevel="0" collapsed="false">
      <c r="A880" s="12"/>
      <c r="B880" s="10"/>
      <c r="C880" s="15" t="str">
        <f aca="false">IF($B880="","",IFERROR(INDEX(회원명부!$B$3:$B$502,MATCH($B880,회원명부!$A$3:$A$502,0)),"미등록회원"))</f>
        <v/>
      </c>
      <c r="D880" s="10"/>
      <c r="E880" s="16" t="str">
        <f aca="false">IF($D880="","",IF($J880="환불",0,IFERROR(INDEX(상품목록!$B$3:$B$102,MATCH($D880,상품목록!$A$3:$A$102,0)),0)))</f>
        <v/>
      </c>
      <c r="F880" s="16" t="str">
        <f aca="false">IF($D880="","",IFERROR(INDEX(상품목록!$C$3:$C$102,MATCH($D880,상품목록!$A$3:$A$102,0)),0))</f>
        <v/>
      </c>
      <c r="G880" s="17" t="str">
        <f aca="false">IF(OR($A880="",$F880=""),"",$A880+$F880)</f>
        <v/>
      </c>
      <c r="H880" s="16" t="str">
        <f aca="false">IF($D880="","",IF($J880="환불",0,IFERROR(INDEX(상품목록!$D$3:$D$102,MATCH($D880,상품목록!$A$3:$A$102,0)),0)))</f>
        <v/>
      </c>
      <c r="I880" s="10"/>
      <c r="J880" s="10"/>
      <c r="K880" s="10"/>
    </row>
    <row r="881" customFormat="false" ht="15" hidden="false" customHeight="true" outlineLevel="0" collapsed="false">
      <c r="A881" s="12"/>
      <c r="B881" s="10"/>
      <c r="C881" s="15" t="str">
        <f aca="false">IF($B881="","",IFERROR(INDEX(회원명부!$B$3:$B$502,MATCH($B881,회원명부!$A$3:$A$502,0)),"미등록회원"))</f>
        <v/>
      </c>
      <c r="D881" s="10"/>
      <c r="E881" s="16" t="str">
        <f aca="false">IF($D881="","",IF($J881="환불",0,IFERROR(INDEX(상품목록!$B$3:$B$102,MATCH($D881,상품목록!$A$3:$A$102,0)),0)))</f>
        <v/>
      </c>
      <c r="F881" s="16" t="str">
        <f aca="false">IF($D881="","",IFERROR(INDEX(상품목록!$C$3:$C$102,MATCH($D881,상품목록!$A$3:$A$102,0)),0))</f>
        <v/>
      </c>
      <c r="G881" s="17" t="str">
        <f aca="false">IF(OR($A881="",$F881=""),"",$A881+$F881)</f>
        <v/>
      </c>
      <c r="H881" s="16" t="str">
        <f aca="false">IF($D881="","",IF($J881="환불",0,IFERROR(INDEX(상품목록!$D$3:$D$102,MATCH($D881,상품목록!$A$3:$A$102,0)),0)))</f>
        <v/>
      </c>
      <c r="I881" s="10"/>
      <c r="J881" s="10"/>
      <c r="K881" s="10"/>
    </row>
    <row r="882" customFormat="false" ht="15" hidden="false" customHeight="true" outlineLevel="0" collapsed="false">
      <c r="A882" s="12"/>
      <c r="B882" s="10"/>
      <c r="C882" s="15" t="str">
        <f aca="false">IF($B882="","",IFERROR(INDEX(회원명부!$B$3:$B$502,MATCH($B882,회원명부!$A$3:$A$502,0)),"미등록회원"))</f>
        <v/>
      </c>
      <c r="D882" s="10"/>
      <c r="E882" s="16" t="str">
        <f aca="false">IF($D882="","",IF($J882="환불",0,IFERROR(INDEX(상품목록!$B$3:$B$102,MATCH($D882,상품목록!$A$3:$A$102,0)),0)))</f>
        <v/>
      </c>
      <c r="F882" s="16" t="str">
        <f aca="false">IF($D882="","",IFERROR(INDEX(상품목록!$C$3:$C$102,MATCH($D882,상품목록!$A$3:$A$102,0)),0))</f>
        <v/>
      </c>
      <c r="G882" s="17" t="str">
        <f aca="false">IF(OR($A882="",$F882=""),"",$A882+$F882)</f>
        <v/>
      </c>
      <c r="H882" s="16" t="str">
        <f aca="false">IF($D882="","",IF($J882="환불",0,IFERROR(INDEX(상품목록!$D$3:$D$102,MATCH($D882,상품목록!$A$3:$A$102,0)),0)))</f>
        <v/>
      </c>
      <c r="I882" s="10"/>
      <c r="J882" s="10"/>
      <c r="K882" s="10"/>
    </row>
    <row r="883" customFormat="false" ht="15" hidden="false" customHeight="true" outlineLevel="0" collapsed="false">
      <c r="A883" s="12"/>
      <c r="B883" s="10"/>
      <c r="C883" s="15" t="str">
        <f aca="false">IF($B883="","",IFERROR(INDEX(회원명부!$B$3:$B$502,MATCH($B883,회원명부!$A$3:$A$502,0)),"미등록회원"))</f>
        <v/>
      </c>
      <c r="D883" s="10"/>
      <c r="E883" s="16" t="str">
        <f aca="false">IF($D883="","",IF($J883="환불",0,IFERROR(INDEX(상품목록!$B$3:$B$102,MATCH($D883,상품목록!$A$3:$A$102,0)),0)))</f>
        <v/>
      </c>
      <c r="F883" s="16" t="str">
        <f aca="false">IF($D883="","",IFERROR(INDEX(상품목록!$C$3:$C$102,MATCH($D883,상품목록!$A$3:$A$102,0)),0))</f>
        <v/>
      </c>
      <c r="G883" s="17" t="str">
        <f aca="false">IF(OR($A883="",$F883=""),"",$A883+$F883)</f>
        <v/>
      </c>
      <c r="H883" s="16" t="str">
        <f aca="false">IF($D883="","",IF($J883="환불",0,IFERROR(INDEX(상품목록!$D$3:$D$102,MATCH($D883,상품목록!$A$3:$A$102,0)),0)))</f>
        <v/>
      </c>
      <c r="I883" s="10"/>
      <c r="J883" s="10"/>
      <c r="K883" s="10"/>
    </row>
    <row r="884" customFormat="false" ht="15" hidden="false" customHeight="true" outlineLevel="0" collapsed="false">
      <c r="A884" s="12"/>
      <c r="B884" s="10"/>
      <c r="C884" s="15" t="str">
        <f aca="false">IF($B884="","",IFERROR(INDEX(회원명부!$B$3:$B$502,MATCH($B884,회원명부!$A$3:$A$502,0)),"미등록회원"))</f>
        <v/>
      </c>
      <c r="D884" s="10"/>
      <c r="E884" s="16" t="str">
        <f aca="false">IF($D884="","",IF($J884="환불",0,IFERROR(INDEX(상품목록!$B$3:$B$102,MATCH($D884,상품목록!$A$3:$A$102,0)),0)))</f>
        <v/>
      </c>
      <c r="F884" s="16" t="str">
        <f aca="false">IF($D884="","",IFERROR(INDEX(상품목록!$C$3:$C$102,MATCH($D884,상품목록!$A$3:$A$102,0)),0))</f>
        <v/>
      </c>
      <c r="G884" s="17" t="str">
        <f aca="false">IF(OR($A884="",$F884=""),"",$A884+$F884)</f>
        <v/>
      </c>
      <c r="H884" s="16" t="str">
        <f aca="false">IF($D884="","",IF($J884="환불",0,IFERROR(INDEX(상품목록!$D$3:$D$102,MATCH($D884,상품목록!$A$3:$A$102,0)),0)))</f>
        <v/>
      </c>
      <c r="I884" s="10"/>
      <c r="J884" s="10"/>
      <c r="K884" s="10"/>
    </row>
    <row r="885" customFormat="false" ht="15" hidden="false" customHeight="true" outlineLevel="0" collapsed="false">
      <c r="A885" s="12"/>
      <c r="B885" s="10"/>
      <c r="C885" s="15" t="str">
        <f aca="false">IF($B885="","",IFERROR(INDEX(회원명부!$B$3:$B$502,MATCH($B885,회원명부!$A$3:$A$502,0)),"미등록회원"))</f>
        <v/>
      </c>
      <c r="D885" s="10"/>
      <c r="E885" s="16" t="str">
        <f aca="false">IF($D885="","",IF($J885="환불",0,IFERROR(INDEX(상품목록!$B$3:$B$102,MATCH($D885,상품목록!$A$3:$A$102,0)),0)))</f>
        <v/>
      </c>
      <c r="F885" s="16" t="str">
        <f aca="false">IF($D885="","",IFERROR(INDEX(상품목록!$C$3:$C$102,MATCH($D885,상품목록!$A$3:$A$102,0)),0))</f>
        <v/>
      </c>
      <c r="G885" s="17" t="str">
        <f aca="false">IF(OR($A885="",$F885=""),"",$A885+$F885)</f>
        <v/>
      </c>
      <c r="H885" s="16" t="str">
        <f aca="false">IF($D885="","",IF($J885="환불",0,IFERROR(INDEX(상품목록!$D$3:$D$102,MATCH($D885,상품목록!$A$3:$A$102,0)),0)))</f>
        <v/>
      </c>
      <c r="I885" s="10"/>
      <c r="J885" s="10"/>
      <c r="K885" s="10"/>
    </row>
    <row r="886" customFormat="false" ht="15" hidden="false" customHeight="true" outlineLevel="0" collapsed="false">
      <c r="A886" s="12"/>
      <c r="B886" s="10"/>
      <c r="C886" s="15" t="str">
        <f aca="false">IF($B886="","",IFERROR(INDEX(회원명부!$B$3:$B$502,MATCH($B886,회원명부!$A$3:$A$502,0)),"미등록회원"))</f>
        <v/>
      </c>
      <c r="D886" s="10"/>
      <c r="E886" s="16" t="str">
        <f aca="false">IF($D886="","",IF($J886="환불",0,IFERROR(INDEX(상품목록!$B$3:$B$102,MATCH($D886,상품목록!$A$3:$A$102,0)),0)))</f>
        <v/>
      </c>
      <c r="F886" s="16" t="str">
        <f aca="false">IF($D886="","",IFERROR(INDEX(상품목록!$C$3:$C$102,MATCH($D886,상품목록!$A$3:$A$102,0)),0))</f>
        <v/>
      </c>
      <c r="G886" s="17" t="str">
        <f aca="false">IF(OR($A886="",$F886=""),"",$A886+$F886)</f>
        <v/>
      </c>
      <c r="H886" s="16" t="str">
        <f aca="false">IF($D886="","",IF($J886="환불",0,IFERROR(INDEX(상품목록!$D$3:$D$102,MATCH($D886,상품목록!$A$3:$A$102,0)),0)))</f>
        <v/>
      </c>
      <c r="I886" s="10"/>
      <c r="J886" s="10"/>
      <c r="K886" s="10"/>
    </row>
    <row r="887" customFormat="false" ht="15" hidden="false" customHeight="true" outlineLevel="0" collapsed="false">
      <c r="A887" s="12"/>
      <c r="B887" s="10"/>
      <c r="C887" s="15" t="str">
        <f aca="false">IF($B887="","",IFERROR(INDEX(회원명부!$B$3:$B$502,MATCH($B887,회원명부!$A$3:$A$502,0)),"미등록회원"))</f>
        <v/>
      </c>
      <c r="D887" s="10"/>
      <c r="E887" s="16" t="str">
        <f aca="false">IF($D887="","",IF($J887="환불",0,IFERROR(INDEX(상품목록!$B$3:$B$102,MATCH($D887,상품목록!$A$3:$A$102,0)),0)))</f>
        <v/>
      </c>
      <c r="F887" s="16" t="str">
        <f aca="false">IF($D887="","",IFERROR(INDEX(상품목록!$C$3:$C$102,MATCH($D887,상품목록!$A$3:$A$102,0)),0))</f>
        <v/>
      </c>
      <c r="G887" s="17" t="str">
        <f aca="false">IF(OR($A887="",$F887=""),"",$A887+$F887)</f>
        <v/>
      </c>
      <c r="H887" s="16" t="str">
        <f aca="false">IF($D887="","",IF($J887="환불",0,IFERROR(INDEX(상품목록!$D$3:$D$102,MATCH($D887,상품목록!$A$3:$A$102,0)),0)))</f>
        <v/>
      </c>
      <c r="I887" s="10"/>
      <c r="J887" s="10"/>
      <c r="K887" s="10"/>
    </row>
    <row r="888" customFormat="false" ht="15" hidden="false" customHeight="true" outlineLevel="0" collapsed="false">
      <c r="A888" s="12"/>
      <c r="B888" s="10"/>
      <c r="C888" s="15" t="str">
        <f aca="false">IF($B888="","",IFERROR(INDEX(회원명부!$B$3:$B$502,MATCH($B888,회원명부!$A$3:$A$502,0)),"미등록회원"))</f>
        <v/>
      </c>
      <c r="D888" s="10"/>
      <c r="E888" s="16" t="str">
        <f aca="false">IF($D888="","",IF($J888="환불",0,IFERROR(INDEX(상품목록!$B$3:$B$102,MATCH($D888,상품목록!$A$3:$A$102,0)),0)))</f>
        <v/>
      </c>
      <c r="F888" s="16" t="str">
        <f aca="false">IF($D888="","",IFERROR(INDEX(상품목록!$C$3:$C$102,MATCH($D888,상품목록!$A$3:$A$102,0)),0))</f>
        <v/>
      </c>
      <c r="G888" s="17" t="str">
        <f aca="false">IF(OR($A888="",$F888=""),"",$A888+$F888)</f>
        <v/>
      </c>
      <c r="H888" s="16" t="str">
        <f aca="false">IF($D888="","",IF($J888="환불",0,IFERROR(INDEX(상품목록!$D$3:$D$102,MATCH($D888,상품목록!$A$3:$A$102,0)),0)))</f>
        <v/>
      </c>
      <c r="I888" s="10"/>
      <c r="J888" s="10"/>
      <c r="K888" s="10"/>
    </row>
    <row r="889" customFormat="false" ht="15" hidden="false" customHeight="true" outlineLevel="0" collapsed="false">
      <c r="A889" s="12"/>
      <c r="B889" s="10"/>
      <c r="C889" s="15" t="str">
        <f aca="false">IF($B889="","",IFERROR(INDEX(회원명부!$B$3:$B$502,MATCH($B889,회원명부!$A$3:$A$502,0)),"미등록회원"))</f>
        <v/>
      </c>
      <c r="D889" s="10"/>
      <c r="E889" s="16" t="str">
        <f aca="false">IF($D889="","",IF($J889="환불",0,IFERROR(INDEX(상품목록!$B$3:$B$102,MATCH($D889,상품목록!$A$3:$A$102,0)),0)))</f>
        <v/>
      </c>
      <c r="F889" s="16" t="str">
        <f aca="false">IF($D889="","",IFERROR(INDEX(상품목록!$C$3:$C$102,MATCH($D889,상품목록!$A$3:$A$102,0)),0))</f>
        <v/>
      </c>
      <c r="G889" s="17" t="str">
        <f aca="false">IF(OR($A889="",$F889=""),"",$A889+$F889)</f>
        <v/>
      </c>
      <c r="H889" s="16" t="str">
        <f aca="false">IF($D889="","",IF($J889="환불",0,IFERROR(INDEX(상품목록!$D$3:$D$102,MATCH($D889,상품목록!$A$3:$A$102,0)),0)))</f>
        <v/>
      </c>
      <c r="I889" s="10"/>
      <c r="J889" s="10"/>
      <c r="K889" s="10"/>
    </row>
    <row r="890" customFormat="false" ht="15" hidden="false" customHeight="true" outlineLevel="0" collapsed="false">
      <c r="A890" s="12"/>
      <c r="B890" s="10"/>
      <c r="C890" s="15" t="str">
        <f aca="false">IF($B890="","",IFERROR(INDEX(회원명부!$B$3:$B$502,MATCH($B890,회원명부!$A$3:$A$502,0)),"미등록회원"))</f>
        <v/>
      </c>
      <c r="D890" s="10"/>
      <c r="E890" s="16" t="str">
        <f aca="false">IF($D890="","",IF($J890="환불",0,IFERROR(INDEX(상품목록!$B$3:$B$102,MATCH($D890,상품목록!$A$3:$A$102,0)),0)))</f>
        <v/>
      </c>
      <c r="F890" s="16" t="str">
        <f aca="false">IF($D890="","",IFERROR(INDEX(상품목록!$C$3:$C$102,MATCH($D890,상품목록!$A$3:$A$102,0)),0))</f>
        <v/>
      </c>
      <c r="G890" s="17" t="str">
        <f aca="false">IF(OR($A890="",$F890=""),"",$A890+$F890)</f>
        <v/>
      </c>
      <c r="H890" s="16" t="str">
        <f aca="false">IF($D890="","",IF($J890="환불",0,IFERROR(INDEX(상품목록!$D$3:$D$102,MATCH($D890,상품목록!$A$3:$A$102,0)),0)))</f>
        <v/>
      </c>
      <c r="I890" s="10"/>
      <c r="J890" s="10"/>
      <c r="K890" s="10"/>
    </row>
    <row r="891" customFormat="false" ht="15" hidden="false" customHeight="true" outlineLevel="0" collapsed="false">
      <c r="A891" s="12"/>
      <c r="B891" s="10"/>
      <c r="C891" s="15" t="str">
        <f aca="false">IF($B891="","",IFERROR(INDEX(회원명부!$B$3:$B$502,MATCH($B891,회원명부!$A$3:$A$502,0)),"미등록회원"))</f>
        <v/>
      </c>
      <c r="D891" s="10"/>
      <c r="E891" s="16" t="str">
        <f aca="false">IF($D891="","",IF($J891="환불",0,IFERROR(INDEX(상품목록!$B$3:$B$102,MATCH($D891,상품목록!$A$3:$A$102,0)),0)))</f>
        <v/>
      </c>
      <c r="F891" s="16" t="str">
        <f aca="false">IF($D891="","",IFERROR(INDEX(상품목록!$C$3:$C$102,MATCH($D891,상품목록!$A$3:$A$102,0)),0))</f>
        <v/>
      </c>
      <c r="G891" s="17" t="str">
        <f aca="false">IF(OR($A891="",$F891=""),"",$A891+$F891)</f>
        <v/>
      </c>
      <c r="H891" s="16" t="str">
        <f aca="false">IF($D891="","",IF($J891="환불",0,IFERROR(INDEX(상품목록!$D$3:$D$102,MATCH($D891,상품목록!$A$3:$A$102,0)),0)))</f>
        <v/>
      </c>
      <c r="I891" s="10"/>
      <c r="J891" s="10"/>
      <c r="K891" s="10"/>
    </row>
    <row r="892" customFormat="false" ht="15" hidden="false" customHeight="true" outlineLevel="0" collapsed="false">
      <c r="A892" s="12"/>
      <c r="B892" s="10"/>
      <c r="C892" s="15" t="str">
        <f aca="false">IF($B892="","",IFERROR(INDEX(회원명부!$B$3:$B$502,MATCH($B892,회원명부!$A$3:$A$502,0)),"미등록회원"))</f>
        <v/>
      </c>
      <c r="D892" s="10"/>
      <c r="E892" s="16" t="str">
        <f aca="false">IF($D892="","",IF($J892="환불",0,IFERROR(INDEX(상품목록!$B$3:$B$102,MATCH($D892,상품목록!$A$3:$A$102,0)),0)))</f>
        <v/>
      </c>
      <c r="F892" s="16" t="str">
        <f aca="false">IF($D892="","",IFERROR(INDEX(상품목록!$C$3:$C$102,MATCH($D892,상품목록!$A$3:$A$102,0)),0))</f>
        <v/>
      </c>
      <c r="G892" s="17" t="str">
        <f aca="false">IF(OR($A892="",$F892=""),"",$A892+$F892)</f>
        <v/>
      </c>
      <c r="H892" s="16" t="str">
        <f aca="false">IF($D892="","",IF($J892="환불",0,IFERROR(INDEX(상품목록!$D$3:$D$102,MATCH($D892,상품목록!$A$3:$A$102,0)),0)))</f>
        <v/>
      </c>
      <c r="I892" s="10"/>
      <c r="J892" s="10"/>
      <c r="K892" s="10"/>
    </row>
    <row r="893" customFormat="false" ht="15" hidden="false" customHeight="true" outlineLevel="0" collapsed="false">
      <c r="A893" s="12"/>
      <c r="B893" s="10"/>
      <c r="C893" s="15" t="str">
        <f aca="false">IF($B893="","",IFERROR(INDEX(회원명부!$B$3:$B$502,MATCH($B893,회원명부!$A$3:$A$502,0)),"미등록회원"))</f>
        <v/>
      </c>
      <c r="D893" s="10"/>
      <c r="E893" s="16" t="str">
        <f aca="false">IF($D893="","",IF($J893="환불",0,IFERROR(INDEX(상품목록!$B$3:$B$102,MATCH($D893,상품목록!$A$3:$A$102,0)),0)))</f>
        <v/>
      </c>
      <c r="F893" s="16" t="str">
        <f aca="false">IF($D893="","",IFERROR(INDEX(상품목록!$C$3:$C$102,MATCH($D893,상품목록!$A$3:$A$102,0)),0))</f>
        <v/>
      </c>
      <c r="G893" s="17" t="str">
        <f aca="false">IF(OR($A893="",$F893=""),"",$A893+$F893)</f>
        <v/>
      </c>
      <c r="H893" s="16" t="str">
        <f aca="false">IF($D893="","",IF($J893="환불",0,IFERROR(INDEX(상품목록!$D$3:$D$102,MATCH($D893,상품목록!$A$3:$A$102,0)),0)))</f>
        <v/>
      </c>
      <c r="I893" s="10"/>
      <c r="J893" s="10"/>
      <c r="K893" s="10"/>
    </row>
    <row r="894" customFormat="false" ht="15" hidden="false" customHeight="true" outlineLevel="0" collapsed="false">
      <c r="A894" s="12"/>
      <c r="B894" s="10"/>
      <c r="C894" s="15" t="str">
        <f aca="false">IF($B894="","",IFERROR(INDEX(회원명부!$B$3:$B$502,MATCH($B894,회원명부!$A$3:$A$502,0)),"미등록회원"))</f>
        <v/>
      </c>
      <c r="D894" s="10"/>
      <c r="E894" s="16" t="str">
        <f aca="false">IF($D894="","",IF($J894="환불",0,IFERROR(INDEX(상품목록!$B$3:$B$102,MATCH($D894,상품목록!$A$3:$A$102,0)),0)))</f>
        <v/>
      </c>
      <c r="F894" s="16" t="str">
        <f aca="false">IF($D894="","",IFERROR(INDEX(상품목록!$C$3:$C$102,MATCH($D894,상품목록!$A$3:$A$102,0)),0))</f>
        <v/>
      </c>
      <c r="G894" s="17" t="str">
        <f aca="false">IF(OR($A894="",$F894=""),"",$A894+$F894)</f>
        <v/>
      </c>
      <c r="H894" s="16" t="str">
        <f aca="false">IF($D894="","",IF($J894="환불",0,IFERROR(INDEX(상품목록!$D$3:$D$102,MATCH($D894,상품목록!$A$3:$A$102,0)),0)))</f>
        <v/>
      </c>
      <c r="I894" s="10"/>
      <c r="J894" s="10"/>
      <c r="K894" s="10"/>
    </row>
    <row r="895" customFormat="false" ht="15" hidden="false" customHeight="true" outlineLevel="0" collapsed="false">
      <c r="A895" s="12"/>
      <c r="B895" s="10"/>
      <c r="C895" s="15" t="str">
        <f aca="false">IF($B895="","",IFERROR(INDEX(회원명부!$B$3:$B$502,MATCH($B895,회원명부!$A$3:$A$502,0)),"미등록회원"))</f>
        <v/>
      </c>
      <c r="D895" s="10"/>
      <c r="E895" s="16" t="str">
        <f aca="false">IF($D895="","",IF($J895="환불",0,IFERROR(INDEX(상품목록!$B$3:$B$102,MATCH($D895,상품목록!$A$3:$A$102,0)),0)))</f>
        <v/>
      </c>
      <c r="F895" s="16" t="str">
        <f aca="false">IF($D895="","",IFERROR(INDEX(상품목록!$C$3:$C$102,MATCH($D895,상품목록!$A$3:$A$102,0)),0))</f>
        <v/>
      </c>
      <c r="G895" s="17" t="str">
        <f aca="false">IF(OR($A895="",$F895=""),"",$A895+$F895)</f>
        <v/>
      </c>
      <c r="H895" s="16" t="str">
        <f aca="false">IF($D895="","",IF($J895="환불",0,IFERROR(INDEX(상품목록!$D$3:$D$102,MATCH($D895,상품목록!$A$3:$A$102,0)),0)))</f>
        <v/>
      </c>
      <c r="I895" s="10"/>
      <c r="J895" s="10"/>
      <c r="K895" s="10"/>
    </row>
    <row r="896" customFormat="false" ht="15" hidden="false" customHeight="true" outlineLevel="0" collapsed="false">
      <c r="A896" s="12"/>
      <c r="B896" s="10"/>
      <c r="C896" s="15" t="str">
        <f aca="false">IF($B896="","",IFERROR(INDEX(회원명부!$B$3:$B$502,MATCH($B896,회원명부!$A$3:$A$502,0)),"미등록회원"))</f>
        <v/>
      </c>
      <c r="D896" s="10"/>
      <c r="E896" s="16" t="str">
        <f aca="false">IF($D896="","",IF($J896="환불",0,IFERROR(INDEX(상품목록!$B$3:$B$102,MATCH($D896,상품목록!$A$3:$A$102,0)),0)))</f>
        <v/>
      </c>
      <c r="F896" s="16" t="str">
        <f aca="false">IF($D896="","",IFERROR(INDEX(상품목록!$C$3:$C$102,MATCH($D896,상품목록!$A$3:$A$102,0)),0))</f>
        <v/>
      </c>
      <c r="G896" s="17" t="str">
        <f aca="false">IF(OR($A896="",$F896=""),"",$A896+$F896)</f>
        <v/>
      </c>
      <c r="H896" s="16" t="str">
        <f aca="false">IF($D896="","",IF($J896="환불",0,IFERROR(INDEX(상품목록!$D$3:$D$102,MATCH($D896,상품목록!$A$3:$A$102,0)),0)))</f>
        <v/>
      </c>
      <c r="I896" s="10"/>
      <c r="J896" s="10"/>
      <c r="K896" s="10"/>
    </row>
    <row r="897" customFormat="false" ht="15" hidden="false" customHeight="true" outlineLevel="0" collapsed="false">
      <c r="A897" s="12"/>
      <c r="B897" s="10"/>
      <c r="C897" s="15" t="str">
        <f aca="false">IF($B897="","",IFERROR(INDEX(회원명부!$B$3:$B$502,MATCH($B897,회원명부!$A$3:$A$502,0)),"미등록회원"))</f>
        <v/>
      </c>
      <c r="D897" s="10"/>
      <c r="E897" s="16" t="str">
        <f aca="false">IF($D897="","",IF($J897="환불",0,IFERROR(INDEX(상품목록!$B$3:$B$102,MATCH($D897,상품목록!$A$3:$A$102,0)),0)))</f>
        <v/>
      </c>
      <c r="F897" s="16" t="str">
        <f aca="false">IF($D897="","",IFERROR(INDEX(상품목록!$C$3:$C$102,MATCH($D897,상품목록!$A$3:$A$102,0)),0))</f>
        <v/>
      </c>
      <c r="G897" s="17" t="str">
        <f aca="false">IF(OR($A897="",$F897=""),"",$A897+$F897)</f>
        <v/>
      </c>
      <c r="H897" s="16" t="str">
        <f aca="false">IF($D897="","",IF($J897="환불",0,IFERROR(INDEX(상품목록!$D$3:$D$102,MATCH($D897,상품목록!$A$3:$A$102,0)),0)))</f>
        <v/>
      </c>
      <c r="I897" s="10"/>
      <c r="J897" s="10"/>
      <c r="K897" s="10"/>
    </row>
    <row r="898" customFormat="false" ht="15" hidden="false" customHeight="true" outlineLevel="0" collapsed="false">
      <c r="A898" s="12"/>
      <c r="B898" s="10"/>
      <c r="C898" s="15" t="str">
        <f aca="false">IF($B898="","",IFERROR(INDEX(회원명부!$B$3:$B$502,MATCH($B898,회원명부!$A$3:$A$502,0)),"미등록회원"))</f>
        <v/>
      </c>
      <c r="D898" s="10"/>
      <c r="E898" s="16" t="str">
        <f aca="false">IF($D898="","",IF($J898="환불",0,IFERROR(INDEX(상품목록!$B$3:$B$102,MATCH($D898,상품목록!$A$3:$A$102,0)),0)))</f>
        <v/>
      </c>
      <c r="F898" s="16" t="str">
        <f aca="false">IF($D898="","",IFERROR(INDEX(상품목록!$C$3:$C$102,MATCH($D898,상품목록!$A$3:$A$102,0)),0))</f>
        <v/>
      </c>
      <c r="G898" s="17" t="str">
        <f aca="false">IF(OR($A898="",$F898=""),"",$A898+$F898)</f>
        <v/>
      </c>
      <c r="H898" s="16" t="str">
        <f aca="false">IF($D898="","",IF($J898="환불",0,IFERROR(INDEX(상품목록!$D$3:$D$102,MATCH($D898,상품목록!$A$3:$A$102,0)),0)))</f>
        <v/>
      </c>
      <c r="I898" s="10"/>
      <c r="J898" s="10"/>
      <c r="K898" s="10"/>
    </row>
    <row r="899" customFormat="false" ht="15" hidden="false" customHeight="true" outlineLevel="0" collapsed="false">
      <c r="A899" s="12"/>
      <c r="B899" s="10"/>
      <c r="C899" s="15" t="str">
        <f aca="false">IF($B899="","",IFERROR(INDEX(회원명부!$B$3:$B$502,MATCH($B899,회원명부!$A$3:$A$502,0)),"미등록회원"))</f>
        <v/>
      </c>
      <c r="D899" s="10"/>
      <c r="E899" s="16" t="str">
        <f aca="false">IF($D899="","",IF($J899="환불",0,IFERROR(INDEX(상품목록!$B$3:$B$102,MATCH($D899,상품목록!$A$3:$A$102,0)),0)))</f>
        <v/>
      </c>
      <c r="F899" s="16" t="str">
        <f aca="false">IF($D899="","",IFERROR(INDEX(상품목록!$C$3:$C$102,MATCH($D899,상품목록!$A$3:$A$102,0)),0))</f>
        <v/>
      </c>
      <c r="G899" s="17" t="str">
        <f aca="false">IF(OR($A899="",$F899=""),"",$A899+$F899)</f>
        <v/>
      </c>
      <c r="H899" s="16" t="str">
        <f aca="false">IF($D899="","",IF($J899="환불",0,IFERROR(INDEX(상품목록!$D$3:$D$102,MATCH($D899,상품목록!$A$3:$A$102,0)),0)))</f>
        <v/>
      </c>
      <c r="I899" s="10"/>
      <c r="J899" s="10"/>
      <c r="K899" s="10"/>
    </row>
    <row r="900" customFormat="false" ht="15" hidden="false" customHeight="true" outlineLevel="0" collapsed="false">
      <c r="A900" s="12"/>
      <c r="B900" s="10"/>
      <c r="C900" s="15" t="str">
        <f aca="false">IF($B900="","",IFERROR(INDEX(회원명부!$B$3:$B$502,MATCH($B900,회원명부!$A$3:$A$502,0)),"미등록회원"))</f>
        <v/>
      </c>
      <c r="D900" s="10"/>
      <c r="E900" s="16" t="str">
        <f aca="false">IF($D900="","",IF($J900="환불",0,IFERROR(INDEX(상품목록!$B$3:$B$102,MATCH($D900,상품목록!$A$3:$A$102,0)),0)))</f>
        <v/>
      </c>
      <c r="F900" s="16" t="str">
        <f aca="false">IF($D900="","",IFERROR(INDEX(상품목록!$C$3:$C$102,MATCH($D900,상품목록!$A$3:$A$102,0)),0))</f>
        <v/>
      </c>
      <c r="G900" s="17" t="str">
        <f aca="false">IF(OR($A900="",$F900=""),"",$A900+$F900)</f>
        <v/>
      </c>
      <c r="H900" s="16" t="str">
        <f aca="false">IF($D900="","",IF($J900="환불",0,IFERROR(INDEX(상품목록!$D$3:$D$102,MATCH($D900,상품목록!$A$3:$A$102,0)),0)))</f>
        <v/>
      </c>
      <c r="I900" s="10"/>
      <c r="J900" s="10"/>
      <c r="K900" s="10"/>
    </row>
    <row r="901" customFormat="false" ht="15" hidden="false" customHeight="true" outlineLevel="0" collapsed="false">
      <c r="A901" s="12"/>
      <c r="B901" s="10"/>
      <c r="C901" s="15" t="str">
        <f aca="false">IF($B901="","",IFERROR(INDEX(회원명부!$B$3:$B$502,MATCH($B901,회원명부!$A$3:$A$502,0)),"미등록회원"))</f>
        <v/>
      </c>
      <c r="D901" s="10"/>
      <c r="E901" s="16" t="str">
        <f aca="false">IF($D901="","",IF($J901="환불",0,IFERROR(INDEX(상품목록!$B$3:$B$102,MATCH($D901,상품목록!$A$3:$A$102,0)),0)))</f>
        <v/>
      </c>
      <c r="F901" s="16" t="str">
        <f aca="false">IF($D901="","",IFERROR(INDEX(상품목록!$C$3:$C$102,MATCH($D901,상품목록!$A$3:$A$102,0)),0))</f>
        <v/>
      </c>
      <c r="G901" s="17" t="str">
        <f aca="false">IF(OR($A901="",$F901=""),"",$A901+$F901)</f>
        <v/>
      </c>
      <c r="H901" s="16" t="str">
        <f aca="false">IF($D901="","",IF($J901="환불",0,IFERROR(INDEX(상품목록!$D$3:$D$102,MATCH($D901,상품목록!$A$3:$A$102,0)),0)))</f>
        <v/>
      </c>
      <c r="I901" s="10"/>
      <c r="J901" s="10"/>
      <c r="K901" s="10"/>
    </row>
    <row r="902" customFormat="false" ht="15" hidden="false" customHeight="true" outlineLevel="0" collapsed="false">
      <c r="A902" s="12"/>
      <c r="B902" s="10"/>
      <c r="C902" s="15" t="str">
        <f aca="false">IF($B902="","",IFERROR(INDEX(회원명부!$B$3:$B$502,MATCH($B902,회원명부!$A$3:$A$502,0)),"미등록회원"))</f>
        <v/>
      </c>
      <c r="D902" s="10"/>
      <c r="E902" s="16" t="str">
        <f aca="false">IF($D902="","",IF($J902="환불",0,IFERROR(INDEX(상품목록!$B$3:$B$102,MATCH($D902,상품목록!$A$3:$A$102,0)),0)))</f>
        <v/>
      </c>
      <c r="F902" s="16" t="str">
        <f aca="false">IF($D902="","",IFERROR(INDEX(상품목록!$C$3:$C$102,MATCH($D902,상품목록!$A$3:$A$102,0)),0))</f>
        <v/>
      </c>
      <c r="G902" s="17" t="str">
        <f aca="false">IF(OR($A902="",$F902=""),"",$A902+$F902)</f>
        <v/>
      </c>
      <c r="H902" s="16" t="str">
        <f aca="false">IF($D902="","",IF($J902="환불",0,IFERROR(INDEX(상품목록!$D$3:$D$102,MATCH($D902,상품목록!$A$3:$A$102,0)),0)))</f>
        <v/>
      </c>
      <c r="I902" s="10"/>
      <c r="J902" s="10"/>
      <c r="K902" s="10"/>
    </row>
    <row r="903" customFormat="false" ht="15" hidden="false" customHeight="true" outlineLevel="0" collapsed="false">
      <c r="A903" s="12"/>
      <c r="B903" s="10"/>
      <c r="C903" s="15" t="str">
        <f aca="false">IF($B903="","",IFERROR(INDEX(회원명부!$B$3:$B$502,MATCH($B903,회원명부!$A$3:$A$502,0)),"미등록회원"))</f>
        <v/>
      </c>
      <c r="D903" s="10"/>
      <c r="E903" s="16" t="str">
        <f aca="false">IF($D903="","",IF($J903="환불",0,IFERROR(INDEX(상품목록!$B$3:$B$102,MATCH($D903,상품목록!$A$3:$A$102,0)),0)))</f>
        <v/>
      </c>
      <c r="F903" s="16" t="str">
        <f aca="false">IF($D903="","",IFERROR(INDEX(상품목록!$C$3:$C$102,MATCH($D903,상품목록!$A$3:$A$102,0)),0))</f>
        <v/>
      </c>
      <c r="G903" s="17" t="str">
        <f aca="false">IF(OR($A903="",$F903=""),"",$A903+$F903)</f>
        <v/>
      </c>
      <c r="H903" s="16" t="str">
        <f aca="false">IF($D903="","",IF($J903="환불",0,IFERROR(INDEX(상품목록!$D$3:$D$102,MATCH($D903,상품목록!$A$3:$A$102,0)),0)))</f>
        <v/>
      </c>
      <c r="I903" s="10"/>
      <c r="J903" s="10"/>
      <c r="K903" s="10"/>
    </row>
    <row r="904" customFormat="false" ht="15" hidden="false" customHeight="true" outlineLevel="0" collapsed="false">
      <c r="A904" s="12"/>
      <c r="B904" s="10"/>
      <c r="C904" s="15" t="str">
        <f aca="false">IF($B904="","",IFERROR(INDEX(회원명부!$B$3:$B$502,MATCH($B904,회원명부!$A$3:$A$502,0)),"미등록회원"))</f>
        <v/>
      </c>
      <c r="D904" s="10"/>
      <c r="E904" s="16" t="str">
        <f aca="false">IF($D904="","",IF($J904="환불",0,IFERROR(INDEX(상품목록!$B$3:$B$102,MATCH($D904,상품목록!$A$3:$A$102,0)),0)))</f>
        <v/>
      </c>
      <c r="F904" s="16" t="str">
        <f aca="false">IF($D904="","",IFERROR(INDEX(상품목록!$C$3:$C$102,MATCH($D904,상품목록!$A$3:$A$102,0)),0))</f>
        <v/>
      </c>
      <c r="G904" s="17" t="str">
        <f aca="false">IF(OR($A904="",$F904=""),"",$A904+$F904)</f>
        <v/>
      </c>
      <c r="H904" s="16" t="str">
        <f aca="false">IF($D904="","",IF($J904="환불",0,IFERROR(INDEX(상품목록!$D$3:$D$102,MATCH($D904,상품목록!$A$3:$A$102,0)),0)))</f>
        <v/>
      </c>
      <c r="I904" s="10"/>
      <c r="J904" s="10"/>
      <c r="K904" s="10"/>
    </row>
    <row r="905" customFormat="false" ht="15" hidden="false" customHeight="true" outlineLevel="0" collapsed="false">
      <c r="A905" s="12"/>
      <c r="B905" s="10"/>
      <c r="C905" s="15" t="str">
        <f aca="false">IF($B905="","",IFERROR(INDEX(회원명부!$B$3:$B$502,MATCH($B905,회원명부!$A$3:$A$502,0)),"미등록회원"))</f>
        <v/>
      </c>
      <c r="D905" s="10"/>
      <c r="E905" s="16" t="str">
        <f aca="false">IF($D905="","",IF($J905="환불",0,IFERROR(INDEX(상품목록!$B$3:$B$102,MATCH($D905,상품목록!$A$3:$A$102,0)),0)))</f>
        <v/>
      </c>
      <c r="F905" s="16" t="str">
        <f aca="false">IF($D905="","",IFERROR(INDEX(상품목록!$C$3:$C$102,MATCH($D905,상품목록!$A$3:$A$102,0)),0))</f>
        <v/>
      </c>
      <c r="G905" s="17" t="str">
        <f aca="false">IF(OR($A905="",$F905=""),"",$A905+$F905)</f>
        <v/>
      </c>
      <c r="H905" s="16" t="str">
        <f aca="false">IF($D905="","",IF($J905="환불",0,IFERROR(INDEX(상품목록!$D$3:$D$102,MATCH($D905,상품목록!$A$3:$A$102,0)),0)))</f>
        <v/>
      </c>
      <c r="I905" s="10"/>
      <c r="J905" s="10"/>
      <c r="K905" s="10"/>
    </row>
    <row r="906" customFormat="false" ht="15" hidden="false" customHeight="true" outlineLevel="0" collapsed="false">
      <c r="A906" s="12"/>
      <c r="B906" s="10"/>
      <c r="C906" s="15" t="str">
        <f aca="false">IF($B906="","",IFERROR(INDEX(회원명부!$B$3:$B$502,MATCH($B906,회원명부!$A$3:$A$502,0)),"미등록회원"))</f>
        <v/>
      </c>
      <c r="D906" s="10"/>
      <c r="E906" s="16" t="str">
        <f aca="false">IF($D906="","",IF($J906="환불",0,IFERROR(INDEX(상품목록!$B$3:$B$102,MATCH($D906,상품목록!$A$3:$A$102,0)),0)))</f>
        <v/>
      </c>
      <c r="F906" s="16" t="str">
        <f aca="false">IF($D906="","",IFERROR(INDEX(상품목록!$C$3:$C$102,MATCH($D906,상품목록!$A$3:$A$102,0)),0))</f>
        <v/>
      </c>
      <c r="G906" s="17" t="str">
        <f aca="false">IF(OR($A906="",$F906=""),"",$A906+$F906)</f>
        <v/>
      </c>
      <c r="H906" s="16" t="str">
        <f aca="false">IF($D906="","",IF($J906="환불",0,IFERROR(INDEX(상품목록!$D$3:$D$102,MATCH($D906,상품목록!$A$3:$A$102,0)),0)))</f>
        <v/>
      </c>
      <c r="I906" s="10"/>
      <c r="J906" s="10"/>
      <c r="K906" s="10"/>
    </row>
    <row r="907" customFormat="false" ht="15" hidden="false" customHeight="true" outlineLevel="0" collapsed="false">
      <c r="A907" s="12"/>
      <c r="B907" s="10"/>
      <c r="C907" s="15" t="str">
        <f aca="false">IF($B907="","",IFERROR(INDEX(회원명부!$B$3:$B$502,MATCH($B907,회원명부!$A$3:$A$502,0)),"미등록회원"))</f>
        <v/>
      </c>
      <c r="D907" s="10"/>
      <c r="E907" s="16" t="str">
        <f aca="false">IF($D907="","",IF($J907="환불",0,IFERROR(INDEX(상품목록!$B$3:$B$102,MATCH($D907,상품목록!$A$3:$A$102,0)),0)))</f>
        <v/>
      </c>
      <c r="F907" s="16" t="str">
        <f aca="false">IF($D907="","",IFERROR(INDEX(상품목록!$C$3:$C$102,MATCH($D907,상품목록!$A$3:$A$102,0)),0))</f>
        <v/>
      </c>
      <c r="G907" s="17" t="str">
        <f aca="false">IF(OR($A907="",$F907=""),"",$A907+$F907)</f>
        <v/>
      </c>
      <c r="H907" s="16" t="str">
        <f aca="false">IF($D907="","",IF($J907="환불",0,IFERROR(INDEX(상품목록!$D$3:$D$102,MATCH($D907,상품목록!$A$3:$A$102,0)),0)))</f>
        <v/>
      </c>
      <c r="I907" s="10"/>
      <c r="J907" s="10"/>
      <c r="K907" s="10"/>
    </row>
    <row r="908" customFormat="false" ht="15" hidden="false" customHeight="true" outlineLevel="0" collapsed="false">
      <c r="A908" s="12"/>
      <c r="B908" s="10"/>
      <c r="C908" s="15" t="str">
        <f aca="false">IF($B908="","",IFERROR(INDEX(회원명부!$B$3:$B$502,MATCH($B908,회원명부!$A$3:$A$502,0)),"미등록회원"))</f>
        <v/>
      </c>
      <c r="D908" s="10"/>
      <c r="E908" s="16" t="str">
        <f aca="false">IF($D908="","",IF($J908="환불",0,IFERROR(INDEX(상품목록!$B$3:$B$102,MATCH($D908,상품목록!$A$3:$A$102,0)),0)))</f>
        <v/>
      </c>
      <c r="F908" s="16" t="str">
        <f aca="false">IF($D908="","",IFERROR(INDEX(상품목록!$C$3:$C$102,MATCH($D908,상품목록!$A$3:$A$102,0)),0))</f>
        <v/>
      </c>
      <c r="G908" s="17" t="str">
        <f aca="false">IF(OR($A908="",$F908=""),"",$A908+$F908)</f>
        <v/>
      </c>
      <c r="H908" s="16" t="str">
        <f aca="false">IF($D908="","",IF($J908="환불",0,IFERROR(INDEX(상품목록!$D$3:$D$102,MATCH($D908,상품목록!$A$3:$A$102,0)),0)))</f>
        <v/>
      </c>
      <c r="I908" s="10"/>
      <c r="J908" s="10"/>
      <c r="K908" s="10"/>
    </row>
    <row r="909" customFormat="false" ht="15" hidden="false" customHeight="true" outlineLevel="0" collapsed="false">
      <c r="A909" s="12"/>
      <c r="B909" s="10"/>
      <c r="C909" s="15" t="str">
        <f aca="false">IF($B909="","",IFERROR(INDEX(회원명부!$B$3:$B$502,MATCH($B909,회원명부!$A$3:$A$502,0)),"미등록회원"))</f>
        <v/>
      </c>
      <c r="D909" s="10"/>
      <c r="E909" s="16" t="str">
        <f aca="false">IF($D909="","",IF($J909="환불",0,IFERROR(INDEX(상품목록!$B$3:$B$102,MATCH($D909,상품목록!$A$3:$A$102,0)),0)))</f>
        <v/>
      </c>
      <c r="F909" s="16" t="str">
        <f aca="false">IF($D909="","",IFERROR(INDEX(상품목록!$C$3:$C$102,MATCH($D909,상품목록!$A$3:$A$102,0)),0))</f>
        <v/>
      </c>
      <c r="G909" s="17" t="str">
        <f aca="false">IF(OR($A909="",$F909=""),"",$A909+$F909)</f>
        <v/>
      </c>
      <c r="H909" s="16" t="str">
        <f aca="false">IF($D909="","",IF($J909="환불",0,IFERROR(INDEX(상품목록!$D$3:$D$102,MATCH($D909,상품목록!$A$3:$A$102,0)),0)))</f>
        <v/>
      </c>
      <c r="I909" s="10"/>
      <c r="J909" s="10"/>
      <c r="K909" s="10"/>
    </row>
    <row r="910" customFormat="false" ht="15" hidden="false" customHeight="true" outlineLevel="0" collapsed="false">
      <c r="A910" s="12"/>
      <c r="B910" s="10"/>
      <c r="C910" s="15" t="str">
        <f aca="false">IF($B910="","",IFERROR(INDEX(회원명부!$B$3:$B$502,MATCH($B910,회원명부!$A$3:$A$502,0)),"미등록회원"))</f>
        <v/>
      </c>
      <c r="D910" s="10"/>
      <c r="E910" s="16" t="str">
        <f aca="false">IF($D910="","",IF($J910="환불",0,IFERROR(INDEX(상품목록!$B$3:$B$102,MATCH($D910,상품목록!$A$3:$A$102,0)),0)))</f>
        <v/>
      </c>
      <c r="F910" s="16" t="str">
        <f aca="false">IF($D910="","",IFERROR(INDEX(상품목록!$C$3:$C$102,MATCH($D910,상품목록!$A$3:$A$102,0)),0))</f>
        <v/>
      </c>
      <c r="G910" s="17" t="str">
        <f aca="false">IF(OR($A910="",$F910=""),"",$A910+$F910)</f>
        <v/>
      </c>
      <c r="H910" s="16" t="str">
        <f aca="false">IF($D910="","",IF($J910="환불",0,IFERROR(INDEX(상품목록!$D$3:$D$102,MATCH($D910,상품목록!$A$3:$A$102,0)),0)))</f>
        <v/>
      </c>
      <c r="I910" s="10"/>
      <c r="J910" s="10"/>
      <c r="K910" s="10"/>
    </row>
    <row r="911" customFormat="false" ht="15" hidden="false" customHeight="true" outlineLevel="0" collapsed="false">
      <c r="A911" s="12"/>
      <c r="B911" s="10"/>
      <c r="C911" s="15" t="str">
        <f aca="false">IF($B911="","",IFERROR(INDEX(회원명부!$B$3:$B$502,MATCH($B911,회원명부!$A$3:$A$502,0)),"미등록회원"))</f>
        <v/>
      </c>
      <c r="D911" s="10"/>
      <c r="E911" s="16" t="str">
        <f aca="false">IF($D911="","",IF($J911="환불",0,IFERROR(INDEX(상품목록!$B$3:$B$102,MATCH($D911,상품목록!$A$3:$A$102,0)),0)))</f>
        <v/>
      </c>
      <c r="F911" s="16" t="str">
        <f aca="false">IF($D911="","",IFERROR(INDEX(상품목록!$C$3:$C$102,MATCH($D911,상품목록!$A$3:$A$102,0)),0))</f>
        <v/>
      </c>
      <c r="G911" s="17" t="str">
        <f aca="false">IF(OR($A911="",$F911=""),"",$A911+$F911)</f>
        <v/>
      </c>
      <c r="H911" s="16" t="str">
        <f aca="false">IF($D911="","",IF($J911="환불",0,IFERROR(INDEX(상품목록!$D$3:$D$102,MATCH($D911,상품목록!$A$3:$A$102,0)),0)))</f>
        <v/>
      </c>
      <c r="I911" s="10"/>
      <c r="J911" s="10"/>
      <c r="K911" s="10"/>
    </row>
    <row r="912" customFormat="false" ht="15" hidden="false" customHeight="true" outlineLevel="0" collapsed="false">
      <c r="A912" s="12"/>
      <c r="B912" s="10"/>
      <c r="C912" s="15" t="str">
        <f aca="false">IF($B912="","",IFERROR(INDEX(회원명부!$B$3:$B$502,MATCH($B912,회원명부!$A$3:$A$502,0)),"미등록회원"))</f>
        <v/>
      </c>
      <c r="D912" s="10"/>
      <c r="E912" s="16" t="str">
        <f aca="false">IF($D912="","",IF($J912="환불",0,IFERROR(INDEX(상품목록!$B$3:$B$102,MATCH($D912,상품목록!$A$3:$A$102,0)),0)))</f>
        <v/>
      </c>
      <c r="F912" s="16" t="str">
        <f aca="false">IF($D912="","",IFERROR(INDEX(상품목록!$C$3:$C$102,MATCH($D912,상품목록!$A$3:$A$102,0)),0))</f>
        <v/>
      </c>
      <c r="G912" s="17" t="str">
        <f aca="false">IF(OR($A912="",$F912=""),"",$A912+$F912)</f>
        <v/>
      </c>
      <c r="H912" s="16" t="str">
        <f aca="false">IF($D912="","",IF($J912="환불",0,IFERROR(INDEX(상품목록!$D$3:$D$102,MATCH($D912,상품목록!$A$3:$A$102,0)),0)))</f>
        <v/>
      </c>
      <c r="I912" s="10"/>
      <c r="J912" s="10"/>
      <c r="K912" s="10"/>
    </row>
    <row r="913" customFormat="false" ht="15" hidden="false" customHeight="true" outlineLevel="0" collapsed="false">
      <c r="A913" s="12"/>
      <c r="B913" s="10"/>
      <c r="C913" s="15" t="str">
        <f aca="false">IF($B913="","",IFERROR(INDEX(회원명부!$B$3:$B$502,MATCH($B913,회원명부!$A$3:$A$502,0)),"미등록회원"))</f>
        <v/>
      </c>
      <c r="D913" s="10"/>
      <c r="E913" s="16" t="str">
        <f aca="false">IF($D913="","",IF($J913="환불",0,IFERROR(INDEX(상품목록!$B$3:$B$102,MATCH($D913,상품목록!$A$3:$A$102,0)),0)))</f>
        <v/>
      </c>
      <c r="F913" s="16" t="str">
        <f aca="false">IF($D913="","",IFERROR(INDEX(상품목록!$C$3:$C$102,MATCH($D913,상품목록!$A$3:$A$102,0)),0))</f>
        <v/>
      </c>
      <c r="G913" s="17" t="str">
        <f aca="false">IF(OR($A913="",$F913=""),"",$A913+$F913)</f>
        <v/>
      </c>
      <c r="H913" s="16" t="str">
        <f aca="false">IF($D913="","",IF($J913="환불",0,IFERROR(INDEX(상품목록!$D$3:$D$102,MATCH($D913,상품목록!$A$3:$A$102,0)),0)))</f>
        <v/>
      </c>
      <c r="I913" s="10"/>
      <c r="J913" s="10"/>
      <c r="K913" s="10"/>
    </row>
    <row r="914" customFormat="false" ht="15" hidden="false" customHeight="true" outlineLevel="0" collapsed="false">
      <c r="A914" s="12"/>
      <c r="B914" s="10"/>
      <c r="C914" s="15" t="str">
        <f aca="false">IF($B914="","",IFERROR(INDEX(회원명부!$B$3:$B$502,MATCH($B914,회원명부!$A$3:$A$502,0)),"미등록회원"))</f>
        <v/>
      </c>
      <c r="D914" s="10"/>
      <c r="E914" s="16" t="str">
        <f aca="false">IF($D914="","",IF($J914="환불",0,IFERROR(INDEX(상품목록!$B$3:$B$102,MATCH($D914,상품목록!$A$3:$A$102,0)),0)))</f>
        <v/>
      </c>
      <c r="F914" s="16" t="str">
        <f aca="false">IF($D914="","",IFERROR(INDEX(상품목록!$C$3:$C$102,MATCH($D914,상품목록!$A$3:$A$102,0)),0))</f>
        <v/>
      </c>
      <c r="G914" s="17" t="str">
        <f aca="false">IF(OR($A914="",$F914=""),"",$A914+$F914)</f>
        <v/>
      </c>
      <c r="H914" s="16" t="str">
        <f aca="false">IF($D914="","",IF($J914="환불",0,IFERROR(INDEX(상품목록!$D$3:$D$102,MATCH($D914,상품목록!$A$3:$A$102,0)),0)))</f>
        <v/>
      </c>
      <c r="I914" s="10"/>
      <c r="J914" s="10"/>
      <c r="K914" s="10"/>
    </row>
    <row r="915" customFormat="false" ht="15" hidden="false" customHeight="true" outlineLevel="0" collapsed="false">
      <c r="A915" s="12"/>
      <c r="B915" s="10"/>
      <c r="C915" s="15" t="str">
        <f aca="false">IF($B915="","",IFERROR(INDEX(회원명부!$B$3:$B$502,MATCH($B915,회원명부!$A$3:$A$502,0)),"미등록회원"))</f>
        <v/>
      </c>
      <c r="D915" s="10"/>
      <c r="E915" s="16" t="str">
        <f aca="false">IF($D915="","",IF($J915="환불",0,IFERROR(INDEX(상품목록!$B$3:$B$102,MATCH($D915,상품목록!$A$3:$A$102,0)),0)))</f>
        <v/>
      </c>
      <c r="F915" s="16" t="str">
        <f aca="false">IF($D915="","",IFERROR(INDEX(상품목록!$C$3:$C$102,MATCH($D915,상품목록!$A$3:$A$102,0)),0))</f>
        <v/>
      </c>
      <c r="G915" s="17" t="str">
        <f aca="false">IF(OR($A915="",$F915=""),"",$A915+$F915)</f>
        <v/>
      </c>
      <c r="H915" s="16" t="str">
        <f aca="false">IF($D915="","",IF($J915="환불",0,IFERROR(INDEX(상품목록!$D$3:$D$102,MATCH($D915,상품목록!$A$3:$A$102,0)),0)))</f>
        <v/>
      </c>
      <c r="I915" s="10"/>
      <c r="J915" s="10"/>
      <c r="K915" s="10"/>
    </row>
    <row r="916" customFormat="false" ht="15" hidden="false" customHeight="true" outlineLevel="0" collapsed="false">
      <c r="A916" s="12"/>
      <c r="B916" s="10"/>
      <c r="C916" s="15" t="str">
        <f aca="false">IF($B916="","",IFERROR(INDEX(회원명부!$B$3:$B$502,MATCH($B916,회원명부!$A$3:$A$502,0)),"미등록회원"))</f>
        <v/>
      </c>
      <c r="D916" s="10"/>
      <c r="E916" s="16" t="str">
        <f aca="false">IF($D916="","",IF($J916="환불",0,IFERROR(INDEX(상품목록!$B$3:$B$102,MATCH($D916,상품목록!$A$3:$A$102,0)),0)))</f>
        <v/>
      </c>
      <c r="F916" s="16" t="str">
        <f aca="false">IF($D916="","",IFERROR(INDEX(상품목록!$C$3:$C$102,MATCH($D916,상품목록!$A$3:$A$102,0)),0))</f>
        <v/>
      </c>
      <c r="G916" s="17" t="str">
        <f aca="false">IF(OR($A916="",$F916=""),"",$A916+$F916)</f>
        <v/>
      </c>
      <c r="H916" s="16" t="str">
        <f aca="false">IF($D916="","",IF($J916="환불",0,IFERROR(INDEX(상품목록!$D$3:$D$102,MATCH($D916,상품목록!$A$3:$A$102,0)),0)))</f>
        <v/>
      </c>
      <c r="I916" s="10"/>
      <c r="J916" s="10"/>
      <c r="K916" s="10"/>
    </row>
    <row r="917" customFormat="false" ht="15" hidden="false" customHeight="true" outlineLevel="0" collapsed="false">
      <c r="A917" s="12"/>
      <c r="B917" s="10"/>
      <c r="C917" s="15" t="str">
        <f aca="false">IF($B917="","",IFERROR(INDEX(회원명부!$B$3:$B$502,MATCH($B917,회원명부!$A$3:$A$502,0)),"미등록회원"))</f>
        <v/>
      </c>
      <c r="D917" s="10"/>
      <c r="E917" s="16" t="str">
        <f aca="false">IF($D917="","",IF($J917="환불",0,IFERROR(INDEX(상품목록!$B$3:$B$102,MATCH($D917,상품목록!$A$3:$A$102,0)),0)))</f>
        <v/>
      </c>
      <c r="F917" s="16" t="str">
        <f aca="false">IF($D917="","",IFERROR(INDEX(상품목록!$C$3:$C$102,MATCH($D917,상품목록!$A$3:$A$102,0)),0))</f>
        <v/>
      </c>
      <c r="G917" s="17" t="str">
        <f aca="false">IF(OR($A917="",$F917=""),"",$A917+$F917)</f>
        <v/>
      </c>
      <c r="H917" s="16" t="str">
        <f aca="false">IF($D917="","",IF($J917="환불",0,IFERROR(INDEX(상품목록!$D$3:$D$102,MATCH($D917,상품목록!$A$3:$A$102,0)),0)))</f>
        <v/>
      </c>
      <c r="I917" s="10"/>
      <c r="J917" s="10"/>
      <c r="K917" s="10"/>
    </row>
    <row r="918" customFormat="false" ht="15" hidden="false" customHeight="true" outlineLevel="0" collapsed="false">
      <c r="A918" s="12"/>
      <c r="B918" s="10"/>
      <c r="C918" s="15" t="str">
        <f aca="false">IF($B918="","",IFERROR(INDEX(회원명부!$B$3:$B$502,MATCH($B918,회원명부!$A$3:$A$502,0)),"미등록회원"))</f>
        <v/>
      </c>
      <c r="D918" s="10"/>
      <c r="E918" s="16" t="str">
        <f aca="false">IF($D918="","",IF($J918="환불",0,IFERROR(INDEX(상품목록!$B$3:$B$102,MATCH($D918,상품목록!$A$3:$A$102,0)),0)))</f>
        <v/>
      </c>
      <c r="F918" s="16" t="str">
        <f aca="false">IF($D918="","",IFERROR(INDEX(상품목록!$C$3:$C$102,MATCH($D918,상품목록!$A$3:$A$102,0)),0))</f>
        <v/>
      </c>
      <c r="G918" s="17" t="str">
        <f aca="false">IF(OR($A918="",$F918=""),"",$A918+$F918)</f>
        <v/>
      </c>
      <c r="H918" s="16" t="str">
        <f aca="false">IF($D918="","",IF($J918="환불",0,IFERROR(INDEX(상품목록!$D$3:$D$102,MATCH($D918,상품목록!$A$3:$A$102,0)),0)))</f>
        <v/>
      </c>
      <c r="I918" s="10"/>
      <c r="J918" s="10"/>
      <c r="K918" s="10"/>
    </row>
    <row r="919" customFormat="false" ht="15" hidden="false" customHeight="true" outlineLevel="0" collapsed="false">
      <c r="A919" s="12"/>
      <c r="B919" s="10"/>
      <c r="C919" s="15" t="str">
        <f aca="false">IF($B919="","",IFERROR(INDEX(회원명부!$B$3:$B$502,MATCH($B919,회원명부!$A$3:$A$502,0)),"미등록회원"))</f>
        <v/>
      </c>
      <c r="D919" s="10"/>
      <c r="E919" s="16" t="str">
        <f aca="false">IF($D919="","",IF($J919="환불",0,IFERROR(INDEX(상품목록!$B$3:$B$102,MATCH($D919,상품목록!$A$3:$A$102,0)),0)))</f>
        <v/>
      </c>
      <c r="F919" s="16" t="str">
        <f aca="false">IF($D919="","",IFERROR(INDEX(상품목록!$C$3:$C$102,MATCH($D919,상품목록!$A$3:$A$102,0)),0))</f>
        <v/>
      </c>
      <c r="G919" s="17" t="str">
        <f aca="false">IF(OR($A919="",$F919=""),"",$A919+$F919)</f>
        <v/>
      </c>
      <c r="H919" s="16" t="str">
        <f aca="false">IF($D919="","",IF($J919="환불",0,IFERROR(INDEX(상품목록!$D$3:$D$102,MATCH($D919,상품목록!$A$3:$A$102,0)),0)))</f>
        <v/>
      </c>
      <c r="I919" s="10"/>
      <c r="J919" s="10"/>
      <c r="K919" s="10"/>
    </row>
    <row r="920" customFormat="false" ht="15" hidden="false" customHeight="true" outlineLevel="0" collapsed="false">
      <c r="A920" s="12"/>
      <c r="B920" s="10"/>
      <c r="C920" s="15" t="str">
        <f aca="false">IF($B920="","",IFERROR(INDEX(회원명부!$B$3:$B$502,MATCH($B920,회원명부!$A$3:$A$502,0)),"미등록회원"))</f>
        <v/>
      </c>
      <c r="D920" s="10"/>
      <c r="E920" s="16" t="str">
        <f aca="false">IF($D920="","",IF($J920="환불",0,IFERROR(INDEX(상품목록!$B$3:$B$102,MATCH($D920,상품목록!$A$3:$A$102,0)),0)))</f>
        <v/>
      </c>
      <c r="F920" s="16" t="str">
        <f aca="false">IF($D920="","",IFERROR(INDEX(상품목록!$C$3:$C$102,MATCH($D920,상품목록!$A$3:$A$102,0)),0))</f>
        <v/>
      </c>
      <c r="G920" s="17" t="str">
        <f aca="false">IF(OR($A920="",$F920=""),"",$A920+$F920)</f>
        <v/>
      </c>
      <c r="H920" s="16" t="str">
        <f aca="false">IF($D920="","",IF($J920="환불",0,IFERROR(INDEX(상품목록!$D$3:$D$102,MATCH($D920,상품목록!$A$3:$A$102,0)),0)))</f>
        <v/>
      </c>
      <c r="I920" s="10"/>
      <c r="J920" s="10"/>
      <c r="K920" s="10"/>
    </row>
    <row r="921" customFormat="false" ht="15" hidden="false" customHeight="true" outlineLevel="0" collapsed="false">
      <c r="A921" s="12"/>
      <c r="B921" s="10"/>
      <c r="C921" s="15" t="str">
        <f aca="false">IF($B921="","",IFERROR(INDEX(회원명부!$B$3:$B$502,MATCH($B921,회원명부!$A$3:$A$502,0)),"미등록회원"))</f>
        <v/>
      </c>
      <c r="D921" s="10"/>
      <c r="E921" s="16" t="str">
        <f aca="false">IF($D921="","",IF($J921="환불",0,IFERROR(INDEX(상품목록!$B$3:$B$102,MATCH($D921,상품목록!$A$3:$A$102,0)),0)))</f>
        <v/>
      </c>
      <c r="F921" s="16" t="str">
        <f aca="false">IF($D921="","",IFERROR(INDEX(상품목록!$C$3:$C$102,MATCH($D921,상품목록!$A$3:$A$102,0)),0))</f>
        <v/>
      </c>
      <c r="G921" s="17" t="str">
        <f aca="false">IF(OR($A921="",$F921=""),"",$A921+$F921)</f>
        <v/>
      </c>
      <c r="H921" s="16" t="str">
        <f aca="false">IF($D921="","",IF($J921="환불",0,IFERROR(INDEX(상품목록!$D$3:$D$102,MATCH($D921,상품목록!$A$3:$A$102,0)),0)))</f>
        <v/>
      </c>
      <c r="I921" s="10"/>
      <c r="J921" s="10"/>
      <c r="K921" s="10"/>
    </row>
    <row r="922" customFormat="false" ht="15" hidden="false" customHeight="true" outlineLevel="0" collapsed="false">
      <c r="A922" s="12"/>
      <c r="B922" s="10"/>
      <c r="C922" s="15" t="str">
        <f aca="false">IF($B922="","",IFERROR(INDEX(회원명부!$B$3:$B$502,MATCH($B922,회원명부!$A$3:$A$502,0)),"미등록회원"))</f>
        <v/>
      </c>
      <c r="D922" s="10"/>
      <c r="E922" s="16" t="str">
        <f aca="false">IF($D922="","",IF($J922="환불",0,IFERROR(INDEX(상품목록!$B$3:$B$102,MATCH($D922,상품목록!$A$3:$A$102,0)),0)))</f>
        <v/>
      </c>
      <c r="F922" s="16" t="str">
        <f aca="false">IF($D922="","",IFERROR(INDEX(상품목록!$C$3:$C$102,MATCH($D922,상품목록!$A$3:$A$102,0)),0))</f>
        <v/>
      </c>
      <c r="G922" s="17" t="str">
        <f aca="false">IF(OR($A922="",$F922=""),"",$A922+$F922)</f>
        <v/>
      </c>
      <c r="H922" s="16" t="str">
        <f aca="false">IF($D922="","",IF($J922="환불",0,IFERROR(INDEX(상품목록!$D$3:$D$102,MATCH($D922,상품목록!$A$3:$A$102,0)),0)))</f>
        <v/>
      </c>
      <c r="I922" s="10"/>
      <c r="J922" s="10"/>
      <c r="K922" s="10"/>
    </row>
    <row r="923" customFormat="false" ht="15" hidden="false" customHeight="true" outlineLevel="0" collapsed="false">
      <c r="A923" s="12"/>
      <c r="B923" s="10"/>
      <c r="C923" s="15" t="str">
        <f aca="false">IF($B923="","",IFERROR(INDEX(회원명부!$B$3:$B$502,MATCH($B923,회원명부!$A$3:$A$502,0)),"미등록회원"))</f>
        <v/>
      </c>
      <c r="D923" s="10"/>
      <c r="E923" s="16" t="str">
        <f aca="false">IF($D923="","",IF($J923="환불",0,IFERROR(INDEX(상품목록!$B$3:$B$102,MATCH($D923,상품목록!$A$3:$A$102,0)),0)))</f>
        <v/>
      </c>
      <c r="F923" s="16" t="str">
        <f aca="false">IF($D923="","",IFERROR(INDEX(상품목록!$C$3:$C$102,MATCH($D923,상품목록!$A$3:$A$102,0)),0))</f>
        <v/>
      </c>
      <c r="G923" s="17" t="str">
        <f aca="false">IF(OR($A923="",$F923=""),"",$A923+$F923)</f>
        <v/>
      </c>
      <c r="H923" s="16" t="str">
        <f aca="false">IF($D923="","",IF($J923="환불",0,IFERROR(INDEX(상품목록!$D$3:$D$102,MATCH($D923,상품목록!$A$3:$A$102,0)),0)))</f>
        <v/>
      </c>
      <c r="I923" s="10"/>
      <c r="J923" s="10"/>
      <c r="K923" s="10"/>
    </row>
    <row r="924" customFormat="false" ht="15" hidden="false" customHeight="true" outlineLevel="0" collapsed="false">
      <c r="A924" s="12"/>
      <c r="B924" s="10"/>
      <c r="C924" s="15" t="str">
        <f aca="false">IF($B924="","",IFERROR(INDEX(회원명부!$B$3:$B$502,MATCH($B924,회원명부!$A$3:$A$502,0)),"미등록회원"))</f>
        <v/>
      </c>
      <c r="D924" s="10"/>
      <c r="E924" s="16" t="str">
        <f aca="false">IF($D924="","",IF($J924="환불",0,IFERROR(INDEX(상품목록!$B$3:$B$102,MATCH($D924,상품목록!$A$3:$A$102,0)),0)))</f>
        <v/>
      </c>
      <c r="F924" s="16" t="str">
        <f aca="false">IF($D924="","",IFERROR(INDEX(상품목록!$C$3:$C$102,MATCH($D924,상품목록!$A$3:$A$102,0)),0))</f>
        <v/>
      </c>
      <c r="G924" s="17" t="str">
        <f aca="false">IF(OR($A924="",$F924=""),"",$A924+$F924)</f>
        <v/>
      </c>
      <c r="H924" s="16" t="str">
        <f aca="false">IF($D924="","",IF($J924="환불",0,IFERROR(INDEX(상품목록!$D$3:$D$102,MATCH($D924,상품목록!$A$3:$A$102,0)),0)))</f>
        <v/>
      </c>
      <c r="I924" s="10"/>
      <c r="J924" s="10"/>
      <c r="K924" s="10"/>
    </row>
    <row r="925" customFormat="false" ht="15" hidden="false" customHeight="true" outlineLevel="0" collapsed="false">
      <c r="A925" s="12"/>
      <c r="B925" s="10"/>
      <c r="C925" s="15" t="str">
        <f aca="false">IF($B925="","",IFERROR(INDEX(회원명부!$B$3:$B$502,MATCH($B925,회원명부!$A$3:$A$502,0)),"미등록회원"))</f>
        <v/>
      </c>
      <c r="D925" s="10"/>
      <c r="E925" s="16" t="str">
        <f aca="false">IF($D925="","",IF($J925="환불",0,IFERROR(INDEX(상품목록!$B$3:$B$102,MATCH($D925,상품목록!$A$3:$A$102,0)),0)))</f>
        <v/>
      </c>
      <c r="F925" s="16" t="str">
        <f aca="false">IF($D925="","",IFERROR(INDEX(상품목록!$C$3:$C$102,MATCH($D925,상품목록!$A$3:$A$102,0)),0))</f>
        <v/>
      </c>
      <c r="G925" s="17" t="str">
        <f aca="false">IF(OR($A925="",$F925=""),"",$A925+$F925)</f>
        <v/>
      </c>
      <c r="H925" s="16" t="str">
        <f aca="false">IF($D925="","",IF($J925="환불",0,IFERROR(INDEX(상품목록!$D$3:$D$102,MATCH($D925,상품목록!$A$3:$A$102,0)),0)))</f>
        <v/>
      </c>
      <c r="I925" s="10"/>
      <c r="J925" s="10"/>
      <c r="K925" s="10"/>
    </row>
    <row r="926" customFormat="false" ht="15" hidden="false" customHeight="true" outlineLevel="0" collapsed="false">
      <c r="A926" s="12"/>
      <c r="B926" s="10"/>
      <c r="C926" s="15" t="str">
        <f aca="false">IF($B926="","",IFERROR(INDEX(회원명부!$B$3:$B$502,MATCH($B926,회원명부!$A$3:$A$502,0)),"미등록회원"))</f>
        <v/>
      </c>
      <c r="D926" s="10"/>
      <c r="E926" s="16" t="str">
        <f aca="false">IF($D926="","",IF($J926="환불",0,IFERROR(INDEX(상품목록!$B$3:$B$102,MATCH($D926,상품목록!$A$3:$A$102,0)),0)))</f>
        <v/>
      </c>
      <c r="F926" s="16" t="str">
        <f aca="false">IF($D926="","",IFERROR(INDEX(상품목록!$C$3:$C$102,MATCH($D926,상품목록!$A$3:$A$102,0)),0))</f>
        <v/>
      </c>
      <c r="G926" s="17" t="str">
        <f aca="false">IF(OR($A926="",$F926=""),"",$A926+$F926)</f>
        <v/>
      </c>
      <c r="H926" s="16" t="str">
        <f aca="false">IF($D926="","",IF($J926="환불",0,IFERROR(INDEX(상품목록!$D$3:$D$102,MATCH($D926,상품목록!$A$3:$A$102,0)),0)))</f>
        <v/>
      </c>
      <c r="I926" s="10"/>
      <c r="J926" s="10"/>
      <c r="K926" s="10"/>
    </row>
    <row r="927" customFormat="false" ht="15" hidden="false" customHeight="true" outlineLevel="0" collapsed="false">
      <c r="A927" s="12"/>
      <c r="B927" s="10"/>
      <c r="C927" s="15" t="str">
        <f aca="false">IF($B927="","",IFERROR(INDEX(회원명부!$B$3:$B$502,MATCH($B927,회원명부!$A$3:$A$502,0)),"미등록회원"))</f>
        <v/>
      </c>
      <c r="D927" s="10"/>
      <c r="E927" s="16" t="str">
        <f aca="false">IF($D927="","",IF($J927="환불",0,IFERROR(INDEX(상품목록!$B$3:$B$102,MATCH($D927,상품목록!$A$3:$A$102,0)),0)))</f>
        <v/>
      </c>
      <c r="F927" s="16" t="str">
        <f aca="false">IF($D927="","",IFERROR(INDEX(상품목록!$C$3:$C$102,MATCH($D927,상품목록!$A$3:$A$102,0)),0))</f>
        <v/>
      </c>
      <c r="G927" s="17" t="str">
        <f aca="false">IF(OR($A927="",$F927=""),"",$A927+$F927)</f>
        <v/>
      </c>
      <c r="H927" s="16" t="str">
        <f aca="false">IF($D927="","",IF($J927="환불",0,IFERROR(INDEX(상품목록!$D$3:$D$102,MATCH($D927,상품목록!$A$3:$A$102,0)),0)))</f>
        <v/>
      </c>
      <c r="I927" s="10"/>
      <c r="J927" s="10"/>
      <c r="K927" s="10"/>
    </row>
    <row r="928" customFormat="false" ht="15" hidden="false" customHeight="true" outlineLevel="0" collapsed="false">
      <c r="A928" s="12"/>
      <c r="B928" s="10"/>
      <c r="C928" s="15" t="str">
        <f aca="false">IF($B928="","",IFERROR(INDEX(회원명부!$B$3:$B$502,MATCH($B928,회원명부!$A$3:$A$502,0)),"미등록회원"))</f>
        <v/>
      </c>
      <c r="D928" s="10"/>
      <c r="E928" s="16" t="str">
        <f aca="false">IF($D928="","",IF($J928="환불",0,IFERROR(INDEX(상품목록!$B$3:$B$102,MATCH($D928,상품목록!$A$3:$A$102,0)),0)))</f>
        <v/>
      </c>
      <c r="F928" s="16" t="str">
        <f aca="false">IF($D928="","",IFERROR(INDEX(상품목록!$C$3:$C$102,MATCH($D928,상품목록!$A$3:$A$102,0)),0))</f>
        <v/>
      </c>
      <c r="G928" s="17" t="str">
        <f aca="false">IF(OR($A928="",$F928=""),"",$A928+$F928)</f>
        <v/>
      </c>
      <c r="H928" s="16" t="str">
        <f aca="false">IF($D928="","",IF($J928="환불",0,IFERROR(INDEX(상품목록!$D$3:$D$102,MATCH($D928,상품목록!$A$3:$A$102,0)),0)))</f>
        <v/>
      </c>
      <c r="I928" s="10"/>
      <c r="J928" s="10"/>
      <c r="K928" s="10"/>
    </row>
    <row r="929" customFormat="false" ht="15" hidden="false" customHeight="true" outlineLevel="0" collapsed="false">
      <c r="A929" s="12"/>
      <c r="B929" s="10"/>
      <c r="C929" s="15" t="str">
        <f aca="false">IF($B929="","",IFERROR(INDEX(회원명부!$B$3:$B$502,MATCH($B929,회원명부!$A$3:$A$502,0)),"미등록회원"))</f>
        <v/>
      </c>
      <c r="D929" s="10"/>
      <c r="E929" s="16" t="str">
        <f aca="false">IF($D929="","",IF($J929="환불",0,IFERROR(INDEX(상품목록!$B$3:$B$102,MATCH($D929,상품목록!$A$3:$A$102,0)),0)))</f>
        <v/>
      </c>
      <c r="F929" s="16" t="str">
        <f aca="false">IF($D929="","",IFERROR(INDEX(상품목록!$C$3:$C$102,MATCH($D929,상품목록!$A$3:$A$102,0)),0))</f>
        <v/>
      </c>
      <c r="G929" s="17" t="str">
        <f aca="false">IF(OR($A929="",$F929=""),"",$A929+$F929)</f>
        <v/>
      </c>
      <c r="H929" s="16" t="str">
        <f aca="false">IF($D929="","",IF($J929="환불",0,IFERROR(INDEX(상품목록!$D$3:$D$102,MATCH($D929,상품목록!$A$3:$A$102,0)),0)))</f>
        <v/>
      </c>
      <c r="I929" s="10"/>
      <c r="J929" s="10"/>
      <c r="K929" s="10"/>
    </row>
    <row r="930" customFormat="false" ht="15" hidden="false" customHeight="true" outlineLevel="0" collapsed="false">
      <c r="A930" s="12"/>
      <c r="B930" s="10"/>
      <c r="C930" s="15" t="str">
        <f aca="false">IF($B930="","",IFERROR(INDEX(회원명부!$B$3:$B$502,MATCH($B930,회원명부!$A$3:$A$502,0)),"미등록회원"))</f>
        <v/>
      </c>
      <c r="D930" s="10"/>
      <c r="E930" s="16" t="str">
        <f aca="false">IF($D930="","",IF($J930="환불",0,IFERROR(INDEX(상품목록!$B$3:$B$102,MATCH($D930,상품목록!$A$3:$A$102,0)),0)))</f>
        <v/>
      </c>
      <c r="F930" s="16" t="str">
        <f aca="false">IF($D930="","",IFERROR(INDEX(상품목록!$C$3:$C$102,MATCH($D930,상품목록!$A$3:$A$102,0)),0))</f>
        <v/>
      </c>
      <c r="G930" s="17" t="str">
        <f aca="false">IF(OR($A930="",$F930=""),"",$A930+$F930)</f>
        <v/>
      </c>
      <c r="H930" s="16" t="str">
        <f aca="false">IF($D930="","",IF($J930="환불",0,IFERROR(INDEX(상품목록!$D$3:$D$102,MATCH($D930,상품목록!$A$3:$A$102,0)),0)))</f>
        <v/>
      </c>
      <c r="I930" s="10"/>
      <c r="J930" s="10"/>
      <c r="K930" s="10"/>
    </row>
    <row r="931" customFormat="false" ht="15" hidden="false" customHeight="true" outlineLevel="0" collapsed="false">
      <c r="A931" s="12"/>
      <c r="B931" s="10"/>
      <c r="C931" s="15" t="str">
        <f aca="false">IF($B931="","",IFERROR(INDEX(회원명부!$B$3:$B$502,MATCH($B931,회원명부!$A$3:$A$502,0)),"미등록회원"))</f>
        <v/>
      </c>
      <c r="D931" s="10"/>
      <c r="E931" s="16" t="str">
        <f aca="false">IF($D931="","",IF($J931="환불",0,IFERROR(INDEX(상품목록!$B$3:$B$102,MATCH($D931,상품목록!$A$3:$A$102,0)),0)))</f>
        <v/>
      </c>
      <c r="F931" s="16" t="str">
        <f aca="false">IF($D931="","",IFERROR(INDEX(상품목록!$C$3:$C$102,MATCH($D931,상품목록!$A$3:$A$102,0)),0))</f>
        <v/>
      </c>
      <c r="G931" s="17" t="str">
        <f aca="false">IF(OR($A931="",$F931=""),"",$A931+$F931)</f>
        <v/>
      </c>
      <c r="H931" s="16" t="str">
        <f aca="false">IF($D931="","",IF($J931="환불",0,IFERROR(INDEX(상품목록!$D$3:$D$102,MATCH($D931,상품목록!$A$3:$A$102,0)),0)))</f>
        <v/>
      </c>
      <c r="I931" s="10"/>
      <c r="J931" s="10"/>
      <c r="K931" s="10"/>
    </row>
    <row r="932" customFormat="false" ht="15" hidden="false" customHeight="true" outlineLevel="0" collapsed="false">
      <c r="A932" s="12"/>
      <c r="B932" s="10"/>
      <c r="C932" s="15" t="str">
        <f aca="false">IF($B932="","",IFERROR(INDEX(회원명부!$B$3:$B$502,MATCH($B932,회원명부!$A$3:$A$502,0)),"미등록회원"))</f>
        <v/>
      </c>
      <c r="D932" s="10"/>
      <c r="E932" s="16" t="str">
        <f aca="false">IF($D932="","",IF($J932="환불",0,IFERROR(INDEX(상품목록!$B$3:$B$102,MATCH($D932,상품목록!$A$3:$A$102,0)),0)))</f>
        <v/>
      </c>
      <c r="F932" s="16" t="str">
        <f aca="false">IF($D932="","",IFERROR(INDEX(상품목록!$C$3:$C$102,MATCH($D932,상품목록!$A$3:$A$102,0)),0))</f>
        <v/>
      </c>
      <c r="G932" s="17" t="str">
        <f aca="false">IF(OR($A932="",$F932=""),"",$A932+$F932)</f>
        <v/>
      </c>
      <c r="H932" s="16" t="str">
        <f aca="false">IF($D932="","",IF($J932="환불",0,IFERROR(INDEX(상품목록!$D$3:$D$102,MATCH($D932,상품목록!$A$3:$A$102,0)),0)))</f>
        <v/>
      </c>
      <c r="I932" s="10"/>
      <c r="J932" s="10"/>
      <c r="K932" s="10"/>
    </row>
    <row r="933" customFormat="false" ht="15" hidden="false" customHeight="true" outlineLevel="0" collapsed="false">
      <c r="A933" s="12"/>
      <c r="B933" s="10"/>
      <c r="C933" s="15" t="str">
        <f aca="false">IF($B933="","",IFERROR(INDEX(회원명부!$B$3:$B$502,MATCH($B933,회원명부!$A$3:$A$502,0)),"미등록회원"))</f>
        <v/>
      </c>
      <c r="D933" s="10"/>
      <c r="E933" s="16" t="str">
        <f aca="false">IF($D933="","",IF($J933="환불",0,IFERROR(INDEX(상품목록!$B$3:$B$102,MATCH($D933,상품목록!$A$3:$A$102,0)),0)))</f>
        <v/>
      </c>
      <c r="F933" s="16" t="str">
        <f aca="false">IF($D933="","",IFERROR(INDEX(상품목록!$C$3:$C$102,MATCH($D933,상품목록!$A$3:$A$102,0)),0))</f>
        <v/>
      </c>
      <c r="G933" s="17" t="str">
        <f aca="false">IF(OR($A933="",$F933=""),"",$A933+$F933)</f>
        <v/>
      </c>
      <c r="H933" s="16" t="str">
        <f aca="false">IF($D933="","",IF($J933="환불",0,IFERROR(INDEX(상품목록!$D$3:$D$102,MATCH($D933,상품목록!$A$3:$A$102,0)),0)))</f>
        <v/>
      </c>
      <c r="I933" s="10"/>
      <c r="J933" s="10"/>
      <c r="K933" s="10"/>
    </row>
    <row r="934" customFormat="false" ht="15" hidden="false" customHeight="true" outlineLevel="0" collapsed="false">
      <c r="A934" s="12"/>
      <c r="B934" s="10"/>
      <c r="C934" s="15" t="str">
        <f aca="false">IF($B934="","",IFERROR(INDEX(회원명부!$B$3:$B$502,MATCH($B934,회원명부!$A$3:$A$502,0)),"미등록회원"))</f>
        <v/>
      </c>
      <c r="D934" s="10"/>
      <c r="E934" s="16" t="str">
        <f aca="false">IF($D934="","",IF($J934="환불",0,IFERROR(INDEX(상품목록!$B$3:$B$102,MATCH($D934,상품목록!$A$3:$A$102,0)),0)))</f>
        <v/>
      </c>
      <c r="F934" s="16" t="str">
        <f aca="false">IF($D934="","",IFERROR(INDEX(상품목록!$C$3:$C$102,MATCH($D934,상품목록!$A$3:$A$102,0)),0))</f>
        <v/>
      </c>
      <c r="G934" s="17" t="str">
        <f aca="false">IF(OR($A934="",$F934=""),"",$A934+$F934)</f>
        <v/>
      </c>
      <c r="H934" s="16" t="str">
        <f aca="false">IF($D934="","",IF($J934="환불",0,IFERROR(INDEX(상품목록!$D$3:$D$102,MATCH($D934,상품목록!$A$3:$A$102,0)),0)))</f>
        <v/>
      </c>
      <c r="I934" s="10"/>
      <c r="J934" s="10"/>
      <c r="K934" s="10"/>
    </row>
    <row r="935" customFormat="false" ht="15" hidden="false" customHeight="true" outlineLevel="0" collapsed="false">
      <c r="A935" s="12"/>
      <c r="B935" s="10"/>
      <c r="C935" s="15" t="str">
        <f aca="false">IF($B935="","",IFERROR(INDEX(회원명부!$B$3:$B$502,MATCH($B935,회원명부!$A$3:$A$502,0)),"미등록회원"))</f>
        <v/>
      </c>
      <c r="D935" s="10"/>
      <c r="E935" s="16" t="str">
        <f aca="false">IF($D935="","",IF($J935="환불",0,IFERROR(INDEX(상품목록!$B$3:$B$102,MATCH($D935,상품목록!$A$3:$A$102,0)),0)))</f>
        <v/>
      </c>
      <c r="F935" s="16" t="str">
        <f aca="false">IF($D935="","",IFERROR(INDEX(상품목록!$C$3:$C$102,MATCH($D935,상품목록!$A$3:$A$102,0)),0))</f>
        <v/>
      </c>
      <c r="G935" s="17" t="str">
        <f aca="false">IF(OR($A935="",$F935=""),"",$A935+$F935)</f>
        <v/>
      </c>
      <c r="H935" s="16" t="str">
        <f aca="false">IF($D935="","",IF($J935="환불",0,IFERROR(INDEX(상품목록!$D$3:$D$102,MATCH($D935,상품목록!$A$3:$A$102,0)),0)))</f>
        <v/>
      </c>
      <c r="I935" s="10"/>
      <c r="J935" s="10"/>
      <c r="K935" s="10"/>
    </row>
    <row r="936" customFormat="false" ht="15" hidden="false" customHeight="true" outlineLevel="0" collapsed="false">
      <c r="A936" s="12"/>
      <c r="B936" s="10"/>
      <c r="C936" s="15" t="str">
        <f aca="false">IF($B936="","",IFERROR(INDEX(회원명부!$B$3:$B$502,MATCH($B936,회원명부!$A$3:$A$502,0)),"미등록회원"))</f>
        <v/>
      </c>
      <c r="D936" s="10"/>
      <c r="E936" s="16" t="str">
        <f aca="false">IF($D936="","",IF($J936="환불",0,IFERROR(INDEX(상품목록!$B$3:$B$102,MATCH($D936,상품목록!$A$3:$A$102,0)),0)))</f>
        <v/>
      </c>
      <c r="F936" s="16" t="str">
        <f aca="false">IF($D936="","",IFERROR(INDEX(상품목록!$C$3:$C$102,MATCH($D936,상품목록!$A$3:$A$102,0)),0))</f>
        <v/>
      </c>
      <c r="G936" s="17" t="str">
        <f aca="false">IF(OR($A936="",$F936=""),"",$A936+$F936)</f>
        <v/>
      </c>
      <c r="H936" s="16" t="str">
        <f aca="false">IF($D936="","",IF($J936="환불",0,IFERROR(INDEX(상품목록!$D$3:$D$102,MATCH($D936,상품목록!$A$3:$A$102,0)),0)))</f>
        <v/>
      </c>
      <c r="I936" s="10"/>
      <c r="J936" s="10"/>
      <c r="K936" s="10"/>
    </row>
    <row r="937" customFormat="false" ht="15" hidden="false" customHeight="true" outlineLevel="0" collapsed="false">
      <c r="A937" s="12"/>
      <c r="B937" s="10"/>
      <c r="C937" s="15" t="str">
        <f aca="false">IF($B937="","",IFERROR(INDEX(회원명부!$B$3:$B$502,MATCH($B937,회원명부!$A$3:$A$502,0)),"미등록회원"))</f>
        <v/>
      </c>
      <c r="D937" s="10"/>
      <c r="E937" s="16" t="str">
        <f aca="false">IF($D937="","",IF($J937="환불",0,IFERROR(INDEX(상품목록!$B$3:$B$102,MATCH($D937,상품목록!$A$3:$A$102,0)),0)))</f>
        <v/>
      </c>
      <c r="F937" s="16" t="str">
        <f aca="false">IF($D937="","",IFERROR(INDEX(상품목록!$C$3:$C$102,MATCH($D937,상품목록!$A$3:$A$102,0)),0))</f>
        <v/>
      </c>
      <c r="G937" s="17" t="str">
        <f aca="false">IF(OR($A937="",$F937=""),"",$A937+$F937)</f>
        <v/>
      </c>
      <c r="H937" s="16" t="str">
        <f aca="false">IF($D937="","",IF($J937="환불",0,IFERROR(INDEX(상품목록!$D$3:$D$102,MATCH($D937,상품목록!$A$3:$A$102,0)),0)))</f>
        <v/>
      </c>
      <c r="I937" s="10"/>
      <c r="J937" s="10"/>
      <c r="K937" s="10"/>
    </row>
    <row r="938" customFormat="false" ht="15" hidden="false" customHeight="true" outlineLevel="0" collapsed="false">
      <c r="A938" s="12"/>
      <c r="B938" s="10"/>
      <c r="C938" s="15" t="str">
        <f aca="false">IF($B938="","",IFERROR(INDEX(회원명부!$B$3:$B$502,MATCH($B938,회원명부!$A$3:$A$502,0)),"미등록회원"))</f>
        <v/>
      </c>
      <c r="D938" s="10"/>
      <c r="E938" s="16" t="str">
        <f aca="false">IF($D938="","",IF($J938="환불",0,IFERROR(INDEX(상품목록!$B$3:$B$102,MATCH($D938,상품목록!$A$3:$A$102,0)),0)))</f>
        <v/>
      </c>
      <c r="F938" s="16" t="str">
        <f aca="false">IF($D938="","",IFERROR(INDEX(상품목록!$C$3:$C$102,MATCH($D938,상품목록!$A$3:$A$102,0)),0))</f>
        <v/>
      </c>
      <c r="G938" s="17" t="str">
        <f aca="false">IF(OR($A938="",$F938=""),"",$A938+$F938)</f>
        <v/>
      </c>
      <c r="H938" s="16" t="str">
        <f aca="false">IF($D938="","",IF($J938="환불",0,IFERROR(INDEX(상품목록!$D$3:$D$102,MATCH($D938,상품목록!$A$3:$A$102,0)),0)))</f>
        <v/>
      </c>
      <c r="I938" s="10"/>
      <c r="J938" s="10"/>
      <c r="K938" s="10"/>
    </row>
    <row r="939" customFormat="false" ht="15" hidden="false" customHeight="true" outlineLevel="0" collapsed="false">
      <c r="A939" s="12"/>
      <c r="B939" s="10"/>
      <c r="C939" s="15" t="str">
        <f aca="false">IF($B939="","",IFERROR(INDEX(회원명부!$B$3:$B$502,MATCH($B939,회원명부!$A$3:$A$502,0)),"미등록회원"))</f>
        <v/>
      </c>
      <c r="D939" s="10"/>
      <c r="E939" s="16" t="str">
        <f aca="false">IF($D939="","",IF($J939="환불",0,IFERROR(INDEX(상품목록!$B$3:$B$102,MATCH($D939,상품목록!$A$3:$A$102,0)),0)))</f>
        <v/>
      </c>
      <c r="F939" s="16" t="str">
        <f aca="false">IF($D939="","",IFERROR(INDEX(상품목록!$C$3:$C$102,MATCH($D939,상품목록!$A$3:$A$102,0)),0))</f>
        <v/>
      </c>
      <c r="G939" s="17" t="str">
        <f aca="false">IF(OR($A939="",$F939=""),"",$A939+$F939)</f>
        <v/>
      </c>
      <c r="H939" s="16" t="str">
        <f aca="false">IF($D939="","",IF($J939="환불",0,IFERROR(INDEX(상품목록!$D$3:$D$102,MATCH($D939,상품목록!$A$3:$A$102,0)),0)))</f>
        <v/>
      </c>
      <c r="I939" s="10"/>
      <c r="J939" s="10"/>
      <c r="K939" s="10"/>
    </row>
    <row r="940" customFormat="false" ht="15" hidden="false" customHeight="true" outlineLevel="0" collapsed="false">
      <c r="A940" s="12"/>
      <c r="B940" s="10"/>
      <c r="C940" s="15" t="str">
        <f aca="false">IF($B940="","",IFERROR(INDEX(회원명부!$B$3:$B$502,MATCH($B940,회원명부!$A$3:$A$502,0)),"미등록회원"))</f>
        <v/>
      </c>
      <c r="D940" s="10"/>
      <c r="E940" s="16" t="str">
        <f aca="false">IF($D940="","",IF($J940="환불",0,IFERROR(INDEX(상품목록!$B$3:$B$102,MATCH($D940,상품목록!$A$3:$A$102,0)),0)))</f>
        <v/>
      </c>
      <c r="F940" s="16" t="str">
        <f aca="false">IF($D940="","",IFERROR(INDEX(상품목록!$C$3:$C$102,MATCH($D940,상품목록!$A$3:$A$102,0)),0))</f>
        <v/>
      </c>
      <c r="G940" s="17" t="str">
        <f aca="false">IF(OR($A940="",$F940=""),"",$A940+$F940)</f>
        <v/>
      </c>
      <c r="H940" s="16" t="str">
        <f aca="false">IF($D940="","",IF($J940="환불",0,IFERROR(INDEX(상품목록!$D$3:$D$102,MATCH($D940,상품목록!$A$3:$A$102,0)),0)))</f>
        <v/>
      </c>
      <c r="I940" s="10"/>
      <c r="J940" s="10"/>
      <c r="K940" s="10"/>
    </row>
    <row r="941" customFormat="false" ht="15" hidden="false" customHeight="true" outlineLevel="0" collapsed="false">
      <c r="A941" s="12"/>
      <c r="B941" s="10"/>
      <c r="C941" s="15" t="str">
        <f aca="false">IF($B941="","",IFERROR(INDEX(회원명부!$B$3:$B$502,MATCH($B941,회원명부!$A$3:$A$502,0)),"미등록회원"))</f>
        <v/>
      </c>
      <c r="D941" s="10"/>
      <c r="E941" s="16" t="str">
        <f aca="false">IF($D941="","",IF($J941="환불",0,IFERROR(INDEX(상품목록!$B$3:$B$102,MATCH($D941,상품목록!$A$3:$A$102,0)),0)))</f>
        <v/>
      </c>
      <c r="F941" s="16" t="str">
        <f aca="false">IF($D941="","",IFERROR(INDEX(상품목록!$C$3:$C$102,MATCH($D941,상품목록!$A$3:$A$102,0)),0))</f>
        <v/>
      </c>
      <c r="G941" s="17" t="str">
        <f aca="false">IF(OR($A941="",$F941=""),"",$A941+$F941)</f>
        <v/>
      </c>
      <c r="H941" s="16" t="str">
        <f aca="false">IF($D941="","",IF($J941="환불",0,IFERROR(INDEX(상품목록!$D$3:$D$102,MATCH($D941,상품목록!$A$3:$A$102,0)),0)))</f>
        <v/>
      </c>
      <c r="I941" s="10"/>
      <c r="J941" s="10"/>
      <c r="K941" s="10"/>
    </row>
    <row r="942" customFormat="false" ht="15" hidden="false" customHeight="true" outlineLevel="0" collapsed="false">
      <c r="A942" s="12"/>
      <c r="B942" s="10"/>
      <c r="C942" s="15" t="str">
        <f aca="false">IF($B942="","",IFERROR(INDEX(회원명부!$B$3:$B$502,MATCH($B942,회원명부!$A$3:$A$502,0)),"미등록회원"))</f>
        <v/>
      </c>
      <c r="D942" s="10"/>
      <c r="E942" s="16" t="str">
        <f aca="false">IF($D942="","",IF($J942="환불",0,IFERROR(INDEX(상품목록!$B$3:$B$102,MATCH($D942,상품목록!$A$3:$A$102,0)),0)))</f>
        <v/>
      </c>
      <c r="F942" s="16" t="str">
        <f aca="false">IF($D942="","",IFERROR(INDEX(상품목록!$C$3:$C$102,MATCH($D942,상품목록!$A$3:$A$102,0)),0))</f>
        <v/>
      </c>
      <c r="G942" s="17" t="str">
        <f aca="false">IF(OR($A942="",$F942=""),"",$A942+$F942)</f>
        <v/>
      </c>
      <c r="H942" s="16" t="str">
        <f aca="false">IF($D942="","",IF($J942="환불",0,IFERROR(INDEX(상품목록!$D$3:$D$102,MATCH($D942,상품목록!$A$3:$A$102,0)),0)))</f>
        <v/>
      </c>
      <c r="I942" s="10"/>
      <c r="J942" s="10"/>
      <c r="K942" s="10"/>
    </row>
    <row r="943" customFormat="false" ht="15" hidden="false" customHeight="true" outlineLevel="0" collapsed="false">
      <c r="A943" s="12"/>
      <c r="B943" s="10"/>
      <c r="C943" s="15" t="str">
        <f aca="false">IF($B943="","",IFERROR(INDEX(회원명부!$B$3:$B$502,MATCH($B943,회원명부!$A$3:$A$502,0)),"미등록회원"))</f>
        <v/>
      </c>
      <c r="D943" s="10"/>
      <c r="E943" s="16" t="str">
        <f aca="false">IF($D943="","",IF($J943="환불",0,IFERROR(INDEX(상품목록!$B$3:$B$102,MATCH($D943,상품목록!$A$3:$A$102,0)),0)))</f>
        <v/>
      </c>
      <c r="F943" s="16" t="str">
        <f aca="false">IF($D943="","",IFERROR(INDEX(상품목록!$C$3:$C$102,MATCH($D943,상품목록!$A$3:$A$102,0)),0))</f>
        <v/>
      </c>
      <c r="G943" s="17" t="str">
        <f aca="false">IF(OR($A943="",$F943=""),"",$A943+$F943)</f>
        <v/>
      </c>
      <c r="H943" s="16" t="str">
        <f aca="false">IF($D943="","",IF($J943="환불",0,IFERROR(INDEX(상품목록!$D$3:$D$102,MATCH($D943,상품목록!$A$3:$A$102,0)),0)))</f>
        <v/>
      </c>
      <c r="I943" s="10"/>
      <c r="J943" s="10"/>
      <c r="K943" s="10"/>
    </row>
    <row r="944" customFormat="false" ht="15" hidden="false" customHeight="true" outlineLevel="0" collapsed="false">
      <c r="A944" s="12"/>
      <c r="B944" s="10"/>
      <c r="C944" s="15" t="str">
        <f aca="false">IF($B944="","",IFERROR(INDEX(회원명부!$B$3:$B$502,MATCH($B944,회원명부!$A$3:$A$502,0)),"미등록회원"))</f>
        <v/>
      </c>
      <c r="D944" s="10"/>
      <c r="E944" s="16" t="str">
        <f aca="false">IF($D944="","",IF($J944="환불",0,IFERROR(INDEX(상품목록!$B$3:$B$102,MATCH($D944,상품목록!$A$3:$A$102,0)),0)))</f>
        <v/>
      </c>
      <c r="F944" s="16" t="str">
        <f aca="false">IF($D944="","",IFERROR(INDEX(상품목록!$C$3:$C$102,MATCH($D944,상품목록!$A$3:$A$102,0)),0))</f>
        <v/>
      </c>
      <c r="G944" s="17" t="str">
        <f aca="false">IF(OR($A944="",$F944=""),"",$A944+$F944)</f>
        <v/>
      </c>
      <c r="H944" s="16" t="str">
        <f aca="false">IF($D944="","",IF($J944="환불",0,IFERROR(INDEX(상품목록!$D$3:$D$102,MATCH($D944,상품목록!$A$3:$A$102,0)),0)))</f>
        <v/>
      </c>
      <c r="I944" s="10"/>
      <c r="J944" s="10"/>
      <c r="K944" s="10"/>
    </row>
    <row r="945" customFormat="false" ht="15" hidden="false" customHeight="true" outlineLevel="0" collapsed="false">
      <c r="A945" s="12"/>
      <c r="B945" s="10"/>
      <c r="C945" s="15" t="str">
        <f aca="false">IF($B945="","",IFERROR(INDEX(회원명부!$B$3:$B$502,MATCH($B945,회원명부!$A$3:$A$502,0)),"미등록회원"))</f>
        <v/>
      </c>
      <c r="D945" s="10"/>
      <c r="E945" s="16" t="str">
        <f aca="false">IF($D945="","",IF($J945="환불",0,IFERROR(INDEX(상품목록!$B$3:$B$102,MATCH($D945,상품목록!$A$3:$A$102,0)),0)))</f>
        <v/>
      </c>
      <c r="F945" s="16" t="str">
        <f aca="false">IF($D945="","",IFERROR(INDEX(상품목록!$C$3:$C$102,MATCH($D945,상품목록!$A$3:$A$102,0)),0))</f>
        <v/>
      </c>
      <c r="G945" s="17" t="str">
        <f aca="false">IF(OR($A945="",$F945=""),"",$A945+$F945)</f>
        <v/>
      </c>
      <c r="H945" s="16" t="str">
        <f aca="false">IF($D945="","",IF($J945="환불",0,IFERROR(INDEX(상품목록!$D$3:$D$102,MATCH($D945,상품목록!$A$3:$A$102,0)),0)))</f>
        <v/>
      </c>
      <c r="I945" s="10"/>
      <c r="J945" s="10"/>
      <c r="K945" s="10"/>
    </row>
    <row r="946" customFormat="false" ht="15" hidden="false" customHeight="true" outlineLevel="0" collapsed="false">
      <c r="A946" s="12"/>
      <c r="B946" s="10"/>
      <c r="C946" s="15" t="str">
        <f aca="false">IF($B946="","",IFERROR(INDEX(회원명부!$B$3:$B$502,MATCH($B946,회원명부!$A$3:$A$502,0)),"미등록회원"))</f>
        <v/>
      </c>
      <c r="D946" s="10"/>
      <c r="E946" s="16" t="str">
        <f aca="false">IF($D946="","",IF($J946="환불",0,IFERROR(INDEX(상품목록!$B$3:$B$102,MATCH($D946,상품목록!$A$3:$A$102,0)),0)))</f>
        <v/>
      </c>
      <c r="F946" s="16" t="str">
        <f aca="false">IF($D946="","",IFERROR(INDEX(상품목록!$C$3:$C$102,MATCH($D946,상품목록!$A$3:$A$102,0)),0))</f>
        <v/>
      </c>
      <c r="G946" s="17" t="str">
        <f aca="false">IF(OR($A946="",$F946=""),"",$A946+$F946)</f>
        <v/>
      </c>
      <c r="H946" s="16" t="str">
        <f aca="false">IF($D946="","",IF($J946="환불",0,IFERROR(INDEX(상품목록!$D$3:$D$102,MATCH($D946,상품목록!$A$3:$A$102,0)),0)))</f>
        <v/>
      </c>
      <c r="I946" s="10"/>
      <c r="J946" s="10"/>
      <c r="K946" s="10"/>
    </row>
    <row r="947" customFormat="false" ht="15" hidden="false" customHeight="true" outlineLevel="0" collapsed="false">
      <c r="A947" s="12"/>
      <c r="B947" s="10"/>
      <c r="C947" s="15" t="str">
        <f aca="false">IF($B947="","",IFERROR(INDEX(회원명부!$B$3:$B$502,MATCH($B947,회원명부!$A$3:$A$502,0)),"미등록회원"))</f>
        <v/>
      </c>
      <c r="D947" s="10"/>
      <c r="E947" s="16" t="str">
        <f aca="false">IF($D947="","",IF($J947="환불",0,IFERROR(INDEX(상품목록!$B$3:$B$102,MATCH($D947,상품목록!$A$3:$A$102,0)),0)))</f>
        <v/>
      </c>
      <c r="F947" s="16" t="str">
        <f aca="false">IF($D947="","",IFERROR(INDEX(상품목록!$C$3:$C$102,MATCH($D947,상품목록!$A$3:$A$102,0)),0))</f>
        <v/>
      </c>
      <c r="G947" s="17" t="str">
        <f aca="false">IF(OR($A947="",$F947=""),"",$A947+$F947)</f>
        <v/>
      </c>
      <c r="H947" s="16" t="str">
        <f aca="false">IF($D947="","",IF($J947="환불",0,IFERROR(INDEX(상품목록!$D$3:$D$102,MATCH($D947,상품목록!$A$3:$A$102,0)),0)))</f>
        <v/>
      </c>
      <c r="I947" s="10"/>
      <c r="J947" s="10"/>
      <c r="K947" s="10"/>
    </row>
    <row r="948" customFormat="false" ht="15" hidden="false" customHeight="true" outlineLevel="0" collapsed="false">
      <c r="A948" s="12"/>
      <c r="B948" s="10"/>
      <c r="C948" s="15" t="str">
        <f aca="false">IF($B948="","",IFERROR(INDEX(회원명부!$B$3:$B$502,MATCH($B948,회원명부!$A$3:$A$502,0)),"미등록회원"))</f>
        <v/>
      </c>
      <c r="D948" s="10"/>
      <c r="E948" s="16" t="str">
        <f aca="false">IF($D948="","",IF($J948="환불",0,IFERROR(INDEX(상품목록!$B$3:$B$102,MATCH($D948,상품목록!$A$3:$A$102,0)),0)))</f>
        <v/>
      </c>
      <c r="F948" s="16" t="str">
        <f aca="false">IF($D948="","",IFERROR(INDEX(상품목록!$C$3:$C$102,MATCH($D948,상품목록!$A$3:$A$102,0)),0))</f>
        <v/>
      </c>
      <c r="G948" s="17" t="str">
        <f aca="false">IF(OR($A948="",$F948=""),"",$A948+$F948)</f>
        <v/>
      </c>
      <c r="H948" s="16" t="str">
        <f aca="false">IF($D948="","",IF($J948="환불",0,IFERROR(INDEX(상품목록!$D$3:$D$102,MATCH($D948,상품목록!$A$3:$A$102,0)),0)))</f>
        <v/>
      </c>
      <c r="I948" s="10"/>
      <c r="J948" s="10"/>
      <c r="K948" s="10"/>
    </row>
    <row r="949" customFormat="false" ht="15" hidden="false" customHeight="true" outlineLevel="0" collapsed="false">
      <c r="A949" s="12"/>
      <c r="B949" s="10"/>
      <c r="C949" s="15" t="str">
        <f aca="false">IF($B949="","",IFERROR(INDEX(회원명부!$B$3:$B$502,MATCH($B949,회원명부!$A$3:$A$502,0)),"미등록회원"))</f>
        <v/>
      </c>
      <c r="D949" s="10"/>
      <c r="E949" s="16" t="str">
        <f aca="false">IF($D949="","",IF($J949="환불",0,IFERROR(INDEX(상품목록!$B$3:$B$102,MATCH($D949,상품목록!$A$3:$A$102,0)),0)))</f>
        <v/>
      </c>
      <c r="F949" s="16" t="str">
        <f aca="false">IF($D949="","",IFERROR(INDEX(상품목록!$C$3:$C$102,MATCH($D949,상품목록!$A$3:$A$102,0)),0))</f>
        <v/>
      </c>
      <c r="G949" s="17" t="str">
        <f aca="false">IF(OR($A949="",$F949=""),"",$A949+$F949)</f>
        <v/>
      </c>
      <c r="H949" s="16" t="str">
        <f aca="false">IF($D949="","",IF($J949="환불",0,IFERROR(INDEX(상품목록!$D$3:$D$102,MATCH($D949,상품목록!$A$3:$A$102,0)),0)))</f>
        <v/>
      </c>
      <c r="I949" s="10"/>
      <c r="J949" s="10"/>
      <c r="K949" s="10"/>
    </row>
    <row r="950" customFormat="false" ht="15" hidden="false" customHeight="true" outlineLevel="0" collapsed="false">
      <c r="A950" s="12"/>
      <c r="B950" s="10"/>
      <c r="C950" s="15" t="str">
        <f aca="false">IF($B950="","",IFERROR(INDEX(회원명부!$B$3:$B$502,MATCH($B950,회원명부!$A$3:$A$502,0)),"미등록회원"))</f>
        <v/>
      </c>
      <c r="D950" s="10"/>
      <c r="E950" s="16" t="str">
        <f aca="false">IF($D950="","",IF($J950="환불",0,IFERROR(INDEX(상품목록!$B$3:$B$102,MATCH($D950,상품목록!$A$3:$A$102,0)),0)))</f>
        <v/>
      </c>
      <c r="F950" s="16" t="str">
        <f aca="false">IF($D950="","",IFERROR(INDEX(상품목록!$C$3:$C$102,MATCH($D950,상품목록!$A$3:$A$102,0)),0))</f>
        <v/>
      </c>
      <c r="G950" s="17" t="str">
        <f aca="false">IF(OR($A950="",$F950=""),"",$A950+$F950)</f>
        <v/>
      </c>
      <c r="H950" s="16" t="str">
        <f aca="false">IF($D950="","",IF($J950="환불",0,IFERROR(INDEX(상품목록!$D$3:$D$102,MATCH($D950,상품목록!$A$3:$A$102,0)),0)))</f>
        <v/>
      </c>
      <c r="I950" s="10"/>
      <c r="J950" s="10"/>
      <c r="K950" s="10"/>
    </row>
    <row r="951" customFormat="false" ht="15" hidden="false" customHeight="true" outlineLevel="0" collapsed="false">
      <c r="A951" s="12"/>
      <c r="B951" s="10"/>
      <c r="C951" s="15" t="str">
        <f aca="false">IF($B951="","",IFERROR(INDEX(회원명부!$B$3:$B$502,MATCH($B951,회원명부!$A$3:$A$502,0)),"미등록회원"))</f>
        <v/>
      </c>
      <c r="D951" s="10"/>
      <c r="E951" s="16" t="str">
        <f aca="false">IF($D951="","",IF($J951="환불",0,IFERROR(INDEX(상품목록!$B$3:$B$102,MATCH($D951,상품목록!$A$3:$A$102,0)),0)))</f>
        <v/>
      </c>
      <c r="F951" s="16" t="str">
        <f aca="false">IF($D951="","",IFERROR(INDEX(상품목록!$C$3:$C$102,MATCH($D951,상품목록!$A$3:$A$102,0)),0))</f>
        <v/>
      </c>
      <c r="G951" s="17" t="str">
        <f aca="false">IF(OR($A951="",$F951=""),"",$A951+$F951)</f>
        <v/>
      </c>
      <c r="H951" s="16" t="str">
        <f aca="false">IF($D951="","",IF($J951="환불",0,IFERROR(INDEX(상품목록!$D$3:$D$102,MATCH($D951,상품목록!$A$3:$A$102,0)),0)))</f>
        <v/>
      </c>
      <c r="I951" s="10"/>
      <c r="J951" s="10"/>
      <c r="K951" s="10"/>
    </row>
    <row r="952" customFormat="false" ht="15" hidden="false" customHeight="true" outlineLevel="0" collapsed="false">
      <c r="A952" s="12"/>
      <c r="B952" s="10"/>
      <c r="C952" s="15" t="str">
        <f aca="false">IF($B952="","",IFERROR(INDEX(회원명부!$B$3:$B$502,MATCH($B952,회원명부!$A$3:$A$502,0)),"미등록회원"))</f>
        <v/>
      </c>
      <c r="D952" s="10"/>
      <c r="E952" s="16" t="str">
        <f aca="false">IF($D952="","",IF($J952="환불",0,IFERROR(INDEX(상품목록!$B$3:$B$102,MATCH($D952,상품목록!$A$3:$A$102,0)),0)))</f>
        <v/>
      </c>
      <c r="F952" s="16" t="str">
        <f aca="false">IF($D952="","",IFERROR(INDEX(상품목록!$C$3:$C$102,MATCH($D952,상품목록!$A$3:$A$102,0)),0))</f>
        <v/>
      </c>
      <c r="G952" s="17" t="str">
        <f aca="false">IF(OR($A952="",$F952=""),"",$A952+$F952)</f>
        <v/>
      </c>
      <c r="H952" s="16" t="str">
        <f aca="false">IF($D952="","",IF($J952="환불",0,IFERROR(INDEX(상품목록!$D$3:$D$102,MATCH($D952,상품목록!$A$3:$A$102,0)),0)))</f>
        <v/>
      </c>
      <c r="I952" s="10"/>
      <c r="J952" s="10"/>
      <c r="K952" s="10"/>
    </row>
    <row r="953" customFormat="false" ht="15" hidden="false" customHeight="true" outlineLevel="0" collapsed="false">
      <c r="A953" s="12"/>
      <c r="B953" s="10"/>
      <c r="C953" s="15" t="str">
        <f aca="false">IF($B953="","",IFERROR(INDEX(회원명부!$B$3:$B$502,MATCH($B953,회원명부!$A$3:$A$502,0)),"미등록회원"))</f>
        <v/>
      </c>
      <c r="D953" s="10"/>
      <c r="E953" s="16" t="str">
        <f aca="false">IF($D953="","",IF($J953="환불",0,IFERROR(INDEX(상품목록!$B$3:$B$102,MATCH($D953,상품목록!$A$3:$A$102,0)),0)))</f>
        <v/>
      </c>
      <c r="F953" s="16" t="str">
        <f aca="false">IF($D953="","",IFERROR(INDEX(상품목록!$C$3:$C$102,MATCH($D953,상품목록!$A$3:$A$102,0)),0))</f>
        <v/>
      </c>
      <c r="G953" s="17" t="str">
        <f aca="false">IF(OR($A953="",$F953=""),"",$A953+$F953)</f>
        <v/>
      </c>
      <c r="H953" s="16" t="str">
        <f aca="false">IF($D953="","",IF($J953="환불",0,IFERROR(INDEX(상품목록!$D$3:$D$102,MATCH($D953,상품목록!$A$3:$A$102,0)),0)))</f>
        <v/>
      </c>
      <c r="I953" s="10"/>
      <c r="J953" s="10"/>
      <c r="K953" s="10"/>
    </row>
    <row r="954" customFormat="false" ht="15" hidden="false" customHeight="true" outlineLevel="0" collapsed="false">
      <c r="A954" s="12"/>
      <c r="B954" s="10"/>
      <c r="C954" s="15" t="str">
        <f aca="false">IF($B954="","",IFERROR(INDEX(회원명부!$B$3:$B$502,MATCH($B954,회원명부!$A$3:$A$502,0)),"미등록회원"))</f>
        <v/>
      </c>
      <c r="D954" s="10"/>
      <c r="E954" s="16" t="str">
        <f aca="false">IF($D954="","",IF($J954="환불",0,IFERROR(INDEX(상품목록!$B$3:$B$102,MATCH($D954,상품목록!$A$3:$A$102,0)),0)))</f>
        <v/>
      </c>
      <c r="F954" s="16" t="str">
        <f aca="false">IF($D954="","",IFERROR(INDEX(상품목록!$C$3:$C$102,MATCH($D954,상품목록!$A$3:$A$102,0)),0))</f>
        <v/>
      </c>
      <c r="G954" s="17" t="str">
        <f aca="false">IF(OR($A954="",$F954=""),"",$A954+$F954)</f>
        <v/>
      </c>
      <c r="H954" s="16" t="str">
        <f aca="false">IF($D954="","",IF($J954="환불",0,IFERROR(INDEX(상품목록!$D$3:$D$102,MATCH($D954,상품목록!$A$3:$A$102,0)),0)))</f>
        <v/>
      </c>
      <c r="I954" s="10"/>
      <c r="J954" s="10"/>
      <c r="K954" s="10"/>
    </row>
    <row r="955" customFormat="false" ht="15" hidden="false" customHeight="true" outlineLevel="0" collapsed="false">
      <c r="A955" s="12"/>
      <c r="B955" s="10"/>
      <c r="C955" s="15" t="str">
        <f aca="false">IF($B955="","",IFERROR(INDEX(회원명부!$B$3:$B$502,MATCH($B955,회원명부!$A$3:$A$502,0)),"미등록회원"))</f>
        <v/>
      </c>
      <c r="D955" s="10"/>
      <c r="E955" s="16" t="str">
        <f aca="false">IF($D955="","",IF($J955="환불",0,IFERROR(INDEX(상품목록!$B$3:$B$102,MATCH($D955,상품목록!$A$3:$A$102,0)),0)))</f>
        <v/>
      </c>
      <c r="F955" s="16" t="str">
        <f aca="false">IF($D955="","",IFERROR(INDEX(상품목록!$C$3:$C$102,MATCH($D955,상품목록!$A$3:$A$102,0)),0))</f>
        <v/>
      </c>
      <c r="G955" s="17" t="str">
        <f aca="false">IF(OR($A955="",$F955=""),"",$A955+$F955)</f>
        <v/>
      </c>
      <c r="H955" s="16" t="str">
        <f aca="false">IF($D955="","",IF($J955="환불",0,IFERROR(INDEX(상품목록!$D$3:$D$102,MATCH($D955,상품목록!$A$3:$A$102,0)),0)))</f>
        <v/>
      </c>
      <c r="I955" s="10"/>
      <c r="J955" s="10"/>
      <c r="K955" s="10"/>
    </row>
    <row r="956" customFormat="false" ht="15" hidden="false" customHeight="true" outlineLevel="0" collapsed="false">
      <c r="A956" s="12"/>
      <c r="B956" s="10"/>
      <c r="C956" s="15" t="str">
        <f aca="false">IF($B956="","",IFERROR(INDEX(회원명부!$B$3:$B$502,MATCH($B956,회원명부!$A$3:$A$502,0)),"미등록회원"))</f>
        <v/>
      </c>
      <c r="D956" s="10"/>
      <c r="E956" s="16" t="str">
        <f aca="false">IF($D956="","",IF($J956="환불",0,IFERROR(INDEX(상품목록!$B$3:$B$102,MATCH($D956,상품목록!$A$3:$A$102,0)),0)))</f>
        <v/>
      </c>
      <c r="F956" s="16" t="str">
        <f aca="false">IF($D956="","",IFERROR(INDEX(상품목록!$C$3:$C$102,MATCH($D956,상품목록!$A$3:$A$102,0)),0))</f>
        <v/>
      </c>
      <c r="G956" s="17" t="str">
        <f aca="false">IF(OR($A956="",$F956=""),"",$A956+$F956)</f>
        <v/>
      </c>
      <c r="H956" s="16" t="str">
        <f aca="false">IF($D956="","",IF($J956="환불",0,IFERROR(INDEX(상품목록!$D$3:$D$102,MATCH($D956,상품목록!$A$3:$A$102,0)),0)))</f>
        <v/>
      </c>
      <c r="I956" s="10"/>
      <c r="J956" s="10"/>
      <c r="K956" s="10"/>
    </row>
    <row r="957" customFormat="false" ht="15" hidden="false" customHeight="true" outlineLevel="0" collapsed="false">
      <c r="A957" s="12"/>
      <c r="B957" s="10"/>
      <c r="C957" s="15" t="str">
        <f aca="false">IF($B957="","",IFERROR(INDEX(회원명부!$B$3:$B$502,MATCH($B957,회원명부!$A$3:$A$502,0)),"미등록회원"))</f>
        <v/>
      </c>
      <c r="D957" s="10"/>
      <c r="E957" s="16" t="str">
        <f aca="false">IF($D957="","",IF($J957="환불",0,IFERROR(INDEX(상품목록!$B$3:$B$102,MATCH($D957,상품목록!$A$3:$A$102,0)),0)))</f>
        <v/>
      </c>
      <c r="F957" s="16" t="str">
        <f aca="false">IF($D957="","",IFERROR(INDEX(상품목록!$C$3:$C$102,MATCH($D957,상품목록!$A$3:$A$102,0)),0))</f>
        <v/>
      </c>
      <c r="G957" s="17" t="str">
        <f aca="false">IF(OR($A957="",$F957=""),"",$A957+$F957)</f>
        <v/>
      </c>
      <c r="H957" s="16" t="str">
        <f aca="false">IF($D957="","",IF($J957="환불",0,IFERROR(INDEX(상품목록!$D$3:$D$102,MATCH($D957,상품목록!$A$3:$A$102,0)),0)))</f>
        <v/>
      </c>
      <c r="I957" s="10"/>
      <c r="J957" s="10"/>
      <c r="K957" s="10"/>
    </row>
    <row r="958" customFormat="false" ht="15" hidden="false" customHeight="true" outlineLevel="0" collapsed="false">
      <c r="A958" s="12"/>
      <c r="B958" s="10"/>
      <c r="C958" s="15" t="str">
        <f aca="false">IF($B958="","",IFERROR(INDEX(회원명부!$B$3:$B$502,MATCH($B958,회원명부!$A$3:$A$502,0)),"미등록회원"))</f>
        <v/>
      </c>
      <c r="D958" s="10"/>
      <c r="E958" s="16" t="str">
        <f aca="false">IF($D958="","",IF($J958="환불",0,IFERROR(INDEX(상품목록!$B$3:$B$102,MATCH($D958,상품목록!$A$3:$A$102,0)),0)))</f>
        <v/>
      </c>
      <c r="F958" s="16" t="str">
        <f aca="false">IF($D958="","",IFERROR(INDEX(상품목록!$C$3:$C$102,MATCH($D958,상품목록!$A$3:$A$102,0)),0))</f>
        <v/>
      </c>
      <c r="G958" s="17" t="str">
        <f aca="false">IF(OR($A958="",$F958=""),"",$A958+$F958)</f>
        <v/>
      </c>
      <c r="H958" s="16" t="str">
        <f aca="false">IF($D958="","",IF($J958="환불",0,IFERROR(INDEX(상품목록!$D$3:$D$102,MATCH($D958,상품목록!$A$3:$A$102,0)),0)))</f>
        <v/>
      </c>
      <c r="I958" s="10"/>
      <c r="J958" s="10"/>
      <c r="K958" s="10"/>
    </row>
    <row r="959" customFormat="false" ht="15" hidden="false" customHeight="true" outlineLevel="0" collapsed="false">
      <c r="A959" s="12"/>
      <c r="B959" s="10"/>
      <c r="C959" s="15" t="str">
        <f aca="false">IF($B959="","",IFERROR(INDEX(회원명부!$B$3:$B$502,MATCH($B959,회원명부!$A$3:$A$502,0)),"미등록회원"))</f>
        <v/>
      </c>
      <c r="D959" s="10"/>
      <c r="E959" s="16" t="str">
        <f aca="false">IF($D959="","",IF($J959="환불",0,IFERROR(INDEX(상품목록!$B$3:$B$102,MATCH($D959,상품목록!$A$3:$A$102,0)),0)))</f>
        <v/>
      </c>
      <c r="F959" s="16" t="str">
        <f aca="false">IF($D959="","",IFERROR(INDEX(상품목록!$C$3:$C$102,MATCH($D959,상품목록!$A$3:$A$102,0)),0))</f>
        <v/>
      </c>
      <c r="G959" s="17" t="str">
        <f aca="false">IF(OR($A959="",$F959=""),"",$A959+$F959)</f>
        <v/>
      </c>
      <c r="H959" s="16" t="str">
        <f aca="false">IF($D959="","",IF($J959="환불",0,IFERROR(INDEX(상품목록!$D$3:$D$102,MATCH($D959,상품목록!$A$3:$A$102,0)),0)))</f>
        <v/>
      </c>
      <c r="I959" s="10"/>
      <c r="J959" s="10"/>
      <c r="K959" s="10"/>
    </row>
    <row r="960" customFormat="false" ht="15" hidden="false" customHeight="true" outlineLevel="0" collapsed="false">
      <c r="A960" s="12"/>
      <c r="B960" s="10"/>
      <c r="C960" s="15" t="str">
        <f aca="false">IF($B960="","",IFERROR(INDEX(회원명부!$B$3:$B$502,MATCH($B960,회원명부!$A$3:$A$502,0)),"미등록회원"))</f>
        <v/>
      </c>
      <c r="D960" s="10"/>
      <c r="E960" s="16" t="str">
        <f aca="false">IF($D960="","",IF($J960="환불",0,IFERROR(INDEX(상품목록!$B$3:$B$102,MATCH($D960,상품목록!$A$3:$A$102,0)),0)))</f>
        <v/>
      </c>
      <c r="F960" s="16" t="str">
        <f aca="false">IF($D960="","",IFERROR(INDEX(상품목록!$C$3:$C$102,MATCH($D960,상품목록!$A$3:$A$102,0)),0))</f>
        <v/>
      </c>
      <c r="G960" s="17" t="str">
        <f aca="false">IF(OR($A960="",$F960=""),"",$A960+$F960)</f>
        <v/>
      </c>
      <c r="H960" s="16" t="str">
        <f aca="false">IF($D960="","",IF($J960="환불",0,IFERROR(INDEX(상품목록!$D$3:$D$102,MATCH($D960,상품목록!$A$3:$A$102,0)),0)))</f>
        <v/>
      </c>
      <c r="I960" s="10"/>
      <c r="J960" s="10"/>
      <c r="K960" s="10"/>
    </row>
    <row r="961" customFormat="false" ht="15" hidden="false" customHeight="true" outlineLevel="0" collapsed="false">
      <c r="A961" s="12"/>
      <c r="B961" s="10"/>
      <c r="C961" s="15" t="str">
        <f aca="false">IF($B961="","",IFERROR(INDEX(회원명부!$B$3:$B$502,MATCH($B961,회원명부!$A$3:$A$502,0)),"미등록회원"))</f>
        <v/>
      </c>
      <c r="D961" s="10"/>
      <c r="E961" s="16" t="str">
        <f aca="false">IF($D961="","",IF($J961="환불",0,IFERROR(INDEX(상품목록!$B$3:$B$102,MATCH($D961,상품목록!$A$3:$A$102,0)),0)))</f>
        <v/>
      </c>
      <c r="F961" s="16" t="str">
        <f aca="false">IF($D961="","",IFERROR(INDEX(상품목록!$C$3:$C$102,MATCH($D961,상품목록!$A$3:$A$102,0)),0))</f>
        <v/>
      </c>
      <c r="G961" s="17" t="str">
        <f aca="false">IF(OR($A961="",$F961=""),"",$A961+$F961)</f>
        <v/>
      </c>
      <c r="H961" s="16" t="str">
        <f aca="false">IF($D961="","",IF($J961="환불",0,IFERROR(INDEX(상품목록!$D$3:$D$102,MATCH($D961,상품목록!$A$3:$A$102,0)),0)))</f>
        <v/>
      </c>
      <c r="I961" s="10"/>
      <c r="J961" s="10"/>
      <c r="K961" s="10"/>
    </row>
    <row r="962" customFormat="false" ht="15" hidden="false" customHeight="true" outlineLevel="0" collapsed="false">
      <c r="A962" s="12"/>
      <c r="B962" s="10"/>
      <c r="C962" s="15" t="str">
        <f aca="false">IF($B962="","",IFERROR(INDEX(회원명부!$B$3:$B$502,MATCH($B962,회원명부!$A$3:$A$502,0)),"미등록회원"))</f>
        <v/>
      </c>
      <c r="D962" s="10"/>
      <c r="E962" s="16" t="str">
        <f aca="false">IF($D962="","",IF($J962="환불",0,IFERROR(INDEX(상품목록!$B$3:$B$102,MATCH($D962,상품목록!$A$3:$A$102,0)),0)))</f>
        <v/>
      </c>
      <c r="F962" s="16" t="str">
        <f aca="false">IF($D962="","",IFERROR(INDEX(상품목록!$C$3:$C$102,MATCH($D962,상품목록!$A$3:$A$102,0)),0))</f>
        <v/>
      </c>
      <c r="G962" s="17" t="str">
        <f aca="false">IF(OR($A962="",$F962=""),"",$A962+$F962)</f>
        <v/>
      </c>
      <c r="H962" s="16" t="str">
        <f aca="false">IF($D962="","",IF($J962="환불",0,IFERROR(INDEX(상품목록!$D$3:$D$102,MATCH($D962,상품목록!$A$3:$A$102,0)),0)))</f>
        <v/>
      </c>
      <c r="I962" s="10"/>
      <c r="J962" s="10"/>
      <c r="K962" s="10"/>
    </row>
    <row r="963" customFormat="false" ht="15" hidden="false" customHeight="true" outlineLevel="0" collapsed="false">
      <c r="A963" s="12"/>
      <c r="B963" s="10"/>
      <c r="C963" s="15" t="str">
        <f aca="false">IF($B963="","",IFERROR(INDEX(회원명부!$B$3:$B$502,MATCH($B963,회원명부!$A$3:$A$502,0)),"미등록회원"))</f>
        <v/>
      </c>
      <c r="D963" s="10"/>
      <c r="E963" s="16" t="str">
        <f aca="false">IF($D963="","",IF($J963="환불",0,IFERROR(INDEX(상품목록!$B$3:$B$102,MATCH($D963,상품목록!$A$3:$A$102,0)),0)))</f>
        <v/>
      </c>
      <c r="F963" s="16" t="str">
        <f aca="false">IF($D963="","",IFERROR(INDEX(상품목록!$C$3:$C$102,MATCH($D963,상품목록!$A$3:$A$102,0)),0))</f>
        <v/>
      </c>
      <c r="G963" s="17" t="str">
        <f aca="false">IF(OR($A963="",$F963=""),"",$A963+$F963)</f>
        <v/>
      </c>
      <c r="H963" s="16" t="str">
        <f aca="false">IF($D963="","",IF($J963="환불",0,IFERROR(INDEX(상품목록!$D$3:$D$102,MATCH($D963,상품목록!$A$3:$A$102,0)),0)))</f>
        <v/>
      </c>
      <c r="I963" s="10"/>
      <c r="J963" s="10"/>
      <c r="K963" s="10"/>
    </row>
    <row r="964" customFormat="false" ht="15" hidden="false" customHeight="true" outlineLevel="0" collapsed="false">
      <c r="A964" s="12"/>
      <c r="B964" s="10"/>
      <c r="C964" s="15" t="str">
        <f aca="false">IF($B964="","",IFERROR(INDEX(회원명부!$B$3:$B$502,MATCH($B964,회원명부!$A$3:$A$502,0)),"미등록회원"))</f>
        <v/>
      </c>
      <c r="D964" s="10"/>
      <c r="E964" s="16" t="str">
        <f aca="false">IF($D964="","",IF($J964="환불",0,IFERROR(INDEX(상품목록!$B$3:$B$102,MATCH($D964,상품목록!$A$3:$A$102,0)),0)))</f>
        <v/>
      </c>
      <c r="F964" s="16" t="str">
        <f aca="false">IF($D964="","",IFERROR(INDEX(상품목록!$C$3:$C$102,MATCH($D964,상품목록!$A$3:$A$102,0)),0))</f>
        <v/>
      </c>
      <c r="G964" s="17" t="str">
        <f aca="false">IF(OR($A964="",$F964=""),"",$A964+$F964)</f>
        <v/>
      </c>
      <c r="H964" s="16" t="str">
        <f aca="false">IF($D964="","",IF($J964="환불",0,IFERROR(INDEX(상품목록!$D$3:$D$102,MATCH($D964,상품목록!$A$3:$A$102,0)),0)))</f>
        <v/>
      </c>
      <c r="I964" s="10"/>
      <c r="J964" s="10"/>
      <c r="K964" s="10"/>
    </row>
    <row r="965" customFormat="false" ht="15" hidden="false" customHeight="true" outlineLevel="0" collapsed="false">
      <c r="A965" s="12"/>
      <c r="B965" s="10"/>
      <c r="C965" s="15" t="str">
        <f aca="false">IF($B965="","",IFERROR(INDEX(회원명부!$B$3:$B$502,MATCH($B965,회원명부!$A$3:$A$502,0)),"미등록회원"))</f>
        <v/>
      </c>
      <c r="D965" s="10"/>
      <c r="E965" s="16" t="str">
        <f aca="false">IF($D965="","",IF($J965="환불",0,IFERROR(INDEX(상품목록!$B$3:$B$102,MATCH($D965,상품목록!$A$3:$A$102,0)),0)))</f>
        <v/>
      </c>
      <c r="F965" s="16" t="str">
        <f aca="false">IF($D965="","",IFERROR(INDEX(상품목록!$C$3:$C$102,MATCH($D965,상품목록!$A$3:$A$102,0)),0))</f>
        <v/>
      </c>
      <c r="G965" s="17" t="str">
        <f aca="false">IF(OR($A965="",$F965=""),"",$A965+$F965)</f>
        <v/>
      </c>
      <c r="H965" s="16" t="str">
        <f aca="false">IF($D965="","",IF($J965="환불",0,IFERROR(INDEX(상품목록!$D$3:$D$102,MATCH($D965,상품목록!$A$3:$A$102,0)),0)))</f>
        <v/>
      </c>
      <c r="I965" s="10"/>
      <c r="J965" s="10"/>
      <c r="K965" s="10"/>
    </row>
    <row r="966" customFormat="false" ht="15" hidden="false" customHeight="true" outlineLevel="0" collapsed="false">
      <c r="A966" s="12"/>
      <c r="B966" s="10"/>
      <c r="C966" s="15" t="str">
        <f aca="false">IF($B966="","",IFERROR(INDEX(회원명부!$B$3:$B$502,MATCH($B966,회원명부!$A$3:$A$502,0)),"미등록회원"))</f>
        <v/>
      </c>
      <c r="D966" s="10"/>
      <c r="E966" s="16" t="str">
        <f aca="false">IF($D966="","",IF($J966="환불",0,IFERROR(INDEX(상품목록!$B$3:$B$102,MATCH($D966,상품목록!$A$3:$A$102,0)),0)))</f>
        <v/>
      </c>
      <c r="F966" s="16" t="str">
        <f aca="false">IF($D966="","",IFERROR(INDEX(상품목록!$C$3:$C$102,MATCH($D966,상품목록!$A$3:$A$102,0)),0))</f>
        <v/>
      </c>
      <c r="G966" s="17" t="str">
        <f aca="false">IF(OR($A966="",$F966=""),"",$A966+$F966)</f>
        <v/>
      </c>
      <c r="H966" s="16" t="str">
        <f aca="false">IF($D966="","",IF($J966="환불",0,IFERROR(INDEX(상품목록!$D$3:$D$102,MATCH($D966,상품목록!$A$3:$A$102,0)),0)))</f>
        <v/>
      </c>
      <c r="I966" s="10"/>
      <c r="J966" s="10"/>
      <c r="K966" s="10"/>
    </row>
    <row r="967" customFormat="false" ht="15" hidden="false" customHeight="true" outlineLevel="0" collapsed="false">
      <c r="A967" s="12"/>
      <c r="B967" s="10"/>
      <c r="C967" s="15" t="str">
        <f aca="false">IF($B967="","",IFERROR(INDEX(회원명부!$B$3:$B$502,MATCH($B967,회원명부!$A$3:$A$502,0)),"미등록회원"))</f>
        <v/>
      </c>
      <c r="D967" s="10"/>
      <c r="E967" s="16" t="str">
        <f aca="false">IF($D967="","",IF($J967="환불",0,IFERROR(INDEX(상품목록!$B$3:$B$102,MATCH($D967,상품목록!$A$3:$A$102,0)),0)))</f>
        <v/>
      </c>
      <c r="F967" s="16" t="str">
        <f aca="false">IF($D967="","",IFERROR(INDEX(상품목록!$C$3:$C$102,MATCH($D967,상품목록!$A$3:$A$102,0)),0))</f>
        <v/>
      </c>
      <c r="G967" s="17" t="str">
        <f aca="false">IF(OR($A967="",$F967=""),"",$A967+$F967)</f>
        <v/>
      </c>
      <c r="H967" s="16" t="str">
        <f aca="false">IF($D967="","",IF($J967="환불",0,IFERROR(INDEX(상품목록!$D$3:$D$102,MATCH($D967,상품목록!$A$3:$A$102,0)),0)))</f>
        <v/>
      </c>
      <c r="I967" s="10"/>
      <c r="J967" s="10"/>
      <c r="K967" s="10"/>
    </row>
    <row r="968" customFormat="false" ht="15" hidden="false" customHeight="true" outlineLevel="0" collapsed="false">
      <c r="A968" s="12"/>
      <c r="B968" s="10"/>
      <c r="C968" s="15" t="str">
        <f aca="false">IF($B968="","",IFERROR(INDEX(회원명부!$B$3:$B$502,MATCH($B968,회원명부!$A$3:$A$502,0)),"미등록회원"))</f>
        <v/>
      </c>
      <c r="D968" s="10"/>
      <c r="E968" s="16" t="str">
        <f aca="false">IF($D968="","",IF($J968="환불",0,IFERROR(INDEX(상품목록!$B$3:$B$102,MATCH($D968,상품목록!$A$3:$A$102,0)),0)))</f>
        <v/>
      </c>
      <c r="F968" s="16" t="str">
        <f aca="false">IF($D968="","",IFERROR(INDEX(상품목록!$C$3:$C$102,MATCH($D968,상품목록!$A$3:$A$102,0)),0))</f>
        <v/>
      </c>
      <c r="G968" s="17" t="str">
        <f aca="false">IF(OR($A968="",$F968=""),"",$A968+$F968)</f>
        <v/>
      </c>
      <c r="H968" s="16" t="str">
        <f aca="false">IF($D968="","",IF($J968="환불",0,IFERROR(INDEX(상품목록!$D$3:$D$102,MATCH($D968,상품목록!$A$3:$A$102,0)),0)))</f>
        <v/>
      </c>
      <c r="I968" s="10"/>
      <c r="J968" s="10"/>
      <c r="K968" s="10"/>
    </row>
    <row r="969" customFormat="false" ht="15" hidden="false" customHeight="true" outlineLevel="0" collapsed="false">
      <c r="A969" s="12"/>
      <c r="B969" s="10"/>
      <c r="C969" s="15" t="str">
        <f aca="false">IF($B969="","",IFERROR(INDEX(회원명부!$B$3:$B$502,MATCH($B969,회원명부!$A$3:$A$502,0)),"미등록회원"))</f>
        <v/>
      </c>
      <c r="D969" s="10"/>
      <c r="E969" s="16" t="str">
        <f aca="false">IF($D969="","",IF($J969="환불",0,IFERROR(INDEX(상품목록!$B$3:$B$102,MATCH($D969,상품목록!$A$3:$A$102,0)),0)))</f>
        <v/>
      </c>
      <c r="F969" s="16" t="str">
        <f aca="false">IF($D969="","",IFERROR(INDEX(상품목록!$C$3:$C$102,MATCH($D969,상품목록!$A$3:$A$102,0)),0))</f>
        <v/>
      </c>
      <c r="G969" s="17" t="str">
        <f aca="false">IF(OR($A969="",$F969=""),"",$A969+$F969)</f>
        <v/>
      </c>
      <c r="H969" s="16" t="str">
        <f aca="false">IF($D969="","",IF($J969="환불",0,IFERROR(INDEX(상품목록!$D$3:$D$102,MATCH($D969,상품목록!$A$3:$A$102,0)),0)))</f>
        <v/>
      </c>
      <c r="I969" s="10"/>
      <c r="J969" s="10"/>
      <c r="K969" s="10"/>
    </row>
    <row r="970" customFormat="false" ht="15" hidden="false" customHeight="true" outlineLevel="0" collapsed="false">
      <c r="A970" s="12"/>
      <c r="B970" s="10"/>
      <c r="C970" s="15" t="str">
        <f aca="false">IF($B970="","",IFERROR(INDEX(회원명부!$B$3:$B$502,MATCH($B970,회원명부!$A$3:$A$502,0)),"미등록회원"))</f>
        <v/>
      </c>
      <c r="D970" s="10"/>
      <c r="E970" s="16" t="str">
        <f aca="false">IF($D970="","",IF($J970="환불",0,IFERROR(INDEX(상품목록!$B$3:$B$102,MATCH($D970,상품목록!$A$3:$A$102,0)),0)))</f>
        <v/>
      </c>
      <c r="F970" s="16" t="str">
        <f aca="false">IF($D970="","",IFERROR(INDEX(상품목록!$C$3:$C$102,MATCH($D970,상품목록!$A$3:$A$102,0)),0))</f>
        <v/>
      </c>
      <c r="G970" s="17" t="str">
        <f aca="false">IF(OR($A970="",$F970=""),"",$A970+$F970)</f>
        <v/>
      </c>
      <c r="H970" s="16" t="str">
        <f aca="false">IF($D970="","",IF($J970="환불",0,IFERROR(INDEX(상품목록!$D$3:$D$102,MATCH($D970,상품목록!$A$3:$A$102,0)),0)))</f>
        <v/>
      </c>
      <c r="I970" s="10"/>
      <c r="J970" s="10"/>
      <c r="K970" s="10"/>
    </row>
    <row r="971" customFormat="false" ht="15" hidden="false" customHeight="true" outlineLevel="0" collapsed="false">
      <c r="A971" s="12"/>
      <c r="B971" s="10"/>
      <c r="C971" s="15" t="str">
        <f aca="false">IF($B971="","",IFERROR(INDEX(회원명부!$B$3:$B$502,MATCH($B971,회원명부!$A$3:$A$502,0)),"미등록회원"))</f>
        <v/>
      </c>
      <c r="D971" s="10"/>
      <c r="E971" s="16" t="str">
        <f aca="false">IF($D971="","",IF($J971="환불",0,IFERROR(INDEX(상품목록!$B$3:$B$102,MATCH($D971,상품목록!$A$3:$A$102,0)),0)))</f>
        <v/>
      </c>
      <c r="F971" s="16" t="str">
        <f aca="false">IF($D971="","",IFERROR(INDEX(상품목록!$C$3:$C$102,MATCH($D971,상품목록!$A$3:$A$102,0)),0))</f>
        <v/>
      </c>
      <c r="G971" s="17" t="str">
        <f aca="false">IF(OR($A971="",$F971=""),"",$A971+$F971)</f>
        <v/>
      </c>
      <c r="H971" s="16" t="str">
        <f aca="false">IF($D971="","",IF($J971="환불",0,IFERROR(INDEX(상품목록!$D$3:$D$102,MATCH($D971,상품목록!$A$3:$A$102,0)),0)))</f>
        <v/>
      </c>
      <c r="I971" s="10"/>
      <c r="J971" s="10"/>
      <c r="K971" s="10"/>
    </row>
    <row r="972" customFormat="false" ht="15" hidden="false" customHeight="true" outlineLevel="0" collapsed="false">
      <c r="A972" s="12"/>
      <c r="B972" s="10"/>
      <c r="C972" s="15" t="str">
        <f aca="false">IF($B972="","",IFERROR(INDEX(회원명부!$B$3:$B$502,MATCH($B972,회원명부!$A$3:$A$502,0)),"미등록회원"))</f>
        <v/>
      </c>
      <c r="D972" s="10"/>
      <c r="E972" s="16" t="str">
        <f aca="false">IF($D972="","",IF($J972="환불",0,IFERROR(INDEX(상품목록!$B$3:$B$102,MATCH($D972,상품목록!$A$3:$A$102,0)),0)))</f>
        <v/>
      </c>
      <c r="F972" s="16" t="str">
        <f aca="false">IF($D972="","",IFERROR(INDEX(상품목록!$C$3:$C$102,MATCH($D972,상품목록!$A$3:$A$102,0)),0))</f>
        <v/>
      </c>
      <c r="G972" s="17" t="str">
        <f aca="false">IF(OR($A972="",$F972=""),"",$A972+$F972)</f>
        <v/>
      </c>
      <c r="H972" s="16" t="str">
        <f aca="false">IF($D972="","",IF($J972="환불",0,IFERROR(INDEX(상품목록!$D$3:$D$102,MATCH($D972,상품목록!$A$3:$A$102,0)),0)))</f>
        <v/>
      </c>
      <c r="I972" s="10"/>
      <c r="J972" s="10"/>
      <c r="K972" s="10"/>
    </row>
    <row r="973" customFormat="false" ht="15" hidden="false" customHeight="true" outlineLevel="0" collapsed="false">
      <c r="A973" s="12"/>
      <c r="B973" s="10"/>
      <c r="C973" s="15" t="str">
        <f aca="false">IF($B973="","",IFERROR(INDEX(회원명부!$B$3:$B$502,MATCH($B973,회원명부!$A$3:$A$502,0)),"미등록회원"))</f>
        <v/>
      </c>
      <c r="D973" s="10"/>
      <c r="E973" s="16" t="str">
        <f aca="false">IF($D973="","",IF($J973="환불",0,IFERROR(INDEX(상품목록!$B$3:$B$102,MATCH($D973,상품목록!$A$3:$A$102,0)),0)))</f>
        <v/>
      </c>
      <c r="F973" s="16" t="str">
        <f aca="false">IF($D973="","",IFERROR(INDEX(상품목록!$C$3:$C$102,MATCH($D973,상품목록!$A$3:$A$102,0)),0))</f>
        <v/>
      </c>
      <c r="G973" s="17" t="str">
        <f aca="false">IF(OR($A973="",$F973=""),"",$A973+$F973)</f>
        <v/>
      </c>
      <c r="H973" s="16" t="str">
        <f aca="false">IF($D973="","",IF($J973="환불",0,IFERROR(INDEX(상품목록!$D$3:$D$102,MATCH($D973,상품목록!$A$3:$A$102,0)),0)))</f>
        <v/>
      </c>
      <c r="I973" s="10"/>
      <c r="J973" s="10"/>
      <c r="K973" s="10"/>
    </row>
    <row r="974" customFormat="false" ht="15" hidden="false" customHeight="true" outlineLevel="0" collapsed="false">
      <c r="A974" s="12"/>
      <c r="B974" s="10"/>
      <c r="C974" s="15" t="str">
        <f aca="false">IF($B974="","",IFERROR(INDEX(회원명부!$B$3:$B$502,MATCH($B974,회원명부!$A$3:$A$502,0)),"미등록회원"))</f>
        <v/>
      </c>
      <c r="D974" s="10"/>
      <c r="E974" s="16" t="str">
        <f aca="false">IF($D974="","",IF($J974="환불",0,IFERROR(INDEX(상품목록!$B$3:$B$102,MATCH($D974,상품목록!$A$3:$A$102,0)),0)))</f>
        <v/>
      </c>
      <c r="F974" s="16" t="str">
        <f aca="false">IF($D974="","",IFERROR(INDEX(상품목록!$C$3:$C$102,MATCH($D974,상품목록!$A$3:$A$102,0)),0))</f>
        <v/>
      </c>
      <c r="G974" s="17" t="str">
        <f aca="false">IF(OR($A974="",$F974=""),"",$A974+$F974)</f>
        <v/>
      </c>
      <c r="H974" s="16" t="str">
        <f aca="false">IF($D974="","",IF($J974="환불",0,IFERROR(INDEX(상품목록!$D$3:$D$102,MATCH($D974,상품목록!$A$3:$A$102,0)),0)))</f>
        <v/>
      </c>
      <c r="I974" s="10"/>
      <c r="J974" s="10"/>
      <c r="K974" s="10"/>
    </row>
    <row r="975" customFormat="false" ht="15" hidden="false" customHeight="true" outlineLevel="0" collapsed="false">
      <c r="A975" s="12"/>
      <c r="B975" s="10"/>
      <c r="C975" s="15" t="str">
        <f aca="false">IF($B975="","",IFERROR(INDEX(회원명부!$B$3:$B$502,MATCH($B975,회원명부!$A$3:$A$502,0)),"미등록회원"))</f>
        <v/>
      </c>
      <c r="D975" s="10"/>
      <c r="E975" s="16" t="str">
        <f aca="false">IF($D975="","",IF($J975="환불",0,IFERROR(INDEX(상품목록!$B$3:$B$102,MATCH($D975,상품목록!$A$3:$A$102,0)),0)))</f>
        <v/>
      </c>
      <c r="F975" s="16" t="str">
        <f aca="false">IF($D975="","",IFERROR(INDEX(상품목록!$C$3:$C$102,MATCH($D975,상품목록!$A$3:$A$102,0)),0))</f>
        <v/>
      </c>
      <c r="G975" s="17" t="str">
        <f aca="false">IF(OR($A975="",$F975=""),"",$A975+$F975)</f>
        <v/>
      </c>
      <c r="H975" s="16" t="str">
        <f aca="false">IF($D975="","",IF($J975="환불",0,IFERROR(INDEX(상품목록!$D$3:$D$102,MATCH($D975,상품목록!$A$3:$A$102,0)),0)))</f>
        <v/>
      </c>
      <c r="I975" s="10"/>
      <c r="J975" s="10"/>
      <c r="K975" s="10"/>
    </row>
    <row r="976" customFormat="false" ht="15" hidden="false" customHeight="true" outlineLevel="0" collapsed="false">
      <c r="A976" s="12"/>
      <c r="B976" s="10"/>
      <c r="C976" s="15" t="str">
        <f aca="false">IF($B976="","",IFERROR(INDEX(회원명부!$B$3:$B$502,MATCH($B976,회원명부!$A$3:$A$502,0)),"미등록회원"))</f>
        <v/>
      </c>
      <c r="D976" s="10"/>
      <c r="E976" s="16" t="str">
        <f aca="false">IF($D976="","",IF($J976="환불",0,IFERROR(INDEX(상품목록!$B$3:$B$102,MATCH($D976,상품목록!$A$3:$A$102,0)),0)))</f>
        <v/>
      </c>
      <c r="F976" s="16" t="str">
        <f aca="false">IF($D976="","",IFERROR(INDEX(상품목록!$C$3:$C$102,MATCH($D976,상품목록!$A$3:$A$102,0)),0))</f>
        <v/>
      </c>
      <c r="G976" s="17" t="str">
        <f aca="false">IF(OR($A976="",$F976=""),"",$A976+$F976)</f>
        <v/>
      </c>
      <c r="H976" s="16" t="str">
        <f aca="false">IF($D976="","",IF($J976="환불",0,IFERROR(INDEX(상품목록!$D$3:$D$102,MATCH($D976,상품목록!$A$3:$A$102,0)),0)))</f>
        <v/>
      </c>
      <c r="I976" s="10"/>
      <c r="J976" s="10"/>
      <c r="K976" s="10"/>
    </row>
    <row r="977" customFormat="false" ht="15" hidden="false" customHeight="true" outlineLevel="0" collapsed="false">
      <c r="A977" s="12"/>
      <c r="B977" s="10"/>
      <c r="C977" s="15" t="str">
        <f aca="false">IF($B977="","",IFERROR(INDEX(회원명부!$B$3:$B$502,MATCH($B977,회원명부!$A$3:$A$502,0)),"미등록회원"))</f>
        <v/>
      </c>
      <c r="D977" s="10"/>
      <c r="E977" s="16" t="str">
        <f aca="false">IF($D977="","",IF($J977="환불",0,IFERROR(INDEX(상품목록!$B$3:$B$102,MATCH($D977,상품목록!$A$3:$A$102,0)),0)))</f>
        <v/>
      </c>
      <c r="F977" s="16" t="str">
        <f aca="false">IF($D977="","",IFERROR(INDEX(상품목록!$C$3:$C$102,MATCH($D977,상품목록!$A$3:$A$102,0)),0))</f>
        <v/>
      </c>
      <c r="G977" s="17" t="str">
        <f aca="false">IF(OR($A977="",$F977=""),"",$A977+$F977)</f>
        <v/>
      </c>
      <c r="H977" s="16" t="str">
        <f aca="false">IF($D977="","",IF($J977="환불",0,IFERROR(INDEX(상품목록!$D$3:$D$102,MATCH($D977,상품목록!$A$3:$A$102,0)),0)))</f>
        <v/>
      </c>
      <c r="I977" s="10"/>
      <c r="J977" s="10"/>
      <c r="K977" s="10"/>
    </row>
    <row r="978" customFormat="false" ht="15" hidden="false" customHeight="true" outlineLevel="0" collapsed="false">
      <c r="A978" s="12"/>
      <c r="B978" s="10"/>
      <c r="C978" s="15" t="str">
        <f aca="false">IF($B978="","",IFERROR(INDEX(회원명부!$B$3:$B$502,MATCH($B978,회원명부!$A$3:$A$502,0)),"미등록회원"))</f>
        <v/>
      </c>
      <c r="D978" s="10"/>
      <c r="E978" s="16" t="str">
        <f aca="false">IF($D978="","",IF($J978="환불",0,IFERROR(INDEX(상품목록!$B$3:$B$102,MATCH($D978,상품목록!$A$3:$A$102,0)),0)))</f>
        <v/>
      </c>
      <c r="F978" s="16" t="str">
        <f aca="false">IF($D978="","",IFERROR(INDEX(상품목록!$C$3:$C$102,MATCH($D978,상품목록!$A$3:$A$102,0)),0))</f>
        <v/>
      </c>
      <c r="G978" s="17" t="str">
        <f aca="false">IF(OR($A978="",$F978=""),"",$A978+$F978)</f>
        <v/>
      </c>
      <c r="H978" s="16" t="str">
        <f aca="false">IF($D978="","",IF($J978="환불",0,IFERROR(INDEX(상품목록!$D$3:$D$102,MATCH($D978,상품목록!$A$3:$A$102,0)),0)))</f>
        <v/>
      </c>
      <c r="I978" s="10"/>
      <c r="J978" s="10"/>
      <c r="K978" s="10"/>
    </row>
    <row r="979" customFormat="false" ht="15" hidden="false" customHeight="true" outlineLevel="0" collapsed="false">
      <c r="A979" s="12"/>
      <c r="B979" s="10"/>
      <c r="C979" s="15" t="str">
        <f aca="false">IF($B979="","",IFERROR(INDEX(회원명부!$B$3:$B$502,MATCH($B979,회원명부!$A$3:$A$502,0)),"미등록회원"))</f>
        <v/>
      </c>
      <c r="D979" s="10"/>
      <c r="E979" s="16" t="str">
        <f aca="false">IF($D979="","",IF($J979="환불",0,IFERROR(INDEX(상품목록!$B$3:$B$102,MATCH($D979,상품목록!$A$3:$A$102,0)),0)))</f>
        <v/>
      </c>
      <c r="F979" s="16" t="str">
        <f aca="false">IF($D979="","",IFERROR(INDEX(상품목록!$C$3:$C$102,MATCH($D979,상품목록!$A$3:$A$102,0)),0))</f>
        <v/>
      </c>
      <c r="G979" s="17" t="str">
        <f aca="false">IF(OR($A979="",$F979=""),"",$A979+$F979)</f>
        <v/>
      </c>
      <c r="H979" s="16" t="str">
        <f aca="false">IF($D979="","",IF($J979="환불",0,IFERROR(INDEX(상품목록!$D$3:$D$102,MATCH($D979,상품목록!$A$3:$A$102,0)),0)))</f>
        <v/>
      </c>
      <c r="I979" s="10"/>
      <c r="J979" s="10"/>
      <c r="K979" s="10"/>
    </row>
    <row r="980" customFormat="false" ht="15" hidden="false" customHeight="true" outlineLevel="0" collapsed="false">
      <c r="A980" s="12"/>
      <c r="B980" s="10"/>
      <c r="C980" s="15" t="str">
        <f aca="false">IF($B980="","",IFERROR(INDEX(회원명부!$B$3:$B$502,MATCH($B980,회원명부!$A$3:$A$502,0)),"미등록회원"))</f>
        <v/>
      </c>
      <c r="D980" s="10"/>
      <c r="E980" s="16" t="str">
        <f aca="false">IF($D980="","",IF($J980="환불",0,IFERROR(INDEX(상품목록!$B$3:$B$102,MATCH($D980,상품목록!$A$3:$A$102,0)),0)))</f>
        <v/>
      </c>
      <c r="F980" s="16" t="str">
        <f aca="false">IF($D980="","",IFERROR(INDEX(상품목록!$C$3:$C$102,MATCH($D980,상품목록!$A$3:$A$102,0)),0))</f>
        <v/>
      </c>
      <c r="G980" s="17" t="str">
        <f aca="false">IF(OR($A980="",$F980=""),"",$A980+$F980)</f>
        <v/>
      </c>
      <c r="H980" s="16" t="str">
        <f aca="false">IF($D980="","",IF($J980="환불",0,IFERROR(INDEX(상품목록!$D$3:$D$102,MATCH($D980,상품목록!$A$3:$A$102,0)),0)))</f>
        <v/>
      </c>
      <c r="I980" s="10"/>
      <c r="J980" s="10"/>
      <c r="K980" s="10"/>
    </row>
    <row r="981" customFormat="false" ht="15" hidden="false" customHeight="true" outlineLevel="0" collapsed="false">
      <c r="A981" s="12"/>
      <c r="B981" s="10"/>
      <c r="C981" s="15" t="str">
        <f aca="false">IF($B981="","",IFERROR(INDEX(회원명부!$B$3:$B$502,MATCH($B981,회원명부!$A$3:$A$502,0)),"미등록회원"))</f>
        <v/>
      </c>
      <c r="D981" s="10"/>
      <c r="E981" s="16" t="str">
        <f aca="false">IF($D981="","",IF($J981="환불",0,IFERROR(INDEX(상품목록!$B$3:$B$102,MATCH($D981,상품목록!$A$3:$A$102,0)),0)))</f>
        <v/>
      </c>
      <c r="F981" s="16" t="str">
        <f aca="false">IF($D981="","",IFERROR(INDEX(상품목록!$C$3:$C$102,MATCH($D981,상품목록!$A$3:$A$102,0)),0))</f>
        <v/>
      </c>
      <c r="G981" s="17" t="str">
        <f aca="false">IF(OR($A981="",$F981=""),"",$A981+$F981)</f>
        <v/>
      </c>
      <c r="H981" s="16" t="str">
        <f aca="false">IF($D981="","",IF($J981="환불",0,IFERROR(INDEX(상품목록!$D$3:$D$102,MATCH($D981,상품목록!$A$3:$A$102,0)),0)))</f>
        <v/>
      </c>
      <c r="I981" s="10"/>
      <c r="J981" s="10"/>
      <c r="K981" s="10"/>
    </row>
    <row r="982" customFormat="false" ht="15" hidden="false" customHeight="true" outlineLevel="0" collapsed="false">
      <c r="A982" s="12"/>
      <c r="B982" s="10"/>
      <c r="C982" s="15" t="str">
        <f aca="false">IF($B982="","",IFERROR(INDEX(회원명부!$B$3:$B$502,MATCH($B982,회원명부!$A$3:$A$502,0)),"미등록회원"))</f>
        <v/>
      </c>
      <c r="D982" s="10"/>
      <c r="E982" s="16" t="str">
        <f aca="false">IF($D982="","",IF($J982="환불",0,IFERROR(INDEX(상품목록!$B$3:$B$102,MATCH($D982,상품목록!$A$3:$A$102,0)),0)))</f>
        <v/>
      </c>
      <c r="F982" s="16" t="str">
        <f aca="false">IF($D982="","",IFERROR(INDEX(상품목록!$C$3:$C$102,MATCH($D982,상품목록!$A$3:$A$102,0)),0))</f>
        <v/>
      </c>
      <c r="G982" s="17" t="str">
        <f aca="false">IF(OR($A982="",$F982=""),"",$A982+$F982)</f>
        <v/>
      </c>
      <c r="H982" s="16" t="str">
        <f aca="false">IF($D982="","",IF($J982="환불",0,IFERROR(INDEX(상품목록!$D$3:$D$102,MATCH($D982,상품목록!$A$3:$A$102,0)),0)))</f>
        <v/>
      </c>
      <c r="I982" s="10"/>
      <c r="J982" s="10"/>
      <c r="K982" s="10"/>
    </row>
    <row r="983" customFormat="false" ht="15" hidden="false" customHeight="true" outlineLevel="0" collapsed="false">
      <c r="A983" s="12"/>
      <c r="B983" s="10"/>
      <c r="C983" s="15" t="str">
        <f aca="false">IF($B983="","",IFERROR(INDEX(회원명부!$B$3:$B$502,MATCH($B983,회원명부!$A$3:$A$502,0)),"미등록회원"))</f>
        <v/>
      </c>
      <c r="D983" s="10"/>
      <c r="E983" s="16" t="str">
        <f aca="false">IF($D983="","",IF($J983="환불",0,IFERROR(INDEX(상품목록!$B$3:$B$102,MATCH($D983,상품목록!$A$3:$A$102,0)),0)))</f>
        <v/>
      </c>
      <c r="F983" s="16" t="str">
        <f aca="false">IF($D983="","",IFERROR(INDEX(상품목록!$C$3:$C$102,MATCH($D983,상품목록!$A$3:$A$102,0)),0))</f>
        <v/>
      </c>
      <c r="G983" s="17" t="str">
        <f aca="false">IF(OR($A983="",$F983=""),"",$A983+$F983)</f>
        <v/>
      </c>
      <c r="H983" s="16" t="str">
        <f aca="false">IF($D983="","",IF($J983="환불",0,IFERROR(INDEX(상품목록!$D$3:$D$102,MATCH($D983,상품목록!$A$3:$A$102,0)),0)))</f>
        <v/>
      </c>
      <c r="I983" s="10"/>
      <c r="J983" s="10"/>
      <c r="K983" s="10"/>
    </row>
    <row r="984" customFormat="false" ht="15" hidden="false" customHeight="true" outlineLevel="0" collapsed="false">
      <c r="A984" s="12"/>
      <c r="B984" s="10"/>
      <c r="C984" s="15" t="str">
        <f aca="false">IF($B984="","",IFERROR(INDEX(회원명부!$B$3:$B$502,MATCH($B984,회원명부!$A$3:$A$502,0)),"미등록회원"))</f>
        <v/>
      </c>
      <c r="D984" s="10"/>
      <c r="E984" s="16" t="str">
        <f aca="false">IF($D984="","",IF($J984="환불",0,IFERROR(INDEX(상품목록!$B$3:$B$102,MATCH($D984,상품목록!$A$3:$A$102,0)),0)))</f>
        <v/>
      </c>
      <c r="F984" s="16" t="str">
        <f aca="false">IF($D984="","",IFERROR(INDEX(상품목록!$C$3:$C$102,MATCH($D984,상품목록!$A$3:$A$102,0)),0))</f>
        <v/>
      </c>
      <c r="G984" s="17" t="str">
        <f aca="false">IF(OR($A984="",$F984=""),"",$A984+$F984)</f>
        <v/>
      </c>
      <c r="H984" s="16" t="str">
        <f aca="false">IF($D984="","",IF($J984="환불",0,IFERROR(INDEX(상품목록!$D$3:$D$102,MATCH($D984,상품목록!$A$3:$A$102,0)),0)))</f>
        <v/>
      </c>
      <c r="I984" s="10"/>
      <c r="J984" s="10"/>
      <c r="K984" s="10"/>
    </row>
    <row r="985" customFormat="false" ht="15" hidden="false" customHeight="true" outlineLevel="0" collapsed="false">
      <c r="A985" s="12"/>
      <c r="B985" s="10"/>
      <c r="C985" s="15" t="str">
        <f aca="false">IF($B985="","",IFERROR(INDEX(회원명부!$B$3:$B$502,MATCH($B985,회원명부!$A$3:$A$502,0)),"미등록회원"))</f>
        <v/>
      </c>
      <c r="D985" s="10"/>
      <c r="E985" s="16" t="str">
        <f aca="false">IF($D985="","",IF($J985="환불",0,IFERROR(INDEX(상품목록!$B$3:$B$102,MATCH($D985,상품목록!$A$3:$A$102,0)),0)))</f>
        <v/>
      </c>
      <c r="F985" s="16" t="str">
        <f aca="false">IF($D985="","",IFERROR(INDEX(상품목록!$C$3:$C$102,MATCH($D985,상품목록!$A$3:$A$102,0)),0))</f>
        <v/>
      </c>
      <c r="G985" s="17" t="str">
        <f aca="false">IF(OR($A985="",$F985=""),"",$A985+$F985)</f>
        <v/>
      </c>
      <c r="H985" s="16" t="str">
        <f aca="false">IF($D985="","",IF($J985="환불",0,IFERROR(INDEX(상품목록!$D$3:$D$102,MATCH($D985,상품목록!$A$3:$A$102,0)),0)))</f>
        <v/>
      </c>
      <c r="I985" s="10"/>
      <c r="J985" s="10"/>
      <c r="K985" s="10"/>
    </row>
    <row r="986" customFormat="false" ht="15" hidden="false" customHeight="true" outlineLevel="0" collapsed="false">
      <c r="A986" s="12"/>
      <c r="B986" s="10"/>
      <c r="C986" s="15" t="str">
        <f aca="false">IF($B986="","",IFERROR(INDEX(회원명부!$B$3:$B$502,MATCH($B986,회원명부!$A$3:$A$502,0)),"미등록회원"))</f>
        <v/>
      </c>
      <c r="D986" s="10"/>
      <c r="E986" s="16" t="str">
        <f aca="false">IF($D986="","",IF($J986="환불",0,IFERROR(INDEX(상품목록!$B$3:$B$102,MATCH($D986,상품목록!$A$3:$A$102,0)),0)))</f>
        <v/>
      </c>
      <c r="F986" s="16" t="str">
        <f aca="false">IF($D986="","",IFERROR(INDEX(상품목록!$C$3:$C$102,MATCH($D986,상품목록!$A$3:$A$102,0)),0))</f>
        <v/>
      </c>
      <c r="G986" s="17" t="str">
        <f aca="false">IF(OR($A986="",$F986=""),"",$A986+$F986)</f>
        <v/>
      </c>
      <c r="H986" s="16" t="str">
        <f aca="false">IF($D986="","",IF($J986="환불",0,IFERROR(INDEX(상품목록!$D$3:$D$102,MATCH($D986,상품목록!$A$3:$A$102,0)),0)))</f>
        <v/>
      </c>
      <c r="I986" s="10"/>
      <c r="J986" s="10"/>
      <c r="K986" s="10"/>
    </row>
    <row r="987" customFormat="false" ht="15" hidden="false" customHeight="true" outlineLevel="0" collapsed="false">
      <c r="A987" s="12"/>
      <c r="B987" s="10"/>
      <c r="C987" s="15" t="str">
        <f aca="false">IF($B987="","",IFERROR(INDEX(회원명부!$B$3:$B$502,MATCH($B987,회원명부!$A$3:$A$502,0)),"미등록회원"))</f>
        <v/>
      </c>
      <c r="D987" s="10"/>
      <c r="E987" s="16" t="str">
        <f aca="false">IF($D987="","",IF($J987="환불",0,IFERROR(INDEX(상품목록!$B$3:$B$102,MATCH($D987,상품목록!$A$3:$A$102,0)),0)))</f>
        <v/>
      </c>
      <c r="F987" s="16" t="str">
        <f aca="false">IF($D987="","",IFERROR(INDEX(상품목록!$C$3:$C$102,MATCH($D987,상품목록!$A$3:$A$102,0)),0))</f>
        <v/>
      </c>
      <c r="G987" s="17" t="str">
        <f aca="false">IF(OR($A987="",$F987=""),"",$A987+$F987)</f>
        <v/>
      </c>
      <c r="H987" s="16" t="str">
        <f aca="false">IF($D987="","",IF($J987="환불",0,IFERROR(INDEX(상품목록!$D$3:$D$102,MATCH($D987,상품목록!$A$3:$A$102,0)),0)))</f>
        <v/>
      </c>
      <c r="I987" s="10"/>
      <c r="J987" s="10"/>
      <c r="K987" s="10"/>
    </row>
    <row r="988" customFormat="false" ht="15" hidden="false" customHeight="true" outlineLevel="0" collapsed="false">
      <c r="A988" s="12"/>
      <c r="B988" s="10"/>
      <c r="C988" s="15" t="str">
        <f aca="false">IF($B988="","",IFERROR(INDEX(회원명부!$B$3:$B$502,MATCH($B988,회원명부!$A$3:$A$502,0)),"미등록회원"))</f>
        <v/>
      </c>
      <c r="D988" s="10"/>
      <c r="E988" s="16" t="str">
        <f aca="false">IF($D988="","",IF($J988="환불",0,IFERROR(INDEX(상품목록!$B$3:$B$102,MATCH($D988,상품목록!$A$3:$A$102,0)),0)))</f>
        <v/>
      </c>
      <c r="F988" s="16" t="str">
        <f aca="false">IF($D988="","",IFERROR(INDEX(상품목록!$C$3:$C$102,MATCH($D988,상품목록!$A$3:$A$102,0)),0))</f>
        <v/>
      </c>
      <c r="G988" s="17" t="str">
        <f aca="false">IF(OR($A988="",$F988=""),"",$A988+$F988)</f>
        <v/>
      </c>
      <c r="H988" s="16" t="str">
        <f aca="false">IF($D988="","",IF($J988="환불",0,IFERROR(INDEX(상품목록!$D$3:$D$102,MATCH($D988,상품목록!$A$3:$A$102,0)),0)))</f>
        <v/>
      </c>
      <c r="I988" s="10"/>
      <c r="J988" s="10"/>
      <c r="K988" s="10"/>
    </row>
    <row r="989" customFormat="false" ht="15" hidden="false" customHeight="true" outlineLevel="0" collapsed="false">
      <c r="A989" s="12"/>
      <c r="B989" s="10"/>
      <c r="C989" s="15" t="str">
        <f aca="false">IF($B989="","",IFERROR(INDEX(회원명부!$B$3:$B$502,MATCH($B989,회원명부!$A$3:$A$502,0)),"미등록회원"))</f>
        <v/>
      </c>
      <c r="D989" s="10"/>
      <c r="E989" s="16" t="str">
        <f aca="false">IF($D989="","",IF($J989="환불",0,IFERROR(INDEX(상품목록!$B$3:$B$102,MATCH($D989,상품목록!$A$3:$A$102,0)),0)))</f>
        <v/>
      </c>
      <c r="F989" s="16" t="str">
        <f aca="false">IF($D989="","",IFERROR(INDEX(상품목록!$C$3:$C$102,MATCH($D989,상품목록!$A$3:$A$102,0)),0))</f>
        <v/>
      </c>
      <c r="G989" s="17" t="str">
        <f aca="false">IF(OR($A989="",$F989=""),"",$A989+$F989)</f>
        <v/>
      </c>
      <c r="H989" s="16" t="str">
        <f aca="false">IF($D989="","",IF($J989="환불",0,IFERROR(INDEX(상품목록!$D$3:$D$102,MATCH($D989,상품목록!$A$3:$A$102,0)),0)))</f>
        <v/>
      </c>
      <c r="I989" s="10"/>
      <c r="J989" s="10"/>
      <c r="K989" s="10"/>
    </row>
    <row r="990" customFormat="false" ht="15" hidden="false" customHeight="true" outlineLevel="0" collapsed="false">
      <c r="A990" s="12"/>
      <c r="B990" s="10"/>
      <c r="C990" s="15" t="str">
        <f aca="false">IF($B990="","",IFERROR(INDEX(회원명부!$B$3:$B$502,MATCH($B990,회원명부!$A$3:$A$502,0)),"미등록회원"))</f>
        <v/>
      </c>
      <c r="D990" s="10"/>
      <c r="E990" s="16" t="str">
        <f aca="false">IF($D990="","",IF($J990="환불",0,IFERROR(INDEX(상품목록!$B$3:$B$102,MATCH($D990,상품목록!$A$3:$A$102,0)),0)))</f>
        <v/>
      </c>
      <c r="F990" s="16" t="str">
        <f aca="false">IF($D990="","",IFERROR(INDEX(상품목록!$C$3:$C$102,MATCH($D990,상품목록!$A$3:$A$102,0)),0))</f>
        <v/>
      </c>
      <c r="G990" s="17" t="str">
        <f aca="false">IF(OR($A990="",$F990=""),"",$A990+$F990)</f>
        <v/>
      </c>
      <c r="H990" s="16" t="str">
        <f aca="false">IF($D990="","",IF($J990="환불",0,IFERROR(INDEX(상품목록!$D$3:$D$102,MATCH($D990,상품목록!$A$3:$A$102,0)),0)))</f>
        <v/>
      </c>
      <c r="I990" s="10"/>
      <c r="J990" s="10"/>
      <c r="K990" s="10"/>
    </row>
    <row r="991" customFormat="false" ht="15" hidden="false" customHeight="true" outlineLevel="0" collapsed="false">
      <c r="A991" s="12"/>
      <c r="B991" s="10"/>
      <c r="C991" s="15" t="str">
        <f aca="false">IF($B991="","",IFERROR(INDEX(회원명부!$B$3:$B$502,MATCH($B991,회원명부!$A$3:$A$502,0)),"미등록회원"))</f>
        <v/>
      </c>
      <c r="D991" s="10"/>
      <c r="E991" s="16" t="str">
        <f aca="false">IF($D991="","",IF($J991="환불",0,IFERROR(INDEX(상품목록!$B$3:$B$102,MATCH($D991,상품목록!$A$3:$A$102,0)),0)))</f>
        <v/>
      </c>
      <c r="F991" s="16" t="str">
        <f aca="false">IF($D991="","",IFERROR(INDEX(상품목록!$C$3:$C$102,MATCH($D991,상품목록!$A$3:$A$102,0)),0))</f>
        <v/>
      </c>
      <c r="G991" s="17" t="str">
        <f aca="false">IF(OR($A991="",$F991=""),"",$A991+$F991)</f>
        <v/>
      </c>
      <c r="H991" s="16" t="str">
        <f aca="false">IF($D991="","",IF($J991="환불",0,IFERROR(INDEX(상품목록!$D$3:$D$102,MATCH($D991,상품목록!$A$3:$A$102,0)),0)))</f>
        <v/>
      </c>
      <c r="I991" s="10"/>
      <c r="J991" s="10"/>
      <c r="K991" s="10"/>
    </row>
    <row r="992" customFormat="false" ht="15" hidden="false" customHeight="true" outlineLevel="0" collapsed="false">
      <c r="A992" s="12"/>
      <c r="B992" s="10"/>
      <c r="C992" s="15" t="str">
        <f aca="false">IF($B992="","",IFERROR(INDEX(회원명부!$B$3:$B$502,MATCH($B992,회원명부!$A$3:$A$502,0)),"미등록회원"))</f>
        <v/>
      </c>
      <c r="D992" s="10"/>
      <c r="E992" s="16" t="str">
        <f aca="false">IF($D992="","",IF($J992="환불",0,IFERROR(INDEX(상품목록!$B$3:$B$102,MATCH($D992,상품목록!$A$3:$A$102,0)),0)))</f>
        <v/>
      </c>
      <c r="F992" s="16" t="str">
        <f aca="false">IF($D992="","",IFERROR(INDEX(상품목록!$C$3:$C$102,MATCH($D992,상품목록!$A$3:$A$102,0)),0))</f>
        <v/>
      </c>
      <c r="G992" s="17" t="str">
        <f aca="false">IF(OR($A992="",$F992=""),"",$A992+$F992)</f>
        <v/>
      </c>
      <c r="H992" s="16" t="str">
        <f aca="false">IF($D992="","",IF($J992="환불",0,IFERROR(INDEX(상품목록!$D$3:$D$102,MATCH($D992,상품목록!$A$3:$A$102,0)),0)))</f>
        <v/>
      </c>
      <c r="I992" s="10"/>
      <c r="J992" s="10"/>
      <c r="K992" s="10"/>
    </row>
    <row r="993" customFormat="false" ht="15" hidden="false" customHeight="true" outlineLevel="0" collapsed="false">
      <c r="A993" s="12"/>
      <c r="B993" s="10"/>
      <c r="C993" s="15" t="str">
        <f aca="false">IF($B993="","",IFERROR(INDEX(회원명부!$B$3:$B$502,MATCH($B993,회원명부!$A$3:$A$502,0)),"미등록회원"))</f>
        <v/>
      </c>
      <c r="D993" s="10"/>
      <c r="E993" s="16" t="str">
        <f aca="false">IF($D993="","",IF($J993="환불",0,IFERROR(INDEX(상품목록!$B$3:$B$102,MATCH($D993,상품목록!$A$3:$A$102,0)),0)))</f>
        <v/>
      </c>
      <c r="F993" s="16" t="str">
        <f aca="false">IF($D993="","",IFERROR(INDEX(상품목록!$C$3:$C$102,MATCH($D993,상품목록!$A$3:$A$102,0)),0))</f>
        <v/>
      </c>
      <c r="G993" s="17" t="str">
        <f aca="false">IF(OR($A993="",$F993=""),"",$A993+$F993)</f>
        <v/>
      </c>
      <c r="H993" s="16" t="str">
        <f aca="false">IF($D993="","",IF($J993="환불",0,IFERROR(INDEX(상품목록!$D$3:$D$102,MATCH($D993,상품목록!$A$3:$A$102,0)),0)))</f>
        <v/>
      </c>
      <c r="I993" s="10"/>
      <c r="J993" s="10"/>
      <c r="K993" s="10"/>
    </row>
    <row r="994" customFormat="false" ht="15" hidden="false" customHeight="true" outlineLevel="0" collapsed="false">
      <c r="A994" s="12"/>
      <c r="B994" s="10"/>
      <c r="C994" s="15" t="str">
        <f aca="false">IF($B994="","",IFERROR(INDEX(회원명부!$B$3:$B$502,MATCH($B994,회원명부!$A$3:$A$502,0)),"미등록회원"))</f>
        <v/>
      </c>
      <c r="D994" s="10"/>
      <c r="E994" s="16" t="str">
        <f aca="false">IF($D994="","",IF($J994="환불",0,IFERROR(INDEX(상품목록!$B$3:$B$102,MATCH($D994,상품목록!$A$3:$A$102,0)),0)))</f>
        <v/>
      </c>
      <c r="F994" s="16" t="str">
        <f aca="false">IF($D994="","",IFERROR(INDEX(상품목록!$C$3:$C$102,MATCH($D994,상품목록!$A$3:$A$102,0)),0))</f>
        <v/>
      </c>
      <c r="G994" s="17" t="str">
        <f aca="false">IF(OR($A994="",$F994=""),"",$A994+$F994)</f>
        <v/>
      </c>
      <c r="H994" s="16" t="str">
        <f aca="false">IF($D994="","",IF($J994="환불",0,IFERROR(INDEX(상품목록!$D$3:$D$102,MATCH($D994,상품목록!$A$3:$A$102,0)),0)))</f>
        <v/>
      </c>
      <c r="I994" s="10"/>
      <c r="J994" s="10"/>
      <c r="K994" s="10"/>
    </row>
    <row r="995" customFormat="false" ht="15" hidden="false" customHeight="true" outlineLevel="0" collapsed="false">
      <c r="A995" s="12"/>
      <c r="B995" s="10"/>
      <c r="C995" s="15" t="str">
        <f aca="false">IF($B995="","",IFERROR(INDEX(회원명부!$B$3:$B$502,MATCH($B995,회원명부!$A$3:$A$502,0)),"미등록회원"))</f>
        <v/>
      </c>
      <c r="D995" s="10"/>
      <c r="E995" s="16" t="str">
        <f aca="false">IF($D995="","",IF($J995="환불",0,IFERROR(INDEX(상품목록!$B$3:$B$102,MATCH($D995,상품목록!$A$3:$A$102,0)),0)))</f>
        <v/>
      </c>
      <c r="F995" s="16" t="str">
        <f aca="false">IF($D995="","",IFERROR(INDEX(상품목록!$C$3:$C$102,MATCH($D995,상품목록!$A$3:$A$102,0)),0))</f>
        <v/>
      </c>
      <c r="G995" s="17" t="str">
        <f aca="false">IF(OR($A995="",$F995=""),"",$A995+$F995)</f>
        <v/>
      </c>
      <c r="H995" s="16" t="str">
        <f aca="false">IF($D995="","",IF($J995="환불",0,IFERROR(INDEX(상품목록!$D$3:$D$102,MATCH($D995,상품목록!$A$3:$A$102,0)),0)))</f>
        <v/>
      </c>
      <c r="I995" s="10"/>
      <c r="J995" s="10"/>
      <c r="K995" s="10"/>
    </row>
    <row r="996" customFormat="false" ht="15" hidden="false" customHeight="true" outlineLevel="0" collapsed="false">
      <c r="A996" s="12"/>
      <c r="B996" s="10"/>
      <c r="C996" s="15" t="str">
        <f aca="false">IF($B996="","",IFERROR(INDEX(회원명부!$B$3:$B$502,MATCH($B996,회원명부!$A$3:$A$502,0)),"미등록회원"))</f>
        <v/>
      </c>
      <c r="D996" s="10"/>
      <c r="E996" s="16" t="str">
        <f aca="false">IF($D996="","",IF($J996="환불",0,IFERROR(INDEX(상품목록!$B$3:$B$102,MATCH($D996,상품목록!$A$3:$A$102,0)),0)))</f>
        <v/>
      </c>
      <c r="F996" s="16" t="str">
        <f aca="false">IF($D996="","",IFERROR(INDEX(상품목록!$C$3:$C$102,MATCH($D996,상품목록!$A$3:$A$102,0)),0))</f>
        <v/>
      </c>
      <c r="G996" s="17" t="str">
        <f aca="false">IF(OR($A996="",$F996=""),"",$A996+$F996)</f>
        <v/>
      </c>
      <c r="H996" s="16" t="str">
        <f aca="false">IF($D996="","",IF($J996="환불",0,IFERROR(INDEX(상품목록!$D$3:$D$102,MATCH($D996,상품목록!$A$3:$A$102,0)),0)))</f>
        <v/>
      </c>
      <c r="I996" s="10"/>
      <c r="J996" s="10"/>
      <c r="K996" s="10"/>
    </row>
    <row r="997" customFormat="false" ht="15" hidden="false" customHeight="true" outlineLevel="0" collapsed="false">
      <c r="A997" s="12"/>
      <c r="B997" s="10"/>
      <c r="C997" s="15" t="str">
        <f aca="false">IF($B997="","",IFERROR(INDEX(회원명부!$B$3:$B$502,MATCH($B997,회원명부!$A$3:$A$502,0)),"미등록회원"))</f>
        <v/>
      </c>
      <c r="D997" s="10"/>
      <c r="E997" s="16" t="str">
        <f aca="false">IF($D997="","",IF($J997="환불",0,IFERROR(INDEX(상품목록!$B$3:$B$102,MATCH($D997,상품목록!$A$3:$A$102,0)),0)))</f>
        <v/>
      </c>
      <c r="F997" s="16" t="str">
        <f aca="false">IF($D997="","",IFERROR(INDEX(상품목록!$C$3:$C$102,MATCH($D997,상품목록!$A$3:$A$102,0)),0))</f>
        <v/>
      </c>
      <c r="G997" s="17" t="str">
        <f aca="false">IF(OR($A997="",$F997=""),"",$A997+$F997)</f>
        <v/>
      </c>
      <c r="H997" s="16" t="str">
        <f aca="false">IF($D997="","",IF($J997="환불",0,IFERROR(INDEX(상품목록!$D$3:$D$102,MATCH($D997,상품목록!$A$3:$A$102,0)),0)))</f>
        <v/>
      </c>
      <c r="I997" s="10"/>
      <c r="J997" s="10"/>
      <c r="K997" s="10"/>
    </row>
    <row r="998" customFormat="false" ht="15" hidden="false" customHeight="true" outlineLevel="0" collapsed="false">
      <c r="A998" s="12"/>
      <c r="B998" s="10"/>
      <c r="C998" s="15" t="str">
        <f aca="false">IF($B998="","",IFERROR(INDEX(회원명부!$B$3:$B$502,MATCH($B998,회원명부!$A$3:$A$502,0)),"미등록회원"))</f>
        <v/>
      </c>
      <c r="D998" s="10"/>
      <c r="E998" s="16" t="str">
        <f aca="false">IF($D998="","",IF($J998="환불",0,IFERROR(INDEX(상품목록!$B$3:$B$102,MATCH($D998,상품목록!$A$3:$A$102,0)),0)))</f>
        <v/>
      </c>
      <c r="F998" s="16" t="str">
        <f aca="false">IF($D998="","",IFERROR(INDEX(상품목록!$C$3:$C$102,MATCH($D998,상품목록!$A$3:$A$102,0)),0))</f>
        <v/>
      </c>
      <c r="G998" s="17" t="str">
        <f aca="false">IF(OR($A998="",$F998=""),"",$A998+$F998)</f>
        <v/>
      </c>
      <c r="H998" s="16" t="str">
        <f aca="false">IF($D998="","",IF($J998="환불",0,IFERROR(INDEX(상품목록!$D$3:$D$102,MATCH($D998,상품목록!$A$3:$A$102,0)),0)))</f>
        <v/>
      </c>
      <c r="I998" s="10"/>
      <c r="J998" s="10"/>
      <c r="K998" s="10"/>
    </row>
    <row r="999" customFormat="false" ht="15" hidden="false" customHeight="true" outlineLevel="0" collapsed="false">
      <c r="A999" s="12"/>
      <c r="B999" s="10"/>
      <c r="C999" s="15" t="str">
        <f aca="false">IF($B999="","",IFERROR(INDEX(회원명부!$B$3:$B$502,MATCH($B999,회원명부!$A$3:$A$502,0)),"미등록회원"))</f>
        <v/>
      </c>
      <c r="D999" s="10"/>
      <c r="E999" s="16" t="str">
        <f aca="false">IF($D999="","",IF($J999="환불",0,IFERROR(INDEX(상품목록!$B$3:$B$102,MATCH($D999,상품목록!$A$3:$A$102,0)),0)))</f>
        <v/>
      </c>
      <c r="F999" s="16" t="str">
        <f aca="false">IF($D999="","",IFERROR(INDEX(상품목록!$C$3:$C$102,MATCH($D999,상품목록!$A$3:$A$102,0)),0))</f>
        <v/>
      </c>
      <c r="G999" s="17" t="str">
        <f aca="false">IF(OR($A999="",$F999=""),"",$A999+$F999)</f>
        <v/>
      </c>
      <c r="H999" s="16" t="str">
        <f aca="false">IF($D999="","",IF($J999="환불",0,IFERROR(INDEX(상품목록!$D$3:$D$102,MATCH($D999,상품목록!$A$3:$A$102,0)),0)))</f>
        <v/>
      </c>
      <c r="I999" s="10"/>
      <c r="J999" s="10"/>
      <c r="K999" s="10"/>
    </row>
    <row r="1000" customFormat="false" ht="15" hidden="false" customHeight="true" outlineLevel="0" collapsed="false">
      <c r="A1000" s="12"/>
      <c r="B1000" s="10"/>
      <c r="C1000" s="15" t="str">
        <f aca="false">IF($B1000="","",IFERROR(INDEX(회원명부!$B$3:$B$502,MATCH($B1000,회원명부!$A$3:$A$502,0)),"미등록회원"))</f>
        <v/>
      </c>
      <c r="D1000" s="10"/>
      <c r="E1000" s="16" t="str">
        <f aca="false">IF($D1000="","",IF($J1000="환불",0,IFERROR(INDEX(상품목록!$B$3:$B$102,MATCH($D1000,상품목록!$A$3:$A$102,0)),0)))</f>
        <v/>
      </c>
      <c r="F1000" s="16" t="str">
        <f aca="false">IF($D1000="","",IFERROR(INDEX(상품목록!$C$3:$C$102,MATCH($D1000,상품목록!$A$3:$A$102,0)),0))</f>
        <v/>
      </c>
      <c r="G1000" s="17" t="str">
        <f aca="false">IF(OR($A1000="",$F1000=""),"",$A1000+$F1000)</f>
        <v/>
      </c>
      <c r="H1000" s="16" t="str">
        <f aca="false">IF($D1000="","",IF($J1000="환불",0,IFERROR(INDEX(상품목록!$D$3:$D$102,MATCH($D1000,상품목록!$A$3:$A$102,0)),0)))</f>
        <v/>
      </c>
      <c r="I1000" s="10"/>
      <c r="J1000" s="10"/>
      <c r="K1000" s="10"/>
    </row>
    <row r="1001" customFormat="false" ht="15" hidden="false" customHeight="true" outlineLevel="0" collapsed="false">
      <c r="A1001" s="12"/>
      <c r="B1001" s="10"/>
      <c r="C1001" s="15" t="str">
        <f aca="false">IF($B1001="","",IFERROR(INDEX(회원명부!$B$3:$B$502,MATCH($B1001,회원명부!$A$3:$A$502,0)),"미등록회원"))</f>
        <v/>
      </c>
      <c r="D1001" s="10"/>
      <c r="E1001" s="16" t="str">
        <f aca="false">IF($D1001="","",IF($J1001="환불",0,IFERROR(INDEX(상품목록!$B$3:$B$102,MATCH($D1001,상품목록!$A$3:$A$102,0)),0)))</f>
        <v/>
      </c>
      <c r="F1001" s="16" t="str">
        <f aca="false">IF($D1001="","",IFERROR(INDEX(상품목록!$C$3:$C$102,MATCH($D1001,상품목록!$A$3:$A$102,0)),0))</f>
        <v/>
      </c>
      <c r="G1001" s="17" t="str">
        <f aca="false">IF(OR($A1001="",$F1001=""),"",$A1001+$F1001)</f>
        <v/>
      </c>
      <c r="H1001" s="16" t="str">
        <f aca="false">IF($D1001="","",IF($J1001="환불",0,IFERROR(INDEX(상품목록!$D$3:$D$102,MATCH($D1001,상품목록!$A$3:$A$102,0)),0)))</f>
        <v/>
      </c>
      <c r="I1001" s="10"/>
      <c r="J1001" s="10"/>
      <c r="K1001" s="10"/>
    </row>
    <row r="1002" customFormat="false" ht="15" hidden="false" customHeight="true" outlineLevel="0" collapsed="false">
      <c r="A1002" s="12"/>
      <c r="B1002" s="10"/>
      <c r="C1002" s="15" t="str">
        <f aca="false">IF($B1002="","",IFERROR(INDEX(회원명부!$B$3:$B$502,MATCH($B1002,회원명부!$A$3:$A$502,0)),"미등록회원"))</f>
        <v/>
      </c>
      <c r="D1002" s="10"/>
      <c r="E1002" s="16" t="str">
        <f aca="false">IF($D1002="","",IF($J1002="환불",0,IFERROR(INDEX(상품목록!$B$3:$B$102,MATCH($D1002,상품목록!$A$3:$A$102,0)),0)))</f>
        <v/>
      </c>
      <c r="F1002" s="16" t="str">
        <f aca="false">IF($D1002="","",IFERROR(INDEX(상품목록!$C$3:$C$102,MATCH($D1002,상품목록!$A$3:$A$102,0)),0))</f>
        <v/>
      </c>
      <c r="G1002" s="17" t="str">
        <f aca="false">IF(OR($A1002="",$F1002=""),"",$A1002+$F1002)</f>
        <v/>
      </c>
      <c r="H1002" s="16" t="str">
        <f aca="false">IF($D1002="","",IF($J1002="환불",0,IFERROR(INDEX(상품목록!$D$3:$D$102,MATCH($D1002,상품목록!$A$3:$A$102,0)),0)))</f>
        <v/>
      </c>
      <c r="I1002" s="10"/>
      <c r="J1002" s="10"/>
      <c r="K1002" s="10"/>
    </row>
    <row r="1004" customFormat="false" ht="15" hidden="false" customHeight="true" outlineLevel="0" collapsed="false">
      <c r="A1004" s="7" t="s">
        <v>62</v>
      </c>
    </row>
  </sheetData>
  <mergeCells count="1">
    <mergeCell ref="A1:K1"/>
  </mergeCells>
  <conditionalFormatting sqref="A3:K1002">
    <cfRule type="expression" priority="2" aboveAverage="0" equalAverage="0" bottom="0" percent="0" rank="0" text="" dxfId="0">
      <formula>$J3="환불"</formula>
    </cfRule>
  </conditionalFormatting>
  <dataValidations count="4">
    <dataValidation allowBlank="true" errorStyle="stop" operator="between" showDropDown="false" showErrorMessage="false" showInputMessage="false" sqref="B3:B1002" type="list">
      <formula1>회원명부!$A$3:$A$502</formula1>
      <formula2>0</formula2>
    </dataValidation>
    <dataValidation allowBlank="true" errorStyle="stop" operator="between" showDropDown="false" showErrorMessage="false" showInputMessage="false" sqref="D3:D1002" type="list">
      <formula1>상품목록!$A$3:$A$102</formula1>
      <formula2>0</formula2>
    </dataValidation>
    <dataValidation allowBlank="true" errorStyle="stop" operator="between" showDropDown="false" showErrorMessage="false" showInputMessage="false" sqref="I3:I1002" type="list">
      <formula1>"카드,현금,계좌이체,간편결제"</formula1>
      <formula2>0</formula2>
    </dataValidation>
    <dataValidation allowBlank="true" errorStyle="stop" operator="between" showDropDown="false" showErrorMessage="false" showInputMessage="false" sqref="J3:J1002" type="list">
      <formula1>",환불"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26"/>
    <col collapsed="false" customWidth="true" hidden="false" outlineLevel="0" max="7" min="7" style="1" width="20"/>
  </cols>
  <sheetData>
    <row r="1" customFormat="false" ht="25.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9" t="s">
        <v>64</v>
      </c>
      <c r="B2" s="9" t="s">
        <v>29</v>
      </c>
      <c r="C2" s="14" t="s">
        <v>55</v>
      </c>
      <c r="D2" s="9" t="s">
        <v>65</v>
      </c>
      <c r="E2" s="9" t="s">
        <v>66</v>
      </c>
      <c r="F2" s="9" t="s">
        <v>67</v>
      </c>
      <c r="G2" s="9" t="s">
        <v>34</v>
      </c>
    </row>
    <row r="3" customFormat="false" ht="15" hidden="false" customHeight="true" outlineLevel="0" collapsed="false">
      <c r="A3" s="12" t="n">
        <v>46213</v>
      </c>
      <c r="B3" s="10" t="n">
        <v>1001</v>
      </c>
      <c r="C3" s="15" t="str">
        <f aca="false">IF($B3="","",IFERROR(INDEX(회원명부!$B$3:$B$502,MATCH($B3,회원명부!$A$3:$A$502,0)),"미등록회원"))</f>
        <v>김회원</v>
      </c>
      <c r="D3" s="13" t="n">
        <v>1</v>
      </c>
      <c r="E3" s="10" t="inlineStr">
        <is>
          <t>김실장</t>
        </is>
      </c>
      <c r="F3" s="10" t="inlineStr">
        <is>
          <t>PT 1회</t>
        </is>
      </c>
      <c r="G3" s="10" t="inlineStr">
        <is>
          <t>← 예시 행입니다. 지우고 쓰세요.</t>
        </is>
      </c>
    </row>
    <row r="4" customFormat="false" ht="15" hidden="false" customHeight="true" outlineLevel="0" collapsed="false">
      <c r="A4" s="12" t="n">
        <v>46220</v>
      </c>
      <c r="B4" s="10" t="n">
        <v>1001</v>
      </c>
      <c r="C4" s="15" t="str">
        <f aca="false">IF($B4="","",IFERROR(INDEX(회원명부!$B$3:$B$502,MATCH($B4,회원명부!$A$3:$A$502,0)),"미등록회원"))</f>
        <v>김회원</v>
      </c>
      <c r="D4" s="13" t="n">
        <v>1</v>
      </c>
      <c r="E4" s="10" t="inlineStr">
        <is>
          <t>김실장</t>
        </is>
      </c>
      <c r="F4" s="10" t="inlineStr">
        <is>
          <t>PT 1회</t>
        </is>
      </c>
      <c r="G4" s="10"/>
    </row>
    <row r="5" customFormat="false" ht="15" hidden="false" customHeight="true" outlineLevel="0" collapsed="false">
      <c r="A5" s="12" t="n">
        <v>46239</v>
      </c>
      <c r="B5" s="10" t="n">
        <v>1002</v>
      </c>
      <c r="C5" s="15" t="str">
        <f aca="false">IF($B5="","",IFERROR(INDEX(회원명부!$B$3:$B$502,MATCH($B5,회원명부!$A$3:$A$502,0)),"미등록회원"))</f>
        <v>이회원</v>
      </c>
      <c r="D5" s="13" t="n">
        <v>1</v>
      </c>
      <c r="E5" s="10" t="inlineStr">
        <is>
          <t>이실장</t>
        </is>
      </c>
      <c r="F5" s="10" t="inlineStr">
        <is>
          <t>필라테스</t>
        </is>
      </c>
      <c r="G5" s="10"/>
    </row>
    <row r="6" customFormat="false" ht="15" hidden="false" customHeight="true" outlineLevel="0" collapsed="false">
      <c r="A6" s="12" t="n">
        <v>46246</v>
      </c>
      <c r="B6" s="10" t="n">
        <v>1002</v>
      </c>
      <c r="C6" s="15" t="str">
        <f aca="false">IF($B6="","",IFERROR(INDEX(회원명부!$B$3:$B$502,MATCH($B6,회원명부!$A$3:$A$502,0)),"미등록회원"))</f>
        <v>이회원</v>
      </c>
      <c r="D6" s="13" t="n">
        <v>1</v>
      </c>
      <c r="E6" s="10" t="inlineStr">
        <is>
          <t>이실장</t>
        </is>
      </c>
      <c r="F6" s="10" t="inlineStr">
        <is>
          <t>필라테스</t>
        </is>
      </c>
      <c r="G6" s="10"/>
    </row>
    <row r="7" customFormat="false" ht="15" hidden="false" customHeight="true" outlineLevel="0" collapsed="false">
      <c r="A7" s="12" t="n">
        <v>46259</v>
      </c>
      <c r="B7" s="10" t="n">
        <v>1003</v>
      </c>
      <c r="C7" s="15" t="str">
        <f aca="false">IF($B7="","",IFERROR(INDEX(회원명부!$B$3:$B$502,MATCH($B7,회원명부!$A$3:$A$502,0)),"미등록회원"))</f>
        <v>박회원</v>
      </c>
      <c r="D7" s="13" t="n">
        <v>2</v>
      </c>
      <c r="E7" s="10" t="inlineStr">
        <is>
          <t>김실장</t>
        </is>
      </c>
      <c r="F7" s="10" t="inlineStr">
        <is>
          <t>개인 레슨 2회</t>
        </is>
      </c>
      <c r="G7" s="10"/>
    </row>
    <row r="8" customFormat="false" ht="15" hidden="false" customHeight="true" outlineLevel="0" collapsed="false">
      <c r="A8" s="12" t="n">
        <v>46267</v>
      </c>
      <c r="B8" s="10" t="n">
        <v>1001</v>
      </c>
      <c r="C8" s="15" t="str">
        <f aca="false">IF($B8="","",IFERROR(INDEX(회원명부!$B$3:$B$502,MATCH($B8,회원명부!$A$3:$A$502,0)),"미등록회원"))</f>
        <v>김회원</v>
      </c>
      <c r="D8" s="13" t="n">
        <v>1</v>
      </c>
      <c r="E8" s="10" t="inlineStr">
        <is>
          <t>김실장</t>
        </is>
      </c>
      <c r="F8" s="10" t="inlineStr">
        <is>
          <t>PT 1회</t>
        </is>
      </c>
      <c r="G8" s="10"/>
    </row>
    <row r="9" customFormat="false" ht="15" hidden="false" customHeight="true" outlineLevel="0" collapsed="false">
      <c r="A9" s="12" t="n">
        <v>46272</v>
      </c>
      <c r="B9" s="10" t="n">
        <v>1002</v>
      </c>
      <c r="C9" s="15" t="str">
        <f aca="false">IF($B9="","",IFERROR(INDEX(회원명부!$B$3:$B$502,MATCH($B9,회원명부!$A$3:$A$502,0)),"미등록회원"))</f>
        <v>이회원</v>
      </c>
      <c r="D9" s="13" t="n">
        <v>1</v>
      </c>
      <c r="E9" s="10" t="inlineStr">
        <is>
          <t>이실장</t>
        </is>
      </c>
      <c r="F9" s="10" t="inlineStr">
        <is>
          <t>필라테스</t>
        </is>
      </c>
      <c r="G9" s="10"/>
    </row>
    <row r="10" customFormat="false" ht="15" hidden="false" customHeight="true" outlineLevel="0" collapsed="false">
      <c r="A10" s="12" t="n">
        <v>46273</v>
      </c>
      <c r="B10" s="10" t="n">
        <v>1002</v>
      </c>
      <c r="C10" s="15" t="str">
        <f aca="false">IF($B10="","",IFERROR(INDEX(회원명부!$B$3:$B$502,MATCH($B10,회원명부!$A$3:$A$502,0)),"미등록회원"))</f>
        <v>이회원</v>
      </c>
      <c r="D10" s="13" t="n">
        <v>1</v>
      </c>
      <c r="E10" s="10" t="inlineStr">
        <is>
          <t>이실장</t>
        </is>
      </c>
      <c r="F10" s="10" t="inlineStr">
        <is>
          <t>필라테스</t>
        </is>
      </c>
      <c r="G10" s="10"/>
    </row>
    <row r="11" customFormat="false" ht="15" hidden="false" customHeight="true" outlineLevel="0" collapsed="false">
      <c r="A11" s="12" t="n">
        <v>46274</v>
      </c>
      <c r="B11" s="10" t="n">
        <v>1002</v>
      </c>
      <c r="C11" s="15" t="str">
        <f aca="false">IF($B11="","",IFERROR(INDEX(회원명부!$B$3:$B$502,MATCH($B11,회원명부!$A$3:$A$502,0)),"미등록회원"))</f>
        <v>이회원</v>
      </c>
      <c r="D11" s="13" t="n">
        <v>1</v>
      </c>
      <c r="E11" s="10" t="inlineStr">
        <is>
          <t>이실장</t>
        </is>
      </c>
      <c r="F11" s="10" t="inlineStr">
        <is>
          <t>필라테스</t>
        </is>
      </c>
      <c r="G11" s="10"/>
    </row>
    <row r="12" customFormat="false" ht="15" hidden="false" customHeight="true" outlineLevel="0" collapsed="false">
      <c r="A12" s="12" t="n">
        <v>46275</v>
      </c>
      <c r="B12" s="10" t="n">
        <v>1002</v>
      </c>
      <c r="C12" s="15" t="str">
        <f aca="false">IF($B12="","",IFERROR(INDEX(회원명부!$B$3:$B$502,MATCH($B12,회원명부!$A$3:$A$502,0)),"미등록회원"))</f>
        <v>이회원</v>
      </c>
      <c r="D12" s="13" t="n">
        <v>1</v>
      </c>
      <c r="E12" s="10" t="inlineStr">
        <is>
          <t>이실장</t>
        </is>
      </c>
      <c r="F12" s="10" t="inlineStr">
        <is>
          <t>필라테스</t>
        </is>
      </c>
      <c r="G12" s="10"/>
    </row>
    <row r="13" customFormat="false" ht="15" hidden="false" customHeight="true" outlineLevel="0" collapsed="false">
      <c r="A13" s="12" t="n">
        <v>46276</v>
      </c>
      <c r="B13" s="10" t="n">
        <v>1002</v>
      </c>
      <c r="C13" s="15" t="str">
        <f aca="false">IF($B13="","",IFERROR(INDEX(회원명부!$B$3:$B$502,MATCH($B13,회원명부!$A$3:$A$502,0)),"미등록회원"))</f>
        <v>이회원</v>
      </c>
      <c r="D13" s="13" t="n">
        <v>1</v>
      </c>
      <c r="E13" s="10" t="inlineStr">
        <is>
          <t>이실장</t>
        </is>
      </c>
      <c r="F13" s="10" t="inlineStr">
        <is>
          <t>필라테스</t>
        </is>
      </c>
      <c r="G13" s="10"/>
    </row>
    <row r="14" customFormat="false" ht="15" hidden="false" customHeight="true" outlineLevel="0" collapsed="false">
      <c r="A14" s="12" t="n">
        <v>46277</v>
      </c>
      <c r="B14" s="10" t="n">
        <v>1002</v>
      </c>
      <c r="C14" s="15" t="str">
        <f aca="false">IF($B14="","",IFERROR(INDEX(회원명부!$B$3:$B$502,MATCH($B14,회원명부!$A$3:$A$502,0)),"미등록회원"))</f>
        <v>이회원</v>
      </c>
      <c r="D14" s="13" t="n">
        <v>1</v>
      </c>
      <c r="E14" s="10" t="inlineStr">
        <is>
          <t>이실장</t>
        </is>
      </c>
      <c r="F14" s="10" t="inlineStr">
        <is>
          <t>필라테스</t>
        </is>
      </c>
      <c r="G14" s="10"/>
    </row>
    <row r="15" customFormat="false" ht="15" hidden="false" customHeight="true" outlineLevel="0" collapsed="false">
      <c r="A15" s="12"/>
      <c r="B15" s="10"/>
      <c r="C15" s="15" t="str">
        <f aca="false">IF($B15="","",IFERROR(INDEX(회원명부!$B$3:$B$502,MATCH($B15,회원명부!$A$3:$A$502,0)),"미등록회원"))</f>
        <v/>
      </c>
      <c r="D15" s="13"/>
      <c r="E15" s="10"/>
      <c r="F15" s="10"/>
      <c r="G15" s="10"/>
    </row>
    <row r="16" customFormat="false" ht="15" hidden="false" customHeight="true" outlineLevel="0" collapsed="false">
      <c r="A16" s="12"/>
      <c r="B16" s="10"/>
      <c r="C16" s="15" t="str">
        <f aca="false">IF($B16="","",IFERROR(INDEX(회원명부!$B$3:$B$502,MATCH($B16,회원명부!$A$3:$A$502,0)),"미등록회원"))</f>
        <v/>
      </c>
      <c r="D16" s="13"/>
      <c r="E16" s="10"/>
      <c r="F16" s="10"/>
      <c r="G16" s="10"/>
    </row>
    <row r="17" customFormat="false" ht="15" hidden="false" customHeight="true" outlineLevel="0" collapsed="false">
      <c r="A17" s="12"/>
      <c r="B17" s="10"/>
      <c r="C17" s="15" t="str">
        <f aca="false">IF($B17="","",IFERROR(INDEX(회원명부!$B$3:$B$502,MATCH($B17,회원명부!$A$3:$A$502,0)),"미등록회원"))</f>
        <v/>
      </c>
      <c r="D17" s="13"/>
      <c r="E17" s="10"/>
      <c r="F17" s="10"/>
      <c r="G17" s="10"/>
    </row>
    <row r="18" customFormat="false" ht="15" hidden="false" customHeight="true" outlineLevel="0" collapsed="false">
      <c r="A18" s="12"/>
      <c r="B18" s="10"/>
      <c r="C18" s="15" t="str">
        <f aca="false">IF($B18="","",IFERROR(INDEX(회원명부!$B$3:$B$502,MATCH($B18,회원명부!$A$3:$A$502,0)),"미등록회원"))</f>
        <v/>
      </c>
      <c r="D18" s="13"/>
      <c r="E18" s="10"/>
      <c r="F18" s="10"/>
      <c r="G18" s="10"/>
    </row>
    <row r="19" customFormat="false" ht="15" hidden="false" customHeight="true" outlineLevel="0" collapsed="false">
      <c r="A19" s="12"/>
      <c r="B19" s="10"/>
      <c r="C19" s="15" t="str">
        <f aca="false">IF($B19="","",IFERROR(INDEX(회원명부!$B$3:$B$502,MATCH($B19,회원명부!$A$3:$A$502,0)),"미등록회원"))</f>
        <v/>
      </c>
      <c r="D19" s="13"/>
      <c r="E19" s="10"/>
      <c r="F19" s="10"/>
      <c r="G19" s="10"/>
    </row>
    <row r="20" customFormat="false" ht="15" hidden="false" customHeight="true" outlineLevel="0" collapsed="false">
      <c r="A20" s="12"/>
      <c r="B20" s="10"/>
      <c r="C20" s="15" t="str">
        <f aca="false">IF($B20="","",IFERROR(INDEX(회원명부!$B$3:$B$502,MATCH($B20,회원명부!$A$3:$A$502,0)),"미등록회원"))</f>
        <v/>
      </c>
      <c r="D20" s="13"/>
      <c r="E20" s="10"/>
      <c r="F20" s="10"/>
      <c r="G20" s="10"/>
    </row>
    <row r="21" customFormat="false" ht="15" hidden="false" customHeight="true" outlineLevel="0" collapsed="false">
      <c r="A21" s="12"/>
      <c r="B21" s="10"/>
      <c r="C21" s="15" t="str">
        <f aca="false">IF($B21="","",IFERROR(INDEX(회원명부!$B$3:$B$502,MATCH($B21,회원명부!$A$3:$A$502,0)),"미등록회원"))</f>
        <v/>
      </c>
      <c r="D21" s="13"/>
      <c r="E21" s="10"/>
      <c r="F21" s="10"/>
      <c r="G21" s="10"/>
    </row>
    <row r="22" customFormat="false" ht="15" hidden="false" customHeight="true" outlineLevel="0" collapsed="false">
      <c r="A22" s="12"/>
      <c r="B22" s="10"/>
      <c r="C22" s="15" t="str">
        <f aca="false">IF($B22="","",IFERROR(INDEX(회원명부!$B$3:$B$502,MATCH($B22,회원명부!$A$3:$A$502,0)),"미등록회원"))</f>
        <v/>
      </c>
      <c r="D22" s="13"/>
      <c r="E22" s="10"/>
      <c r="F22" s="10"/>
      <c r="G22" s="10"/>
    </row>
    <row r="23" customFormat="false" ht="15" hidden="false" customHeight="true" outlineLevel="0" collapsed="false">
      <c r="A23" s="12"/>
      <c r="B23" s="10"/>
      <c r="C23" s="15" t="str">
        <f aca="false">IF($B23="","",IFERROR(INDEX(회원명부!$B$3:$B$502,MATCH($B23,회원명부!$A$3:$A$502,0)),"미등록회원"))</f>
        <v/>
      </c>
      <c r="D23" s="13"/>
      <c r="E23" s="10"/>
      <c r="F23" s="10"/>
      <c r="G23" s="10"/>
    </row>
    <row r="24" customFormat="false" ht="15" hidden="false" customHeight="true" outlineLevel="0" collapsed="false">
      <c r="A24" s="12"/>
      <c r="B24" s="10"/>
      <c r="C24" s="15" t="str">
        <f aca="false">IF($B24="","",IFERROR(INDEX(회원명부!$B$3:$B$502,MATCH($B24,회원명부!$A$3:$A$502,0)),"미등록회원"))</f>
        <v/>
      </c>
      <c r="D24" s="13"/>
      <c r="E24" s="10"/>
      <c r="F24" s="10"/>
      <c r="G24" s="10"/>
    </row>
    <row r="25" customFormat="false" ht="15" hidden="false" customHeight="true" outlineLevel="0" collapsed="false">
      <c r="A25" s="12"/>
      <c r="B25" s="10"/>
      <c r="C25" s="15" t="str">
        <f aca="false">IF($B25="","",IFERROR(INDEX(회원명부!$B$3:$B$502,MATCH($B25,회원명부!$A$3:$A$502,0)),"미등록회원"))</f>
        <v/>
      </c>
      <c r="D25" s="13"/>
      <c r="E25" s="10"/>
      <c r="F25" s="10"/>
      <c r="G25" s="10"/>
    </row>
    <row r="26" customFormat="false" ht="15" hidden="false" customHeight="true" outlineLevel="0" collapsed="false">
      <c r="A26" s="12"/>
      <c r="B26" s="10"/>
      <c r="C26" s="15" t="str">
        <f aca="false">IF($B26="","",IFERROR(INDEX(회원명부!$B$3:$B$502,MATCH($B26,회원명부!$A$3:$A$502,0)),"미등록회원"))</f>
        <v/>
      </c>
      <c r="D26" s="13"/>
      <c r="E26" s="10"/>
      <c r="F26" s="10"/>
      <c r="G26" s="10"/>
    </row>
    <row r="27" customFormat="false" ht="15" hidden="false" customHeight="true" outlineLevel="0" collapsed="false">
      <c r="A27" s="12"/>
      <c r="B27" s="10"/>
      <c r="C27" s="15" t="str">
        <f aca="false">IF($B27="","",IFERROR(INDEX(회원명부!$B$3:$B$502,MATCH($B27,회원명부!$A$3:$A$502,0)),"미등록회원"))</f>
        <v/>
      </c>
      <c r="D27" s="13"/>
      <c r="E27" s="10"/>
      <c r="F27" s="10"/>
      <c r="G27" s="10"/>
    </row>
    <row r="28" customFormat="false" ht="15" hidden="false" customHeight="true" outlineLevel="0" collapsed="false">
      <c r="A28" s="12"/>
      <c r="B28" s="10"/>
      <c r="C28" s="15" t="str">
        <f aca="false">IF($B28="","",IFERROR(INDEX(회원명부!$B$3:$B$502,MATCH($B28,회원명부!$A$3:$A$502,0)),"미등록회원"))</f>
        <v/>
      </c>
      <c r="D28" s="13"/>
      <c r="E28" s="10"/>
      <c r="F28" s="10"/>
      <c r="G28" s="10"/>
    </row>
    <row r="29" customFormat="false" ht="15" hidden="false" customHeight="true" outlineLevel="0" collapsed="false">
      <c r="A29" s="12"/>
      <c r="B29" s="10"/>
      <c r="C29" s="15" t="str">
        <f aca="false">IF($B29="","",IFERROR(INDEX(회원명부!$B$3:$B$502,MATCH($B29,회원명부!$A$3:$A$502,0)),"미등록회원"))</f>
        <v/>
      </c>
      <c r="D29" s="13"/>
      <c r="E29" s="10"/>
      <c r="F29" s="10"/>
      <c r="G29" s="10"/>
    </row>
    <row r="30" customFormat="false" ht="15" hidden="false" customHeight="true" outlineLevel="0" collapsed="false">
      <c r="A30" s="12"/>
      <c r="B30" s="10"/>
      <c r="C30" s="15" t="str">
        <f aca="false">IF($B30="","",IFERROR(INDEX(회원명부!$B$3:$B$502,MATCH($B30,회원명부!$A$3:$A$502,0)),"미등록회원"))</f>
        <v/>
      </c>
      <c r="D30" s="13"/>
      <c r="E30" s="10"/>
      <c r="F30" s="10"/>
      <c r="G30" s="10"/>
    </row>
    <row r="31" customFormat="false" ht="15" hidden="false" customHeight="true" outlineLevel="0" collapsed="false">
      <c r="A31" s="12"/>
      <c r="B31" s="10"/>
      <c r="C31" s="15" t="str">
        <f aca="false">IF($B31="","",IFERROR(INDEX(회원명부!$B$3:$B$502,MATCH($B31,회원명부!$A$3:$A$502,0)),"미등록회원"))</f>
        <v/>
      </c>
      <c r="D31" s="13"/>
      <c r="E31" s="10"/>
      <c r="F31" s="10"/>
      <c r="G31" s="10"/>
    </row>
    <row r="32" customFormat="false" ht="15" hidden="false" customHeight="true" outlineLevel="0" collapsed="false">
      <c r="A32" s="12"/>
      <c r="B32" s="10"/>
      <c r="C32" s="15" t="str">
        <f aca="false">IF($B32="","",IFERROR(INDEX(회원명부!$B$3:$B$502,MATCH($B32,회원명부!$A$3:$A$502,0)),"미등록회원"))</f>
        <v/>
      </c>
      <c r="D32" s="13"/>
      <c r="E32" s="10"/>
      <c r="F32" s="10"/>
      <c r="G32" s="10"/>
    </row>
    <row r="33" customFormat="false" ht="15" hidden="false" customHeight="true" outlineLevel="0" collapsed="false">
      <c r="A33" s="12"/>
      <c r="B33" s="10"/>
      <c r="C33" s="15" t="str">
        <f aca="false">IF($B33="","",IFERROR(INDEX(회원명부!$B$3:$B$502,MATCH($B33,회원명부!$A$3:$A$502,0)),"미등록회원"))</f>
        <v/>
      </c>
      <c r="D33" s="13"/>
      <c r="E33" s="10"/>
      <c r="F33" s="10"/>
      <c r="G33" s="10"/>
    </row>
    <row r="34" customFormat="false" ht="15" hidden="false" customHeight="true" outlineLevel="0" collapsed="false">
      <c r="A34" s="12"/>
      <c r="B34" s="10"/>
      <c r="C34" s="15" t="str">
        <f aca="false">IF($B34="","",IFERROR(INDEX(회원명부!$B$3:$B$502,MATCH($B34,회원명부!$A$3:$A$502,0)),"미등록회원"))</f>
        <v/>
      </c>
      <c r="D34" s="13"/>
      <c r="E34" s="10"/>
      <c r="F34" s="10"/>
      <c r="G34" s="10"/>
    </row>
    <row r="35" customFormat="false" ht="15" hidden="false" customHeight="true" outlineLevel="0" collapsed="false">
      <c r="A35" s="12"/>
      <c r="B35" s="10"/>
      <c r="C35" s="15" t="str">
        <f aca="false">IF($B35="","",IFERROR(INDEX(회원명부!$B$3:$B$502,MATCH($B35,회원명부!$A$3:$A$502,0)),"미등록회원"))</f>
        <v/>
      </c>
      <c r="D35" s="13"/>
      <c r="E35" s="10"/>
      <c r="F35" s="10"/>
      <c r="G35" s="10"/>
    </row>
    <row r="36" customFormat="false" ht="15" hidden="false" customHeight="true" outlineLevel="0" collapsed="false">
      <c r="A36" s="12"/>
      <c r="B36" s="10"/>
      <c r="C36" s="15" t="str">
        <f aca="false">IF($B36="","",IFERROR(INDEX(회원명부!$B$3:$B$502,MATCH($B36,회원명부!$A$3:$A$502,0)),"미등록회원"))</f>
        <v/>
      </c>
      <c r="D36" s="13"/>
      <c r="E36" s="10"/>
      <c r="F36" s="10"/>
      <c r="G36" s="10"/>
    </row>
    <row r="37" customFormat="false" ht="15" hidden="false" customHeight="true" outlineLevel="0" collapsed="false">
      <c r="A37" s="12"/>
      <c r="B37" s="10"/>
      <c r="C37" s="15" t="str">
        <f aca="false">IF($B37="","",IFERROR(INDEX(회원명부!$B$3:$B$502,MATCH($B37,회원명부!$A$3:$A$502,0)),"미등록회원"))</f>
        <v/>
      </c>
      <c r="D37" s="13"/>
      <c r="E37" s="10"/>
      <c r="F37" s="10"/>
      <c r="G37" s="10"/>
    </row>
    <row r="38" customFormat="false" ht="15" hidden="false" customHeight="true" outlineLevel="0" collapsed="false">
      <c r="A38" s="12"/>
      <c r="B38" s="10"/>
      <c r="C38" s="15" t="str">
        <f aca="false">IF($B38="","",IFERROR(INDEX(회원명부!$B$3:$B$502,MATCH($B38,회원명부!$A$3:$A$502,0)),"미등록회원"))</f>
        <v/>
      </c>
      <c r="D38" s="13"/>
      <c r="E38" s="10"/>
      <c r="F38" s="10"/>
      <c r="G38" s="10"/>
    </row>
    <row r="39" customFormat="false" ht="15" hidden="false" customHeight="true" outlineLevel="0" collapsed="false">
      <c r="A39" s="12"/>
      <c r="B39" s="10"/>
      <c r="C39" s="15" t="str">
        <f aca="false">IF($B39="","",IFERROR(INDEX(회원명부!$B$3:$B$502,MATCH($B39,회원명부!$A$3:$A$502,0)),"미등록회원"))</f>
        <v/>
      </c>
      <c r="D39" s="13"/>
      <c r="E39" s="10"/>
      <c r="F39" s="10"/>
      <c r="G39" s="10"/>
    </row>
    <row r="40" customFormat="false" ht="15" hidden="false" customHeight="true" outlineLevel="0" collapsed="false">
      <c r="A40" s="12"/>
      <c r="B40" s="10"/>
      <c r="C40" s="15" t="str">
        <f aca="false">IF($B40="","",IFERROR(INDEX(회원명부!$B$3:$B$502,MATCH($B40,회원명부!$A$3:$A$502,0)),"미등록회원"))</f>
        <v/>
      </c>
      <c r="D40" s="13"/>
      <c r="E40" s="10"/>
      <c r="F40" s="10"/>
      <c r="G40" s="10"/>
    </row>
    <row r="41" customFormat="false" ht="15" hidden="false" customHeight="true" outlineLevel="0" collapsed="false">
      <c r="A41" s="12"/>
      <c r="B41" s="10"/>
      <c r="C41" s="15" t="str">
        <f aca="false">IF($B41="","",IFERROR(INDEX(회원명부!$B$3:$B$502,MATCH($B41,회원명부!$A$3:$A$502,0)),"미등록회원"))</f>
        <v/>
      </c>
      <c r="D41" s="13"/>
      <c r="E41" s="10"/>
      <c r="F41" s="10"/>
      <c r="G41" s="10"/>
    </row>
    <row r="42" customFormat="false" ht="15" hidden="false" customHeight="true" outlineLevel="0" collapsed="false">
      <c r="A42" s="12"/>
      <c r="B42" s="10"/>
      <c r="C42" s="15" t="str">
        <f aca="false">IF($B42="","",IFERROR(INDEX(회원명부!$B$3:$B$502,MATCH($B42,회원명부!$A$3:$A$502,0)),"미등록회원"))</f>
        <v/>
      </c>
      <c r="D42" s="13"/>
      <c r="E42" s="10"/>
      <c r="F42" s="10"/>
      <c r="G42" s="10"/>
    </row>
    <row r="43" customFormat="false" ht="15" hidden="false" customHeight="true" outlineLevel="0" collapsed="false">
      <c r="A43" s="12"/>
      <c r="B43" s="10"/>
      <c r="C43" s="15" t="str">
        <f aca="false">IF($B43="","",IFERROR(INDEX(회원명부!$B$3:$B$502,MATCH($B43,회원명부!$A$3:$A$502,0)),"미등록회원"))</f>
        <v/>
      </c>
      <c r="D43" s="13"/>
      <c r="E43" s="10"/>
      <c r="F43" s="10"/>
      <c r="G43" s="10"/>
    </row>
    <row r="44" customFormat="false" ht="15" hidden="false" customHeight="true" outlineLevel="0" collapsed="false">
      <c r="A44" s="12"/>
      <c r="B44" s="10"/>
      <c r="C44" s="15" t="str">
        <f aca="false">IF($B44="","",IFERROR(INDEX(회원명부!$B$3:$B$502,MATCH($B44,회원명부!$A$3:$A$502,0)),"미등록회원"))</f>
        <v/>
      </c>
      <c r="D44" s="13"/>
      <c r="E44" s="10"/>
      <c r="F44" s="10"/>
      <c r="G44" s="10"/>
    </row>
    <row r="45" customFormat="false" ht="15" hidden="false" customHeight="true" outlineLevel="0" collapsed="false">
      <c r="A45" s="12"/>
      <c r="B45" s="10"/>
      <c r="C45" s="15" t="str">
        <f aca="false">IF($B45="","",IFERROR(INDEX(회원명부!$B$3:$B$502,MATCH($B45,회원명부!$A$3:$A$502,0)),"미등록회원"))</f>
        <v/>
      </c>
      <c r="D45" s="13"/>
      <c r="E45" s="10"/>
      <c r="F45" s="10"/>
      <c r="G45" s="10"/>
    </row>
    <row r="46" customFormat="false" ht="15" hidden="false" customHeight="true" outlineLevel="0" collapsed="false">
      <c r="A46" s="12"/>
      <c r="B46" s="10"/>
      <c r="C46" s="15" t="str">
        <f aca="false">IF($B46="","",IFERROR(INDEX(회원명부!$B$3:$B$502,MATCH($B46,회원명부!$A$3:$A$502,0)),"미등록회원"))</f>
        <v/>
      </c>
      <c r="D46" s="13"/>
      <c r="E46" s="10"/>
      <c r="F46" s="10"/>
      <c r="G46" s="10"/>
    </row>
    <row r="47" customFormat="false" ht="15" hidden="false" customHeight="true" outlineLevel="0" collapsed="false">
      <c r="A47" s="12"/>
      <c r="B47" s="10"/>
      <c r="C47" s="15" t="str">
        <f aca="false">IF($B47="","",IFERROR(INDEX(회원명부!$B$3:$B$502,MATCH($B47,회원명부!$A$3:$A$502,0)),"미등록회원"))</f>
        <v/>
      </c>
      <c r="D47" s="13"/>
      <c r="E47" s="10"/>
      <c r="F47" s="10"/>
      <c r="G47" s="10"/>
    </row>
    <row r="48" customFormat="false" ht="15" hidden="false" customHeight="true" outlineLevel="0" collapsed="false">
      <c r="A48" s="12"/>
      <c r="B48" s="10"/>
      <c r="C48" s="15" t="str">
        <f aca="false">IF($B48="","",IFERROR(INDEX(회원명부!$B$3:$B$502,MATCH($B48,회원명부!$A$3:$A$502,0)),"미등록회원"))</f>
        <v/>
      </c>
      <c r="D48" s="13"/>
      <c r="E48" s="10"/>
      <c r="F48" s="10"/>
      <c r="G48" s="10"/>
    </row>
    <row r="49" customFormat="false" ht="15" hidden="false" customHeight="true" outlineLevel="0" collapsed="false">
      <c r="A49" s="12"/>
      <c r="B49" s="10"/>
      <c r="C49" s="15" t="str">
        <f aca="false">IF($B49="","",IFERROR(INDEX(회원명부!$B$3:$B$502,MATCH($B49,회원명부!$A$3:$A$502,0)),"미등록회원"))</f>
        <v/>
      </c>
      <c r="D49" s="13"/>
      <c r="E49" s="10"/>
      <c r="F49" s="10"/>
      <c r="G49" s="10"/>
    </row>
    <row r="50" customFormat="false" ht="15" hidden="false" customHeight="true" outlineLevel="0" collapsed="false">
      <c r="A50" s="12"/>
      <c r="B50" s="10"/>
      <c r="C50" s="15" t="str">
        <f aca="false">IF($B50="","",IFERROR(INDEX(회원명부!$B$3:$B$502,MATCH($B50,회원명부!$A$3:$A$502,0)),"미등록회원"))</f>
        <v/>
      </c>
      <c r="D50" s="13"/>
      <c r="E50" s="10"/>
      <c r="F50" s="10"/>
      <c r="G50" s="10"/>
    </row>
    <row r="51" customFormat="false" ht="15" hidden="false" customHeight="true" outlineLevel="0" collapsed="false">
      <c r="A51" s="12"/>
      <c r="B51" s="10"/>
      <c r="C51" s="15" t="str">
        <f aca="false">IF($B51="","",IFERROR(INDEX(회원명부!$B$3:$B$502,MATCH($B51,회원명부!$A$3:$A$502,0)),"미등록회원"))</f>
        <v/>
      </c>
      <c r="D51" s="13"/>
      <c r="E51" s="10"/>
      <c r="F51" s="10"/>
      <c r="G51" s="10"/>
    </row>
    <row r="52" customFormat="false" ht="15" hidden="false" customHeight="true" outlineLevel="0" collapsed="false">
      <c r="A52" s="12"/>
      <c r="B52" s="10"/>
      <c r="C52" s="15" t="str">
        <f aca="false">IF($B52="","",IFERROR(INDEX(회원명부!$B$3:$B$502,MATCH($B52,회원명부!$A$3:$A$502,0)),"미등록회원"))</f>
        <v/>
      </c>
      <c r="D52" s="13"/>
      <c r="E52" s="10"/>
      <c r="F52" s="10"/>
      <c r="G52" s="10"/>
    </row>
    <row r="53" customFormat="false" ht="15" hidden="false" customHeight="true" outlineLevel="0" collapsed="false">
      <c r="A53" s="12"/>
      <c r="B53" s="10"/>
      <c r="C53" s="15" t="str">
        <f aca="false">IF($B53="","",IFERROR(INDEX(회원명부!$B$3:$B$502,MATCH($B53,회원명부!$A$3:$A$502,0)),"미등록회원"))</f>
        <v/>
      </c>
      <c r="D53" s="13"/>
      <c r="E53" s="10"/>
      <c r="F53" s="10"/>
      <c r="G53" s="10"/>
    </row>
    <row r="54" customFormat="false" ht="15" hidden="false" customHeight="true" outlineLevel="0" collapsed="false">
      <c r="A54" s="12"/>
      <c r="B54" s="10"/>
      <c r="C54" s="15" t="str">
        <f aca="false">IF($B54="","",IFERROR(INDEX(회원명부!$B$3:$B$502,MATCH($B54,회원명부!$A$3:$A$502,0)),"미등록회원"))</f>
        <v/>
      </c>
      <c r="D54" s="13"/>
      <c r="E54" s="10"/>
      <c r="F54" s="10"/>
      <c r="G54" s="10"/>
    </row>
    <row r="55" customFormat="false" ht="15" hidden="false" customHeight="true" outlineLevel="0" collapsed="false">
      <c r="A55" s="12"/>
      <c r="B55" s="10"/>
      <c r="C55" s="15" t="str">
        <f aca="false">IF($B55="","",IFERROR(INDEX(회원명부!$B$3:$B$502,MATCH($B55,회원명부!$A$3:$A$502,0)),"미등록회원"))</f>
        <v/>
      </c>
      <c r="D55" s="13"/>
      <c r="E55" s="10"/>
      <c r="F55" s="10"/>
      <c r="G55" s="10"/>
    </row>
    <row r="56" customFormat="false" ht="15" hidden="false" customHeight="true" outlineLevel="0" collapsed="false">
      <c r="A56" s="12"/>
      <c r="B56" s="10"/>
      <c r="C56" s="15" t="str">
        <f aca="false">IF($B56="","",IFERROR(INDEX(회원명부!$B$3:$B$502,MATCH($B56,회원명부!$A$3:$A$502,0)),"미등록회원"))</f>
        <v/>
      </c>
      <c r="D56" s="13"/>
      <c r="E56" s="10"/>
      <c r="F56" s="10"/>
      <c r="G56" s="10"/>
    </row>
    <row r="57" customFormat="false" ht="15" hidden="false" customHeight="true" outlineLevel="0" collapsed="false">
      <c r="A57" s="12"/>
      <c r="B57" s="10"/>
      <c r="C57" s="15" t="str">
        <f aca="false">IF($B57="","",IFERROR(INDEX(회원명부!$B$3:$B$502,MATCH($B57,회원명부!$A$3:$A$502,0)),"미등록회원"))</f>
        <v/>
      </c>
      <c r="D57" s="13"/>
      <c r="E57" s="10"/>
      <c r="F57" s="10"/>
      <c r="G57" s="10"/>
    </row>
    <row r="58" customFormat="false" ht="15" hidden="false" customHeight="true" outlineLevel="0" collapsed="false">
      <c r="A58" s="12"/>
      <c r="B58" s="10"/>
      <c r="C58" s="15" t="str">
        <f aca="false">IF($B58="","",IFERROR(INDEX(회원명부!$B$3:$B$502,MATCH($B58,회원명부!$A$3:$A$502,0)),"미등록회원"))</f>
        <v/>
      </c>
      <c r="D58" s="13"/>
      <c r="E58" s="10"/>
      <c r="F58" s="10"/>
      <c r="G58" s="10"/>
    </row>
    <row r="59" customFormat="false" ht="15" hidden="false" customHeight="true" outlineLevel="0" collapsed="false">
      <c r="A59" s="12"/>
      <c r="B59" s="10"/>
      <c r="C59" s="15" t="str">
        <f aca="false">IF($B59="","",IFERROR(INDEX(회원명부!$B$3:$B$502,MATCH($B59,회원명부!$A$3:$A$502,0)),"미등록회원"))</f>
        <v/>
      </c>
      <c r="D59" s="13"/>
      <c r="E59" s="10"/>
      <c r="F59" s="10"/>
      <c r="G59" s="10"/>
    </row>
    <row r="60" customFormat="false" ht="15" hidden="false" customHeight="true" outlineLevel="0" collapsed="false">
      <c r="A60" s="12"/>
      <c r="B60" s="10"/>
      <c r="C60" s="15" t="str">
        <f aca="false">IF($B60="","",IFERROR(INDEX(회원명부!$B$3:$B$502,MATCH($B60,회원명부!$A$3:$A$502,0)),"미등록회원"))</f>
        <v/>
      </c>
      <c r="D60" s="13"/>
      <c r="E60" s="10"/>
      <c r="F60" s="10"/>
      <c r="G60" s="10"/>
    </row>
    <row r="61" customFormat="false" ht="15" hidden="false" customHeight="true" outlineLevel="0" collapsed="false">
      <c r="A61" s="12"/>
      <c r="B61" s="10"/>
      <c r="C61" s="15" t="str">
        <f aca="false">IF($B61="","",IFERROR(INDEX(회원명부!$B$3:$B$502,MATCH($B61,회원명부!$A$3:$A$502,0)),"미등록회원"))</f>
        <v/>
      </c>
      <c r="D61" s="13"/>
      <c r="E61" s="10"/>
      <c r="F61" s="10"/>
      <c r="G61" s="10"/>
    </row>
    <row r="62" customFormat="false" ht="15" hidden="false" customHeight="true" outlineLevel="0" collapsed="false">
      <c r="A62" s="12"/>
      <c r="B62" s="10"/>
      <c r="C62" s="15" t="str">
        <f aca="false">IF($B62="","",IFERROR(INDEX(회원명부!$B$3:$B$502,MATCH($B62,회원명부!$A$3:$A$502,0)),"미등록회원"))</f>
        <v/>
      </c>
      <c r="D62" s="13"/>
      <c r="E62" s="10"/>
      <c r="F62" s="10"/>
      <c r="G62" s="10"/>
    </row>
    <row r="63" customFormat="false" ht="15" hidden="false" customHeight="true" outlineLevel="0" collapsed="false">
      <c r="A63" s="12"/>
      <c r="B63" s="10"/>
      <c r="C63" s="15" t="str">
        <f aca="false">IF($B63="","",IFERROR(INDEX(회원명부!$B$3:$B$502,MATCH($B63,회원명부!$A$3:$A$502,0)),"미등록회원"))</f>
        <v/>
      </c>
      <c r="D63" s="13"/>
      <c r="E63" s="10"/>
      <c r="F63" s="10"/>
      <c r="G63" s="10"/>
    </row>
    <row r="64" customFormat="false" ht="15" hidden="false" customHeight="true" outlineLevel="0" collapsed="false">
      <c r="A64" s="12"/>
      <c r="B64" s="10"/>
      <c r="C64" s="15" t="str">
        <f aca="false">IF($B64="","",IFERROR(INDEX(회원명부!$B$3:$B$502,MATCH($B64,회원명부!$A$3:$A$502,0)),"미등록회원"))</f>
        <v/>
      </c>
      <c r="D64" s="13"/>
      <c r="E64" s="10"/>
      <c r="F64" s="10"/>
      <c r="G64" s="10"/>
    </row>
    <row r="65" customFormat="false" ht="15" hidden="false" customHeight="true" outlineLevel="0" collapsed="false">
      <c r="A65" s="12"/>
      <c r="B65" s="10"/>
      <c r="C65" s="15" t="str">
        <f aca="false">IF($B65="","",IFERROR(INDEX(회원명부!$B$3:$B$502,MATCH($B65,회원명부!$A$3:$A$502,0)),"미등록회원"))</f>
        <v/>
      </c>
      <c r="D65" s="13"/>
      <c r="E65" s="10"/>
      <c r="F65" s="10"/>
      <c r="G65" s="10"/>
    </row>
    <row r="66" customFormat="false" ht="15" hidden="false" customHeight="true" outlineLevel="0" collapsed="false">
      <c r="A66" s="12"/>
      <c r="B66" s="10"/>
      <c r="C66" s="15" t="str">
        <f aca="false">IF($B66="","",IFERROR(INDEX(회원명부!$B$3:$B$502,MATCH($B66,회원명부!$A$3:$A$502,0)),"미등록회원"))</f>
        <v/>
      </c>
      <c r="D66" s="13"/>
      <c r="E66" s="10"/>
      <c r="F66" s="10"/>
      <c r="G66" s="10"/>
    </row>
    <row r="67" customFormat="false" ht="15" hidden="false" customHeight="true" outlineLevel="0" collapsed="false">
      <c r="A67" s="12"/>
      <c r="B67" s="10"/>
      <c r="C67" s="15" t="str">
        <f aca="false">IF($B67="","",IFERROR(INDEX(회원명부!$B$3:$B$502,MATCH($B67,회원명부!$A$3:$A$502,0)),"미등록회원"))</f>
        <v/>
      </c>
      <c r="D67" s="13"/>
      <c r="E67" s="10"/>
      <c r="F67" s="10"/>
      <c r="G67" s="10"/>
    </row>
    <row r="68" customFormat="false" ht="15" hidden="false" customHeight="true" outlineLevel="0" collapsed="false">
      <c r="A68" s="12"/>
      <c r="B68" s="10"/>
      <c r="C68" s="15" t="str">
        <f aca="false">IF($B68="","",IFERROR(INDEX(회원명부!$B$3:$B$502,MATCH($B68,회원명부!$A$3:$A$502,0)),"미등록회원"))</f>
        <v/>
      </c>
      <c r="D68" s="13"/>
      <c r="E68" s="10"/>
      <c r="F68" s="10"/>
      <c r="G68" s="10"/>
    </row>
    <row r="69" customFormat="false" ht="15" hidden="false" customHeight="true" outlineLevel="0" collapsed="false">
      <c r="A69" s="12"/>
      <c r="B69" s="10"/>
      <c r="C69" s="15" t="str">
        <f aca="false">IF($B69="","",IFERROR(INDEX(회원명부!$B$3:$B$502,MATCH($B69,회원명부!$A$3:$A$502,0)),"미등록회원"))</f>
        <v/>
      </c>
      <c r="D69" s="13"/>
      <c r="E69" s="10"/>
      <c r="F69" s="10"/>
      <c r="G69" s="10"/>
    </row>
    <row r="70" customFormat="false" ht="15" hidden="false" customHeight="true" outlineLevel="0" collapsed="false">
      <c r="A70" s="12"/>
      <c r="B70" s="10"/>
      <c r="C70" s="15" t="str">
        <f aca="false">IF($B70="","",IFERROR(INDEX(회원명부!$B$3:$B$502,MATCH($B70,회원명부!$A$3:$A$502,0)),"미등록회원"))</f>
        <v/>
      </c>
      <c r="D70" s="13"/>
      <c r="E70" s="10"/>
      <c r="F70" s="10"/>
      <c r="G70" s="10"/>
    </row>
    <row r="71" customFormat="false" ht="15" hidden="false" customHeight="true" outlineLevel="0" collapsed="false">
      <c r="A71" s="12"/>
      <c r="B71" s="10"/>
      <c r="C71" s="15" t="str">
        <f aca="false">IF($B71="","",IFERROR(INDEX(회원명부!$B$3:$B$502,MATCH($B71,회원명부!$A$3:$A$502,0)),"미등록회원"))</f>
        <v/>
      </c>
      <c r="D71" s="13"/>
      <c r="E71" s="10"/>
      <c r="F71" s="10"/>
      <c r="G71" s="10"/>
    </row>
    <row r="72" customFormat="false" ht="15" hidden="false" customHeight="true" outlineLevel="0" collapsed="false">
      <c r="A72" s="12"/>
      <c r="B72" s="10"/>
      <c r="C72" s="15" t="str">
        <f aca="false">IF($B72="","",IFERROR(INDEX(회원명부!$B$3:$B$502,MATCH($B72,회원명부!$A$3:$A$502,0)),"미등록회원"))</f>
        <v/>
      </c>
      <c r="D72" s="13"/>
      <c r="E72" s="10"/>
      <c r="F72" s="10"/>
      <c r="G72" s="10"/>
    </row>
    <row r="73" customFormat="false" ht="15" hidden="false" customHeight="true" outlineLevel="0" collapsed="false">
      <c r="A73" s="12"/>
      <c r="B73" s="10"/>
      <c r="C73" s="15" t="str">
        <f aca="false">IF($B73="","",IFERROR(INDEX(회원명부!$B$3:$B$502,MATCH($B73,회원명부!$A$3:$A$502,0)),"미등록회원"))</f>
        <v/>
      </c>
      <c r="D73" s="13"/>
      <c r="E73" s="10"/>
      <c r="F73" s="10"/>
      <c r="G73" s="10"/>
    </row>
    <row r="74" customFormat="false" ht="15" hidden="false" customHeight="true" outlineLevel="0" collapsed="false">
      <c r="A74" s="12"/>
      <c r="B74" s="10"/>
      <c r="C74" s="15" t="str">
        <f aca="false">IF($B74="","",IFERROR(INDEX(회원명부!$B$3:$B$502,MATCH($B74,회원명부!$A$3:$A$502,0)),"미등록회원"))</f>
        <v/>
      </c>
      <c r="D74" s="13"/>
      <c r="E74" s="10"/>
      <c r="F74" s="10"/>
      <c r="G74" s="10"/>
    </row>
    <row r="75" customFormat="false" ht="15" hidden="false" customHeight="true" outlineLevel="0" collapsed="false">
      <c r="A75" s="12"/>
      <c r="B75" s="10"/>
      <c r="C75" s="15" t="str">
        <f aca="false">IF($B75="","",IFERROR(INDEX(회원명부!$B$3:$B$502,MATCH($B75,회원명부!$A$3:$A$502,0)),"미등록회원"))</f>
        <v/>
      </c>
      <c r="D75" s="13"/>
      <c r="E75" s="10"/>
      <c r="F75" s="10"/>
      <c r="G75" s="10"/>
    </row>
    <row r="76" customFormat="false" ht="15" hidden="false" customHeight="true" outlineLevel="0" collapsed="false">
      <c r="A76" s="12"/>
      <c r="B76" s="10"/>
      <c r="C76" s="15" t="str">
        <f aca="false">IF($B76="","",IFERROR(INDEX(회원명부!$B$3:$B$502,MATCH($B76,회원명부!$A$3:$A$502,0)),"미등록회원"))</f>
        <v/>
      </c>
      <c r="D76" s="13"/>
      <c r="E76" s="10"/>
      <c r="F76" s="10"/>
      <c r="G76" s="10"/>
    </row>
    <row r="77" customFormat="false" ht="15" hidden="false" customHeight="true" outlineLevel="0" collapsed="false">
      <c r="A77" s="12"/>
      <c r="B77" s="10"/>
      <c r="C77" s="15" t="str">
        <f aca="false">IF($B77="","",IFERROR(INDEX(회원명부!$B$3:$B$502,MATCH($B77,회원명부!$A$3:$A$502,0)),"미등록회원"))</f>
        <v/>
      </c>
      <c r="D77" s="13"/>
      <c r="E77" s="10"/>
      <c r="F77" s="10"/>
      <c r="G77" s="10"/>
    </row>
    <row r="78" customFormat="false" ht="15" hidden="false" customHeight="true" outlineLevel="0" collapsed="false">
      <c r="A78" s="12"/>
      <c r="B78" s="10"/>
      <c r="C78" s="15" t="str">
        <f aca="false">IF($B78="","",IFERROR(INDEX(회원명부!$B$3:$B$502,MATCH($B78,회원명부!$A$3:$A$502,0)),"미등록회원"))</f>
        <v/>
      </c>
      <c r="D78" s="13"/>
      <c r="E78" s="10"/>
      <c r="F78" s="10"/>
      <c r="G78" s="10"/>
    </row>
    <row r="79" customFormat="false" ht="15" hidden="false" customHeight="true" outlineLevel="0" collapsed="false">
      <c r="A79" s="12"/>
      <c r="B79" s="10"/>
      <c r="C79" s="15" t="str">
        <f aca="false">IF($B79="","",IFERROR(INDEX(회원명부!$B$3:$B$502,MATCH($B79,회원명부!$A$3:$A$502,0)),"미등록회원"))</f>
        <v/>
      </c>
      <c r="D79" s="13"/>
      <c r="E79" s="10"/>
      <c r="F79" s="10"/>
      <c r="G79" s="10"/>
    </row>
    <row r="80" customFormat="false" ht="15" hidden="false" customHeight="true" outlineLevel="0" collapsed="false">
      <c r="A80" s="12"/>
      <c r="B80" s="10"/>
      <c r="C80" s="15" t="str">
        <f aca="false">IF($B80="","",IFERROR(INDEX(회원명부!$B$3:$B$502,MATCH($B80,회원명부!$A$3:$A$502,0)),"미등록회원"))</f>
        <v/>
      </c>
      <c r="D80" s="13"/>
      <c r="E80" s="10"/>
      <c r="F80" s="10"/>
      <c r="G80" s="10"/>
    </row>
    <row r="81" customFormat="false" ht="15" hidden="false" customHeight="true" outlineLevel="0" collapsed="false">
      <c r="A81" s="12"/>
      <c r="B81" s="10"/>
      <c r="C81" s="15" t="str">
        <f aca="false">IF($B81="","",IFERROR(INDEX(회원명부!$B$3:$B$502,MATCH($B81,회원명부!$A$3:$A$502,0)),"미등록회원"))</f>
        <v/>
      </c>
      <c r="D81" s="13"/>
      <c r="E81" s="10"/>
      <c r="F81" s="10"/>
      <c r="G81" s="10"/>
    </row>
    <row r="82" customFormat="false" ht="15" hidden="false" customHeight="true" outlineLevel="0" collapsed="false">
      <c r="A82" s="12"/>
      <c r="B82" s="10"/>
      <c r="C82" s="15" t="str">
        <f aca="false">IF($B82="","",IFERROR(INDEX(회원명부!$B$3:$B$502,MATCH($B82,회원명부!$A$3:$A$502,0)),"미등록회원"))</f>
        <v/>
      </c>
      <c r="D82" s="13"/>
      <c r="E82" s="10"/>
      <c r="F82" s="10"/>
      <c r="G82" s="10"/>
    </row>
    <row r="83" customFormat="false" ht="15" hidden="false" customHeight="true" outlineLevel="0" collapsed="false">
      <c r="A83" s="12"/>
      <c r="B83" s="10"/>
      <c r="C83" s="15" t="str">
        <f aca="false">IF($B83="","",IFERROR(INDEX(회원명부!$B$3:$B$502,MATCH($B83,회원명부!$A$3:$A$502,0)),"미등록회원"))</f>
        <v/>
      </c>
      <c r="D83" s="13"/>
      <c r="E83" s="10"/>
      <c r="F83" s="10"/>
      <c r="G83" s="10"/>
    </row>
    <row r="84" customFormat="false" ht="15" hidden="false" customHeight="true" outlineLevel="0" collapsed="false">
      <c r="A84" s="12"/>
      <c r="B84" s="10"/>
      <c r="C84" s="15" t="str">
        <f aca="false">IF($B84="","",IFERROR(INDEX(회원명부!$B$3:$B$502,MATCH($B84,회원명부!$A$3:$A$502,0)),"미등록회원"))</f>
        <v/>
      </c>
      <c r="D84" s="13"/>
      <c r="E84" s="10"/>
      <c r="F84" s="10"/>
      <c r="G84" s="10"/>
    </row>
    <row r="85" customFormat="false" ht="15" hidden="false" customHeight="true" outlineLevel="0" collapsed="false">
      <c r="A85" s="12"/>
      <c r="B85" s="10"/>
      <c r="C85" s="15" t="str">
        <f aca="false">IF($B85="","",IFERROR(INDEX(회원명부!$B$3:$B$502,MATCH($B85,회원명부!$A$3:$A$502,0)),"미등록회원"))</f>
        <v/>
      </c>
      <c r="D85" s="13"/>
      <c r="E85" s="10"/>
      <c r="F85" s="10"/>
      <c r="G85" s="10"/>
    </row>
    <row r="86" customFormat="false" ht="15" hidden="false" customHeight="true" outlineLevel="0" collapsed="false">
      <c r="A86" s="12"/>
      <c r="B86" s="10"/>
      <c r="C86" s="15" t="str">
        <f aca="false">IF($B86="","",IFERROR(INDEX(회원명부!$B$3:$B$502,MATCH($B86,회원명부!$A$3:$A$502,0)),"미등록회원"))</f>
        <v/>
      </c>
      <c r="D86" s="13"/>
      <c r="E86" s="10"/>
      <c r="F86" s="10"/>
      <c r="G86" s="10"/>
    </row>
    <row r="87" customFormat="false" ht="15" hidden="false" customHeight="true" outlineLevel="0" collapsed="false">
      <c r="A87" s="12"/>
      <c r="B87" s="10"/>
      <c r="C87" s="15" t="str">
        <f aca="false">IF($B87="","",IFERROR(INDEX(회원명부!$B$3:$B$502,MATCH($B87,회원명부!$A$3:$A$502,0)),"미등록회원"))</f>
        <v/>
      </c>
      <c r="D87" s="13"/>
      <c r="E87" s="10"/>
      <c r="F87" s="10"/>
      <c r="G87" s="10"/>
    </row>
    <row r="88" customFormat="false" ht="15" hidden="false" customHeight="true" outlineLevel="0" collapsed="false">
      <c r="A88" s="12"/>
      <c r="B88" s="10"/>
      <c r="C88" s="15" t="str">
        <f aca="false">IF($B88="","",IFERROR(INDEX(회원명부!$B$3:$B$502,MATCH($B88,회원명부!$A$3:$A$502,0)),"미등록회원"))</f>
        <v/>
      </c>
      <c r="D88" s="13"/>
      <c r="E88" s="10"/>
      <c r="F88" s="10"/>
      <c r="G88" s="10"/>
    </row>
    <row r="89" customFormat="false" ht="15" hidden="false" customHeight="true" outlineLevel="0" collapsed="false">
      <c r="A89" s="12"/>
      <c r="B89" s="10"/>
      <c r="C89" s="15" t="str">
        <f aca="false">IF($B89="","",IFERROR(INDEX(회원명부!$B$3:$B$502,MATCH($B89,회원명부!$A$3:$A$502,0)),"미등록회원"))</f>
        <v/>
      </c>
      <c r="D89" s="13"/>
      <c r="E89" s="10"/>
      <c r="F89" s="10"/>
      <c r="G89" s="10"/>
    </row>
    <row r="90" customFormat="false" ht="15" hidden="false" customHeight="true" outlineLevel="0" collapsed="false">
      <c r="A90" s="12"/>
      <c r="B90" s="10"/>
      <c r="C90" s="15" t="str">
        <f aca="false">IF($B90="","",IFERROR(INDEX(회원명부!$B$3:$B$502,MATCH($B90,회원명부!$A$3:$A$502,0)),"미등록회원"))</f>
        <v/>
      </c>
      <c r="D90" s="13"/>
      <c r="E90" s="10"/>
      <c r="F90" s="10"/>
      <c r="G90" s="10"/>
    </row>
    <row r="91" customFormat="false" ht="15" hidden="false" customHeight="true" outlineLevel="0" collapsed="false">
      <c r="A91" s="12"/>
      <c r="B91" s="10"/>
      <c r="C91" s="15" t="str">
        <f aca="false">IF($B91="","",IFERROR(INDEX(회원명부!$B$3:$B$502,MATCH($B91,회원명부!$A$3:$A$502,0)),"미등록회원"))</f>
        <v/>
      </c>
      <c r="D91" s="13"/>
      <c r="E91" s="10"/>
      <c r="F91" s="10"/>
      <c r="G91" s="10"/>
    </row>
    <row r="92" customFormat="false" ht="15" hidden="false" customHeight="true" outlineLevel="0" collapsed="false">
      <c r="A92" s="12"/>
      <c r="B92" s="10"/>
      <c r="C92" s="15" t="str">
        <f aca="false">IF($B92="","",IFERROR(INDEX(회원명부!$B$3:$B$502,MATCH($B92,회원명부!$A$3:$A$502,0)),"미등록회원"))</f>
        <v/>
      </c>
      <c r="D92" s="13"/>
      <c r="E92" s="10"/>
      <c r="F92" s="10"/>
      <c r="G92" s="10"/>
    </row>
    <row r="93" customFormat="false" ht="15" hidden="false" customHeight="true" outlineLevel="0" collapsed="false">
      <c r="A93" s="12"/>
      <c r="B93" s="10"/>
      <c r="C93" s="15" t="str">
        <f aca="false">IF($B93="","",IFERROR(INDEX(회원명부!$B$3:$B$502,MATCH($B93,회원명부!$A$3:$A$502,0)),"미등록회원"))</f>
        <v/>
      </c>
      <c r="D93" s="13"/>
      <c r="E93" s="10"/>
      <c r="F93" s="10"/>
      <c r="G93" s="10"/>
    </row>
    <row r="94" customFormat="false" ht="15" hidden="false" customHeight="true" outlineLevel="0" collapsed="false">
      <c r="A94" s="12"/>
      <c r="B94" s="10"/>
      <c r="C94" s="15" t="str">
        <f aca="false">IF($B94="","",IFERROR(INDEX(회원명부!$B$3:$B$502,MATCH($B94,회원명부!$A$3:$A$502,0)),"미등록회원"))</f>
        <v/>
      </c>
      <c r="D94" s="13"/>
      <c r="E94" s="10"/>
      <c r="F94" s="10"/>
      <c r="G94" s="10"/>
    </row>
    <row r="95" customFormat="false" ht="15" hidden="false" customHeight="true" outlineLevel="0" collapsed="false">
      <c r="A95" s="12"/>
      <c r="B95" s="10"/>
      <c r="C95" s="15" t="str">
        <f aca="false">IF($B95="","",IFERROR(INDEX(회원명부!$B$3:$B$502,MATCH($B95,회원명부!$A$3:$A$502,0)),"미등록회원"))</f>
        <v/>
      </c>
      <c r="D95" s="13"/>
      <c r="E95" s="10"/>
      <c r="F95" s="10"/>
      <c r="G95" s="10"/>
    </row>
    <row r="96" customFormat="false" ht="15" hidden="false" customHeight="true" outlineLevel="0" collapsed="false">
      <c r="A96" s="12"/>
      <c r="B96" s="10"/>
      <c r="C96" s="15" t="str">
        <f aca="false">IF($B96="","",IFERROR(INDEX(회원명부!$B$3:$B$502,MATCH($B96,회원명부!$A$3:$A$502,0)),"미등록회원"))</f>
        <v/>
      </c>
      <c r="D96" s="13"/>
      <c r="E96" s="10"/>
      <c r="F96" s="10"/>
      <c r="G96" s="10"/>
    </row>
    <row r="97" customFormat="false" ht="15" hidden="false" customHeight="true" outlineLevel="0" collapsed="false">
      <c r="A97" s="12"/>
      <c r="B97" s="10"/>
      <c r="C97" s="15" t="str">
        <f aca="false">IF($B97="","",IFERROR(INDEX(회원명부!$B$3:$B$502,MATCH($B97,회원명부!$A$3:$A$502,0)),"미등록회원"))</f>
        <v/>
      </c>
      <c r="D97" s="13"/>
      <c r="E97" s="10"/>
      <c r="F97" s="10"/>
      <c r="G97" s="10"/>
    </row>
    <row r="98" customFormat="false" ht="15" hidden="false" customHeight="true" outlineLevel="0" collapsed="false">
      <c r="A98" s="12"/>
      <c r="B98" s="10"/>
      <c r="C98" s="15" t="str">
        <f aca="false">IF($B98="","",IFERROR(INDEX(회원명부!$B$3:$B$502,MATCH($B98,회원명부!$A$3:$A$502,0)),"미등록회원"))</f>
        <v/>
      </c>
      <c r="D98" s="13"/>
      <c r="E98" s="10"/>
      <c r="F98" s="10"/>
      <c r="G98" s="10"/>
    </row>
    <row r="99" customFormat="false" ht="15" hidden="false" customHeight="true" outlineLevel="0" collapsed="false">
      <c r="A99" s="12"/>
      <c r="B99" s="10"/>
      <c r="C99" s="15" t="str">
        <f aca="false">IF($B99="","",IFERROR(INDEX(회원명부!$B$3:$B$502,MATCH($B99,회원명부!$A$3:$A$502,0)),"미등록회원"))</f>
        <v/>
      </c>
      <c r="D99" s="13"/>
      <c r="E99" s="10"/>
      <c r="F99" s="10"/>
      <c r="G99" s="10"/>
    </row>
    <row r="100" customFormat="false" ht="15" hidden="false" customHeight="true" outlineLevel="0" collapsed="false">
      <c r="A100" s="12"/>
      <c r="B100" s="10"/>
      <c r="C100" s="15" t="str">
        <f aca="false">IF($B100="","",IFERROR(INDEX(회원명부!$B$3:$B$502,MATCH($B100,회원명부!$A$3:$A$502,0)),"미등록회원"))</f>
        <v/>
      </c>
      <c r="D100" s="13"/>
      <c r="E100" s="10"/>
      <c r="F100" s="10"/>
      <c r="G100" s="10"/>
    </row>
    <row r="101" customFormat="false" ht="15" hidden="false" customHeight="true" outlineLevel="0" collapsed="false">
      <c r="A101" s="12"/>
      <c r="B101" s="10"/>
      <c r="C101" s="15" t="str">
        <f aca="false">IF($B101="","",IFERROR(INDEX(회원명부!$B$3:$B$502,MATCH($B101,회원명부!$A$3:$A$502,0)),"미등록회원"))</f>
        <v/>
      </c>
      <c r="D101" s="13"/>
      <c r="E101" s="10"/>
      <c r="F101" s="10"/>
      <c r="G101" s="10"/>
    </row>
    <row r="102" customFormat="false" ht="15" hidden="false" customHeight="true" outlineLevel="0" collapsed="false">
      <c r="A102" s="12"/>
      <c r="B102" s="10"/>
      <c r="C102" s="15" t="str">
        <f aca="false">IF($B102="","",IFERROR(INDEX(회원명부!$B$3:$B$502,MATCH($B102,회원명부!$A$3:$A$502,0)),"미등록회원"))</f>
        <v/>
      </c>
      <c r="D102" s="13"/>
      <c r="E102" s="10"/>
      <c r="F102" s="10"/>
      <c r="G102" s="10"/>
    </row>
    <row r="103" customFormat="false" ht="15" hidden="false" customHeight="true" outlineLevel="0" collapsed="false">
      <c r="A103" s="12"/>
      <c r="B103" s="10"/>
      <c r="C103" s="15" t="str">
        <f aca="false">IF($B103="","",IFERROR(INDEX(회원명부!$B$3:$B$502,MATCH($B103,회원명부!$A$3:$A$502,0)),"미등록회원"))</f>
        <v/>
      </c>
      <c r="D103" s="13"/>
      <c r="E103" s="10"/>
      <c r="F103" s="10"/>
      <c r="G103" s="10"/>
    </row>
    <row r="104" customFormat="false" ht="15" hidden="false" customHeight="true" outlineLevel="0" collapsed="false">
      <c r="A104" s="12"/>
      <c r="B104" s="10"/>
      <c r="C104" s="15" t="str">
        <f aca="false">IF($B104="","",IFERROR(INDEX(회원명부!$B$3:$B$502,MATCH($B104,회원명부!$A$3:$A$502,0)),"미등록회원"))</f>
        <v/>
      </c>
      <c r="D104" s="13"/>
      <c r="E104" s="10"/>
      <c r="F104" s="10"/>
      <c r="G104" s="10"/>
    </row>
    <row r="105" customFormat="false" ht="15" hidden="false" customHeight="true" outlineLevel="0" collapsed="false">
      <c r="A105" s="12"/>
      <c r="B105" s="10"/>
      <c r="C105" s="15" t="str">
        <f aca="false">IF($B105="","",IFERROR(INDEX(회원명부!$B$3:$B$502,MATCH($B105,회원명부!$A$3:$A$502,0)),"미등록회원"))</f>
        <v/>
      </c>
      <c r="D105" s="13"/>
      <c r="E105" s="10"/>
      <c r="F105" s="10"/>
      <c r="G105" s="10"/>
    </row>
    <row r="106" customFormat="false" ht="15" hidden="false" customHeight="true" outlineLevel="0" collapsed="false">
      <c r="A106" s="12"/>
      <c r="B106" s="10"/>
      <c r="C106" s="15" t="str">
        <f aca="false">IF($B106="","",IFERROR(INDEX(회원명부!$B$3:$B$502,MATCH($B106,회원명부!$A$3:$A$502,0)),"미등록회원"))</f>
        <v/>
      </c>
      <c r="D106" s="13"/>
      <c r="E106" s="10"/>
      <c r="F106" s="10"/>
      <c r="G106" s="10"/>
    </row>
    <row r="107" customFormat="false" ht="15" hidden="false" customHeight="true" outlineLevel="0" collapsed="false">
      <c r="A107" s="12"/>
      <c r="B107" s="10"/>
      <c r="C107" s="15" t="str">
        <f aca="false">IF($B107="","",IFERROR(INDEX(회원명부!$B$3:$B$502,MATCH($B107,회원명부!$A$3:$A$502,0)),"미등록회원"))</f>
        <v/>
      </c>
      <c r="D107" s="13"/>
      <c r="E107" s="10"/>
      <c r="F107" s="10"/>
      <c r="G107" s="10"/>
    </row>
    <row r="108" customFormat="false" ht="15" hidden="false" customHeight="true" outlineLevel="0" collapsed="false">
      <c r="A108" s="12"/>
      <c r="B108" s="10"/>
      <c r="C108" s="15" t="str">
        <f aca="false">IF($B108="","",IFERROR(INDEX(회원명부!$B$3:$B$502,MATCH($B108,회원명부!$A$3:$A$502,0)),"미등록회원"))</f>
        <v/>
      </c>
      <c r="D108" s="13"/>
      <c r="E108" s="10"/>
      <c r="F108" s="10"/>
      <c r="G108" s="10"/>
    </row>
    <row r="109" customFormat="false" ht="15" hidden="false" customHeight="true" outlineLevel="0" collapsed="false">
      <c r="A109" s="12"/>
      <c r="B109" s="10"/>
      <c r="C109" s="15" t="str">
        <f aca="false">IF($B109="","",IFERROR(INDEX(회원명부!$B$3:$B$502,MATCH($B109,회원명부!$A$3:$A$502,0)),"미등록회원"))</f>
        <v/>
      </c>
      <c r="D109" s="13"/>
      <c r="E109" s="10"/>
      <c r="F109" s="10"/>
      <c r="G109" s="10"/>
    </row>
    <row r="110" customFormat="false" ht="15" hidden="false" customHeight="true" outlineLevel="0" collapsed="false">
      <c r="A110" s="12"/>
      <c r="B110" s="10"/>
      <c r="C110" s="15" t="str">
        <f aca="false">IF($B110="","",IFERROR(INDEX(회원명부!$B$3:$B$502,MATCH($B110,회원명부!$A$3:$A$502,0)),"미등록회원"))</f>
        <v/>
      </c>
      <c r="D110" s="13"/>
      <c r="E110" s="10"/>
      <c r="F110" s="10"/>
      <c r="G110" s="10"/>
    </row>
    <row r="111" customFormat="false" ht="15" hidden="false" customHeight="true" outlineLevel="0" collapsed="false">
      <c r="A111" s="12"/>
      <c r="B111" s="10"/>
      <c r="C111" s="15" t="str">
        <f aca="false">IF($B111="","",IFERROR(INDEX(회원명부!$B$3:$B$502,MATCH($B111,회원명부!$A$3:$A$502,0)),"미등록회원"))</f>
        <v/>
      </c>
      <c r="D111" s="13"/>
      <c r="E111" s="10"/>
      <c r="F111" s="10"/>
      <c r="G111" s="10"/>
    </row>
    <row r="112" customFormat="false" ht="15" hidden="false" customHeight="true" outlineLevel="0" collapsed="false">
      <c r="A112" s="12"/>
      <c r="B112" s="10"/>
      <c r="C112" s="15" t="str">
        <f aca="false">IF($B112="","",IFERROR(INDEX(회원명부!$B$3:$B$502,MATCH($B112,회원명부!$A$3:$A$502,0)),"미등록회원"))</f>
        <v/>
      </c>
      <c r="D112" s="13"/>
      <c r="E112" s="10"/>
      <c r="F112" s="10"/>
      <c r="G112" s="10"/>
    </row>
    <row r="113" customFormat="false" ht="15" hidden="false" customHeight="true" outlineLevel="0" collapsed="false">
      <c r="A113" s="12"/>
      <c r="B113" s="10"/>
      <c r="C113" s="15" t="str">
        <f aca="false">IF($B113="","",IFERROR(INDEX(회원명부!$B$3:$B$502,MATCH($B113,회원명부!$A$3:$A$502,0)),"미등록회원"))</f>
        <v/>
      </c>
      <c r="D113" s="13"/>
      <c r="E113" s="10"/>
      <c r="F113" s="10"/>
      <c r="G113" s="10"/>
    </row>
    <row r="114" customFormat="false" ht="15" hidden="false" customHeight="true" outlineLevel="0" collapsed="false">
      <c r="A114" s="12"/>
      <c r="B114" s="10"/>
      <c r="C114" s="15" t="str">
        <f aca="false">IF($B114="","",IFERROR(INDEX(회원명부!$B$3:$B$502,MATCH($B114,회원명부!$A$3:$A$502,0)),"미등록회원"))</f>
        <v/>
      </c>
      <c r="D114" s="13"/>
      <c r="E114" s="10"/>
      <c r="F114" s="10"/>
      <c r="G114" s="10"/>
    </row>
    <row r="115" customFormat="false" ht="15" hidden="false" customHeight="true" outlineLevel="0" collapsed="false">
      <c r="A115" s="12"/>
      <c r="B115" s="10"/>
      <c r="C115" s="15" t="str">
        <f aca="false">IF($B115="","",IFERROR(INDEX(회원명부!$B$3:$B$502,MATCH($B115,회원명부!$A$3:$A$502,0)),"미등록회원"))</f>
        <v/>
      </c>
      <c r="D115" s="13"/>
      <c r="E115" s="10"/>
      <c r="F115" s="10"/>
      <c r="G115" s="10"/>
    </row>
    <row r="116" customFormat="false" ht="15" hidden="false" customHeight="true" outlineLevel="0" collapsed="false">
      <c r="A116" s="12"/>
      <c r="B116" s="10"/>
      <c r="C116" s="15" t="str">
        <f aca="false">IF($B116="","",IFERROR(INDEX(회원명부!$B$3:$B$502,MATCH($B116,회원명부!$A$3:$A$502,0)),"미등록회원"))</f>
        <v/>
      </c>
      <c r="D116" s="13"/>
      <c r="E116" s="10"/>
      <c r="F116" s="10"/>
      <c r="G116" s="10"/>
    </row>
    <row r="117" customFormat="false" ht="15" hidden="false" customHeight="true" outlineLevel="0" collapsed="false">
      <c r="A117" s="12"/>
      <c r="B117" s="10"/>
      <c r="C117" s="15" t="str">
        <f aca="false">IF($B117="","",IFERROR(INDEX(회원명부!$B$3:$B$502,MATCH($B117,회원명부!$A$3:$A$502,0)),"미등록회원"))</f>
        <v/>
      </c>
      <c r="D117" s="13"/>
      <c r="E117" s="10"/>
      <c r="F117" s="10"/>
      <c r="G117" s="10"/>
    </row>
    <row r="118" customFormat="false" ht="15" hidden="false" customHeight="true" outlineLevel="0" collapsed="false">
      <c r="A118" s="12"/>
      <c r="B118" s="10"/>
      <c r="C118" s="15" t="str">
        <f aca="false">IF($B118="","",IFERROR(INDEX(회원명부!$B$3:$B$502,MATCH($B118,회원명부!$A$3:$A$502,0)),"미등록회원"))</f>
        <v/>
      </c>
      <c r="D118" s="13"/>
      <c r="E118" s="10"/>
      <c r="F118" s="10"/>
      <c r="G118" s="10"/>
    </row>
    <row r="119" customFormat="false" ht="15" hidden="false" customHeight="true" outlineLevel="0" collapsed="false">
      <c r="A119" s="12"/>
      <c r="B119" s="10"/>
      <c r="C119" s="15" t="str">
        <f aca="false">IF($B119="","",IFERROR(INDEX(회원명부!$B$3:$B$502,MATCH($B119,회원명부!$A$3:$A$502,0)),"미등록회원"))</f>
        <v/>
      </c>
      <c r="D119" s="13"/>
      <c r="E119" s="10"/>
      <c r="F119" s="10"/>
      <c r="G119" s="10"/>
    </row>
    <row r="120" customFormat="false" ht="15" hidden="false" customHeight="true" outlineLevel="0" collapsed="false">
      <c r="A120" s="12"/>
      <c r="B120" s="10"/>
      <c r="C120" s="15" t="str">
        <f aca="false">IF($B120="","",IFERROR(INDEX(회원명부!$B$3:$B$502,MATCH($B120,회원명부!$A$3:$A$502,0)),"미등록회원"))</f>
        <v/>
      </c>
      <c r="D120" s="13"/>
      <c r="E120" s="10"/>
      <c r="F120" s="10"/>
      <c r="G120" s="10"/>
    </row>
    <row r="121" customFormat="false" ht="15" hidden="false" customHeight="true" outlineLevel="0" collapsed="false">
      <c r="A121" s="12"/>
      <c r="B121" s="10"/>
      <c r="C121" s="15" t="str">
        <f aca="false">IF($B121="","",IFERROR(INDEX(회원명부!$B$3:$B$502,MATCH($B121,회원명부!$A$3:$A$502,0)),"미등록회원"))</f>
        <v/>
      </c>
      <c r="D121" s="13"/>
      <c r="E121" s="10"/>
      <c r="F121" s="10"/>
      <c r="G121" s="10"/>
    </row>
    <row r="122" customFormat="false" ht="15" hidden="false" customHeight="true" outlineLevel="0" collapsed="false">
      <c r="A122" s="12"/>
      <c r="B122" s="10"/>
      <c r="C122" s="15" t="str">
        <f aca="false">IF($B122="","",IFERROR(INDEX(회원명부!$B$3:$B$502,MATCH($B122,회원명부!$A$3:$A$502,0)),"미등록회원"))</f>
        <v/>
      </c>
      <c r="D122" s="13"/>
      <c r="E122" s="10"/>
      <c r="F122" s="10"/>
      <c r="G122" s="10"/>
    </row>
    <row r="123" customFormat="false" ht="15" hidden="false" customHeight="true" outlineLevel="0" collapsed="false">
      <c r="A123" s="12"/>
      <c r="B123" s="10"/>
      <c r="C123" s="15" t="str">
        <f aca="false">IF($B123="","",IFERROR(INDEX(회원명부!$B$3:$B$502,MATCH($B123,회원명부!$A$3:$A$502,0)),"미등록회원"))</f>
        <v/>
      </c>
      <c r="D123" s="13"/>
      <c r="E123" s="10"/>
      <c r="F123" s="10"/>
      <c r="G123" s="10"/>
    </row>
    <row r="124" customFormat="false" ht="15" hidden="false" customHeight="true" outlineLevel="0" collapsed="false">
      <c r="A124" s="12"/>
      <c r="B124" s="10"/>
      <c r="C124" s="15" t="str">
        <f aca="false">IF($B124="","",IFERROR(INDEX(회원명부!$B$3:$B$502,MATCH($B124,회원명부!$A$3:$A$502,0)),"미등록회원"))</f>
        <v/>
      </c>
      <c r="D124" s="13"/>
      <c r="E124" s="10"/>
      <c r="F124" s="10"/>
      <c r="G124" s="10"/>
    </row>
    <row r="125" customFormat="false" ht="15" hidden="false" customHeight="true" outlineLevel="0" collapsed="false">
      <c r="A125" s="12"/>
      <c r="B125" s="10"/>
      <c r="C125" s="15" t="str">
        <f aca="false">IF($B125="","",IFERROR(INDEX(회원명부!$B$3:$B$502,MATCH($B125,회원명부!$A$3:$A$502,0)),"미등록회원"))</f>
        <v/>
      </c>
      <c r="D125" s="13"/>
      <c r="E125" s="10"/>
      <c r="F125" s="10"/>
      <c r="G125" s="10"/>
    </row>
    <row r="126" customFormat="false" ht="15" hidden="false" customHeight="true" outlineLevel="0" collapsed="false">
      <c r="A126" s="12"/>
      <c r="B126" s="10"/>
      <c r="C126" s="15" t="str">
        <f aca="false">IF($B126="","",IFERROR(INDEX(회원명부!$B$3:$B$502,MATCH($B126,회원명부!$A$3:$A$502,0)),"미등록회원"))</f>
        <v/>
      </c>
      <c r="D126" s="13"/>
      <c r="E126" s="10"/>
      <c r="F126" s="10"/>
      <c r="G126" s="10"/>
    </row>
    <row r="127" customFormat="false" ht="15" hidden="false" customHeight="true" outlineLevel="0" collapsed="false">
      <c r="A127" s="12"/>
      <c r="B127" s="10"/>
      <c r="C127" s="15" t="str">
        <f aca="false">IF($B127="","",IFERROR(INDEX(회원명부!$B$3:$B$502,MATCH($B127,회원명부!$A$3:$A$502,0)),"미등록회원"))</f>
        <v/>
      </c>
      <c r="D127" s="13"/>
      <c r="E127" s="10"/>
      <c r="F127" s="10"/>
      <c r="G127" s="10"/>
    </row>
    <row r="128" customFormat="false" ht="15" hidden="false" customHeight="true" outlineLevel="0" collapsed="false">
      <c r="A128" s="12"/>
      <c r="B128" s="10"/>
      <c r="C128" s="15" t="str">
        <f aca="false">IF($B128="","",IFERROR(INDEX(회원명부!$B$3:$B$502,MATCH($B128,회원명부!$A$3:$A$502,0)),"미등록회원"))</f>
        <v/>
      </c>
      <c r="D128" s="13"/>
      <c r="E128" s="10"/>
      <c r="F128" s="10"/>
      <c r="G128" s="10"/>
    </row>
    <row r="129" customFormat="false" ht="15" hidden="false" customHeight="true" outlineLevel="0" collapsed="false">
      <c r="A129" s="12"/>
      <c r="B129" s="10"/>
      <c r="C129" s="15" t="str">
        <f aca="false">IF($B129="","",IFERROR(INDEX(회원명부!$B$3:$B$502,MATCH($B129,회원명부!$A$3:$A$502,0)),"미등록회원"))</f>
        <v/>
      </c>
      <c r="D129" s="13"/>
      <c r="E129" s="10"/>
      <c r="F129" s="10"/>
      <c r="G129" s="10"/>
    </row>
    <row r="130" customFormat="false" ht="15" hidden="false" customHeight="true" outlineLevel="0" collapsed="false">
      <c r="A130" s="12"/>
      <c r="B130" s="10"/>
      <c r="C130" s="15" t="str">
        <f aca="false">IF($B130="","",IFERROR(INDEX(회원명부!$B$3:$B$502,MATCH($B130,회원명부!$A$3:$A$502,0)),"미등록회원"))</f>
        <v/>
      </c>
      <c r="D130" s="13"/>
      <c r="E130" s="10"/>
      <c r="F130" s="10"/>
      <c r="G130" s="10"/>
    </row>
    <row r="131" customFormat="false" ht="15" hidden="false" customHeight="true" outlineLevel="0" collapsed="false">
      <c r="A131" s="12"/>
      <c r="B131" s="10"/>
      <c r="C131" s="15" t="str">
        <f aca="false">IF($B131="","",IFERROR(INDEX(회원명부!$B$3:$B$502,MATCH($B131,회원명부!$A$3:$A$502,0)),"미등록회원"))</f>
        <v/>
      </c>
      <c r="D131" s="13"/>
      <c r="E131" s="10"/>
      <c r="F131" s="10"/>
      <c r="G131" s="10"/>
    </row>
    <row r="132" customFormat="false" ht="15" hidden="false" customHeight="true" outlineLevel="0" collapsed="false">
      <c r="A132" s="12"/>
      <c r="B132" s="10"/>
      <c r="C132" s="15" t="str">
        <f aca="false">IF($B132="","",IFERROR(INDEX(회원명부!$B$3:$B$502,MATCH($B132,회원명부!$A$3:$A$502,0)),"미등록회원"))</f>
        <v/>
      </c>
      <c r="D132" s="13"/>
      <c r="E132" s="10"/>
      <c r="F132" s="10"/>
      <c r="G132" s="10"/>
    </row>
    <row r="133" customFormat="false" ht="15" hidden="false" customHeight="true" outlineLevel="0" collapsed="false">
      <c r="A133" s="12"/>
      <c r="B133" s="10"/>
      <c r="C133" s="15" t="str">
        <f aca="false">IF($B133="","",IFERROR(INDEX(회원명부!$B$3:$B$502,MATCH($B133,회원명부!$A$3:$A$502,0)),"미등록회원"))</f>
        <v/>
      </c>
      <c r="D133" s="13"/>
      <c r="E133" s="10"/>
      <c r="F133" s="10"/>
      <c r="G133" s="10"/>
    </row>
    <row r="134" customFormat="false" ht="15" hidden="false" customHeight="true" outlineLevel="0" collapsed="false">
      <c r="A134" s="12"/>
      <c r="B134" s="10"/>
      <c r="C134" s="15" t="str">
        <f aca="false">IF($B134="","",IFERROR(INDEX(회원명부!$B$3:$B$502,MATCH($B134,회원명부!$A$3:$A$502,0)),"미등록회원"))</f>
        <v/>
      </c>
      <c r="D134" s="13"/>
      <c r="E134" s="10"/>
      <c r="F134" s="10"/>
      <c r="G134" s="10"/>
    </row>
    <row r="135" customFormat="false" ht="15" hidden="false" customHeight="true" outlineLevel="0" collapsed="false">
      <c r="A135" s="12"/>
      <c r="B135" s="10"/>
      <c r="C135" s="15" t="str">
        <f aca="false">IF($B135="","",IFERROR(INDEX(회원명부!$B$3:$B$502,MATCH($B135,회원명부!$A$3:$A$502,0)),"미등록회원"))</f>
        <v/>
      </c>
      <c r="D135" s="13"/>
      <c r="E135" s="10"/>
      <c r="F135" s="10"/>
      <c r="G135" s="10"/>
    </row>
    <row r="136" customFormat="false" ht="15" hidden="false" customHeight="true" outlineLevel="0" collapsed="false">
      <c r="A136" s="12"/>
      <c r="B136" s="10"/>
      <c r="C136" s="15" t="str">
        <f aca="false">IF($B136="","",IFERROR(INDEX(회원명부!$B$3:$B$502,MATCH($B136,회원명부!$A$3:$A$502,0)),"미등록회원"))</f>
        <v/>
      </c>
      <c r="D136" s="13"/>
      <c r="E136" s="10"/>
      <c r="F136" s="10"/>
      <c r="G136" s="10"/>
    </row>
    <row r="137" customFormat="false" ht="15" hidden="false" customHeight="true" outlineLevel="0" collapsed="false">
      <c r="A137" s="12"/>
      <c r="B137" s="10"/>
      <c r="C137" s="15" t="str">
        <f aca="false">IF($B137="","",IFERROR(INDEX(회원명부!$B$3:$B$502,MATCH($B137,회원명부!$A$3:$A$502,0)),"미등록회원"))</f>
        <v/>
      </c>
      <c r="D137" s="13"/>
      <c r="E137" s="10"/>
      <c r="F137" s="10"/>
      <c r="G137" s="10"/>
    </row>
    <row r="138" customFormat="false" ht="15" hidden="false" customHeight="true" outlineLevel="0" collapsed="false">
      <c r="A138" s="12"/>
      <c r="B138" s="10"/>
      <c r="C138" s="15" t="str">
        <f aca="false">IF($B138="","",IFERROR(INDEX(회원명부!$B$3:$B$502,MATCH($B138,회원명부!$A$3:$A$502,0)),"미등록회원"))</f>
        <v/>
      </c>
      <c r="D138" s="13"/>
      <c r="E138" s="10"/>
      <c r="F138" s="10"/>
      <c r="G138" s="10"/>
    </row>
    <row r="139" customFormat="false" ht="15" hidden="false" customHeight="true" outlineLevel="0" collapsed="false">
      <c r="A139" s="12"/>
      <c r="B139" s="10"/>
      <c r="C139" s="15" t="str">
        <f aca="false">IF($B139="","",IFERROR(INDEX(회원명부!$B$3:$B$502,MATCH($B139,회원명부!$A$3:$A$502,0)),"미등록회원"))</f>
        <v/>
      </c>
      <c r="D139" s="13"/>
      <c r="E139" s="10"/>
      <c r="F139" s="10"/>
      <c r="G139" s="10"/>
    </row>
    <row r="140" customFormat="false" ht="15" hidden="false" customHeight="true" outlineLevel="0" collapsed="false">
      <c r="A140" s="12"/>
      <c r="B140" s="10"/>
      <c r="C140" s="15" t="str">
        <f aca="false">IF($B140="","",IFERROR(INDEX(회원명부!$B$3:$B$502,MATCH($B140,회원명부!$A$3:$A$502,0)),"미등록회원"))</f>
        <v/>
      </c>
      <c r="D140" s="13"/>
      <c r="E140" s="10"/>
      <c r="F140" s="10"/>
      <c r="G140" s="10"/>
    </row>
    <row r="141" customFormat="false" ht="15" hidden="false" customHeight="true" outlineLevel="0" collapsed="false">
      <c r="A141" s="12"/>
      <c r="B141" s="10"/>
      <c r="C141" s="15" t="str">
        <f aca="false">IF($B141="","",IFERROR(INDEX(회원명부!$B$3:$B$502,MATCH($B141,회원명부!$A$3:$A$502,0)),"미등록회원"))</f>
        <v/>
      </c>
      <c r="D141" s="13"/>
      <c r="E141" s="10"/>
      <c r="F141" s="10"/>
      <c r="G141" s="10"/>
    </row>
    <row r="142" customFormat="false" ht="15" hidden="false" customHeight="true" outlineLevel="0" collapsed="false">
      <c r="A142" s="12"/>
      <c r="B142" s="10"/>
      <c r="C142" s="15" t="str">
        <f aca="false">IF($B142="","",IFERROR(INDEX(회원명부!$B$3:$B$502,MATCH($B142,회원명부!$A$3:$A$502,0)),"미등록회원"))</f>
        <v/>
      </c>
      <c r="D142" s="13"/>
      <c r="E142" s="10"/>
      <c r="F142" s="10"/>
      <c r="G142" s="10"/>
    </row>
    <row r="143" customFormat="false" ht="15" hidden="false" customHeight="true" outlineLevel="0" collapsed="false">
      <c r="A143" s="12"/>
      <c r="B143" s="10"/>
      <c r="C143" s="15" t="str">
        <f aca="false">IF($B143="","",IFERROR(INDEX(회원명부!$B$3:$B$502,MATCH($B143,회원명부!$A$3:$A$502,0)),"미등록회원"))</f>
        <v/>
      </c>
      <c r="D143" s="13"/>
      <c r="E143" s="10"/>
      <c r="F143" s="10"/>
      <c r="G143" s="10"/>
    </row>
    <row r="144" customFormat="false" ht="15" hidden="false" customHeight="true" outlineLevel="0" collapsed="false">
      <c r="A144" s="12"/>
      <c r="B144" s="10"/>
      <c r="C144" s="15" t="str">
        <f aca="false">IF($B144="","",IFERROR(INDEX(회원명부!$B$3:$B$502,MATCH($B144,회원명부!$A$3:$A$502,0)),"미등록회원"))</f>
        <v/>
      </c>
      <c r="D144" s="13"/>
      <c r="E144" s="10"/>
      <c r="F144" s="10"/>
      <c r="G144" s="10"/>
    </row>
    <row r="145" customFormat="false" ht="15" hidden="false" customHeight="true" outlineLevel="0" collapsed="false">
      <c r="A145" s="12"/>
      <c r="B145" s="10"/>
      <c r="C145" s="15" t="str">
        <f aca="false">IF($B145="","",IFERROR(INDEX(회원명부!$B$3:$B$502,MATCH($B145,회원명부!$A$3:$A$502,0)),"미등록회원"))</f>
        <v/>
      </c>
      <c r="D145" s="13"/>
      <c r="E145" s="10"/>
      <c r="F145" s="10"/>
      <c r="G145" s="10"/>
    </row>
    <row r="146" customFormat="false" ht="15" hidden="false" customHeight="true" outlineLevel="0" collapsed="false">
      <c r="A146" s="12"/>
      <c r="B146" s="10"/>
      <c r="C146" s="15" t="str">
        <f aca="false">IF($B146="","",IFERROR(INDEX(회원명부!$B$3:$B$502,MATCH($B146,회원명부!$A$3:$A$502,0)),"미등록회원"))</f>
        <v/>
      </c>
      <c r="D146" s="13"/>
      <c r="E146" s="10"/>
      <c r="F146" s="10"/>
      <c r="G146" s="10"/>
    </row>
    <row r="147" customFormat="false" ht="15" hidden="false" customHeight="true" outlineLevel="0" collapsed="false">
      <c r="A147" s="12"/>
      <c r="B147" s="10"/>
      <c r="C147" s="15" t="str">
        <f aca="false">IF($B147="","",IFERROR(INDEX(회원명부!$B$3:$B$502,MATCH($B147,회원명부!$A$3:$A$502,0)),"미등록회원"))</f>
        <v/>
      </c>
      <c r="D147" s="13"/>
      <c r="E147" s="10"/>
      <c r="F147" s="10"/>
      <c r="G147" s="10"/>
    </row>
    <row r="148" customFormat="false" ht="15" hidden="false" customHeight="true" outlineLevel="0" collapsed="false">
      <c r="A148" s="12"/>
      <c r="B148" s="10"/>
      <c r="C148" s="15" t="str">
        <f aca="false">IF($B148="","",IFERROR(INDEX(회원명부!$B$3:$B$502,MATCH($B148,회원명부!$A$3:$A$502,0)),"미등록회원"))</f>
        <v/>
      </c>
      <c r="D148" s="13"/>
      <c r="E148" s="10"/>
      <c r="F148" s="10"/>
      <c r="G148" s="10"/>
    </row>
    <row r="149" customFormat="false" ht="15" hidden="false" customHeight="true" outlineLevel="0" collapsed="false">
      <c r="A149" s="12"/>
      <c r="B149" s="10"/>
      <c r="C149" s="15" t="str">
        <f aca="false">IF($B149="","",IFERROR(INDEX(회원명부!$B$3:$B$502,MATCH($B149,회원명부!$A$3:$A$502,0)),"미등록회원"))</f>
        <v/>
      </c>
      <c r="D149" s="13"/>
      <c r="E149" s="10"/>
      <c r="F149" s="10"/>
      <c r="G149" s="10"/>
    </row>
    <row r="150" customFormat="false" ht="15" hidden="false" customHeight="true" outlineLevel="0" collapsed="false">
      <c r="A150" s="12"/>
      <c r="B150" s="10"/>
      <c r="C150" s="15" t="str">
        <f aca="false">IF($B150="","",IFERROR(INDEX(회원명부!$B$3:$B$502,MATCH($B150,회원명부!$A$3:$A$502,0)),"미등록회원"))</f>
        <v/>
      </c>
      <c r="D150" s="13"/>
      <c r="E150" s="10"/>
      <c r="F150" s="10"/>
      <c r="G150" s="10"/>
    </row>
    <row r="151" customFormat="false" ht="15" hidden="false" customHeight="true" outlineLevel="0" collapsed="false">
      <c r="A151" s="12"/>
      <c r="B151" s="10"/>
      <c r="C151" s="15" t="str">
        <f aca="false">IF($B151="","",IFERROR(INDEX(회원명부!$B$3:$B$502,MATCH($B151,회원명부!$A$3:$A$502,0)),"미등록회원"))</f>
        <v/>
      </c>
      <c r="D151" s="13"/>
      <c r="E151" s="10"/>
      <c r="F151" s="10"/>
      <c r="G151" s="10"/>
    </row>
    <row r="152" customFormat="false" ht="15" hidden="false" customHeight="true" outlineLevel="0" collapsed="false">
      <c r="A152" s="12"/>
      <c r="B152" s="10"/>
      <c r="C152" s="15" t="str">
        <f aca="false">IF($B152="","",IFERROR(INDEX(회원명부!$B$3:$B$502,MATCH($B152,회원명부!$A$3:$A$502,0)),"미등록회원"))</f>
        <v/>
      </c>
      <c r="D152" s="13"/>
      <c r="E152" s="10"/>
      <c r="F152" s="10"/>
      <c r="G152" s="10"/>
    </row>
    <row r="153" customFormat="false" ht="15" hidden="false" customHeight="true" outlineLevel="0" collapsed="false">
      <c r="A153" s="12"/>
      <c r="B153" s="10"/>
      <c r="C153" s="15" t="str">
        <f aca="false">IF($B153="","",IFERROR(INDEX(회원명부!$B$3:$B$502,MATCH($B153,회원명부!$A$3:$A$502,0)),"미등록회원"))</f>
        <v/>
      </c>
      <c r="D153" s="13"/>
      <c r="E153" s="10"/>
      <c r="F153" s="10"/>
      <c r="G153" s="10"/>
    </row>
    <row r="154" customFormat="false" ht="15" hidden="false" customHeight="true" outlineLevel="0" collapsed="false">
      <c r="A154" s="12"/>
      <c r="B154" s="10"/>
      <c r="C154" s="15" t="str">
        <f aca="false">IF($B154="","",IFERROR(INDEX(회원명부!$B$3:$B$502,MATCH($B154,회원명부!$A$3:$A$502,0)),"미등록회원"))</f>
        <v/>
      </c>
      <c r="D154" s="13"/>
      <c r="E154" s="10"/>
      <c r="F154" s="10"/>
      <c r="G154" s="10"/>
    </row>
    <row r="155" customFormat="false" ht="15" hidden="false" customHeight="true" outlineLevel="0" collapsed="false">
      <c r="A155" s="12"/>
      <c r="B155" s="10"/>
      <c r="C155" s="15" t="str">
        <f aca="false">IF($B155="","",IFERROR(INDEX(회원명부!$B$3:$B$502,MATCH($B155,회원명부!$A$3:$A$502,0)),"미등록회원"))</f>
        <v/>
      </c>
      <c r="D155" s="13"/>
      <c r="E155" s="10"/>
      <c r="F155" s="10"/>
      <c r="G155" s="10"/>
    </row>
    <row r="156" customFormat="false" ht="15" hidden="false" customHeight="true" outlineLevel="0" collapsed="false">
      <c r="A156" s="12"/>
      <c r="B156" s="10"/>
      <c r="C156" s="15" t="str">
        <f aca="false">IF($B156="","",IFERROR(INDEX(회원명부!$B$3:$B$502,MATCH($B156,회원명부!$A$3:$A$502,0)),"미등록회원"))</f>
        <v/>
      </c>
      <c r="D156" s="13"/>
      <c r="E156" s="10"/>
      <c r="F156" s="10"/>
      <c r="G156" s="10"/>
    </row>
    <row r="157" customFormat="false" ht="15" hidden="false" customHeight="true" outlineLevel="0" collapsed="false">
      <c r="A157" s="12"/>
      <c r="B157" s="10"/>
      <c r="C157" s="15" t="str">
        <f aca="false">IF($B157="","",IFERROR(INDEX(회원명부!$B$3:$B$502,MATCH($B157,회원명부!$A$3:$A$502,0)),"미등록회원"))</f>
        <v/>
      </c>
      <c r="D157" s="13"/>
      <c r="E157" s="10"/>
      <c r="F157" s="10"/>
      <c r="G157" s="10"/>
    </row>
    <row r="158" customFormat="false" ht="15" hidden="false" customHeight="true" outlineLevel="0" collapsed="false">
      <c r="A158" s="12"/>
      <c r="B158" s="10"/>
      <c r="C158" s="15" t="str">
        <f aca="false">IF($B158="","",IFERROR(INDEX(회원명부!$B$3:$B$502,MATCH($B158,회원명부!$A$3:$A$502,0)),"미등록회원"))</f>
        <v/>
      </c>
      <c r="D158" s="13"/>
      <c r="E158" s="10"/>
      <c r="F158" s="10"/>
      <c r="G158" s="10"/>
    </row>
    <row r="159" customFormat="false" ht="15" hidden="false" customHeight="true" outlineLevel="0" collapsed="false">
      <c r="A159" s="12"/>
      <c r="B159" s="10"/>
      <c r="C159" s="15" t="str">
        <f aca="false">IF($B159="","",IFERROR(INDEX(회원명부!$B$3:$B$502,MATCH($B159,회원명부!$A$3:$A$502,0)),"미등록회원"))</f>
        <v/>
      </c>
      <c r="D159" s="13"/>
      <c r="E159" s="10"/>
      <c r="F159" s="10"/>
      <c r="G159" s="10"/>
    </row>
    <row r="160" customFormat="false" ht="15" hidden="false" customHeight="true" outlineLevel="0" collapsed="false">
      <c r="A160" s="12"/>
      <c r="B160" s="10"/>
      <c r="C160" s="15" t="str">
        <f aca="false">IF($B160="","",IFERROR(INDEX(회원명부!$B$3:$B$502,MATCH($B160,회원명부!$A$3:$A$502,0)),"미등록회원"))</f>
        <v/>
      </c>
      <c r="D160" s="13"/>
      <c r="E160" s="10"/>
      <c r="F160" s="10"/>
      <c r="G160" s="10"/>
    </row>
    <row r="161" customFormat="false" ht="15" hidden="false" customHeight="true" outlineLevel="0" collapsed="false">
      <c r="A161" s="12"/>
      <c r="B161" s="10"/>
      <c r="C161" s="15" t="str">
        <f aca="false">IF($B161="","",IFERROR(INDEX(회원명부!$B$3:$B$502,MATCH($B161,회원명부!$A$3:$A$502,0)),"미등록회원"))</f>
        <v/>
      </c>
      <c r="D161" s="13"/>
      <c r="E161" s="10"/>
      <c r="F161" s="10"/>
      <c r="G161" s="10"/>
    </row>
    <row r="162" customFormat="false" ht="15" hidden="false" customHeight="true" outlineLevel="0" collapsed="false">
      <c r="A162" s="12"/>
      <c r="B162" s="10"/>
      <c r="C162" s="15" t="str">
        <f aca="false">IF($B162="","",IFERROR(INDEX(회원명부!$B$3:$B$502,MATCH($B162,회원명부!$A$3:$A$502,0)),"미등록회원"))</f>
        <v/>
      </c>
      <c r="D162" s="13"/>
      <c r="E162" s="10"/>
      <c r="F162" s="10"/>
      <c r="G162" s="10"/>
    </row>
    <row r="163" customFormat="false" ht="15" hidden="false" customHeight="true" outlineLevel="0" collapsed="false">
      <c r="A163" s="12"/>
      <c r="B163" s="10"/>
      <c r="C163" s="15" t="str">
        <f aca="false">IF($B163="","",IFERROR(INDEX(회원명부!$B$3:$B$502,MATCH($B163,회원명부!$A$3:$A$502,0)),"미등록회원"))</f>
        <v/>
      </c>
      <c r="D163" s="13"/>
      <c r="E163" s="10"/>
      <c r="F163" s="10"/>
      <c r="G163" s="10"/>
    </row>
    <row r="164" customFormat="false" ht="15" hidden="false" customHeight="true" outlineLevel="0" collapsed="false">
      <c r="A164" s="12"/>
      <c r="B164" s="10"/>
      <c r="C164" s="15" t="str">
        <f aca="false">IF($B164="","",IFERROR(INDEX(회원명부!$B$3:$B$502,MATCH($B164,회원명부!$A$3:$A$502,0)),"미등록회원"))</f>
        <v/>
      </c>
      <c r="D164" s="13"/>
      <c r="E164" s="10"/>
      <c r="F164" s="10"/>
      <c r="G164" s="10"/>
    </row>
    <row r="165" customFormat="false" ht="15" hidden="false" customHeight="true" outlineLevel="0" collapsed="false">
      <c r="A165" s="12"/>
      <c r="B165" s="10"/>
      <c r="C165" s="15" t="str">
        <f aca="false">IF($B165="","",IFERROR(INDEX(회원명부!$B$3:$B$502,MATCH($B165,회원명부!$A$3:$A$502,0)),"미등록회원"))</f>
        <v/>
      </c>
      <c r="D165" s="13"/>
      <c r="E165" s="10"/>
      <c r="F165" s="10"/>
      <c r="G165" s="10"/>
    </row>
    <row r="166" customFormat="false" ht="15" hidden="false" customHeight="true" outlineLevel="0" collapsed="false">
      <c r="A166" s="12"/>
      <c r="B166" s="10"/>
      <c r="C166" s="15" t="str">
        <f aca="false">IF($B166="","",IFERROR(INDEX(회원명부!$B$3:$B$502,MATCH($B166,회원명부!$A$3:$A$502,0)),"미등록회원"))</f>
        <v/>
      </c>
      <c r="D166" s="13"/>
      <c r="E166" s="10"/>
      <c r="F166" s="10"/>
      <c r="G166" s="10"/>
    </row>
    <row r="167" customFormat="false" ht="15" hidden="false" customHeight="true" outlineLevel="0" collapsed="false">
      <c r="A167" s="12"/>
      <c r="B167" s="10"/>
      <c r="C167" s="15" t="str">
        <f aca="false">IF($B167="","",IFERROR(INDEX(회원명부!$B$3:$B$502,MATCH($B167,회원명부!$A$3:$A$502,0)),"미등록회원"))</f>
        <v/>
      </c>
      <c r="D167" s="13"/>
      <c r="E167" s="10"/>
      <c r="F167" s="10"/>
      <c r="G167" s="10"/>
    </row>
    <row r="168" customFormat="false" ht="15" hidden="false" customHeight="true" outlineLevel="0" collapsed="false">
      <c r="A168" s="12"/>
      <c r="B168" s="10"/>
      <c r="C168" s="15" t="str">
        <f aca="false">IF($B168="","",IFERROR(INDEX(회원명부!$B$3:$B$502,MATCH($B168,회원명부!$A$3:$A$502,0)),"미등록회원"))</f>
        <v/>
      </c>
      <c r="D168" s="13"/>
      <c r="E168" s="10"/>
      <c r="F168" s="10"/>
      <c r="G168" s="10"/>
    </row>
    <row r="169" customFormat="false" ht="15" hidden="false" customHeight="true" outlineLevel="0" collapsed="false">
      <c r="A169" s="12"/>
      <c r="B169" s="10"/>
      <c r="C169" s="15" t="str">
        <f aca="false">IF($B169="","",IFERROR(INDEX(회원명부!$B$3:$B$502,MATCH($B169,회원명부!$A$3:$A$502,0)),"미등록회원"))</f>
        <v/>
      </c>
      <c r="D169" s="13"/>
      <c r="E169" s="10"/>
      <c r="F169" s="10"/>
      <c r="G169" s="10"/>
    </row>
    <row r="170" customFormat="false" ht="15" hidden="false" customHeight="true" outlineLevel="0" collapsed="false">
      <c r="A170" s="12"/>
      <c r="B170" s="10"/>
      <c r="C170" s="15" t="str">
        <f aca="false">IF($B170="","",IFERROR(INDEX(회원명부!$B$3:$B$502,MATCH($B170,회원명부!$A$3:$A$502,0)),"미등록회원"))</f>
        <v/>
      </c>
      <c r="D170" s="13"/>
      <c r="E170" s="10"/>
      <c r="F170" s="10"/>
      <c r="G170" s="10"/>
    </row>
    <row r="171" customFormat="false" ht="15" hidden="false" customHeight="true" outlineLevel="0" collapsed="false">
      <c r="A171" s="12"/>
      <c r="B171" s="10"/>
      <c r="C171" s="15" t="str">
        <f aca="false">IF($B171="","",IFERROR(INDEX(회원명부!$B$3:$B$502,MATCH($B171,회원명부!$A$3:$A$502,0)),"미등록회원"))</f>
        <v/>
      </c>
      <c r="D171" s="13"/>
      <c r="E171" s="10"/>
      <c r="F171" s="10"/>
      <c r="G171" s="10"/>
    </row>
    <row r="172" customFormat="false" ht="15" hidden="false" customHeight="true" outlineLevel="0" collapsed="false">
      <c r="A172" s="12"/>
      <c r="B172" s="10"/>
      <c r="C172" s="15" t="str">
        <f aca="false">IF($B172="","",IFERROR(INDEX(회원명부!$B$3:$B$502,MATCH($B172,회원명부!$A$3:$A$502,0)),"미등록회원"))</f>
        <v/>
      </c>
      <c r="D172" s="13"/>
      <c r="E172" s="10"/>
      <c r="F172" s="10"/>
      <c r="G172" s="10"/>
    </row>
    <row r="173" customFormat="false" ht="15" hidden="false" customHeight="true" outlineLevel="0" collapsed="false">
      <c r="A173" s="12"/>
      <c r="B173" s="10"/>
      <c r="C173" s="15" t="str">
        <f aca="false">IF($B173="","",IFERROR(INDEX(회원명부!$B$3:$B$502,MATCH($B173,회원명부!$A$3:$A$502,0)),"미등록회원"))</f>
        <v/>
      </c>
      <c r="D173" s="13"/>
      <c r="E173" s="10"/>
      <c r="F173" s="10"/>
      <c r="G173" s="10"/>
    </row>
    <row r="174" customFormat="false" ht="15" hidden="false" customHeight="true" outlineLevel="0" collapsed="false">
      <c r="A174" s="12"/>
      <c r="B174" s="10"/>
      <c r="C174" s="15" t="str">
        <f aca="false">IF($B174="","",IFERROR(INDEX(회원명부!$B$3:$B$502,MATCH($B174,회원명부!$A$3:$A$502,0)),"미등록회원"))</f>
        <v/>
      </c>
      <c r="D174" s="13"/>
      <c r="E174" s="10"/>
      <c r="F174" s="10"/>
      <c r="G174" s="10"/>
    </row>
    <row r="175" customFormat="false" ht="15" hidden="false" customHeight="true" outlineLevel="0" collapsed="false">
      <c r="A175" s="12"/>
      <c r="B175" s="10"/>
      <c r="C175" s="15" t="str">
        <f aca="false">IF($B175="","",IFERROR(INDEX(회원명부!$B$3:$B$502,MATCH($B175,회원명부!$A$3:$A$502,0)),"미등록회원"))</f>
        <v/>
      </c>
      <c r="D175" s="13"/>
      <c r="E175" s="10"/>
      <c r="F175" s="10"/>
      <c r="G175" s="10"/>
    </row>
    <row r="176" customFormat="false" ht="15" hidden="false" customHeight="true" outlineLevel="0" collapsed="false">
      <c r="A176" s="12"/>
      <c r="B176" s="10"/>
      <c r="C176" s="15" t="str">
        <f aca="false">IF($B176="","",IFERROR(INDEX(회원명부!$B$3:$B$502,MATCH($B176,회원명부!$A$3:$A$502,0)),"미등록회원"))</f>
        <v/>
      </c>
      <c r="D176" s="13"/>
      <c r="E176" s="10"/>
      <c r="F176" s="10"/>
      <c r="G176" s="10"/>
    </row>
    <row r="177" customFormat="false" ht="15" hidden="false" customHeight="true" outlineLevel="0" collapsed="false">
      <c r="A177" s="12"/>
      <c r="B177" s="10"/>
      <c r="C177" s="15" t="str">
        <f aca="false">IF($B177="","",IFERROR(INDEX(회원명부!$B$3:$B$502,MATCH($B177,회원명부!$A$3:$A$502,0)),"미등록회원"))</f>
        <v/>
      </c>
      <c r="D177" s="13"/>
      <c r="E177" s="10"/>
      <c r="F177" s="10"/>
      <c r="G177" s="10"/>
    </row>
    <row r="178" customFormat="false" ht="15" hidden="false" customHeight="true" outlineLevel="0" collapsed="false">
      <c r="A178" s="12"/>
      <c r="B178" s="10"/>
      <c r="C178" s="15" t="str">
        <f aca="false">IF($B178="","",IFERROR(INDEX(회원명부!$B$3:$B$502,MATCH($B178,회원명부!$A$3:$A$502,0)),"미등록회원"))</f>
        <v/>
      </c>
      <c r="D178" s="13"/>
      <c r="E178" s="10"/>
      <c r="F178" s="10"/>
      <c r="G178" s="10"/>
    </row>
    <row r="179" customFormat="false" ht="15" hidden="false" customHeight="true" outlineLevel="0" collapsed="false">
      <c r="A179" s="12"/>
      <c r="B179" s="10"/>
      <c r="C179" s="15" t="str">
        <f aca="false">IF($B179="","",IFERROR(INDEX(회원명부!$B$3:$B$502,MATCH($B179,회원명부!$A$3:$A$502,0)),"미등록회원"))</f>
        <v/>
      </c>
      <c r="D179" s="13"/>
      <c r="E179" s="10"/>
      <c r="F179" s="10"/>
      <c r="G179" s="10"/>
    </row>
    <row r="180" customFormat="false" ht="15" hidden="false" customHeight="true" outlineLevel="0" collapsed="false">
      <c r="A180" s="12"/>
      <c r="B180" s="10"/>
      <c r="C180" s="15" t="str">
        <f aca="false">IF($B180="","",IFERROR(INDEX(회원명부!$B$3:$B$502,MATCH($B180,회원명부!$A$3:$A$502,0)),"미등록회원"))</f>
        <v/>
      </c>
      <c r="D180" s="13"/>
      <c r="E180" s="10"/>
      <c r="F180" s="10"/>
      <c r="G180" s="10"/>
    </row>
    <row r="181" customFormat="false" ht="15" hidden="false" customHeight="true" outlineLevel="0" collapsed="false">
      <c r="A181" s="12"/>
      <c r="B181" s="10"/>
      <c r="C181" s="15" t="str">
        <f aca="false">IF($B181="","",IFERROR(INDEX(회원명부!$B$3:$B$502,MATCH($B181,회원명부!$A$3:$A$502,0)),"미등록회원"))</f>
        <v/>
      </c>
      <c r="D181" s="13"/>
      <c r="E181" s="10"/>
      <c r="F181" s="10"/>
      <c r="G181" s="10"/>
    </row>
    <row r="182" customFormat="false" ht="15" hidden="false" customHeight="true" outlineLevel="0" collapsed="false">
      <c r="A182" s="12"/>
      <c r="B182" s="10"/>
      <c r="C182" s="15" t="str">
        <f aca="false">IF($B182="","",IFERROR(INDEX(회원명부!$B$3:$B$502,MATCH($B182,회원명부!$A$3:$A$502,0)),"미등록회원"))</f>
        <v/>
      </c>
      <c r="D182" s="13"/>
      <c r="E182" s="10"/>
      <c r="F182" s="10"/>
      <c r="G182" s="10"/>
    </row>
    <row r="183" customFormat="false" ht="15" hidden="false" customHeight="true" outlineLevel="0" collapsed="false">
      <c r="A183" s="12"/>
      <c r="B183" s="10"/>
      <c r="C183" s="15" t="str">
        <f aca="false">IF($B183="","",IFERROR(INDEX(회원명부!$B$3:$B$502,MATCH($B183,회원명부!$A$3:$A$502,0)),"미등록회원"))</f>
        <v/>
      </c>
      <c r="D183" s="13"/>
      <c r="E183" s="10"/>
      <c r="F183" s="10"/>
      <c r="G183" s="10"/>
    </row>
    <row r="184" customFormat="false" ht="15" hidden="false" customHeight="true" outlineLevel="0" collapsed="false">
      <c r="A184" s="12"/>
      <c r="B184" s="10"/>
      <c r="C184" s="15" t="str">
        <f aca="false">IF($B184="","",IFERROR(INDEX(회원명부!$B$3:$B$502,MATCH($B184,회원명부!$A$3:$A$502,0)),"미등록회원"))</f>
        <v/>
      </c>
      <c r="D184" s="13"/>
      <c r="E184" s="10"/>
      <c r="F184" s="10"/>
      <c r="G184" s="10"/>
    </row>
    <row r="185" customFormat="false" ht="15" hidden="false" customHeight="true" outlineLevel="0" collapsed="false">
      <c r="A185" s="12"/>
      <c r="B185" s="10"/>
      <c r="C185" s="15" t="str">
        <f aca="false">IF($B185="","",IFERROR(INDEX(회원명부!$B$3:$B$502,MATCH($B185,회원명부!$A$3:$A$502,0)),"미등록회원"))</f>
        <v/>
      </c>
      <c r="D185" s="13"/>
      <c r="E185" s="10"/>
      <c r="F185" s="10"/>
      <c r="G185" s="10"/>
    </row>
    <row r="186" customFormat="false" ht="15" hidden="false" customHeight="true" outlineLevel="0" collapsed="false">
      <c r="A186" s="12"/>
      <c r="B186" s="10"/>
      <c r="C186" s="15" t="str">
        <f aca="false">IF($B186="","",IFERROR(INDEX(회원명부!$B$3:$B$502,MATCH($B186,회원명부!$A$3:$A$502,0)),"미등록회원"))</f>
        <v/>
      </c>
      <c r="D186" s="13"/>
      <c r="E186" s="10"/>
      <c r="F186" s="10"/>
      <c r="G186" s="10"/>
    </row>
    <row r="187" customFormat="false" ht="15" hidden="false" customHeight="true" outlineLevel="0" collapsed="false">
      <c r="A187" s="12"/>
      <c r="B187" s="10"/>
      <c r="C187" s="15" t="str">
        <f aca="false">IF($B187="","",IFERROR(INDEX(회원명부!$B$3:$B$502,MATCH($B187,회원명부!$A$3:$A$502,0)),"미등록회원"))</f>
        <v/>
      </c>
      <c r="D187" s="13"/>
      <c r="E187" s="10"/>
      <c r="F187" s="10"/>
      <c r="G187" s="10"/>
    </row>
    <row r="188" customFormat="false" ht="15" hidden="false" customHeight="true" outlineLevel="0" collapsed="false">
      <c r="A188" s="12"/>
      <c r="B188" s="10"/>
      <c r="C188" s="15" t="str">
        <f aca="false">IF($B188="","",IFERROR(INDEX(회원명부!$B$3:$B$502,MATCH($B188,회원명부!$A$3:$A$502,0)),"미등록회원"))</f>
        <v/>
      </c>
      <c r="D188" s="13"/>
      <c r="E188" s="10"/>
      <c r="F188" s="10"/>
      <c r="G188" s="10"/>
    </row>
    <row r="189" customFormat="false" ht="15" hidden="false" customHeight="true" outlineLevel="0" collapsed="false">
      <c r="A189" s="12"/>
      <c r="B189" s="10"/>
      <c r="C189" s="15" t="str">
        <f aca="false">IF($B189="","",IFERROR(INDEX(회원명부!$B$3:$B$502,MATCH($B189,회원명부!$A$3:$A$502,0)),"미등록회원"))</f>
        <v/>
      </c>
      <c r="D189" s="13"/>
      <c r="E189" s="10"/>
      <c r="F189" s="10"/>
      <c r="G189" s="10"/>
    </row>
    <row r="190" customFormat="false" ht="15" hidden="false" customHeight="true" outlineLevel="0" collapsed="false">
      <c r="A190" s="12"/>
      <c r="B190" s="10"/>
      <c r="C190" s="15" t="str">
        <f aca="false">IF($B190="","",IFERROR(INDEX(회원명부!$B$3:$B$502,MATCH($B190,회원명부!$A$3:$A$502,0)),"미등록회원"))</f>
        <v/>
      </c>
      <c r="D190" s="13"/>
      <c r="E190" s="10"/>
      <c r="F190" s="10"/>
      <c r="G190" s="10"/>
    </row>
    <row r="191" customFormat="false" ht="15" hidden="false" customHeight="true" outlineLevel="0" collapsed="false">
      <c r="A191" s="12"/>
      <c r="B191" s="10"/>
      <c r="C191" s="15" t="str">
        <f aca="false">IF($B191="","",IFERROR(INDEX(회원명부!$B$3:$B$502,MATCH($B191,회원명부!$A$3:$A$502,0)),"미등록회원"))</f>
        <v/>
      </c>
      <c r="D191" s="13"/>
      <c r="E191" s="10"/>
      <c r="F191" s="10"/>
      <c r="G191" s="10"/>
    </row>
    <row r="192" customFormat="false" ht="15" hidden="false" customHeight="true" outlineLevel="0" collapsed="false">
      <c r="A192" s="12"/>
      <c r="B192" s="10"/>
      <c r="C192" s="15" t="str">
        <f aca="false">IF($B192="","",IFERROR(INDEX(회원명부!$B$3:$B$502,MATCH($B192,회원명부!$A$3:$A$502,0)),"미등록회원"))</f>
        <v/>
      </c>
      <c r="D192" s="13"/>
      <c r="E192" s="10"/>
      <c r="F192" s="10"/>
      <c r="G192" s="10"/>
    </row>
    <row r="193" customFormat="false" ht="15" hidden="false" customHeight="true" outlineLevel="0" collapsed="false">
      <c r="A193" s="12"/>
      <c r="B193" s="10"/>
      <c r="C193" s="15" t="str">
        <f aca="false">IF($B193="","",IFERROR(INDEX(회원명부!$B$3:$B$502,MATCH($B193,회원명부!$A$3:$A$502,0)),"미등록회원"))</f>
        <v/>
      </c>
      <c r="D193" s="13"/>
      <c r="E193" s="10"/>
      <c r="F193" s="10"/>
      <c r="G193" s="10"/>
    </row>
    <row r="194" customFormat="false" ht="15" hidden="false" customHeight="true" outlineLevel="0" collapsed="false">
      <c r="A194" s="12"/>
      <c r="B194" s="10"/>
      <c r="C194" s="15" t="str">
        <f aca="false">IF($B194="","",IFERROR(INDEX(회원명부!$B$3:$B$502,MATCH($B194,회원명부!$A$3:$A$502,0)),"미등록회원"))</f>
        <v/>
      </c>
      <c r="D194" s="13"/>
      <c r="E194" s="10"/>
      <c r="F194" s="10"/>
      <c r="G194" s="10"/>
    </row>
    <row r="195" customFormat="false" ht="15" hidden="false" customHeight="true" outlineLevel="0" collapsed="false">
      <c r="A195" s="12"/>
      <c r="B195" s="10"/>
      <c r="C195" s="15" t="str">
        <f aca="false">IF($B195="","",IFERROR(INDEX(회원명부!$B$3:$B$502,MATCH($B195,회원명부!$A$3:$A$502,0)),"미등록회원"))</f>
        <v/>
      </c>
      <c r="D195" s="13"/>
      <c r="E195" s="10"/>
      <c r="F195" s="10"/>
      <c r="G195" s="10"/>
    </row>
    <row r="196" customFormat="false" ht="15" hidden="false" customHeight="true" outlineLevel="0" collapsed="false">
      <c r="A196" s="12"/>
      <c r="B196" s="10"/>
      <c r="C196" s="15" t="str">
        <f aca="false">IF($B196="","",IFERROR(INDEX(회원명부!$B$3:$B$502,MATCH($B196,회원명부!$A$3:$A$502,0)),"미등록회원"))</f>
        <v/>
      </c>
      <c r="D196" s="13"/>
      <c r="E196" s="10"/>
      <c r="F196" s="10"/>
      <c r="G196" s="10"/>
    </row>
    <row r="197" customFormat="false" ht="15" hidden="false" customHeight="true" outlineLevel="0" collapsed="false">
      <c r="A197" s="12"/>
      <c r="B197" s="10"/>
      <c r="C197" s="15" t="str">
        <f aca="false">IF($B197="","",IFERROR(INDEX(회원명부!$B$3:$B$502,MATCH($B197,회원명부!$A$3:$A$502,0)),"미등록회원"))</f>
        <v/>
      </c>
      <c r="D197" s="13"/>
      <c r="E197" s="10"/>
      <c r="F197" s="10"/>
      <c r="G197" s="10"/>
    </row>
    <row r="198" customFormat="false" ht="15" hidden="false" customHeight="true" outlineLevel="0" collapsed="false">
      <c r="A198" s="12"/>
      <c r="B198" s="10"/>
      <c r="C198" s="15" t="str">
        <f aca="false">IF($B198="","",IFERROR(INDEX(회원명부!$B$3:$B$502,MATCH($B198,회원명부!$A$3:$A$502,0)),"미등록회원"))</f>
        <v/>
      </c>
      <c r="D198" s="13"/>
      <c r="E198" s="10"/>
      <c r="F198" s="10"/>
      <c r="G198" s="10"/>
    </row>
    <row r="199" customFormat="false" ht="15" hidden="false" customHeight="true" outlineLevel="0" collapsed="false">
      <c r="A199" s="12"/>
      <c r="B199" s="10"/>
      <c r="C199" s="15" t="str">
        <f aca="false">IF($B199="","",IFERROR(INDEX(회원명부!$B$3:$B$502,MATCH($B199,회원명부!$A$3:$A$502,0)),"미등록회원"))</f>
        <v/>
      </c>
      <c r="D199" s="13"/>
      <c r="E199" s="10"/>
      <c r="F199" s="10"/>
      <c r="G199" s="10"/>
    </row>
    <row r="200" customFormat="false" ht="15" hidden="false" customHeight="true" outlineLevel="0" collapsed="false">
      <c r="A200" s="12"/>
      <c r="B200" s="10"/>
      <c r="C200" s="15" t="str">
        <f aca="false">IF($B200="","",IFERROR(INDEX(회원명부!$B$3:$B$502,MATCH($B200,회원명부!$A$3:$A$502,0)),"미등록회원"))</f>
        <v/>
      </c>
      <c r="D200" s="13"/>
      <c r="E200" s="10"/>
      <c r="F200" s="10"/>
      <c r="G200" s="10"/>
    </row>
    <row r="201" customFormat="false" ht="15" hidden="false" customHeight="true" outlineLevel="0" collapsed="false">
      <c r="A201" s="12"/>
      <c r="B201" s="10"/>
      <c r="C201" s="15" t="str">
        <f aca="false">IF($B201="","",IFERROR(INDEX(회원명부!$B$3:$B$502,MATCH($B201,회원명부!$A$3:$A$502,0)),"미등록회원"))</f>
        <v/>
      </c>
      <c r="D201" s="13"/>
      <c r="E201" s="10"/>
      <c r="F201" s="10"/>
      <c r="G201" s="10"/>
    </row>
    <row r="202" customFormat="false" ht="15" hidden="false" customHeight="true" outlineLevel="0" collapsed="false">
      <c r="A202" s="12"/>
      <c r="B202" s="10"/>
      <c r="C202" s="15" t="str">
        <f aca="false">IF($B202="","",IFERROR(INDEX(회원명부!$B$3:$B$502,MATCH($B202,회원명부!$A$3:$A$502,0)),"미등록회원"))</f>
        <v/>
      </c>
      <c r="D202" s="13"/>
      <c r="E202" s="10"/>
      <c r="F202" s="10"/>
      <c r="G202" s="10"/>
    </row>
    <row r="203" customFormat="false" ht="15" hidden="false" customHeight="true" outlineLevel="0" collapsed="false">
      <c r="A203" s="12"/>
      <c r="B203" s="10"/>
      <c r="C203" s="15" t="str">
        <f aca="false">IF($B203="","",IFERROR(INDEX(회원명부!$B$3:$B$502,MATCH($B203,회원명부!$A$3:$A$502,0)),"미등록회원"))</f>
        <v/>
      </c>
      <c r="D203" s="13"/>
      <c r="E203" s="10"/>
      <c r="F203" s="10"/>
      <c r="G203" s="10"/>
    </row>
    <row r="204" customFormat="false" ht="15" hidden="false" customHeight="true" outlineLevel="0" collapsed="false">
      <c r="A204" s="12"/>
      <c r="B204" s="10"/>
      <c r="C204" s="15" t="str">
        <f aca="false">IF($B204="","",IFERROR(INDEX(회원명부!$B$3:$B$502,MATCH($B204,회원명부!$A$3:$A$502,0)),"미등록회원"))</f>
        <v/>
      </c>
      <c r="D204" s="13"/>
      <c r="E204" s="10"/>
      <c r="F204" s="10"/>
      <c r="G204" s="10"/>
    </row>
    <row r="205" customFormat="false" ht="15" hidden="false" customHeight="true" outlineLevel="0" collapsed="false">
      <c r="A205" s="12"/>
      <c r="B205" s="10"/>
      <c r="C205" s="15" t="str">
        <f aca="false">IF($B205="","",IFERROR(INDEX(회원명부!$B$3:$B$502,MATCH($B205,회원명부!$A$3:$A$502,0)),"미등록회원"))</f>
        <v/>
      </c>
      <c r="D205" s="13"/>
      <c r="E205" s="10"/>
      <c r="F205" s="10"/>
      <c r="G205" s="10"/>
    </row>
    <row r="206" customFormat="false" ht="15" hidden="false" customHeight="true" outlineLevel="0" collapsed="false">
      <c r="A206" s="12"/>
      <c r="B206" s="10"/>
      <c r="C206" s="15" t="str">
        <f aca="false">IF($B206="","",IFERROR(INDEX(회원명부!$B$3:$B$502,MATCH($B206,회원명부!$A$3:$A$502,0)),"미등록회원"))</f>
        <v/>
      </c>
      <c r="D206" s="13"/>
      <c r="E206" s="10"/>
      <c r="F206" s="10"/>
      <c r="G206" s="10"/>
    </row>
    <row r="207" customFormat="false" ht="15" hidden="false" customHeight="true" outlineLevel="0" collapsed="false">
      <c r="A207" s="12"/>
      <c r="B207" s="10"/>
      <c r="C207" s="15" t="str">
        <f aca="false">IF($B207="","",IFERROR(INDEX(회원명부!$B$3:$B$502,MATCH($B207,회원명부!$A$3:$A$502,0)),"미등록회원"))</f>
        <v/>
      </c>
      <c r="D207" s="13"/>
      <c r="E207" s="10"/>
      <c r="F207" s="10"/>
      <c r="G207" s="10"/>
    </row>
    <row r="208" customFormat="false" ht="15" hidden="false" customHeight="true" outlineLevel="0" collapsed="false">
      <c r="A208" s="12"/>
      <c r="B208" s="10"/>
      <c r="C208" s="15" t="str">
        <f aca="false">IF($B208="","",IFERROR(INDEX(회원명부!$B$3:$B$502,MATCH($B208,회원명부!$A$3:$A$502,0)),"미등록회원"))</f>
        <v/>
      </c>
      <c r="D208" s="13"/>
      <c r="E208" s="10"/>
      <c r="F208" s="10"/>
      <c r="G208" s="10"/>
    </row>
    <row r="209" customFormat="false" ht="15" hidden="false" customHeight="true" outlineLevel="0" collapsed="false">
      <c r="A209" s="12"/>
      <c r="B209" s="10"/>
      <c r="C209" s="15" t="str">
        <f aca="false">IF($B209="","",IFERROR(INDEX(회원명부!$B$3:$B$502,MATCH($B209,회원명부!$A$3:$A$502,0)),"미등록회원"))</f>
        <v/>
      </c>
      <c r="D209" s="13"/>
      <c r="E209" s="10"/>
      <c r="F209" s="10"/>
      <c r="G209" s="10"/>
    </row>
    <row r="210" customFormat="false" ht="15" hidden="false" customHeight="true" outlineLevel="0" collapsed="false">
      <c r="A210" s="12"/>
      <c r="B210" s="10"/>
      <c r="C210" s="15" t="str">
        <f aca="false">IF($B210="","",IFERROR(INDEX(회원명부!$B$3:$B$502,MATCH($B210,회원명부!$A$3:$A$502,0)),"미등록회원"))</f>
        <v/>
      </c>
      <c r="D210" s="13"/>
      <c r="E210" s="10"/>
      <c r="F210" s="10"/>
      <c r="G210" s="10"/>
    </row>
    <row r="211" customFormat="false" ht="15" hidden="false" customHeight="true" outlineLevel="0" collapsed="false">
      <c r="A211" s="12"/>
      <c r="B211" s="10"/>
      <c r="C211" s="15" t="str">
        <f aca="false">IF($B211="","",IFERROR(INDEX(회원명부!$B$3:$B$502,MATCH($B211,회원명부!$A$3:$A$502,0)),"미등록회원"))</f>
        <v/>
      </c>
      <c r="D211" s="13"/>
      <c r="E211" s="10"/>
      <c r="F211" s="10"/>
      <c r="G211" s="10"/>
    </row>
    <row r="212" customFormat="false" ht="15" hidden="false" customHeight="true" outlineLevel="0" collapsed="false">
      <c r="A212" s="12"/>
      <c r="B212" s="10"/>
      <c r="C212" s="15" t="str">
        <f aca="false">IF($B212="","",IFERROR(INDEX(회원명부!$B$3:$B$502,MATCH($B212,회원명부!$A$3:$A$502,0)),"미등록회원"))</f>
        <v/>
      </c>
      <c r="D212" s="13"/>
      <c r="E212" s="10"/>
      <c r="F212" s="10"/>
      <c r="G212" s="10"/>
    </row>
    <row r="213" customFormat="false" ht="15" hidden="false" customHeight="true" outlineLevel="0" collapsed="false">
      <c r="A213" s="12"/>
      <c r="B213" s="10"/>
      <c r="C213" s="15" t="str">
        <f aca="false">IF($B213="","",IFERROR(INDEX(회원명부!$B$3:$B$502,MATCH($B213,회원명부!$A$3:$A$502,0)),"미등록회원"))</f>
        <v/>
      </c>
      <c r="D213" s="13"/>
      <c r="E213" s="10"/>
      <c r="F213" s="10"/>
      <c r="G213" s="10"/>
    </row>
    <row r="214" customFormat="false" ht="15" hidden="false" customHeight="true" outlineLevel="0" collapsed="false">
      <c r="A214" s="12"/>
      <c r="B214" s="10"/>
      <c r="C214" s="15" t="str">
        <f aca="false">IF($B214="","",IFERROR(INDEX(회원명부!$B$3:$B$502,MATCH($B214,회원명부!$A$3:$A$502,0)),"미등록회원"))</f>
        <v/>
      </c>
      <c r="D214" s="13"/>
      <c r="E214" s="10"/>
      <c r="F214" s="10"/>
      <c r="G214" s="10"/>
    </row>
    <row r="215" customFormat="false" ht="15" hidden="false" customHeight="true" outlineLevel="0" collapsed="false">
      <c r="A215" s="12"/>
      <c r="B215" s="10"/>
      <c r="C215" s="15" t="str">
        <f aca="false">IF($B215="","",IFERROR(INDEX(회원명부!$B$3:$B$502,MATCH($B215,회원명부!$A$3:$A$502,0)),"미등록회원"))</f>
        <v/>
      </c>
      <c r="D215" s="13"/>
      <c r="E215" s="10"/>
      <c r="F215" s="10"/>
      <c r="G215" s="10"/>
    </row>
    <row r="216" customFormat="false" ht="15" hidden="false" customHeight="true" outlineLevel="0" collapsed="false">
      <c r="A216" s="12"/>
      <c r="B216" s="10"/>
      <c r="C216" s="15" t="str">
        <f aca="false">IF($B216="","",IFERROR(INDEX(회원명부!$B$3:$B$502,MATCH($B216,회원명부!$A$3:$A$502,0)),"미등록회원"))</f>
        <v/>
      </c>
      <c r="D216" s="13"/>
      <c r="E216" s="10"/>
      <c r="F216" s="10"/>
      <c r="G216" s="10"/>
    </row>
    <row r="217" customFormat="false" ht="15" hidden="false" customHeight="true" outlineLevel="0" collapsed="false">
      <c r="A217" s="12"/>
      <c r="B217" s="10"/>
      <c r="C217" s="15" t="str">
        <f aca="false">IF($B217="","",IFERROR(INDEX(회원명부!$B$3:$B$502,MATCH($B217,회원명부!$A$3:$A$502,0)),"미등록회원"))</f>
        <v/>
      </c>
      <c r="D217" s="13"/>
      <c r="E217" s="10"/>
      <c r="F217" s="10"/>
      <c r="G217" s="10"/>
    </row>
    <row r="218" customFormat="false" ht="15" hidden="false" customHeight="true" outlineLevel="0" collapsed="false">
      <c r="A218" s="12"/>
      <c r="B218" s="10"/>
      <c r="C218" s="15" t="str">
        <f aca="false">IF($B218="","",IFERROR(INDEX(회원명부!$B$3:$B$502,MATCH($B218,회원명부!$A$3:$A$502,0)),"미등록회원"))</f>
        <v/>
      </c>
      <c r="D218" s="13"/>
      <c r="E218" s="10"/>
      <c r="F218" s="10"/>
      <c r="G218" s="10"/>
    </row>
    <row r="219" customFormat="false" ht="15" hidden="false" customHeight="true" outlineLevel="0" collapsed="false">
      <c r="A219" s="12"/>
      <c r="B219" s="10"/>
      <c r="C219" s="15" t="str">
        <f aca="false">IF($B219="","",IFERROR(INDEX(회원명부!$B$3:$B$502,MATCH($B219,회원명부!$A$3:$A$502,0)),"미등록회원"))</f>
        <v/>
      </c>
      <c r="D219" s="13"/>
      <c r="E219" s="10"/>
      <c r="F219" s="10"/>
      <c r="G219" s="10"/>
    </row>
    <row r="220" customFormat="false" ht="15" hidden="false" customHeight="true" outlineLevel="0" collapsed="false">
      <c r="A220" s="12"/>
      <c r="B220" s="10"/>
      <c r="C220" s="15" t="str">
        <f aca="false">IF($B220="","",IFERROR(INDEX(회원명부!$B$3:$B$502,MATCH($B220,회원명부!$A$3:$A$502,0)),"미등록회원"))</f>
        <v/>
      </c>
      <c r="D220" s="13"/>
      <c r="E220" s="10"/>
      <c r="F220" s="10"/>
      <c r="G220" s="10"/>
    </row>
    <row r="221" customFormat="false" ht="15" hidden="false" customHeight="true" outlineLevel="0" collapsed="false">
      <c r="A221" s="12"/>
      <c r="B221" s="10"/>
      <c r="C221" s="15" t="str">
        <f aca="false">IF($B221="","",IFERROR(INDEX(회원명부!$B$3:$B$502,MATCH($B221,회원명부!$A$3:$A$502,0)),"미등록회원"))</f>
        <v/>
      </c>
      <c r="D221" s="13"/>
      <c r="E221" s="10"/>
      <c r="F221" s="10"/>
      <c r="G221" s="10"/>
    </row>
    <row r="222" customFormat="false" ht="15" hidden="false" customHeight="true" outlineLevel="0" collapsed="false">
      <c r="A222" s="12"/>
      <c r="B222" s="10"/>
      <c r="C222" s="15" t="str">
        <f aca="false">IF($B222="","",IFERROR(INDEX(회원명부!$B$3:$B$502,MATCH($B222,회원명부!$A$3:$A$502,0)),"미등록회원"))</f>
        <v/>
      </c>
      <c r="D222" s="13"/>
      <c r="E222" s="10"/>
      <c r="F222" s="10"/>
      <c r="G222" s="10"/>
    </row>
    <row r="223" customFormat="false" ht="15" hidden="false" customHeight="true" outlineLevel="0" collapsed="false">
      <c r="A223" s="12"/>
      <c r="B223" s="10"/>
      <c r="C223" s="15" t="str">
        <f aca="false">IF($B223="","",IFERROR(INDEX(회원명부!$B$3:$B$502,MATCH($B223,회원명부!$A$3:$A$502,0)),"미등록회원"))</f>
        <v/>
      </c>
      <c r="D223" s="13"/>
      <c r="E223" s="10"/>
      <c r="F223" s="10"/>
      <c r="G223" s="10"/>
    </row>
    <row r="224" customFormat="false" ht="15" hidden="false" customHeight="true" outlineLevel="0" collapsed="false">
      <c r="A224" s="12"/>
      <c r="B224" s="10"/>
      <c r="C224" s="15" t="str">
        <f aca="false">IF($B224="","",IFERROR(INDEX(회원명부!$B$3:$B$502,MATCH($B224,회원명부!$A$3:$A$502,0)),"미등록회원"))</f>
        <v/>
      </c>
      <c r="D224" s="13"/>
      <c r="E224" s="10"/>
      <c r="F224" s="10"/>
      <c r="G224" s="10"/>
    </row>
    <row r="225" customFormat="false" ht="15" hidden="false" customHeight="true" outlineLevel="0" collapsed="false">
      <c r="A225" s="12"/>
      <c r="B225" s="10"/>
      <c r="C225" s="15" t="str">
        <f aca="false">IF($B225="","",IFERROR(INDEX(회원명부!$B$3:$B$502,MATCH($B225,회원명부!$A$3:$A$502,0)),"미등록회원"))</f>
        <v/>
      </c>
      <c r="D225" s="13"/>
      <c r="E225" s="10"/>
      <c r="F225" s="10"/>
      <c r="G225" s="10"/>
    </row>
    <row r="226" customFormat="false" ht="15" hidden="false" customHeight="true" outlineLevel="0" collapsed="false">
      <c r="A226" s="12"/>
      <c r="B226" s="10"/>
      <c r="C226" s="15" t="str">
        <f aca="false">IF($B226="","",IFERROR(INDEX(회원명부!$B$3:$B$502,MATCH($B226,회원명부!$A$3:$A$502,0)),"미등록회원"))</f>
        <v/>
      </c>
      <c r="D226" s="13"/>
      <c r="E226" s="10"/>
      <c r="F226" s="10"/>
      <c r="G226" s="10"/>
    </row>
    <row r="227" customFormat="false" ht="15" hidden="false" customHeight="true" outlineLevel="0" collapsed="false">
      <c r="A227" s="12"/>
      <c r="B227" s="10"/>
      <c r="C227" s="15" t="str">
        <f aca="false">IF($B227="","",IFERROR(INDEX(회원명부!$B$3:$B$502,MATCH($B227,회원명부!$A$3:$A$502,0)),"미등록회원"))</f>
        <v/>
      </c>
      <c r="D227" s="13"/>
      <c r="E227" s="10"/>
      <c r="F227" s="10"/>
      <c r="G227" s="10"/>
    </row>
    <row r="228" customFormat="false" ht="15" hidden="false" customHeight="true" outlineLevel="0" collapsed="false">
      <c r="A228" s="12"/>
      <c r="B228" s="10"/>
      <c r="C228" s="15" t="str">
        <f aca="false">IF($B228="","",IFERROR(INDEX(회원명부!$B$3:$B$502,MATCH($B228,회원명부!$A$3:$A$502,0)),"미등록회원"))</f>
        <v/>
      </c>
      <c r="D228" s="13"/>
      <c r="E228" s="10"/>
      <c r="F228" s="10"/>
      <c r="G228" s="10"/>
    </row>
    <row r="229" customFormat="false" ht="15" hidden="false" customHeight="true" outlineLevel="0" collapsed="false">
      <c r="A229" s="12"/>
      <c r="B229" s="10"/>
      <c r="C229" s="15" t="str">
        <f aca="false">IF($B229="","",IFERROR(INDEX(회원명부!$B$3:$B$502,MATCH($B229,회원명부!$A$3:$A$502,0)),"미등록회원"))</f>
        <v/>
      </c>
      <c r="D229" s="13"/>
      <c r="E229" s="10"/>
      <c r="F229" s="10"/>
      <c r="G229" s="10"/>
    </row>
    <row r="230" customFormat="false" ht="15" hidden="false" customHeight="true" outlineLevel="0" collapsed="false">
      <c r="A230" s="12"/>
      <c r="B230" s="10"/>
      <c r="C230" s="15" t="str">
        <f aca="false">IF($B230="","",IFERROR(INDEX(회원명부!$B$3:$B$502,MATCH($B230,회원명부!$A$3:$A$502,0)),"미등록회원"))</f>
        <v/>
      </c>
      <c r="D230" s="13"/>
      <c r="E230" s="10"/>
      <c r="F230" s="10"/>
      <c r="G230" s="10"/>
    </row>
    <row r="231" customFormat="false" ht="15" hidden="false" customHeight="true" outlineLevel="0" collapsed="false">
      <c r="A231" s="12"/>
      <c r="B231" s="10"/>
      <c r="C231" s="15" t="str">
        <f aca="false">IF($B231="","",IFERROR(INDEX(회원명부!$B$3:$B$502,MATCH($B231,회원명부!$A$3:$A$502,0)),"미등록회원"))</f>
        <v/>
      </c>
      <c r="D231" s="13"/>
      <c r="E231" s="10"/>
      <c r="F231" s="10"/>
      <c r="G231" s="10"/>
    </row>
    <row r="232" customFormat="false" ht="15" hidden="false" customHeight="true" outlineLevel="0" collapsed="false">
      <c r="A232" s="12"/>
      <c r="B232" s="10"/>
      <c r="C232" s="15" t="str">
        <f aca="false">IF($B232="","",IFERROR(INDEX(회원명부!$B$3:$B$502,MATCH($B232,회원명부!$A$3:$A$502,0)),"미등록회원"))</f>
        <v/>
      </c>
      <c r="D232" s="13"/>
      <c r="E232" s="10"/>
      <c r="F232" s="10"/>
      <c r="G232" s="10"/>
    </row>
    <row r="233" customFormat="false" ht="15" hidden="false" customHeight="true" outlineLevel="0" collapsed="false">
      <c r="A233" s="12"/>
      <c r="B233" s="10"/>
      <c r="C233" s="15" t="str">
        <f aca="false">IF($B233="","",IFERROR(INDEX(회원명부!$B$3:$B$502,MATCH($B233,회원명부!$A$3:$A$502,0)),"미등록회원"))</f>
        <v/>
      </c>
      <c r="D233" s="13"/>
      <c r="E233" s="10"/>
      <c r="F233" s="10"/>
      <c r="G233" s="10"/>
    </row>
    <row r="234" customFormat="false" ht="15" hidden="false" customHeight="true" outlineLevel="0" collapsed="false">
      <c r="A234" s="12"/>
      <c r="B234" s="10"/>
      <c r="C234" s="15" t="str">
        <f aca="false">IF($B234="","",IFERROR(INDEX(회원명부!$B$3:$B$502,MATCH($B234,회원명부!$A$3:$A$502,0)),"미등록회원"))</f>
        <v/>
      </c>
      <c r="D234" s="13"/>
      <c r="E234" s="10"/>
      <c r="F234" s="10"/>
      <c r="G234" s="10"/>
    </row>
    <row r="235" customFormat="false" ht="15" hidden="false" customHeight="true" outlineLevel="0" collapsed="false">
      <c r="A235" s="12"/>
      <c r="B235" s="10"/>
      <c r="C235" s="15" t="str">
        <f aca="false">IF($B235="","",IFERROR(INDEX(회원명부!$B$3:$B$502,MATCH($B235,회원명부!$A$3:$A$502,0)),"미등록회원"))</f>
        <v/>
      </c>
      <c r="D235" s="13"/>
      <c r="E235" s="10"/>
      <c r="F235" s="10"/>
      <c r="G235" s="10"/>
    </row>
    <row r="236" customFormat="false" ht="15" hidden="false" customHeight="true" outlineLevel="0" collapsed="false">
      <c r="A236" s="12"/>
      <c r="B236" s="10"/>
      <c r="C236" s="15" t="str">
        <f aca="false">IF($B236="","",IFERROR(INDEX(회원명부!$B$3:$B$502,MATCH($B236,회원명부!$A$3:$A$502,0)),"미등록회원"))</f>
        <v/>
      </c>
      <c r="D236" s="13"/>
      <c r="E236" s="10"/>
      <c r="F236" s="10"/>
      <c r="G236" s="10"/>
    </row>
    <row r="237" customFormat="false" ht="15" hidden="false" customHeight="true" outlineLevel="0" collapsed="false">
      <c r="A237" s="12"/>
      <c r="B237" s="10"/>
      <c r="C237" s="15" t="str">
        <f aca="false">IF($B237="","",IFERROR(INDEX(회원명부!$B$3:$B$502,MATCH($B237,회원명부!$A$3:$A$502,0)),"미등록회원"))</f>
        <v/>
      </c>
      <c r="D237" s="13"/>
      <c r="E237" s="10"/>
      <c r="F237" s="10"/>
      <c r="G237" s="10"/>
    </row>
    <row r="238" customFormat="false" ht="15" hidden="false" customHeight="true" outlineLevel="0" collapsed="false">
      <c r="A238" s="12"/>
      <c r="B238" s="10"/>
      <c r="C238" s="15" t="str">
        <f aca="false">IF($B238="","",IFERROR(INDEX(회원명부!$B$3:$B$502,MATCH($B238,회원명부!$A$3:$A$502,0)),"미등록회원"))</f>
        <v/>
      </c>
      <c r="D238" s="13"/>
      <c r="E238" s="10"/>
      <c r="F238" s="10"/>
      <c r="G238" s="10"/>
    </row>
    <row r="239" customFormat="false" ht="15" hidden="false" customHeight="true" outlineLevel="0" collapsed="false">
      <c r="A239" s="12"/>
      <c r="B239" s="10"/>
      <c r="C239" s="15" t="str">
        <f aca="false">IF($B239="","",IFERROR(INDEX(회원명부!$B$3:$B$502,MATCH($B239,회원명부!$A$3:$A$502,0)),"미등록회원"))</f>
        <v/>
      </c>
      <c r="D239" s="13"/>
      <c r="E239" s="10"/>
      <c r="F239" s="10"/>
      <c r="G239" s="10"/>
    </row>
    <row r="240" customFormat="false" ht="15" hidden="false" customHeight="true" outlineLevel="0" collapsed="false">
      <c r="A240" s="12"/>
      <c r="B240" s="10"/>
      <c r="C240" s="15" t="str">
        <f aca="false">IF($B240="","",IFERROR(INDEX(회원명부!$B$3:$B$502,MATCH($B240,회원명부!$A$3:$A$502,0)),"미등록회원"))</f>
        <v/>
      </c>
      <c r="D240" s="13"/>
      <c r="E240" s="10"/>
      <c r="F240" s="10"/>
      <c r="G240" s="10"/>
    </row>
    <row r="241" customFormat="false" ht="15" hidden="false" customHeight="true" outlineLevel="0" collapsed="false">
      <c r="A241" s="12"/>
      <c r="B241" s="10"/>
      <c r="C241" s="15" t="str">
        <f aca="false">IF($B241="","",IFERROR(INDEX(회원명부!$B$3:$B$502,MATCH($B241,회원명부!$A$3:$A$502,0)),"미등록회원"))</f>
        <v/>
      </c>
      <c r="D241" s="13"/>
      <c r="E241" s="10"/>
      <c r="F241" s="10"/>
      <c r="G241" s="10"/>
    </row>
    <row r="242" customFormat="false" ht="15" hidden="false" customHeight="true" outlineLevel="0" collapsed="false">
      <c r="A242" s="12"/>
      <c r="B242" s="10"/>
      <c r="C242" s="15" t="str">
        <f aca="false">IF($B242="","",IFERROR(INDEX(회원명부!$B$3:$B$502,MATCH($B242,회원명부!$A$3:$A$502,0)),"미등록회원"))</f>
        <v/>
      </c>
      <c r="D242" s="13"/>
      <c r="E242" s="10"/>
      <c r="F242" s="10"/>
      <c r="G242" s="10"/>
    </row>
    <row r="243" customFormat="false" ht="15" hidden="false" customHeight="true" outlineLevel="0" collapsed="false">
      <c r="A243" s="12"/>
      <c r="B243" s="10"/>
      <c r="C243" s="15" t="str">
        <f aca="false">IF($B243="","",IFERROR(INDEX(회원명부!$B$3:$B$502,MATCH($B243,회원명부!$A$3:$A$502,0)),"미등록회원"))</f>
        <v/>
      </c>
      <c r="D243" s="13"/>
      <c r="E243" s="10"/>
      <c r="F243" s="10"/>
      <c r="G243" s="10"/>
    </row>
    <row r="244" customFormat="false" ht="15" hidden="false" customHeight="true" outlineLevel="0" collapsed="false">
      <c r="A244" s="12"/>
      <c r="B244" s="10"/>
      <c r="C244" s="15" t="str">
        <f aca="false">IF($B244="","",IFERROR(INDEX(회원명부!$B$3:$B$502,MATCH($B244,회원명부!$A$3:$A$502,0)),"미등록회원"))</f>
        <v/>
      </c>
      <c r="D244" s="13"/>
      <c r="E244" s="10"/>
      <c r="F244" s="10"/>
      <c r="G244" s="10"/>
    </row>
    <row r="245" customFormat="false" ht="15" hidden="false" customHeight="true" outlineLevel="0" collapsed="false">
      <c r="A245" s="12"/>
      <c r="B245" s="10"/>
      <c r="C245" s="15" t="str">
        <f aca="false">IF($B245="","",IFERROR(INDEX(회원명부!$B$3:$B$502,MATCH($B245,회원명부!$A$3:$A$502,0)),"미등록회원"))</f>
        <v/>
      </c>
      <c r="D245" s="13"/>
      <c r="E245" s="10"/>
      <c r="F245" s="10"/>
      <c r="G245" s="10"/>
    </row>
    <row r="246" customFormat="false" ht="15" hidden="false" customHeight="true" outlineLevel="0" collapsed="false">
      <c r="A246" s="12"/>
      <c r="B246" s="10"/>
      <c r="C246" s="15" t="str">
        <f aca="false">IF($B246="","",IFERROR(INDEX(회원명부!$B$3:$B$502,MATCH($B246,회원명부!$A$3:$A$502,0)),"미등록회원"))</f>
        <v/>
      </c>
      <c r="D246" s="13"/>
      <c r="E246" s="10"/>
      <c r="F246" s="10"/>
      <c r="G246" s="10"/>
    </row>
    <row r="247" customFormat="false" ht="15" hidden="false" customHeight="true" outlineLevel="0" collapsed="false">
      <c r="A247" s="12"/>
      <c r="B247" s="10"/>
      <c r="C247" s="15" t="str">
        <f aca="false">IF($B247="","",IFERROR(INDEX(회원명부!$B$3:$B$502,MATCH($B247,회원명부!$A$3:$A$502,0)),"미등록회원"))</f>
        <v/>
      </c>
      <c r="D247" s="13"/>
      <c r="E247" s="10"/>
      <c r="F247" s="10"/>
      <c r="G247" s="10"/>
    </row>
    <row r="248" customFormat="false" ht="15" hidden="false" customHeight="true" outlineLevel="0" collapsed="false">
      <c r="A248" s="12"/>
      <c r="B248" s="10"/>
      <c r="C248" s="15" t="str">
        <f aca="false">IF($B248="","",IFERROR(INDEX(회원명부!$B$3:$B$502,MATCH($B248,회원명부!$A$3:$A$502,0)),"미등록회원"))</f>
        <v/>
      </c>
      <c r="D248" s="13"/>
      <c r="E248" s="10"/>
      <c r="F248" s="10"/>
      <c r="G248" s="10"/>
    </row>
    <row r="249" customFormat="false" ht="15" hidden="false" customHeight="true" outlineLevel="0" collapsed="false">
      <c r="A249" s="12"/>
      <c r="B249" s="10"/>
      <c r="C249" s="15" t="str">
        <f aca="false">IF($B249="","",IFERROR(INDEX(회원명부!$B$3:$B$502,MATCH($B249,회원명부!$A$3:$A$502,0)),"미등록회원"))</f>
        <v/>
      </c>
      <c r="D249" s="13"/>
      <c r="E249" s="10"/>
      <c r="F249" s="10"/>
      <c r="G249" s="10"/>
    </row>
    <row r="250" customFormat="false" ht="15" hidden="false" customHeight="true" outlineLevel="0" collapsed="false">
      <c r="A250" s="12"/>
      <c r="B250" s="10"/>
      <c r="C250" s="15" t="str">
        <f aca="false">IF($B250="","",IFERROR(INDEX(회원명부!$B$3:$B$502,MATCH($B250,회원명부!$A$3:$A$502,0)),"미등록회원"))</f>
        <v/>
      </c>
      <c r="D250" s="13"/>
      <c r="E250" s="10"/>
      <c r="F250" s="10"/>
      <c r="G250" s="10"/>
    </row>
    <row r="251" customFormat="false" ht="15" hidden="false" customHeight="true" outlineLevel="0" collapsed="false">
      <c r="A251" s="12"/>
      <c r="B251" s="10"/>
      <c r="C251" s="15" t="str">
        <f aca="false">IF($B251="","",IFERROR(INDEX(회원명부!$B$3:$B$502,MATCH($B251,회원명부!$A$3:$A$502,0)),"미등록회원"))</f>
        <v/>
      </c>
      <c r="D251" s="13"/>
      <c r="E251" s="10"/>
      <c r="F251" s="10"/>
      <c r="G251" s="10"/>
    </row>
    <row r="252" customFormat="false" ht="15" hidden="false" customHeight="true" outlineLevel="0" collapsed="false">
      <c r="A252" s="12"/>
      <c r="B252" s="10"/>
      <c r="C252" s="15" t="str">
        <f aca="false">IF($B252="","",IFERROR(INDEX(회원명부!$B$3:$B$502,MATCH($B252,회원명부!$A$3:$A$502,0)),"미등록회원"))</f>
        <v/>
      </c>
      <c r="D252" s="13"/>
      <c r="E252" s="10"/>
      <c r="F252" s="10"/>
      <c r="G252" s="10"/>
    </row>
    <row r="253" customFormat="false" ht="15" hidden="false" customHeight="true" outlineLevel="0" collapsed="false">
      <c r="A253" s="12"/>
      <c r="B253" s="10"/>
      <c r="C253" s="15" t="str">
        <f aca="false">IF($B253="","",IFERROR(INDEX(회원명부!$B$3:$B$502,MATCH($B253,회원명부!$A$3:$A$502,0)),"미등록회원"))</f>
        <v/>
      </c>
      <c r="D253" s="13"/>
      <c r="E253" s="10"/>
      <c r="F253" s="10"/>
      <c r="G253" s="10"/>
    </row>
    <row r="254" customFormat="false" ht="15" hidden="false" customHeight="true" outlineLevel="0" collapsed="false">
      <c r="A254" s="12"/>
      <c r="B254" s="10"/>
      <c r="C254" s="15" t="str">
        <f aca="false">IF($B254="","",IFERROR(INDEX(회원명부!$B$3:$B$502,MATCH($B254,회원명부!$A$3:$A$502,0)),"미등록회원"))</f>
        <v/>
      </c>
      <c r="D254" s="13"/>
      <c r="E254" s="10"/>
      <c r="F254" s="10"/>
      <c r="G254" s="10"/>
    </row>
    <row r="255" customFormat="false" ht="15" hidden="false" customHeight="true" outlineLevel="0" collapsed="false">
      <c r="A255" s="12"/>
      <c r="B255" s="10"/>
      <c r="C255" s="15" t="str">
        <f aca="false">IF($B255="","",IFERROR(INDEX(회원명부!$B$3:$B$502,MATCH($B255,회원명부!$A$3:$A$502,0)),"미등록회원"))</f>
        <v/>
      </c>
      <c r="D255" s="13"/>
      <c r="E255" s="10"/>
      <c r="F255" s="10"/>
      <c r="G255" s="10"/>
    </row>
    <row r="256" customFormat="false" ht="15" hidden="false" customHeight="true" outlineLevel="0" collapsed="false">
      <c r="A256" s="12"/>
      <c r="B256" s="10"/>
      <c r="C256" s="15" t="str">
        <f aca="false">IF($B256="","",IFERROR(INDEX(회원명부!$B$3:$B$502,MATCH($B256,회원명부!$A$3:$A$502,0)),"미등록회원"))</f>
        <v/>
      </c>
      <c r="D256" s="13"/>
      <c r="E256" s="10"/>
      <c r="F256" s="10"/>
      <c r="G256" s="10"/>
    </row>
    <row r="257" customFormat="false" ht="15" hidden="false" customHeight="true" outlineLevel="0" collapsed="false">
      <c r="A257" s="12"/>
      <c r="B257" s="10"/>
      <c r="C257" s="15" t="str">
        <f aca="false">IF($B257="","",IFERROR(INDEX(회원명부!$B$3:$B$502,MATCH($B257,회원명부!$A$3:$A$502,0)),"미등록회원"))</f>
        <v/>
      </c>
      <c r="D257" s="13"/>
      <c r="E257" s="10"/>
      <c r="F257" s="10"/>
      <c r="G257" s="10"/>
    </row>
    <row r="258" customFormat="false" ht="15" hidden="false" customHeight="true" outlineLevel="0" collapsed="false">
      <c r="A258" s="12"/>
      <c r="B258" s="10"/>
      <c r="C258" s="15" t="str">
        <f aca="false">IF($B258="","",IFERROR(INDEX(회원명부!$B$3:$B$502,MATCH($B258,회원명부!$A$3:$A$502,0)),"미등록회원"))</f>
        <v/>
      </c>
      <c r="D258" s="13"/>
      <c r="E258" s="10"/>
      <c r="F258" s="10"/>
      <c r="G258" s="10"/>
    </row>
    <row r="259" customFormat="false" ht="15" hidden="false" customHeight="true" outlineLevel="0" collapsed="false">
      <c r="A259" s="12"/>
      <c r="B259" s="10"/>
      <c r="C259" s="15" t="str">
        <f aca="false">IF($B259="","",IFERROR(INDEX(회원명부!$B$3:$B$502,MATCH($B259,회원명부!$A$3:$A$502,0)),"미등록회원"))</f>
        <v/>
      </c>
      <c r="D259" s="13"/>
      <c r="E259" s="10"/>
      <c r="F259" s="10"/>
      <c r="G259" s="10"/>
    </row>
    <row r="260" customFormat="false" ht="15" hidden="false" customHeight="true" outlineLevel="0" collapsed="false">
      <c r="A260" s="12"/>
      <c r="B260" s="10"/>
      <c r="C260" s="15" t="str">
        <f aca="false">IF($B260="","",IFERROR(INDEX(회원명부!$B$3:$B$502,MATCH($B260,회원명부!$A$3:$A$502,0)),"미등록회원"))</f>
        <v/>
      </c>
      <c r="D260" s="13"/>
      <c r="E260" s="10"/>
      <c r="F260" s="10"/>
      <c r="G260" s="10"/>
    </row>
    <row r="261" customFormat="false" ht="15" hidden="false" customHeight="true" outlineLevel="0" collapsed="false">
      <c r="A261" s="12"/>
      <c r="B261" s="10"/>
      <c r="C261" s="15" t="str">
        <f aca="false">IF($B261="","",IFERROR(INDEX(회원명부!$B$3:$B$502,MATCH($B261,회원명부!$A$3:$A$502,0)),"미등록회원"))</f>
        <v/>
      </c>
      <c r="D261" s="13"/>
      <c r="E261" s="10"/>
      <c r="F261" s="10"/>
      <c r="G261" s="10"/>
    </row>
    <row r="262" customFormat="false" ht="15" hidden="false" customHeight="true" outlineLevel="0" collapsed="false">
      <c r="A262" s="12"/>
      <c r="B262" s="10"/>
      <c r="C262" s="15" t="str">
        <f aca="false">IF($B262="","",IFERROR(INDEX(회원명부!$B$3:$B$502,MATCH($B262,회원명부!$A$3:$A$502,0)),"미등록회원"))</f>
        <v/>
      </c>
      <c r="D262" s="13"/>
      <c r="E262" s="10"/>
      <c r="F262" s="10"/>
      <c r="G262" s="10"/>
    </row>
    <row r="263" customFormat="false" ht="15" hidden="false" customHeight="true" outlineLevel="0" collapsed="false">
      <c r="A263" s="12"/>
      <c r="B263" s="10"/>
      <c r="C263" s="15" t="str">
        <f aca="false">IF($B263="","",IFERROR(INDEX(회원명부!$B$3:$B$502,MATCH($B263,회원명부!$A$3:$A$502,0)),"미등록회원"))</f>
        <v/>
      </c>
      <c r="D263" s="13"/>
      <c r="E263" s="10"/>
      <c r="F263" s="10"/>
      <c r="G263" s="10"/>
    </row>
    <row r="264" customFormat="false" ht="15" hidden="false" customHeight="true" outlineLevel="0" collapsed="false">
      <c r="A264" s="12"/>
      <c r="B264" s="10"/>
      <c r="C264" s="15" t="str">
        <f aca="false">IF($B264="","",IFERROR(INDEX(회원명부!$B$3:$B$502,MATCH($B264,회원명부!$A$3:$A$502,0)),"미등록회원"))</f>
        <v/>
      </c>
      <c r="D264" s="13"/>
      <c r="E264" s="10"/>
      <c r="F264" s="10"/>
      <c r="G264" s="10"/>
    </row>
    <row r="265" customFormat="false" ht="15" hidden="false" customHeight="true" outlineLevel="0" collapsed="false">
      <c r="A265" s="12"/>
      <c r="B265" s="10"/>
      <c r="C265" s="15" t="str">
        <f aca="false">IF($B265="","",IFERROR(INDEX(회원명부!$B$3:$B$502,MATCH($B265,회원명부!$A$3:$A$502,0)),"미등록회원"))</f>
        <v/>
      </c>
      <c r="D265" s="13"/>
      <c r="E265" s="10"/>
      <c r="F265" s="10"/>
      <c r="G265" s="10"/>
    </row>
    <row r="266" customFormat="false" ht="15" hidden="false" customHeight="true" outlineLevel="0" collapsed="false">
      <c r="A266" s="12"/>
      <c r="B266" s="10"/>
      <c r="C266" s="15" t="str">
        <f aca="false">IF($B266="","",IFERROR(INDEX(회원명부!$B$3:$B$502,MATCH($B266,회원명부!$A$3:$A$502,0)),"미등록회원"))</f>
        <v/>
      </c>
      <c r="D266" s="13"/>
      <c r="E266" s="10"/>
      <c r="F266" s="10"/>
      <c r="G266" s="10"/>
    </row>
    <row r="267" customFormat="false" ht="15" hidden="false" customHeight="true" outlineLevel="0" collapsed="false">
      <c r="A267" s="12"/>
      <c r="B267" s="10"/>
      <c r="C267" s="15" t="str">
        <f aca="false">IF($B267="","",IFERROR(INDEX(회원명부!$B$3:$B$502,MATCH($B267,회원명부!$A$3:$A$502,0)),"미등록회원"))</f>
        <v/>
      </c>
      <c r="D267" s="13"/>
      <c r="E267" s="10"/>
      <c r="F267" s="10"/>
      <c r="G267" s="10"/>
    </row>
    <row r="268" customFormat="false" ht="15" hidden="false" customHeight="true" outlineLevel="0" collapsed="false">
      <c r="A268" s="12"/>
      <c r="B268" s="10"/>
      <c r="C268" s="15" t="str">
        <f aca="false">IF($B268="","",IFERROR(INDEX(회원명부!$B$3:$B$502,MATCH($B268,회원명부!$A$3:$A$502,0)),"미등록회원"))</f>
        <v/>
      </c>
      <c r="D268" s="13"/>
      <c r="E268" s="10"/>
      <c r="F268" s="10"/>
      <c r="G268" s="10"/>
    </row>
    <row r="269" customFormat="false" ht="15" hidden="false" customHeight="true" outlineLevel="0" collapsed="false">
      <c r="A269" s="12"/>
      <c r="B269" s="10"/>
      <c r="C269" s="15" t="str">
        <f aca="false">IF($B269="","",IFERROR(INDEX(회원명부!$B$3:$B$502,MATCH($B269,회원명부!$A$3:$A$502,0)),"미등록회원"))</f>
        <v/>
      </c>
      <c r="D269" s="13"/>
      <c r="E269" s="10"/>
      <c r="F269" s="10"/>
      <c r="G269" s="10"/>
    </row>
    <row r="270" customFormat="false" ht="15" hidden="false" customHeight="true" outlineLevel="0" collapsed="false">
      <c r="A270" s="12"/>
      <c r="B270" s="10"/>
      <c r="C270" s="15" t="str">
        <f aca="false">IF($B270="","",IFERROR(INDEX(회원명부!$B$3:$B$502,MATCH($B270,회원명부!$A$3:$A$502,0)),"미등록회원"))</f>
        <v/>
      </c>
      <c r="D270" s="13"/>
      <c r="E270" s="10"/>
      <c r="F270" s="10"/>
      <c r="G270" s="10"/>
    </row>
    <row r="271" customFormat="false" ht="15" hidden="false" customHeight="true" outlineLevel="0" collapsed="false">
      <c r="A271" s="12"/>
      <c r="B271" s="10"/>
      <c r="C271" s="15" t="str">
        <f aca="false">IF($B271="","",IFERROR(INDEX(회원명부!$B$3:$B$502,MATCH($B271,회원명부!$A$3:$A$502,0)),"미등록회원"))</f>
        <v/>
      </c>
      <c r="D271" s="13"/>
      <c r="E271" s="10"/>
      <c r="F271" s="10"/>
      <c r="G271" s="10"/>
    </row>
    <row r="272" customFormat="false" ht="15" hidden="false" customHeight="true" outlineLevel="0" collapsed="false">
      <c r="A272" s="12"/>
      <c r="B272" s="10"/>
      <c r="C272" s="15" t="str">
        <f aca="false">IF($B272="","",IFERROR(INDEX(회원명부!$B$3:$B$502,MATCH($B272,회원명부!$A$3:$A$502,0)),"미등록회원"))</f>
        <v/>
      </c>
      <c r="D272" s="13"/>
      <c r="E272" s="10"/>
      <c r="F272" s="10"/>
      <c r="G272" s="10"/>
    </row>
    <row r="273" customFormat="false" ht="15" hidden="false" customHeight="true" outlineLevel="0" collapsed="false">
      <c r="A273" s="12"/>
      <c r="B273" s="10"/>
      <c r="C273" s="15" t="str">
        <f aca="false">IF($B273="","",IFERROR(INDEX(회원명부!$B$3:$B$502,MATCH($B273,회원명부!$A$3:$A$502,0)),"미등록회원"))</f>
        <v/>
      </c>
      <c r="D273" s="13"/>
      <c r="E273" s="10"/>
      <c r="F273" s="10"/>
      <c r="G273" s="10"/>
    </row>
    <row r="274" customFormat="false" ht="15" hidden="false" customHeight="true" outlineLevel="0" collapsed="false">
      <c r="A274" s="12"/>
      <c r="B274" s="10"/>
      <c r="C274" s="15" t="str">
        <f aca="false">IF($B274="","",IFERROR(INDEX(회원명부!$B$3:$B$502,MATCH($B274,회원명부!$A$3:$A$502,0)),"미등록회원"))</f>
        <v/>
      </c>
      <c r="D274" s="13"/>
      <c r="E274" s="10"/>
      <c r="F274" s="10"/>
      <c r="G274" s="10"/>
    </row>
    <row r="275" customFormat="false" ht="15" hidden="false" customHeight="true" outlineLevel="0" collapsed="false">
      <c r="A275" s="12"/>
      <c r="B275" s="10"/>
      <c r="C275" s="15" t="str">
        <f aca="false">IF($B275="","",IFERROR(INDEX(회원명부!$B$3:$B$502,MATCH($B275,회원명부!$A$3:$A$502,0)),"미등록회원"))</f>
        <v/>
      </c>
      <c r="D275" s="13"/>
      <c r="E275" s="10"/>
      <c r="F275" s="10"/>
      <c r="G275" s="10"/>
    </row>
    <row r="276" customFormat="false" ht="15" hidden="false" customHeight="true" outlineLevel="0" collapsed="false">
      <c r="A276" s="12"/>
      <c r="B276" s="10"/>
      <c r="C276" s="15" t="str">
        <f aca="false">IF($B276="","",IFERROR(INDEX(회원명부!$B$3:$B$502,MATCH($B276,회원명부!$A$3:$A$502,0)),"미등록회원"))</f>
        <v/>
      </c>
      <c r="D276" s="13"/>
      <c r="E276" s="10"/>
      <c r="F276" s="10"/>
      <c r="G276" s="10"/>
    </row>
    <row r="277" customFormat="false" ht="15" hidden="false" customHeight="true" outlineLevel="0" collapsed="false">
      <c r="A277" s="12"/>
      <c r="B277" s="10"/>
      <c r="C277" s="15" t="str">
        <f aca="false">IF($B277="","",IFERROR(INDEX(회원명부!$B$3:$B$502,MATCH($B277,회원명부!$A$3:$A$502,0)),"미등록회원"))</f>
        <v/>
      </c>
      <c r="D277" s="13"/>
      <c r="E277" s="10"/>
      <c r="F277" s="10"/>
      <c r="G277" s="10"/>
    </row>
    <row r="278" customFormat="false" ht="15" hidden="false" customHeight="true" outlineLevel="0" collapsed="false">
      <c r="A278" s="12"/>
      <c r="B278" s="10"/>
      <c r="C278" s="15" t="str">
        <f aca="false">IF($B278="","",IFERROR(INDEX(회원명부!$B$3:$B$502,MATCH($B278,회원명부!$A$3:$A$502,0)),"미등록회원"))</f>
        <v/>
      </c>
      <c r="D278" s="13"/>
      <c r="E278" s="10"/>
      <c r="F278" s="10"/>
      <c r="G278" s="10"/>
    </row>
    <row r="279" customFormat="false" ht="15" hidden="false" customHeight="true" outlineLevel="0" collapsed="false">
      <c r="A279" s="12"/>
      <c r="B279" s="10"/>
      <c r="C279" s="15" t="str">
        <f aca="false">IF($B279="","",IFERROR(INDEX(회원명부!$B$3:$B$502,MATCH($B279,회원명부!$A$3:$A$502,0)),"미등록회원"))</f>
        <v/>
      </c>
      <c r="D279" s="13"/>
      <c r="E279" s="10"/>
      <c r="F279" s="10"/>
      <c r="G279" s="10"/>
    </row>
    <row r="280" customFormat="false" ht="15" hidden="false" customHeight="true" outlineLevel="0" collapsed="false">
      <c r="A280" s="12"/>
      <c r="B280" s="10"/>
      <c r="C280" s="15" t="str">
        <f aca="false">IF($B280="","",IFERROR(INDEX(회원명부!$B$3:$B$502,MATCH($B280,회원명부!$A$3:$A$502,0)),"미등록회원"))</f>
        <v/>
      </c>
      <c r="D280" s="13"/>
      <c r="E280" s="10"/>
      <c r="F280" s="10"/>
      <c r="G280" s="10"/>
    </row>
    <row r="281" customFormat="false" ht="15" hidden="false" customHeight="true" outlineLevel="0" collapsed="false">
      <c r="A281" s="12"/>
      <c r="B281" s="10"/>
      <c r="C281" s="15" t="str">
        <f aca="false">IF($B281="","",IFERROR(INDEX(회원명부!$B$3:$B$502,MATCH($B281,회원명부!$A$3:$A$502,0)),"미등록회원"))</f>
        <v/>
      </c>
      <c r="D281" s="13"/>
      <c r="E281" s="10"/>
      <c r="F281" s="10"/>
      <c r="G281" s="10"/>
    </row>
    <row r="282" customFormat="false" ht="15" hidden="false" customHeight="true" outlineLevel="0" collapsed="false">
      <c r="A282" s="12"/>
      <c r="B282" s="10"/>
      <c r="C282" s="15" t="str">
        <f aca="false">IF($B282="","",IFERROR(INDEX(회원명부!$B$3:$B$502,MATCH($B282,회원명부!$A$3:$A$502,0)),"미등록회원"))</f>
        <v/>
      </c>
      <c r="D282" s="13"/>
      <c r="E282" s="10"/>
      <c r="F282" s="10"/>
      <c r="G282" s="10"/>
    </row>
    <row r="283" customFormat="false" ht="15" hidden="false" customHeight="true" outlineLevel="0" collapsed="false">
      <c r="A283" s="12"/>
      <c r="B283" s="10"/>
      <c r="C283" s="15" t="str">
        <f aca="false">IF($B283="","",IFERROR(INDEX(회원명부!$B$3:$B$502,MATCH($B283,회원명부!$A$3:$A$502,0)),"미등록회원"))</f>
        <v/>
      </c>
      <c r="D283" s="13"/>
      <c r="E283" s="10"/>
      <c r="F283" s="10"/>
      <c r="G283" s="10"/>
    </row>
    <row r="284" customFormat="false" ht="15" hidden="false" customHeight="true" outlineLevel="0" collapsed="false">
      <c r="A284" s="12"/>
      <c r="B284" s="10"/>
      <c r="C284" s="15" t="str">
        <f aca="false">IF($B284="","",IFERROR(INDEX(회원명부!$B$3:$B$502,MATCH($B284,회원명부!$A$3:$A$502,0)),"미등록회원"))</f>
        <v/>
      </c>
      <c r="D284" s="13"/>
      <c r="E284" s="10"/>
      <c r="F284" s="10"/>
      <c r="G284" s="10"/>
    </row>
    <row r="285" customFormat="false" ht="15" hidden="false" customHeight="true" outlineLevel="0" collapsed="false">
      <c r="A285" s="12"/>
      <c r="B285" s="10"/>
      <c r="C285" s="15" t="str">
        <f aca="false">IF($B285="","",IFERROR(INDEX(회원명부!$B$3:$B$502,MATCH($B285,회원명부!$A$3:$A$502,0)),"미등록회원"))</f>
        <v/>
      </c>
      <c r="D285" s="13"/>
      <c r="E285" s="10"/>
      <c r="F285" s="10"/>
      <c r="G285" s="10"/>
    </row>
    <row r="286" customFormat="false" ht="15" hidden="false" customHeight="true" outlineLevel="0" collapsed="false">
      <c r="A286" s="12"/>
      <c r="B286" s="10"/>
      <c r="C286" s="15" t="str">
        <f aca="false">IF($B286="","",IFERROR(INDEX(회원명부!$B$3:$B$502,MATCH($B286,회원명부!$A$3:$A$502,0)),"미등록회원"))</f>
        <v/>
      </c>
      <c r="D286" s="13"/>
      <c r="E286" s="10"/>
      <c r="F286" s="10"/>
      <c r="G286" s="10"/>
    </row>
    <row r="287" customFormat="false" ht="15" hidden="false" customHeight="true" outlineLevel="0" collapsed="false">
      <c r="A287" s="12"/>
      <c r="B287" s="10"/>
      <c r="C287" s="15" t="str">
        <f aca="false">IF($B287="","",IFERROR(INDEX(회원명부!$B$3:$B$502,MATCH($B287,회원명부!$A$3:$A$502,0)),"미등록회원"))</f>
        <v/>
      </c>
      <c r="D287" s="13"/>
      <c r="E287" s="10"/>
      <c r="F287" s="10"/>
      <c r="G287" s="10"/>
    </row>
    <row r="288" customFormat="false" ht="15" hidden="false" customHeight="true" outlineLevel="0" collapsed="false">
      <c r="A288" s="12"/>
      <c r="B288" s="10"/>
      <c r="C288" s="15" t="str">
        <f aca="false">IF($B288="","",IFERROR(INDEX(회원명부!$B$3:$B$502,MATCH($B288,회원명부!$A$3:$A$502,0)),"미등록회원"))</f>
        <v/>
      </c>
      <c r="D288" s="13"/>
      <c r="E288" s="10"/>
      <c r="F288" s="10"/>
      <c r="G288" s="10"/>
    </row>
    <row r="289" customFormat="false" ht="15" hidden="false" customHeight="true" outlineLevel="0" collapsed="false">
      <c r="A289" s="12"/>
      <c r="B289" s="10"/>
      <c r="C289" s="15" t="str">
        <f aca="false">IF($B289="","",IFERROR(INDEX(회원명부!$B$3:$B$502,MATCH($B289,회원명부!$A$3:$A$502,0)),"미등록회원"))</f>
        <v/>
      </c>
      <c r="D289" s="13"/>
      <c r="E289" s="10"/>
      <c r="F289" s="10"/>
      <c r="G289" s="10"/>
    </row>
    <row r="290" customFormat="false" ht="15" hidden="false" customHeight="true" outlineLevel="0" collapsed="false">
      <c r="A290" s="12"/>
      <c r="B290" s="10"/>
      <c r="C290" s="15" t="str">
        <f aca="false">IF($B290="","",IFERROR(INDEX(회원명부!$B$3:$B$502,MATCH($B290,회원명부!$A$3:$A$502,0)),"미등록회원"))</f>
        <v/>
      </c>
      <c r="D290" s="13"/>
      <c r="E290" s="10"/>
      <c r="F290" s="10"/>
      <c r="G290" s="10"/>
    </row>
    <row r="291" customFormat="false" ht="15" hidden="false" customHeight="true" outlineLevel="0" collapsed="false">
      <c r="A291" s="12"/>
      <c r="B291" s="10"/>
      <c r="C291" s="15" t="str">
        <f aca="false">IF($B291="","",IFERROR(INDEX(회원명부!$B$3:$B$502,MATCH($B291,회원명부!$A$3:$A$502,0)),"미등록회원"))</f>
        <v/>
      </c>
      <c r="D291" s="13"/>
      <c r="E291" s="10"/>
      <c r="F291" s="10"/>
      <c r="G291" s="10"/>
    </row>
    <row r="292" customFormat="false" ht="15" hidden="false" customHeight="true" outlineLevel="0" collapsed="false">
      <c r="A292" s="12"/>
      <c r="B292" s="10"/>
      <c r="C292" s="15" t="str">
        <f aca="false">IF($B292="","",IFERROR(INDEX(회원명부!$B$3:$B$502,MATCH($B292,회원명부!$A$3:$A$502,0)),"미등록회원"))</f>
        <v/>
      </c>
      <c r="D292" s="13"/>
      <c r="E292" s="10"/>
      <c r="F292" s="10"/>
      <c r="G292" s="10"/>
    </row>
    <row r="293" customFormat="false" ht="15" hidden="false" customHeight="true" outlineLevel="0" collapsed="false">
      <c r="A293" s="12"/>
      <c r="B293" s="10"/>
      <c r="C293" s="15" t="str">
        <f aca="false">IF($B293="","",IFERROR(INDEX(회원명부!$B$3:$B$502,MATCH($B293,회원명부!$A$3:$A$502,0)),"미등록회원"))</f>
        <v/>
      </c>
      <c r="D293" s="13"/>
      <c r="E293" s="10"/>
      <c r="F293" s="10"/>
      <c r="G293" s="10"/>
    </row>
    <row r="294" customFormat="false" ht="15" hidden="false" customHeight="true" outlineLevel="0" collapsed="false">
      <c r="A294" s="12"/>
      <c r="B294" s="10"/>
      <c r="C294" s="15" t="str">
        <f aca="false">IF($B294="","",IFERROR(INDEX(회원명부!$B$3:$B$502,MATCH($B294,회원명부!$A$3:$A$502,0)),"미등록회원"))</f>
        <v/>
      </c>
      <c r="D294" s="13"/>
      <c r="E294" s="10"/>
      <c r="F294" s="10"/>
      <c r="G294" s="10"/>
    </row>
    <row r="295" customFormat="false" ht="15" hidden="false" customHeight="true" outlineLevel="0" collapsed="false">
      <c r="A295" s="12"/>
      <c r="B295" s="10"/>
      <c r="C295" s="15" t="str">
        <f aca="false">IF($B295="","",IFERROR(INDEX(회원명부!$B$3:$B$502,MATCH($B295,회원명부!$A$3:$A$502,0)),"미등록회원"))</f>
        <v/>
      </c>
      <c r="D295" s="13"/>
      <c r="E295" s="10"/>
      <c r="F295" s="10"/>
      <c r="G295" s="10"/>
    </row>
    <row r="296" customFormat="false" ht="15" hidden="false" customHeight="true" outlineLevel="0" collapsed="false">
      <c r="A296" s="12"/>
      <c r="B296" s="10"/>
      <c r="C296" s="15" t="str">
        <f aca="false">IF($B296="","",IFERROR(INDEX(회원명부!$B$3:$B$502,MATCH($B296,회원명부!$A$3:$A$502,0)),"미등록회원"))</f>
        <v/>
      </c>
      <c r="D296" s="13"/>
      <c r="E296" s="10"/>
      <c r="F296" s="10"/>
      <c r="G296" s="10"/>
    </row>
    <row r="297" customFormat="false" ht="15" hidden="false" customHeight="true" outlineLevel="0" collapsed="false">
      <c r="A297" s="12"/>
      <c r="B297" s="10"/>
      <c r="C297" s="15" t="str">
        <f aca="false">IF($B297="","",IFERROR(INDEX(회원명부!$B$3:$B$502,MATCH($B297,회원명부!$A$3:$A$502,0)),"미등록회원"))</f>
        <v/>
      </c>
      <c r="D297" s="13"/>
      <c r="E297" s="10"/>
      <c r="F297" s="10"/>
      <c r="G297" s="10"/>
    </row>
    <row r="298" customFormat="false" ht="15" hidden="false" customHeight="true" outlineLevel="0" collapsed="false">
      <c r="A298" s="12"/>
      <c r="B298" s="10"/>
      <c r="C298" s="15" t="str">
        <f aca="false">IF($B298="","",IFERROR(INDEX(회원명부!$B$3:$B$502,MATCH($B298,회원명부!$A$3:$A$502,0)),"미등록회원"))</f>
        <v/>
      </c>
      <c r="D298" s="13"/>
      <c r="E298" s="10"/>
      <c r="F298" s="10"/>
      <c r="G298" s="10"/>
    </row>
    <row r="299" customFormat="false" ht="15" hidden="false" customHeight="true" outlineLevel="0" collapsed="false">
      <c r="A299" s="12"/>
      <c r="B299" s="10"/>
      <c r="C299" s="15" t="str">
        <f aca="false">IF($B299="","",IFERROR(INDEX(회원명부!$B$3:$B$502,MATCH($B299,회원명부!$A$3:$A$502,0)),"미등록회원"))</f>
        <v/>
      </c>
      <c r="D299" s="13"/>
      <c r="E299" s="10"/>
      <c r="F299" s="10"/>
      <c r="G299" s="10"/>
    </row>
    <row r="300" customFormat="false" ht="15" hidden="false" customHeight="true" outlineLevel="0" collapsed="false">
      <c r="A300" s="12"/>
      <c r="B300" s="10"/>
      <c r="C300" s="15" t="str">
        <f aca="false">IF($B300="","",IFERROR(INDEX(회원명부!$B$3:$B$502,MATCH($B300,회원명부!$A$3:$A$502,0)),"미등록회원"))</f>
        <v/>
      </c>
      <c r="D300" s="13"/>
      <c r="E300" s="10"/>
      <c r="F300" s="10"/>
      <c r="G300" s="10"/>
    </row>
    <row r="301" customFormat="false" ht="15" hidden="false" customHeight="true" outlineLevel="0" collapsed="false">
      <c r="A301" s="12"/>
      <c r="B301" s="10"/>
      <c r="C301" s="15" t="str">
        <f aca="false">IF($B301="","",IFERROR(INDEX(회원명부!$B$3:$B$502,MATCH($B301,회원명부!$A$3:$A$502,0)),"미등록회원"))</f>
        <v/>
      </c>
      <c r="D301" s="13"/>
      <c r="E301" s="10"/>
      <c r="F301" s="10"/>
      <c r="G301" s="10"/>
    </row>
    <row r="302" customFormat="false" ht="15" hidden="false" customHeight="true" outlineLevel="0" collapsed="false">
      <c r="A302" s="12"/>
      <c r="B302" s="10"/>
      <c r="C302" s="15" t="str">
        <f aca="false">IF($B302="","",IFERROR(INDEX(회원명부!$B$3:$B$502,MATCH($B302,회원명부!$A$3:$A$502,0)),"미등록회원"))</f>
        <v/>
      </c>
      <c r="D302" s="13"/>
      <c r="E302" s="10"/>
      <c r="F302" s="10"/>
      <c r="G302" s="10"/>
    </row>
    <row r="303" customFormat="false" ht="15" hidden="false" customHeight="true" outlineLevel="0" collapsed="false">
      <c r="A303" s="12"/>
      <c r="B303" s="10"/>
      <c r="C303" s="15" t="str">
        <f aca="false">IF($B303="","",IFERROR(INDEX(회원명부!$B$3:$B$502,MATCH($B303,회원명부!$A$3:$A$502,0)),"미등록회원"))</f>
        <v/>
      </c>
      <c r="D303" s="13"/>
      <c r="E303" s="10"/>
      <c r="F303" s="10"/>
      <c r="G303" s="10"/>
    </row>
    <row r="304" customFormat="false" ht="15" hidden="false" customHeight="true" outlineLevel="0" collapsed="false">
      <c r="A304" s="12"/>
      <c r="B304" s="10"/>
      <c r="C304" s="15" t="str">
        <f aca="false">IF($B304="","",IFERROR(INDEX(회원명부!$B$3:$B$502,MATCH($B304,회원명부!$A$3:$A$502,0)),"미등록회원"))</f>
        <v/>
      </c>
      <c r="D304" s="13"/>
      <c r="E304" s="10"/>
      <c r="F304" s="10"/>
      <c r="G304" s="10"/>
    </row>
    <row r="305" customFormat="false" ht="15" hidden="false" customHeight="true" outlineLevel="0" collapsed="false">
      <c r="A305" s="12"/>
      <c r="B305" s="10"/>
      <c r="C305" s="15" t="str">
        <f aca="false">IF($B305="","",IFERROR(INDEX(회원명부!$B$3:$B$502,MATCH($B305,회원명부!$A$3:$A$502,0)),"미등록회원"))</f>
        <v/>
      </c>
      <c r="D305" s="13"/>
      <c r="E305" s="10"/>
      <c r="F305" s="10"/>
      <c r="G305" s="10"/>
    </row>
    <row r="306" customFormat="false" ht="15" hidden="false" customHeight="true" outlineLevel="0" collapsed="false">
      <c r="A306" s="12"/>
      <c r="B306" s="10"/>
      <c r="C306" s="15" t="str">
        <f aca="false">IF($B306="","",IFERROR(INDEX(회원명부!$B$3:$B$502,MATCH($B306,회원명부!$A$3:$A$502,0)),"미등록회원"))</f>
        <v/>
      </c>
      <c r="D306" s="13"/>
      <c r="E306" s="10"/>
      <c r="F306" s="10"/>
      <c r="G306" s="10"/>
    </row>
    <row r="307" customFormat="false" ht="15" hidden="false" customHeight="true" outlineLevel="0" collapsed="false">
      <c r="A307" s="12"/>
      <c r="B307" s="10"/>
      <c r="C307" s="15" t="str">
        <f aca="false">IF($B307="","",IFERROR(INDEX(회원명부!$B$3:$B$502,MATCH($B307,회원명부!$A$3:$A$502,0)),"미등록회원"))</f>
        <v/>
      </c>
      <c r="D307" s="13"/>
      <c r="E307" s="10"/>
      <c r="F307" s="10"/>
      <c r="G307" s="10"/>
    </row>
    <row r="308" customFormat="false" ht="15" hidden="false" customHeight="true" outlineLevel="0" collapsed="false">
      <c r="A308" s="12"/>
      <c r="B308" s="10"/>
      <c r="C308" s="15" t="str">
        <f aca="false">IF($B308="","",IFERROR(INDEX(회원명부!$B$3:$B$502,MATCH($B308,회원명부!$A$3:$A$502,0)),"미등록회원"))</f>
        <v/>
      </c>
      <c r="D308" s="13"/>
      <c r="E308" s="10"/>
      <c r="F308" s="10"/>
      <c r="G308" s="10"/>
    </row>
    <row r="309" customFormat="false" ht="15" hidden="false" customHeight="true" outlineLevel="0" collapsed="false">
      <c r="A309" s="12"/>
      <c r="B309" s="10"/>
      <c r="C309" s="15" t="str">
        <f aca="false">IF($B309="","",IFERROR(INDEX(회원명부!$B$3:$B$502,MATCH($B309,회원명부!$A$3:$A$502,0)),"미등록회원"))</f>
        <v/>
      </c>
      <c r="D309" s="13"/>
      <c r="E309" s="10"/>
      <c r="F309" s="10"/>
      <c r="G309" s="10"/>
    </row>
    <row r="310" customFormat="false" ht="15" hidden="false" customHeight="true" outlineLevel="0" collapsed="false">
      <c r="A310" s="12"/>
      <c r="B310" s="10"/>
      <c r="C310" s="15" t="str">
        <f aca="false">IF($B310="","",IFERROR(INDEX(회원명부!$B$3:$B$502,MATCH($B310,회원명부!$A$3:$A$502,0)),"미등록회원"))</f>
        <v/>
      </c>
      <c r="D310" s="13"/>
      <c r="E310" s="10"/>
      <c r="F310" s="10"/>
      <c r="G310" s="10"/>
    </row>
    <row r="311" customFormat="false" ht="15" hidden="false" customHeight="true" outlineLevel="0" collapsed="false">
      <c r="A311" s="12"/>
      <c r="B311" s="10"/>
      <c r="C311" s="15" t="str">
        <f aca="false">IF($B311="","",IFERROR(INDEX(회원명부!$B$3:$B$502,MATCH($B311,회원명부!$A$3:$A$502,0)),"미등록회원"))</f>
        <v/>
      </c>
      <c r="D311" s="13"/>
      <c r="E311" s="10"/>
      <c r="F311" s="10"/>
      <c r="G311" s="10"/>
    </row>
    <row r="312" customFormat="false" ht="15" hidden="false" customHeight="true" outlineLevel="0" collapsed="false">
      <c r="A312" s="12"/>
      <c r="B312" s="10"/>
      <c r="C312" s="15" t="str">
        <f aca="false">IF($B312="","",IFERROR(INDEX(회원명부!$B$3:$B$502,MATCH($B312,회원명부!$A$3:$A$502,0)),"미등록회원"))</f>
        <v/>
      </c>
      <c r="D312" s="13"/>
      <c r="E312" s="10"/>
      <c r="F312" s="10"/>
      <c r="G312" s="10"/>
    </row>
    <row r="313" customFormat="false" ht="15" hidden="false" customHeight="true" outlineLevel="0" collapsed="false">
      <c r="A313" s="12"/>
      <c r="B313" s="10"/>
      <c r="C313" s="15" t="str">
        <f aca="false">IF($B313="","",IFERROR(INDEX(회원명부!$B$3:$B$502,MATCH($B313,회원명부!$A$3:$A$502,0)),"미등록회원"))</f>
        <v/>
      </c>
      <c r="D313" s="13"/>
      <c r="E313" s="10"/>
      <c r="F313" s="10"/>
      <c r="G313" s="10"/>
    </row>
    <row r="314" customFormat="false" ht="15" hidden="false" customHeight="true" outlineLevel="0" collapsed="false">
      <c r="A314" s="12"/>
      <c r="B314" s="10"/>
      <c r="C314" s="15" t="str">
        <f aca="false">IF($B314="","",IFERROR(INDEX(회원명부!$B$3:$B$502,MATCH($B314,회원명부!$A$3:$A$502,0)),"미등록회원"))</f>
        <v/>
      </c>
      <c r="D314" s="13"/>
      <c r="E314" s="10"/>
      <c r="F314" s="10"/>
      <c r="G314" s="10"/>
    </row>
    <row r="315" customFormat="false" ht="15" hidden="false" customHeight="true" outlineLevel="0" collapsed="false">
      <c r="A315" s="12"/>
      <c r="B315" s="10"/>
      <c r="C315" s="15" t="str">
        <f aca="false">IF($B315="","",IFERROR(INDEX(회원명부!$B$3:$B$502,MATCH($B315,회원명부!$A$3:$A$502,0)),"미등록회원"))</f>
        <v/>
      </c>
      <c r="D315" s="13"/>
      <c r="E315" s="10"/>
      <c r="F315" s="10"/>
      <c r="G315" s="10"/>
    </row>
    <row r="316" customFormat="false" ht="15" hidden="false" customHeight="true" outlineLevel="0" collapsed="false">
      <c r="A316" s="12"/>
      <c r="B316" s="10"/>
      <c r="C316" s="15" t="str">
        <f aca="false">IF($B316="","",IFERROR(INDEX(회원명부!$B$3:$B$502,MATCH($B316,회원명부!$A$3:$A$502,0)),"미등록회원"))</f>
        <v/>
      </c>
      <c r="D316" s="13"/>
      <c r="E316" s="10"/>
      <c r="F316" s="10"/>
      <c r="G316" s="10"/>
    </row>
    <row r="317" customFormat="false" ht="15" hidden="false" customHeight="true" outlineLevel="0" collapsed="false">
      <c r="A317" s="12"/>
      <c r="B317" s="10"/>
      <c r="C317" s="15" t="str">
        <f aca="false">IF($B317="","",IFERROR(INDEX(회원명부!$B$3:$B$502,MATCH($B317,회원명부!$A$3:$A$502,0)),"미등록회원"))</f>
        <v/>
      </c>
      <c r="D317" s="13"/>
      <c r="E317" s="10"/>
      <c r="F317" s="10"/>
      <c r="G317" s="10"/>
    </row>
    <row r="318" customFormat="false" ht="15" hidden="false" customHeight="true" outlineLevel="0" collapsed="false">
      <c r="A318" s="12"/>
      <c r="B318" s="10"/>
      <c r="C318" s="15" t="str">
        <f aca="false">IF($B318="","",IFERROR(INDEX(회원명부!$B$3:$B$502,MATCH($B318,회원명부!$A$3:$A$502,0)),"미등록회원"))</f>
        <v/>
      </c>
      <c r="D318" s="13"/>
      <c r="E318" s="10"/>
      <c r="F318" s="10"/>
      <c r="G318" s="10"/>
    </row>
    <row r="319" customFormat="false" ht="15" hidden="false" customHeight="true" outlineLevel="0" collapsed="false">
      <c r="A319" s="12"/>
      <c r="B319" s="10"/>
      <c r="C319" s="15" t="str">
        <f aca="false">IF($B319="","",IFERROR(INDEX(회원명부!$B$3:$B$502,MATCH($B319,회원명부!$A$3:$A$502,0)),"미등록회원"))</f>
        <v/>
      </c>
      <c r="D319" s="13"/>
      <c r="E319" s="10"/>
      <c r="F319" s="10"/>
      <c r="G319" s="10"/>
    </row>
    <row r="320" customFormat="false" ht="15" hidden="false" customHeight="true" outlineLevel="0" collapsed="false">
      <c r="A320" s="12"/>
      <c r="B320" s="10"/>
      <c r="C320" s="15" t="str">
        <f aca="false">IF($B320="","",IFERROR(INDEX(회원명부!$B$3:$B$502,MATCH($B320,회원명부!$A$3:$A$502,0)),"미등록회원"))</f>
        <v/>
      </c>
      <c r="D320" s="13"/>
      <c r="E320" s="10"/>
      <c r="F320" s="10"/>
      <c r="G320" s="10"/>
    </row>
    <row r="321" customFormat="false" ht="15" hidden="false" customHeight="true" outlineLevel="0" collapsed="false">
      <c r="A321" s="12"/>
      <c r="B321" s="10"/>
      <c r="C321" s="15" t="str">
        <f aca="false">IF($B321="","",IFERROR(INDEX(회원명부!$B$3:$B$502,MATCH($B321,회원명부!$A$3:$A$502,0)),"미등록회원"))</f>
        <v/>
      </c>
      <c r="D321" s="13"/>
      <c r="E321" s="10"/>
      <c r="F321" s="10"/>
      <c r="G321" s="10"/>
    </row>
    <row r="322" customFormat="false" ht="15" hidden="false" customHeight="true" outlineLevel="0" collapsed="false">
      <c r="A322" s="12"/>
      <c r="B322" s="10"/>
      <c r="C322" s="15" t="str">
        <f aca="false">IF($B322="","",IFERROR(INDEX(회원명부!$B$3:$B$502,MATCH($B322,회원명부!$A$3:$A$502,0)),"미등록회원"))</f>
        <v/>
      </c>
      <c r="D322" s="13"/>
      <c r="E322" s="10"/>
      <c r="F322" s="10"/>
      <c r="G322" s="10"/>
    </row>
    <row r="323" customFormat="false" ht="15" hidden="false" customHeight="true" outlineLevel="0" collapsed="false">
      <c r="A323" s="12"/>
      <c r="B323" s="10"/>
      <c r="C323" s="15" t="str">
        <f aca="false">IF($B323="","",IFERROR(INDEX(회원명부!$B$3:$B$502,MATCH($B323,회원명부!$A$3:$A$502,0)),"미등록회원"))</f>
        <v/>
      </c>
      <c r="D323" s="13"/>
      <c r="E323" s="10"/>
      <c r="F323" s="10"/>
      <c r="G323" s="10"/>
    </row>
    <row r="324" customFormat="false" ht="15" hidden="false" customHeight="true" outlineLevel="0" collapsed="false">
      <c r="A324" s="12"/>
      <c r="B324" s="10"/>
      <c r="C324" s="15" t="str">
        <f aca="false">IF($B324="","",IFERROR(INDEX(회원명부!$B$3:$B$502,MATCH($B324,회원명부!$A$3:$A$502,0)),"미등록회원"))</f>
        <v/>
      </c>
      <c r="D324" s="13"/>
      <c r="E324" s="10"/>
      <c r="F324" s="10"/>
      <c r="G324" s="10"/>
    </row>
    <row r="325" customFormat="false" ht="15" hidden="false" customHeight="true" outlineLevel="0" collapsed="false">
      <c r="A325" s="12"/>
      <c r="B325" s="10"/>
      <c r="C325" s="15" t="str">
        <f aca="false">IF($B325="","",IFERROR(INDEX(회원명부!$B$3:$B$502,MATCH($B325,회원명부!$A$3:$A$502,0)),"미등록회원"))</f>
        <v/>
      </c>
      <c r="D325" s="13"/>
      <c r="E325" s="10"/>
      <c r="F325" s="10"/>
      <c r="G325" s="10"/>
    </row>
    <row r="326" customFormat="false" ht="15" hidden="false" customHeight="true" outlineLevel="0" collapsed="false">
      <c r="A326" s="12"/>
      <c r="B326" s="10"/>
      <c r="C326" s="15" t="str">
        <f aca="false">IF($B326="","",IFERROR(INDEX(회원명부!$B$3:$B$502,MATCH($B326,회원명부!$A$3:$A$502,0)),"미등록회원"))</f>
        <v/>
      </c>
      <c r="D326" s="13"/>
      <c r="E326" s="10"/>
      <c r="F326" s="10"/>
      <c r="G326" s="10"/>
    </row>
    <row r="327" customFormat="false" ht="15" hidden="false" customHeight="true" outlineLevel="0" collapsed="false">
      <c r="A327" s="12"/>
      <c r="B327" s="10"/>
      <c r="C327" s="15" t="str">
        <f aca="false">IF($B327="","",IFERROR(INDEX(회원명부!$B$3:$B$502,MATCH($B327,회원명부!$A$3:$A$502,0)),"미등록회원"))</f>
        <v/>
      </c>
      <c r="D327" s="13"/>
      <c r="E327" s="10"/>
      <c r="F327" s="10"/>
      <c r="G327" s="10"/>
    </row>
    <row r="328" customFormat="false" ht="15" hidden="false" customHeight="true" outlineLevel="0" collapsed="false">
      <c r="A328" s="12"/>
      <c r="B328" s="10"/>
      <c r="C328" s="15" t="str">
        <f aca="false">IF($B328="","",IFERROR(INDEX(회원명부!$B$3:$B$502,MATCH($B328,회원명부!$A$3:$A$502,0)),"미등록회원"))</f>
        <v/>
      </c>
      <c r="D328" s="13"/>
      <c r="E328" s="10"/>
      <c r="F328" s="10"/>
      <c r="G328" s="10"/>
    </row>
    <row r="329" customFormat="false" ht="15" hidden="false" customHeight="true" outlineLevel="0" collapsed="false">
      <c r="A329" s="12"/>
      <c r="B329" s="10"/>
      <c r="C329" s="15" t="str">
        <f aca="false">IF($B329="","",IFERROR(INDEX(회원명부!$B$3:$B$502,MATCH($B329,회원명부!$A$3:$A$502,0)),"미등록회원"))</f>
        <v/>
      </c>
      <c r="D329" s="13"/>
      <c r="E329" s="10"/>
      <c r="F329" s="10"/>
      <c r="G329" s="10"/>
    </row>
    <row r="330" customFormat="false" ht="15" hidden="false" customHeight="true" outlineLevel="0" collapsed="false">
      <c r="A330" s="12"/>
      <c r="B330" s="10"/>
      <c r="C330" s="15" t="str">
        <f aca="false">IF($B330="","",IFERROR(INDEX(회원명부!$B$3:$B$502,MATCH($B330,회원명부!$A$3:$A$502,0)),"미등록회원"))</f>
        <v/>
      </c>
      <c r="D330" s="13"/>
      <c r="E330" s="10"/>
      <c r="F330" s="10"/>
      <c r="G330" s="10"/>
    </row>
    <row r="331" customFormat="false" ht="15" hidden="false" customHeight="true" outlineLevel="0" collapsed="false">
      <c r="A331" s="12"/>
      <c r="B331" s="10"/>
      <c r="C331" s="15" t="str">
        <f aca="false">IF($B331="","",IFERROR(INDEX(회원명부!$B$3:$B$502,MATCH($B331,회원명부!$A$3:$A$502,0)),"미등록회원"))</f>
        <v/>
      </c>
      <c r="D331" s="13"/>
      <c r="E331" s="10"/>
      <c r="F331" s="10"/>
      <c r="G331" s="10"/>
    </row>
    <row r="332" customFormat="false" ht="15" hidden="false" customHeight="true" outlineLevel="0" collapsed="false">
      <c r="A332" s="12"/>
      <c r="B332" s="10"/>
      <c r="C332" s="15" t="str">
        <f aca="false">IF($B332="","",IFERROR(INDEX(회원명부!$B$3:$B$502,MATCH($B332,회원명부!$A$3:$A$502,0)),"미등록회원"))</f>
        <v/>
      </c>
      <c r="D332" s="13"/>
      <c r="E332" s="10"/>
      <c r="F332" s="10"/>
      <c r="G332" s="10"/>
    </row>
    <row r="333" customFormat="false" ht="15" hidden="false" customHeight="true" outlineLevel="0" collapsed="false">
      <c r="A333" s="12"/>
      <c r="B333" s="10"/>
      <c r="C333" s="15" t="str">
        <f aca="false">IF($B333="","",IFERROR(INDEX(회원명부!$B$3:$B$502,MATCH($B333,회원명부!$A$3:$A$502,0)),"미등록회원"))</f>
        <v/>
      </c>
      <c r="D333" s="13"/>
      <c r="E333" s="10"/>
      <c r="F333" s="10"/>
      <c r="G333" s="10"/>
    </row>
    <row r="334" customFormat="false" ht="15" hidden="false" customHeight="true" outlineLevel="0" collapsed="false">
      <c r="A334" s="12"/>
      <c r="B334" s="10"/>
      <c r="C334" s="15" t="str">
        <f aca="false">IF($B334="","",IFERROR(INDEX(회원명부!$B$3:$B$502,MATCH($B334,회원명부!$A$3:$A$502,0)),"미등록회원"))</f>
        <v/>
      </c>
      <c r="D334" s="13"/>
      <c r="E334" s="10"/>
      <c r="F334" s="10"/>
      <c r="G334" s="10"/>
    </row>
    <row r="335" customFormat="false" ht="15" hidden="false" customHeight="true" outlineLevel="0" collapsed="false">
      <c r="A335" s="12"/>
      <c r="B335" s="10"/>
      <c r="C335" s="15" t="str">
        <f aca="false">IF($B335="","",IFERROR(INDEX(회원명부!$B$3:$B$502,MATCH($B335,회원명부!$A$3:$A$502,0)),"미등록회원"))</f>
        <v/>
      </c>
      <c r="D335" s="13"/>
      <c r="E335" s="10"/>
      <c r="F335" s="10"/>
      <c r="G335" s="10"/>
    </row>
    <row r="336" customFormat="false" ht="15" hidden="false" customHeight="true" outlineLevel="0" collapsed="false">
      <c r="A336" s="12"/>
      <c r="B336" s="10"/>
      <c r="C336" s="15" t="str">
        <f aca="false">IF($B336="","",IFERROR(INDEX(회원명부!$B$3:$B$502,MATCH($B336,회원명부!$A$3:$A$502,0)),"미등록회원"))</f>
        <v/>
      </c>
      <c r="D336" s="13"/>
      <c r="E336" s="10"/>
      <c r="F336" s="10"/>
      <c r="G336" s="10"/>
    </row>
    <row r="337" customFormat="false" ht="15" hidden="false" customHeight="true" outlineLevel="0" collapsed="false">
      <c r="A337" s="12"/>
      <c r="B337" s="10"/>
      <c r="C337" s="15" t="str">
        <f aca="false">IF($B337="","",IFERROR(INDEX(회원명부!$B$3:$B$502,MATCH($B337,회원명부!$A$3:$A$502,0)),"미등록회원"))</f>
        <v/>
      </c>
      <c r="D337" s="13"/>
      <c r="E337" s="10"/>
      <c r="F337" s="10"/>
      <c r="G337" s="10"/>
    </row>
    <row r="338" customFormat="false" ht="15" hidden="false" customHeight="true" outlineLevel="0" collapsed="false">
      <c r="A338" s="12"/>
      <c r="B338" s="10"/>
      <c r="C338" s="15" t="str">
        <f aca="false">IF($B338="","",IFERROR(INDEX(회원명부!$B$3:$B$502,MATCH($B338,회원명부!$A$3:$A$502,0)),"미등록회원"))</f>
        <v/>
      </c>
      <c r="D338" s="13"/>
      <c r="E338" s="10"/>
      <c r="F338" s="10"/>
      <c r="G338" s="10"/>
    </row>
    <row r="339" customFormat="false" ht="15" hidden="false" customHeight="true" outlineLevel="0" collapsed="false">
      <c r="A339" s="12"/>
      <c r="B339" s="10"/>
      <c r="C339" s="15" t="str">
        <f aca="false">IF($B339="","",IFERROR(INDEX(회원명부!$B$3:$B$502,MATCH($B339,회원명부!$A$3:$A$502,0)),"미등록회원"))</f>
        <v/>
      </c>
      <c r="D339" s="13"/>
      <c r="E339" s="10"/>
      <c r="F339" s="10"/>
      <c r="G339" s="10"/>
    </row>
    <row r="340" customFormat="false" ht="15" hidden="false" customHeight="true" outlineLevel="0" collapsed="false">
      <c r="A340" s="12"/>
      <c r="B340" s="10"/>
      <c r="C340" s="15" t="str">
        <f aca="false">IF($B340="","",IFERROR(INDEX(회원명부!$B$3:$B$502,MATCH($B340,회원명부!$A$3:$A$502,0)),"미등록회원"))</f>
        <v/>
      </c>
      <c r="D340" s="13"/>
      <c r="E340" s="10"/>
      <c r="F340" s="10"/>
      <c r="G340" s="10"/>
    </row>
    <row r="341" customFormat="false" ht="15" hidden="false" customHeight="true" outlineLevel="0" collapsed="false">
      <c r="A341" s="12"/>
      <c r="B341" s="10"/>
      <c r="C341" s="15" t="str">
        <f aca="false">IF($B341="","",IFERROR(INDEX(회원명부!$B$3:$B$502,MATCH($B341,회원명부!$A$3:$A$502,0)),"미등록회원"))</f>
        <v/>
      </c>
      <c r="D341" s="13"/>
      <c r="E341" s="10"/>
      <c r="F341" s="10"/>
      <c r="G341" s="10"/>
    </row>
    <row r="342" customFormat="false" ht="15" hidden="false" customHeight="true" outlineLevel="0" collapsed="false">
      <c r="A342" s="12"/>
      <c r="B342" s="10"/>
      <c r="C342" s="15" t="str">
        <f aca="false">IF($B342="","",IFERROR(INDEX(회원명부!$B$3:$B$502,MATCH($B342,회원명부!$A$3:$A$502,0)),"미등록회원"))</f>
        <v/>
      </c>
      <c r="D342" s="13"/>
      <c r="E342" s="10"/>
      <c r="F342" s="10"/>
      <c r="G342" s="10"/>
    </row>
    <row r="343" customFormat="false" ht="15" hidden="false" customHeight="true" outlineLevel="0" collapsed="false">
      <c r="A343" s="12"/>
      <c r="B343" s="10"/>
      <c r="C343" s="15" t="str">
        <f aca="false">IF($B343="","",IFERROR(INDEX(회원명부!$B$3:$B$502,MATCH($B343,회원명부!$A$3:$A$502,0)),"미등록회원"))</f>
        <v/>
      </c>
      <c r="D343" s="13"/>
      <c r="E343" s="10"/>
      <c r="F343" s="10"/>
      <c r="G343" s="10"/>
    </row>
    <row r="344" customFormat="false" ht="15" hidden="false" customHeight="true" outlineLevel="0" collapsed="false">
      <c r="A344" s="12"/>
      <c r="B344" s="10"/>
      <c r="C344" s="15" t="str">
        <f aca="false">IF($B344="","",IFERROR(INDEX(회원명부!$B$3:$B$502,MATCH($B344,회원명부!$A$3:$A$502,0)),"미등록회원"))</f>
        <v/>
      </c>
      <c r="D344" s="13"/>
      <c r="E344" s="10"/>
      <c r="F344" s="10"/>
      <c r="G344" s="10"/>
    </row>
    <row r="345" customFormat="false" ht="15" hidden="false" customHeight="true" outlineLevel="0" collapsed="false">
      <c r="A345" s="12"/>
      <c r="B345" s="10"/>
      <c r="C345" s="15" t="str">
        <f aca="false">IF($B345="","",IFERROR(INDEX(회원명부!$B$3:$B$502,MATCH($B345,회원명부!$A$3:$A$502,0)),"미등록회원"))</f>
        <v/>
      </c>
      <c r="D345" s="13"/>
      <c r="E345" s="10"/>
      <c r="F345" s="10"/>
      <c r="G345" s="10"/>
    </row>
    <row r="346" customFormat="false" ht="15" hidden="false" customHeight="true" outlineLevel="0" collapsed="false">
      <c r="A346" s="12"/>
      <c r="B346" s="10"/>
      <c r="C346" s="15" t="str">
        <f aca="false">IF($B346="","",IFERROR(INDEX(회원명부!$B$3:$B$502,MATCH($B346,회원명부!$A$3:$A$502,0)),"미등록회원"))</f>
        <v/>
      </c>
      <c r="D346" s="13"/>
      <c r="E346" s="10"/>
      <c r="F346" s="10"/>
      <c r="G346" s="10"/>
    </row>
    <row r="347" customFormat="false" ht="15" hidden="false" customHeight="true" outlineLevel="0" collapsed="false">
      <c r="A347" s="12"/>
      <c r="B347" s="10"/>
      <c r="C347" s="15" t="str">
        <f aca="false">IF($B347="","",IFERROR(INDEX(회원명부!$B$3:$B$502,MATCH($B347,회원명부!$A$3:$A$502,0)),"미등록회원"))</f>
        <v/>
      </c>
      <c r="D347" s="13"/>
      <c r="E347" s="10"/>
      <c r="F347" s="10"/>
      <c r="G347" s="10"/>
    </row>
    <row r="348" customFormat="false" ht="15" hidden="false" customHeight="true" outlineLevel="0" collapsed="false">
      <c r="A348" s="12"/>
      <c r="B348" s="10"/>
      <c r="C348" s="15" t="str">
        <f aca="false">IF($B348="","",IFERROR(INDEX(회원명부!$B$3:$B$502,MATCH($B348,회원명부!$A$3:$A$502,0)),"미등록회원"))</f>
        <v/>
      </c>
      <c r="D348" s="13"/>
      <c r="E348" s="10"/>
      <c r="F348" s="10"/>
      <c r="G348" s="10"/>
    </row>
    <row r="349" customFormat="false" ht="15" hidden="false" customHeight="true" outlineLevel="0" collapsed="false">
      <c r="A349" s="12"/>
      <c r="B349" s="10"/>
      <c r="C349" s="15" t="str">
        <f aca="false">IF($B349="","",IFERROR(INDEX(회원명부!$B$3:$B$502,MATCH($B349,회원명부!$A$3:$A$502,0)),"미등록회원"))</f>
        <v/>
      </c>
      <c r="D349" s="13"/>
      <c r="E349" s="10"/>
      <c r="F349" s="10"/>
      <c r="G349" s="10"/>
    </row>
    <row r="350" customFormat="false" ht="15" hidden="false" customHeight="true" outlineLevel="0" collapsed="false">
      <c r="A350" s="12"/>
      <c r="B350" s="10"/>
      <c r="C350" s="15" t="str">
        <f aca="false">IF($B350="","",IFERROR(INDEX(회원명부!$B$3:$B$502,MATCH($B350,회원명부!$A$3:$A$502,0)),"미등록회원"))</f>
        <v/>
      </c>
      <c r="D350" s="13"/>
      <c r="E350" s="10"/>
      <c r="F350" s="10"/>
      <c r="G350" s="10"/>
    </row>
    <row r="351" customFormat="false" ht="15" hidden="false" customHeight="true" outlineLevel="0" collapsed="false">
      <c r="A351" s="12"/>
      <c r="B351" s="10"/>
      <c r="C351" s="15" t="str">
        <f aca="false">IF($B351="","",IFERROR(INDEX(회원명부!$B$3:$B$502,MATCH($B351,회원명부!$A$3:$A$502,0)),"미등록회원"))</f>
        <v/>
      </c>
      <c r="D351" s="13"/>
      <c r="E351" s="10"/>
      <c r="F351" s="10"/>
      <c r="G351" s="10"/>
    </row>
    <row r="352" customFormat="false" ht="15" hidden="false" customHeight="true" outlineLevel="0" collapsed="false">
      <c r="A352" s="12"/>
      <c r="B352" s="10"/>
      <c r="C352" s="15" t="str">
        <f aca="false">IF($B352="","",IFERROR(INDEX(회원명부!$B$3:$B$502,MATCH($B352,회원명부!$A$3:$A$502,0)),"미등록회원"))</f>
        <v/>
      </c>
      <c r="D352" s="13"/>
      <c r="E352" s="10"/>
      <c r="F352" s="10"/>
      <c r="G352" s="10"/>
    </row>
    <row r="353" customFormat="false" ht="15" hidden="false" customHeight="true" outlineLevel="0" collapsed="false">
      <c r="A353" s="12"/>
      <c r="B353" s="10"/>
      <c r="C353" s="15" t="str">
        <f aca="false">IF($B353="","",IFERROR(INDEX(회원명부!$B$3:$B$502,MATCH($B353,회원명부!$A$3:$A$502,0)),"미등록회원"))</f>
        <v/>
      </c>
      <c r="D353" s="13"/>
      <c r="E353" s="10"/>
      <c r="F353" s="10"/>
      <c r="G353" s="10"/>
    </row>
    <row r="354" customFormat="false" ht="15" hidden="false" customHeight="true" outlineLevel="0" collapsed="false">
      <c r="A354" s="12"/>
      <c r="B354" s="10"/>
      <c r="C354" s="15" t="str">
        <f aca="false">IF($B354="","",IFERROR(INDEX(회원명부!$B$3:$B$502,MATCH($B354,회원명부!$A$3:$A$502,0)),"미등록회원"))</f>
        <v/>
      </c>
      <c r="D354" s="13"/>
      <c r="E354" s="10"/>
      <c r="F354" s="10"/>
      <c r="G354" s="10"/>
    </row>
    <row r="355" customFormat="false" ht="15" hidden="false" customHeight="true" outlineLevel="0" collapsed="false">
      <c r="A355" s="12"/>
      <c r="B355" s="10"/>
      <c r="C355" s="15" t="str">
        <f aca="false">IF($B355="","",IFERROR(INDEX(회원명부!$B$3:$B$502,MATCH($B355,회원명부!$A$3:$A$502,0)),"미등록회원"))</f>
        <v/>
      </c>
      <c r="D355" s="13"/>
      <c r="E355" s="10"/>
      <c r="F355" s="10"/>
      <c r="G355" s="10"/>
    </row>
    <row r="356" customFormat="false" ht="15" hidden="false" customHeight="true" outlineLevel="0" collapsed="false">
      <c r="A356" s="12"/>
      <c r="B356" s="10"/>
      <c r="C356" s="15" t="str">
        <f aca="false">IF($B356="","",IFERROR(INDEX(회원명부!$B$3:$B$502,MATCH($B356,회원명부!$A$3:$A$502,0)),"미등록회원"))</f>
        <v/>
      </c>
      <c r="D356" s="13"/>
      <c r="E356" s="10"/>
      <c r="F356" s="10"/>
      <c r="G356" s="10"/>
    </row>
    <row r="357" customFormat="false" ht="15" hidden="false" customHeight="true" outlineLevel="0" collapsed="false">
      <c r="A357" s="12"/>
      <c r="B357" s="10"/>
      <c r="C357" s="15" t="str">
        <f aca="false">IF($B357="","",IFERROR(INDEX(회원명부!$B$3:$B$502,MATCH($B357,회원명부!$A$3:$A$502,0)),"미등록회원"))</f>
        <v/>
      </c>
      <c r="D357" s="13"/>
      <c r="E357" s="10"/>
      <c r="F357" s="10"/>
      <c r="G357" s="10"/>
    </row>
    <row r="358" customFormat="false" ht="15" hidden="false" customHeight="true" outlineLevel="0" collapsed="false">
      <c r="A358" s="12"/>
      <c r="B358" s="10"/>
      <c r="C358" s="15" t="str">
        <f aca="false">IF($B358="","",IFERROR(INDEX(회원명부!$B$3:$B$502,MATCH($B358,회원명부!$A$3:$A$502,0)),"미등록회원"))</f>
        <v/>
      </c>
      <c r="D358" s="13"/>
      <c r="E358" s="10"/>
      <c r="F358" s="10"/>
      <c r="G358" s="10"/>
    </row>
    <row r="359" customFormat="false" ht="15" hidden="false" customHeight="true" outlineLevel="0" collapsed="false">
      <c r="A359" s="12"/>
      <c r="B359" s="10"/>
      <c r="C359" s="15" t="str">
        <f aca="false">IF($B359="","",IFERROR(INDEX(회원명부!$B$3:$B$502,MATCH($B359,회원명부!$A$3:$A$502,0)),"미등록회원"))</f>
        <v/>
      </c>
      <c r="D359" s="13"/>
      <c r="E359" s="10"/>
      <c r="F359" s="10"/>
      <c r="G359" s="10"/>
    </row>
    <row r="360" customFormat="false" ht="15" hidden="false" customHeight="true" outlineLevel="0" collapsed="false">
      <c r="A360" s="12"/>
      <c r="B360" s="10"/>
      <c r="C360" s="15" t="str">
        <f aca="false">IF($B360="","",IFERROR(INDEX(회원명부!$B$3:$B$502,MATCH($B360,회원명부!$A$3:$A$502,0)),"미등록회원"))</f>
        <v/>
      </c>
      <c r="D360" s="13"/>
      <c r="E360" s="10"/>
      <c r="F360" s="10"/>
      <c r="G360" s="10"/>
    </row>
    <row r="361" customFormat="false" ht="15" hidden="false" customHeight="true" outlineLevel="0" collapsed="false">
      <c r="A361" s="12"/>
      <c r="B361" s="10"/>
      <c r="C361" s="15" t="str">
        <f aca="false">IF($B361="","",IFERROR(INDEX(회원명부!$B$3:$B$502,MATCH($B361,회원명부!$A$3:$A$502,0)),"미등록회원"))</f>
        <v/>
      </c>
      <c r="D361" s="13"/>
      <c r="E361" s="10"/>
      <c r="F361" s="10"/>
      <c r="G361" s="10"/>
    </row>
    <row r="362" customFormat="false" ht="15" hidden="false" customHeight="true" outlineLevel="0" collapsed="false">
      <c r="A362" s="12"/>
      <c r="B362" s="10"/>
      <c r="C362" s="15" t="str">
        <f aca="false">IF($B362="","",IFERROR(INDEX(회원명부!$B$3:$B$502,MATCH($B362,회원명부!$A$3:$A$502,0)),"미등록회원"))</f>
        <v/>
      </c>
      <c r="D362" s="13"/>
      <c r="E362" s="10"/>
      <c r="F362" s="10"/>
      <c r="G362" s="10"/>
    </row>
    <row r="363" customFormat="false" ht="15" hidden="false" customHeight="true" outlineLevel="0" collapsed="false">
      <c r="A363" s="12"/>
      <c r="B363" s="10"/>
      <c r="C363" s="15" t="str">
        <f aca="false">IF($B363="","",IFERROR(INDEX(회원명부!$B$3:$B$502,MATCH($B363,회원명부!$A$3:$A$502,0)),"미등록회원"))</f>
        <v/>
      </c>
      <c r="D363" s="13"/>
      <c r="E363" s="10"/>
      <c r="F363" s="10"/>
      <c r="G363" s="10"/>
    </row>
    <row r="364" customFormat="false" ht="15" hidden="false" customHeight="true" outlineLevel="0" collapsed="false">
      <c r="A364" s="12"/>
      <c r="B364" s="10"/>
      <c r="C364" s="15" t="str">
        <f aca="false">IF($B364="","",IFERROR(INDEX(회원명부!$B$3:$B$502,MATCH($B364,회원명부!$A$3:$A$502,0)),"미등록회원"))</f>
        <v/>
      </c>
      <c r="D364" s="13"/>
      <c r="E364" s="10"/>
      <c r="F364" s="10"/>
      <c r="G364" s="10"/>
    </row>
    <row r="365" customFormat="false" ht="15" hidden="false" customHeight="true" outlineLevel="0" collapsed="false">
      <c r="A365" s="12"/>
      <c r="B365" s="10"/>
      <c r="C365" s="15" t="str">
        <f aca="false">IF($B365="","",IFERROR(INDEX(회원명부!$B$3:$B$502,MATCH($B365,회원명부!$A$3:$A$502,0)),"미등록회원"))</f>
        <v/>
      </c>
      <c r="D365" s="13"/>
      <c r="E365" s="10"/>
      <c r="F365" s="10"/>
      <c r="G365" s="10"/>
    </row>
    <row r="366" customFormat="false" ht="15" hidden="false" customHeight="true" outlineLevel="0" collapsed="false">
      <c r="A366" s="12"/>
      <c r="B366" s="10"/>
      <c r="C366" s="15" t="str">
        <f aca="false">IF($B366="","",IFERROR(INDEX(회원명부!$B$3:$B$502,MATCH($B366,회원명부!$A$3:$A$502,0)),"미등록회원"))</f>
        <v/>
      </c>
      <c r="D366" s="13"/>
      <c r="E366" s="10"/>
      <c r="F366" s="10"/>
      <c r="G366" s="10"/>
    </row>
    <row r="367" customFormat="false" ht="15" hidden="false" customHeight="true" outlineLevel="0" collapsed="false">
      <c r="A367" s="12"/>
      <c r="B367" s="10"/>
      <c r="C367" s="15" t="str">
        <f aca="false">IF($B367="","",IFERROR(INDEX(회원명부!$B$3:$B$502,MATCH($B367,회원명부!$A$3:$A$502,0)),"미등록회원"))</f>
        <v/>
      </c>
      <c r="D367" s="13"/>
      <c r="E367" s="10"/>
      <c r="F367" s="10"/>
      <c r="G367" s="10"/>
    </row>
    <row r="368" customFormat="false" ht="15" hidden="false" customHeight="true" outlineLevel="0" collapsed="false">
      <c r="A368" s="12"/>
      <c r="B368" s="10"/>
      <c r="C368" s="15" t="str">
        <f aca="false">IF($B368="","",IFERROR(INDEX(회원명부!$B$3:$B$502,MATCH($B368,회원명부!$A$3:$A$502,0)),"미등록회원"))</f>
        <v/>
      </c>
      <c r="D368" s="13"/>
      <c r="E368" s="10"/>
      <c r="F368" s="10"/>
      <c r="G368" s="10"/>
    </row>
    <row r="369" customFormat="false" ht="15" hidden="false" customHeight="true" outlineLevel="0" collapsed="false">
      <c r="A369" s="12"/>
      <c r="B369" s="10"/>
      <c r="C369" s="15" t="str">
        <f aca="false">IF($B369="","",IFERROR(INDEX(회원명부!$B$3:$B$502,MATCH($B369,회원명부!$A$3:$A$502,0)),"미등록회원"))</f>
        <v/>
      </c>
      <c r="D369" s="13"/>
      <c r="E369" s="10"/>
      <c r="F369" s="10"/>
      <c r="G369" s="10"/>
    </row>
    <row r="370" customFormat="false" ht="15" hidden="false" customHeight="true" outlineLevel="0" collapsed="false">
      <c r="A370" s="12"/>
      <c r="B370" s="10"/>
      <c r="C370" s="15" t="str">
        <f aca="false">IF($B370="","",IFERROR(INDEX(회원명부!$B$3:$B$502,MATCH($B370,회원명부!$A$3:$A$502,0)),"미등록회원"))</f>
        <v/>
      </c>
      <c r="D370" s="13"/>
      <c r="E370" s="10"/>
      <c r="F370" s="10"/>
      <c r="G370" s="10"/>
    </row>
    <row r="371" customFormat="false" ht="15" hidden="false" customHeight="true" outlineLevel="0" collapsed="false">
      <c r="A371" s="12"/>
      <c r="B371" s="10"/>
      <c r="C371" s="15" t="str">
        <f aca="false">IF($B371="","",IFERROR(INDEX(회원명부!$B$3:$B$502,MATCH($B371,회원명부!$A$3:$A$502,0)),"미등록회원"))</f>
        <v/>
      </c>
      <c r="D371" s="13"/>
      <c r="E371" s="10"/>
      <c r="F371" s="10"/>
      <c r="G371" s="10"/>
    </row>
    <row r="372" customFormat="false" ht="15" hidden="false" customHeight="true" outlineLevel="0" collapsed="false">
      <c r="A372" s="12"/>
      <c r="B372" s="10"/>
      <c r="C372" s="15" t="str">
        <f aca="false">IF($B372="","",IFERROR(INDEX(회원명부!$B$3:$B$502,MATCH($B372,회원명부!$A$3:$A$502,0)),"미등록회원"))</f>
        <v/>
      </c>
      <c r="D372" s="13"/>
      <c r="E372" s="10"/>
      <c r="F372" s="10"/>
      <c r="G372" s="10"/>
    </row>
    <row r="373" customFormat="false" ht="15" hidden="false" customHeight="true" outlineLevel="0" collapsed="false">
      <c r="A373" s="12"/>
      <c r="B373" s="10"/>
      <c r="C373" s="15" t="str">
        <f aca="false">IF($B373="","",IFERROR(INDEX(회원명부!$B$3:$B$502,MATCH($B373,회원명부!$A$3:$A$502,0)),"미등록회원"))</f>
        <v/>
      </c>
      <c r="D373" s="13"/>
      <c r="E373" s="10"/>
      <c r="F373" s="10"/>
      <c r="G373" s="10"/>
    </row>
    <row r="374" customFormat="false" ht="15" hidden="false" customHeight="true" outlineLevel="0" collapsed="false">
      <c r="A374" s="12"/>
      <c r="B374" s="10"/>
      <c r="C374" s="15" t="str">
        <f aca="false">IF($B374="","",IFERROR(INDEX(회원명부!$B$3:$B$502,MATCH($B374,회원명부!$A$3:$A$502,0)),"미등록회원"))</f>
        <v/>
      </c>
      <c r="D374" s="13"/>
      <c r="E374" s="10"/>
      <c r="F374" s="10"/>
      <c r="G374" s="10"/>
    </row>
    <row r="375" customFormat="false" ht="15" hidden="false" customHeight="true" outlineLevel="0" collapsed="false">
      <c r="A375" s="12"/>
      <c r="B375" s="10"/>
      <c r="C375" s="15" t="str">
        <f aca="false">IF($B375="","",IFERROR(INDEX(회원명부!$B$3:$B$502,MATCH($B375,회원명부!$A$3:$A$502,0)),"미등록회원"))</f>
        <v/>
      </c>
      <c r="D375" s="13"/>
      <c r="E375" s="10"/>
      <c r="F375" s="10"/>
      <c r="G375" s="10"/>
    </row>
    <row r="376" customFormat="false" ht="15" hidden="false" customHeight="true" outlineLevel="0" collapsed="false">
      <c r="A376" s="12"/>
      <c r="B376" s="10"/>
      <c r="C376" s="15" t="str">
        <f aca="false">IF($B376="","",IFERROR(INDEX(회원명부!$B$3:$B$502,MATCH($B376,회원명부!$A$3:$A$502,0)),"미등록회원"))</f>
        <v/>
      </c>
      <c r="D376" s="13"/>
      <c r="E376" s="10"/>
      <c r="F376" s="10"/>
      <c r="G376" s="10"/>
    </row>
    <row r="377" customFormat="false" ht="15" hidden="false" customHeight="true" outlineLevel="0" collapsed="false">
      <c r="A377" s="12"/>
      <c r="B377" s="10"/>
      <c r="C377" s="15" t="str">
        <f aca="false">IF($B377="","",IFERROR(INDEX(회원명부!$B$3:$B$502,MATCH($B377,회원명부!$A$3:$A$502,0)),"미등록회원"))</f>
        <v/>
      </c>
      <c r="D377" s="13"/>
      <c r="E377" s="10"/>
      <c r="F377" s="10"/>
      <c r="G377" s="10"/>
    </row>
    <row r="378" customFormat="false" ht="15" hidden="false" customHeight="true" outlineLevel="0" collapsed="false">
      <c r="A378" s="12"/>
      <c r="B378" s="10"/>
      <c r="C378" s="15" t="str">
        <f aca="false">IF($B378="","",IFERROR(INDEX(회원명부!$B$3:$B$502,MATCH($B378,회원명부!$A$3:$A$502,0)),"미등록회원"))</f>
        <v/>
      </c>
      <c r="D378" s="13"/>
      <c r="E378" s="10"/>
      <c r="F378" s="10"/>
      <c r="G378" s="10"/>
    </row>
    <row r="379" customFormat="false" ht="15" hidden="false" customHeight="true" outlineLevel="0" collapsed="false">
      <c r="A379" s="12"/>
      <c r="B379" s="10"/>
      <c r="C379" s="15" t="str">
        <f aca="false">IF($B379="","",IFERROR(INDEX(회원명부!$B$3:$B$502,MATCH($B379,회원명부!$A$3:$A$502,0)),"미등록회원"))</f>
        <v/>
      </c>
      <c r="D379" s="13"/>
      <c r="E379" s="10"/>
      <c r="F379" s="10"/>
      <c r="G379" s="10"/>
    </row>
    <row r="380" customFormat="false" ht="15" hidden="false" customHeight="true" outlineLevel="0" collapsed="false">
      <c r="A380" s="12"/>
      <c r="B380" s="10"/>
      <c r="C380" s="15" t="str">
        <f aca="false">IF($B380="","",IFERROR(INDEX(회원명부!$B$3:$B$502,MATCH($B380,회원명부!$A$3:$A$502,0)),"미등록회원"))</f>
        <v/>
      </c>
      <c r="D380" s="13"/>
      <c r="E380" s="10"/>
      <c r="F380" s="10"/>
      <c r="G380" s="10"/>
    </row>
    <row r="381" customFormat="false" ht="15" hidden="false" customHeight="true" outlineLevel="0" collapsed="false">
      <c r="A381" s="12"/>
      <c r="B381" s="10"/>
      <c r="C381" s="15" t="str">
        <f aca="false">IF($B381="","",IFERROR(INDEX(회원명부!$B$3:$B$502,MATCH($B381,회원명부!$A$3:$A$502,0)),"미등록회원"))</f>
        <v/>
      </c>
      <c r="D381" s="13"/>
      <c r="E381" s="10"/>
      <c r="F381" s="10"/>
      <c r="G381" s="10"/>
    </row>
    <row r="382" customFormat="false" ht="15" hidden="false" customHeight="true" outlineLevel="0" collapsed="false">
      <c r="A382" s="12"/>
      <c r="B382" s="10"/>
      <c r="C382" s="15" t="str">
        <f aca="false">IF($B382="","",IFERROR(INDEX(회원명부!$B$3:$B$502,MATCH($B382,회원명부!$A$3:$A$502,0)),"미등록회원"))</f>
        <v/>
      </c>
      <c r="D382" s="13"/>
      <c r="E382" s="10"/>
      <c r="F382" s="10"/>
      <c r="G382" s="10"/>
    </row>
    <row r="383" customFormat="false" ht="15" hidden="false" customHeight="true" outlineLevel="0" collapsed="false">
      <c r="A383" s="12"/>
      <c r="B383" s="10"/>
      <c r="C383" s="15" t="str">
        <f aca="false">IF($B383="","",IFERROR(INDEX(회원명부!$B$3:$B$502,MATCH($B383,회원명부!$A$3:$A$502,0)),"미등록회원"))</f>
        <v/>
      </c>
      <c r="D383" s="13"/>
      <c r="E383" s="10"/>
      <c r="F383" s="10"/>
      <c r="G383" s="10"/>
    </row>
    <row r="384" customFormat="false" ht="15" hidden="false" customHeight="true" outlineLevel="0" collapsed="false">
      <c r="A384" s="12"/>
      <c r="B384" s="10"/>
      <c r="C384" s="15" t="str">
        <f aca="false">IF($B384="","",IFERROR(INDEX(회원명부!$B$3:$B$502,MATCH($B384,회원명부!$A$3:$A$502,0)),"미등록회원"))</f>
        <v/>
      </c>
      <c r="D384" s="13"/>
      <c r="E384" s="10"/>
      <c r="F384" s="10"/>
      <c r="G384" s="10"/>
    </row>
    <row r="385" customFormat="false" ht="15" hidden="false" customHeight="true" outlineLevel="0" collapsed="false">
      <c r="A385" s="12"/>
      <c r="B385" s="10"/>
      <c r="C385" s="15" t="str">
        <f aca="false">IF($B385="","",IFERROR(INDEX(회원명부!$B$3:$B$502,MATCH($B385,회원명부!$A$3:$A$502,0)),"미등록회원"))</f>
        <v/>
      </c>
      <c r="D385" s="13"/>
      <c r="E385" s="10"/>
      <c r="F385" s="10"/>
      <c r="G385" s="10"/>
    </row>
    <row r="386" customFormat="false" ht="15" hidden="false" customHeight="true" outlineLevel="0" collapsed="false">
      <c r="A386" s="12"/>
      <c r="B386" s="10"/>
      <c r="C386" s="15" t="str">
        <f aca="false">IF($B386="","",IFERROR(INDEX(회원명부!$B$3:$B$502,MATCH($B386,회원명부!$A$3:$A$502,0)),"미등록회원"))</f>
        <v/>
      </c>
      <c r="D386" s="13"/>
      <c r="E386" s="10"/>
      <c r="F386" s="10"/>
      <c r="G386" s="10"/>
    </row>
    <row r="387" customFormat="false" ht="15" hidden="false" customHeight="true" outlineLevel="0" collapsed="false">
      <c r="A387" s="12"/>
      <c r="B387" s="10"/>
      <c r="C387" s="15" t="str">
        <f aca="false">IF($B387="","",IFERROR(INDEX(회원명부!$B$3:$B$502,MATCH($B387,회원명부!$A$3:$A$502,0)),"미등록회원"))</f>
        <v/>
      </c>
      <c r="D387" s="13"/>
      <c r="E387" s="10"/>
      <c r="F387" s="10"/>
      <c r="G387" s="10"/>
    </row>
    <row r="388" customFormat="false" ht="15" hidden="false" customHeight="true" outlineLevel="0" collapsed="false">
      <c r="A388" s="12"/>
      <c r="B388" s="10"/>
      <c r="C388" s="15" t="str">
        <f aca="false">IF($B388="","",IFERROR(INDEX(회원명부!$B$3:$B$502,MATCH($B388,회원명부!$A$3:$A$502,0)),"미등록회원"))</f>
        <v/>
      </c>
      <c r="D388" s="13"/>
      <c r="E388" s="10"/>
      <c r="F388" s="10"/>
      <c r="G388" s="10"/>
    </row>
    <row r="389" customFormat="false" ht="15" hidden="false" customHeight="true" outlineLevel="0" collapsed="false">
      <c r="A389" s="12"/>
      <c r="B389" s="10"/>
      <c r="C389" s="15" t="str">
        <f aca="false">IF($B389="","",IFERROR(INDEX(회원명부!$B$3:$B$502,MATCH($B389,회원명부!$A$3:$A$502,0)),"미등록회원"))</f>
        <v/>
      </c>
      <c r="D389" s="13"/>
      <c r="E389" s="10"/>
      <c r="F389" s="10"/>
      <c r="G389" s="10"/>
    </row>
    <row r="390" customFormat="false" ht="15" hidden="false" customHeight="true" outlineLevel="0" collapsed="false">
      <c r="A390" s="12"/>
      <c r="B390" s="10"/>
      <c r="C390" s="15" t="str">
        <f aca="false">IF($B390="","",IFERROR(INDEX(회원명부!$B$3:$B$502,MATCH($B390,회원명부!$A$3:$A$502,0)),"미등록회원"))</f>
        <v/>
      </c>
      <c r="D390" s="13"/>
      <c r="E390" s="10"/>
      <c r="F390" s="10"/>
      <c r="G390" s="10"/>
    </row>
    <row r="391" customFormat="false" ht="15" hidden="false" customHeight="true" outlineLevel="0" collapsed="false">
      <c r="A391" s="12"/>
      <c r="B391" s="10"/>
      <c r="C391" s="15" t="str">
        <f aca="false">IF($B391="","",IFERROR(INDEX(회원명부!$B$3:$B$502,MATCH($B391,회원명부!$A$3:$A$502,0)),"미등록회원"))</f>
        <v/>
      </c>
      <c r="D391" s="13"/>
      <c r="E391" s="10"/>
      <c r="F391" s="10"/>
      <c r="G391" s="10"/>
    </row>
    <row r="392" customFormat="false" ht="15" hidden="false" customHeight="true" outlineLevel="0" collapsed="false">
      <c r="A392" s="12"/>
      <c r="B392" s="10"/>
      <c r="C392" s="15" t="str">
        <f aca="false">IF($B392="","",IFERROR(INDEX(회원명부!$B$3:$B$502,MATCH($B392,회원명부!$A$3:$A$502,0)),"미등록회원"))</f>
        <v/>
      </c>
      <c r="D392" s="13"/>
      <c r="E392" s="10"/>
      <c r="F392" s="10"/>
      <c r="G392" s="10"/>
    </row>
    <row r="393" customFormat="false" ht="15" hidden="false" customHeight="true" outlineLevel="0" collapsed="false">
      <c r="A393" s="12"/>
      <c r="B393" s="10"/>
      <c r="C393" s="15" t="str">
        <f aca="false">IF($B393="","",IFERROR(INDEX(회원명부!$B$3:$B$502,MATCH($B393,회원명부!$A$3:$A$502,0)),"미등록회원"))</f>
        <v/>
      </c>
      <c r="D393" s="13"/>
      <c r="E393" s="10"/>
      <c r="F393" s="10"/>
      <c r="G393" s="10"/>
    </row>
    <row r="394" customFormat="false" ht="15" hidden="false" customHeight="true" outlineLevel="0" collapsed="false">
      <c r="A394" s="12"/>
      <c r="B394" s="10"/>
      <c r="C394" s="15" t="str">
        <f aca="false">IF($B394="","",IFERROR(INDEX(회원명부!$B$3:$B$502,MATCH($B394,회원명부!$A$3:$A$502,0)),"미등록회원"))</f>
        <v/>
      </c>
      <c r="D394" s="13"/>
      <c r="E394" s="10"/>
      <c r="F394" s="10"/>
      <c r="G394" s="10"/>
    </row>
    <row r="395" customFormat="false" ht="15" hidden="false" customHeight="true" outlineLevel="0" collapsed="false">
      <c r="A395" s="12"/>
      <c r="B395" s="10"/>
      <c r="C395" s="15" t="str">
        <f aca="false">IF($B395="","",IFERROR(INDEX(회원명부!$B$3:$B$502,MATCH($B395,회원명부!$A$3:$A$502,0)),"미등록회원"))</f>
        <v/>
      </c>
      <c r="D395" s="13"/>
      <c r="E395" s="10"/>
      <c r="F395" s="10"/>
      <c r="G395" s="10"/>
    </row>
    <row r="396" customFormat="false" ht="15" hidden="false" customHeight="true" outlineLevel="0" collapsed="false">
      <c r="A396" s="12"/>
      <c r="B396" s="10"/>
      <c r="C396" s="15" t="str">
        <f aca="false">IF($B396="","",IFERROR(INDEX(회원명부!$B$3:$B$502,MATCH($B396,회원명부!$A$3:$A$502,0)),"미등록회원"))</f>
        <v/>
      </c>
      <c r="D396" s="13"/>
      <c r="E396" s="10"/>
      <c r="F396" s="10"/>
      <c r="G396" s="10"/>
    </row>
    <row r="397" customFormat="false" ht="15" hidden="false" customHeight="true" outlineLevel="0" collapsed="false">
      <c r="A397" s="12"/>
      <c r="B397" s="10"/>
      <c r="C397" s="15" t="str">
        <f aca="false">IF($B397="","",IFERROR(INDEX(회원명부!$B$3:$B$502,MATCH($B397,회원명부!$A$3:$A$502,0)),"미등록회원"))</f>
        <v/>
      </c>
      <c r="D397" s="13"/>
      <c r="E397" s="10"/>
      <c r="F397" s="10"/>
      <c r="G397" s="10"/>
    </row>
    <row r="398" customFormat="false" ht="15" hidden="false" customHeight="true" outlineLevel="0" collapsed="false">
      <c r="A398" s="12"/>
      <c r="B398" s="10"/>
      <c r="C398" s="15" t="str">
        <f aca="false">IF($B398="","",IFERROR(INDEX(회원명부!$B$3:$B$502,MATCH($B398,회원명부!$A$3:$A$502,0)),"미등록회원"))</f>
        <v/>
      </c>
      <c r="D398" s="13"/>
      <c r="E398" s="10"/>
      <c r="F398" s="10"/>
      <c r="G398" s="10"/>
    </row>
    <row r="399" customFormat="false" ht="15" hidden="false" customHeight="true" outlineLevel="0" collapsed="false">
      <c r="A399" s="12"/>
      <c r="B399" s="10"/>
      <c r="C399" s="15" t="str">
        <f aca="false">IF($B399="","",IFERROR(INDEX(회원명부!$B$3:$B$502,MATCH($B399,회원명부!$A$3:$A$502,0)),"미등록회원"))</f>
        <v/>
      </c>
      <c r="D399" s="13"/>
      <c r="E399" s="10"/>
      <c r="F399" s="10"/>
      <c r="G399" s="10"/>
    </row>
    <row r="400" customFormat="false" ht="15" hidden="false" customHeight="true" outlineLevel="0" collapsed="false">
      <c r="A400" s="12"/>
      <c r="B400" s="10"/>
      <c r="C400" s="15" t="str">
        <f aca="false">IF($B400="","",IFERROR(INDEX(회원명부!$B$3:$B$502,MATCH($B400,회원명부!$A$3:$A$502,0)),"미등록회원"))</f>
        <v/>
      </c>
      <c r="D400" s="13"/>
      <c r="E400" s="10"/>
      <c r="F400" s="10"/>
      <c r="G400" s="10"/>
    </row>
    <row r="401" customFormat="false" ht="15" hidden="false" customHeight="true" outlineLevel="0" collapsed="false">
      <c r="A401" s="12"/>
      <c r="B401" s="10"/>
      <c r="C401" s="15" t="str">
        <f aca="false">IF($B401="","",IFERROR(INDEX(회원명부!$B$3:$B$502,MATCH($B401,회원명부!$A$3:$A$502,0)),"미등록회원"))</f>
        <v/>
      </c>
      <c r="D401" s="13"/>
      <c r="E401" s="10"/>
      <c r="F401" s="10"/>
      <c r="G401" s="10"/>
    </row>
    <row r="402" customFormat="false" ht="15" hidden="false" customHeight="true" outlineLevel="0" collapsed="false">
      <c r="A402" s="12"/>
      <c r="B402" s="10"/>
      <c r="C402" s="15" t="str">
        <f aca="false">IF($B402="","",IFERROR(INDEX(회원명부!$B$3:$B$502,MATCH($B402,회원명부!$A$3:$A$502,0)),"미등록회원"))</f>
        <v/>
      </c>
      <c r="D402" s="13"/>
      <c r="E402" s="10"/>
      <c r="F402" s="10"/>
      <c r="G402" s="10"/>
    </row>
    <row r="403" customFormat="false" ht="15" hidden="false" customHeight="true" outlineLevel="0" collapsed="false">
      <c r="A403" s="12"/>
      <c r="B403" s="10"/>
      <c r="C403" s="15" t="str">
        <f aca="false">IF($B403="","",IFERROR(INDEX(회원명부!$B$3:$B$502,MATCH($B403,회원명부!$A$3:$A$502,0)),"미등록회원"))</f>
        <v/>
      </c>
      <c r="D403" s="13"/>
      <c r="E403" s="10"/>
      <c r="F403" s="10"/>
      <c r="G403" s="10"/>
    </row>
    <row r="404" customFormat="false" ht="15" hidden="false" customHeight="true" outlineLevel="0" collapsed="false">
      <c r="A404" s="12"/>
      <c r="B404" s="10"/>
      <c r="C404" s="15" t="str">
        <f aca="false">IF($B404="","",IFERROR(INDEX(회원명부!$B$3:$B$502,MATCH($B404,회원명부!$A$3:$A$502,0)),"미등록회원"))</f>
        <v/>
      </c>
      <c r="D404" s="13"/>
      <c r="E404" s="10"/>
      <c r="F404" s="10"/>
      <c r="G404" s="10"/>
    </row>
    <row r="405" customFormat="false" ht="15" hidden="false" customHeight="true" outlineLevel="0" collapsed="false">
      <c r="A405" s="12"/>
      <c r="B405" s="10"/>
      <c r="C405" s="15" t="str">
        <f aca="false">IF($B405="","",IFERROR(INDEX(회원명부!$B$3:$B$502,MATCH($B405,회원명부!$A$3:$A$502,0)),"미등록회원"))</f>
        <v/>
      </c>
      <c r="D405" s="13"/>
      <c r="E405" s="10"/>
      <c r="F405" s="10"/>
      <c r="G405" s="10"/>
    </row>
    <row r="406" customFormat="false" ht="15" hidden="false" customHeight="true" outlineLevel="0" collapsed="false">
      <c r="A406" s="12"/>
      <c r="B406" s="10"/>
      <c r="C406" s="15" t="str">
        <f aca="false">IF($B406="","",IFERROR(INDEX(회원명부!$B$3:$B$502,MATCH($B406,회원명부!$A$3:$A$502,0)),"미등록회원"))</f>
        <v/>
      </c>
      <c r="D406" s="13"/>
      <c r="E406" s="10"/>
      <c r="F406" s="10"/>
      <c r="G406" s="10"/>
    </row>
    <row r="407" customFormat="false" ht="15" hidden="false" customHeight="true" outlineLevel="0" collapsed="false">
      <c r="A407" s="12"/>
      <c r="B407" s="10"/>
      <c r="C407" s="15" t="str">
        <f aca="false">IF($B407="","",IFERROR(INDEX(회원명부!$B$3:$B$502,MATCH($B407,회원명부!$A$3:$A$502,0)),"미등록회원"))</f>
        <v/>
      </c>
      <c r="D407" s="13"/>
      <c r="E407" s="10"/>
      <c r="F407" s="10"/>
      <c r="G407" s="10"/>
    </row>
    <row r="408" customFormat="false" ht="15" hidden="false" customHeight="true" outlineLevel="0" collapsed="false">
      <c r="A408" s="12"/>
      <c r="B408" s="10"/>
      <c r="C408" s="15" t="str">
        <f aca="false">IF($B408="","",IFERROR(INDEX(회원명부!$B$3:$B$502,MATCH($B408,회원명부!$A$3:$A$502,0)),"미등록회원"))</f>
        <v/>
      </c>
      <c r="D408" s="13"/>
      <c r="E408" s="10"/>
      <c r="F408" s="10"/>
      <c r="G408" s="10"/>
    </row>
    <row r="409" customFormat="false" ht="15" hidden="false" customHeight="true" outlineLevel="0" collapsed="false">
      <c r="A409" s="12"/>
      <c r="B409" s="10"/>
      <c r="C409" s="15" t="str">
        <f aca="false">IF($B409="","",IFERROR(INDEX(회원명부!$B$3:$B$502,MATCH($B409,회원명부!$A$3:$A$502,0)),"미등록회원"))</f>
        <v/>
      </c>
      <c r="D409" s="13"/>
      <c r="E409" s="10"/>
      <c r="F409" s="10"/>
      <c r="G409" s="10"/>
    </row>
    <row r="410" customFormat="false" ht="15" hidden="false" customHeight="true" outlineLevel="0" collapsed="false">
      <c r="A410" s="12"/>
      <c r="B410" s="10"/>
      <c r="C410" s="15" t="str">
        <f aca="false">IF($B410="","",IFERROR(INDEX(회원명부!$B$3:$B$502,MATCH($B410,회원명부!$A$3:$A$502,0)),"미등록회원"))</f>
        <v/>
      </c>
      <c r="D410" s="13"/>
      <c r="E410" s="10"/>
      <c r="F410" s="10"/>
      <c r="G410" s="10"/>
    </row>
    <row r="411" customFormat="false" ht="15" hidden="false" customHeight="true" outlineLevel="0" collapsed="false">
      <c r="A411" s="12"/>
      <c r="B411" s="10"/>
      <c r="C411" s="15" t="str">
        <f aca="false">IF($B411="","",IFERROR(INDEX(회원명부!$B$3:$B$502,MATCH($B411,회원명부!$A$3:$A$502,0)),"미등록회원"))</f>
        <v/>
      </c>
      <c r="D411" s="13"/>
      <c r="E411" s="10"/>
      <c r="F411" s="10"/>
      <c r="G411" s="10"/>
    </row>
    <row r="412" customFormat="false" ht="15" hidden="false" customHeight="true" outlineLevel="0" collapsed="false">
      <c r="A412" s="12"/>
      <c r="B412" s="10"/>
      <c r="C412" s="15" t="str">
        <f aca="false">IF($B412="","",IFERROR(INDEX(회원명부!$B$3:$B$502,MATCH($B412,회원명부!$A$3:$A$502,0)),"미등록회원"))</f>
        <v/>
      </c>
      <c r="D412" s="13"/>
      <c r="E412" s="10"/>
      <c r="F412" s="10"/>
      <c r="G412" s="10"/>
    </row>
    <row r="413" customFormat="false" ht="15" hidden="false" customHeight="true" outlineLevel="0" collapsed="false">
      <c r="A413" s="12"/>
      <c r="B413" s="10"/>
      <c r="C413" s="15" t="str">
        <f aca="false">IF($B413="","",IFERROR(INDEX(회원명부!$B$3:$B$502,MATCH($B413,회원명부!$A$3:$A$502,0)),"미등록회원"))</f>
        <v/>
      </c>
      <c r="D413" s="13"/>
      <c r="E413" s="10"/>
      <c r="F413" s="10"/>
      <c r="G413" s="10"/>
    </row>
    <row r="414" customFormat="false" ht="15" hidden="false" customHeight="true" outlineLevel="0" collapsed="false">
      <c r="A414" s="12"/>
      <c r="B414" s="10"/>
      <c r="C414" s="15" t="str">
        <f aca="false">IF($B414="","",IFERROR(INDEX(회원명부!$B$3:$B$502,MATCH($B414,회원명부!$A$3:$A$502,0)),"미등록회원"))</f>
        <v/>
      </c>
      <c r="D414" s="13"/>
      <c r="E414" s="10"/>
      <c r="F414" s="10"/>
      <c r="G414" s="10"/>
    </row>
    <row r="415" customFormat="false" ht="15" hidden="false" customHeight="true" outlineLevel="0" collapsed="false">
      <c r="A415" s="12"/>
      <c r="B415" s="10"/>
      <c r="C415" s="15" t="str">
        <f aca="false">IF($B415="","",IFERROR(INDEX(회원명부!$B$3:$B$502,MATCH($B415,회원명부!$A$3:$A$502,0)),"미등록회원"))</f>
        <v/>
      </c>
      <c r="D415" s="13"/>
      <c r="E415" s="10"/>
      <c r="F415" s="10"/>
      <c r="G415" s="10"/>
    </row>
    <row r="416" customFormat="false" ht="15" hidden="false" customHeight="true" outlineLevel="0" collapsed="false">
      <c r="A416" s="12"/>
      <c r="B416" s="10"/>
      <c r="C416" s="15" t="str">
        <f aca="false">IF($B416="","",IFERROR(INDEX(회원명부!$B$3:$B$502,MATCH($B416,회원명부!$A$3:$A$502,0)),"미등록회원"))</f>
        <v/>
      </c>
      <c r="D416" s="13"/>
      <c r="E416" s="10"/>
      <c r="F416" s="10"/>
      <c r="G416" s="10"/>
    </row>
    <row r="417" customFormat="false" ht="15" hidden="false" customHeight="true" outlineLevel="0" collapsed="false">
      <c r="A417" s="12"/>
      <c r="B417" s="10"/>
      <c r="C417" s="15" t="str">
        <f aca="false">IF($B417="","",IFERROR(INDEX(회원명부!$B$3:$B$502,MATCH($B417,회원명부!$A$3:$A$502,0)),"미등록회원"))</f>
        <v/>
      </c>
      <c r="D417" s="13"/>
      <c r="E417" s="10"/>
      <c r="F417" s="10"/>
      <c r="G417" s="10"/>
    </row>
    <row r="418" customFormat="false" ht="15" hidden="false" customHeight="true" outlineLevel="0" collapsed="false">
      <c r="A418" s="12"/>
      <c r="B418" s="10"/>
      <c r="C418" s="15" t="str">
        <f aca="false">IF($B418="","",IFERROR(INDEX(회원명부!$B$3:$B$502,MATCH($B418,회원명부!$A$3:$A$502,0)),"미등록회원"))</f>
        <v/>
      </c>
      <c r="D418" s="13"/>
      <c r="E418" s="10"/>
      <c r="F418" s="10"/>
      <c r="G418" s="10"/>
    </row>
    <row r="419" customFormat="false" ht="15" hidden="false" customHeight="true" outlineLevel="0" collapsed="false">
      <c r="A419" s="12"/>
      <c r="B419" s="10"/>
      <c r="C419" s="15" t="str">
        <f aca="false">IF($B419="","",IFERROR(INDEX(회원명부!$B$3:$B$502,MATCH($B419,회원명부!$A$3:$A$502,0)),"미등록회원"))</f>
        <v/>
      </c>
      <c r="D419" s="13"/>
      <c r="E419" s="10"/>
      <c r="F419" s="10"/>
      <c r="G419" s="10"/>
    </row>
    <row r="420" customFormat="false" ht="15" hidden="false" customHeight="true" outlineLevel="0" collapsed="false">
      <c r="A420" s="12"/>
      <c r="B420" s="10"/>
      <c r="C420" s="15" t="str">
        <f aca="false">IF($B420="","",IFERROR(INDEX(회원명부!$B$3:$B$502,MATCH($B420,회원명부!$A$3:$A$502,0)),"미등록회원"))</f>
        <v/>
      </c>
      <c r="D420" s="13"/>
      <c r="E420" s="10"/>
      <c r="F420" s="10"/>
      <c r="G420" s="10"/>
    </row>
    <row r="421" customFormat="false" ht="15" hidden="false" customHeight="true" outlineLevel="0" collapsed="false">
      <c r="A421" s="12"/>
      <c r="B421" s="10"/>
      <c r="C421" s="15" t="str">
        <f aca="false">IF($B421="","",IFERROR(INDEX(회원명부!$B$3:$B$502,MATCH($B421,회원명부!$A$3:$A$502,0)),"미등록회원"))</f>
        <v/>
      </c>
      <c r="D421" s="13"/>
      <c r="E421" s="10"/>
      <c r="F421" s="10"/>
      <c r="G421" s="10"/>
    </row>
    <row r="422" customFormat="false" ht="15" hidden="false" customHeight="true" outlineLevel="0" collapsed="false">
      <c r="A422" s="12"/>
      <c r="B422" s="10"/>
      <c r="C422" s="15" t="str">
        <f aca="false">IF($B422="","",IFERROR(INDEX(회원명부!$B$3:$B$502,MATCH($B422,회원명부!$A$3:$A$502,0)),"미등록회원"))</f>
        <v/>
      </c>
      <c r="D422" s="13"/>
      <c r="E422" s="10"/>
      <c r="F422" s="10"/>
      <c r="G422" s="10"/>
    </row>
    <row r="423" customFormat="false" ht="15" hidden="false" customHeight="true" outlineLevel="0" collapsed="false">
      <c r="A423" s="12"/>
      <c r="B423" s="10"/>
      <c r="C423" s="15" t="str">
        <f aca="false">IF($B423="","",IFERROR(INDEX(회원명부!$B$3:$B$502,MATCH($B423,회원명부!$A$3:$A$502,0)),"미등록회원"))</f>
        <v/>
      </c>
      <c r="D423" s="13"/>
      <c r="E423" s="10"/>
      <c r="F423" s="10"/>
      <c r="G423" s="10"/>
    </row>
    <row r="424" customFormat="false" ht="15" hidden="false" customHeight="true" outlineLevel="0" collapsed="false">
      <c r="A424" s="12"/>
      <c r="B424" s="10"/>
      <c r="C424" s="15" t="str">
        <f aca="false">IF($B424="","",IFERROR(INDEX(회원명부!$B$3:$B$502,MATCH($B424,회원명부!$A$3:$A$502,0)),"미등록회원"))</f>
        <v/>
      </c>
      <c r="D424" s="13"/>
      <c r="E424" s="10"/>
      <c r="F424" s="10"/>
      <c r="G424" s="10"/>
    </row>
    <row r="425" customFormat="false" ht="15" hidden="false" customHeight="true" outlineLevel="0" collapsed="false">
      <c r="A425" s="12"/>
      <c r="B425" s="10"/>
      <c r="C425" s="15" t="str">
        <f aca="false">IF($B425="","",IFERROR(INDEX(회원명부!$B$3:$B$502,MATCH($B425,회원명부!$A$3:$A$502,0)),"미등록회원"))</f>
        <v/>
      </c>
      <c r="D425" s="13"/>
      <c r="E425" s="10"/>
      <c r="F425" s="10"/>
      <c r="G425" s="10"/>
    </row>
    <row r="426" customFormat="false" ht="15" hidden="false" customHeight="true" outlineLevel="0" collapsed="false">
      <c r="A426" s="12"/>
      <c r="B426" s="10"/>
      <c r="C426" s="15" t="str">
        <f aca="false">IF($B426="","",IFERROR(INDEX(회원명부!$B$3:$B$502,MATCH($B426,회원명부!$A$3:$A$502,0)),"미등록회원"))</f>
        <v/>
      </c>
      <c r="D426" s="13"/>
      <c r="E426" s="10"/>
      <c r="F426" s="10"/>
      <c r="G426" s="10"/>
    </row>
    <row r="427" customFormat="false" ht="15" hidden="false" customHeight="true" outlineLevel="0" collapsed="false">
      <c r="A427" s="12"/>
      <c r="B427" s="10"/>
      <c r="C427" s="15" t="str">
        <f aca="false">IF($B427="","",IFERROR(INDEX(회원명부!$B$3:$B$502,MATCH($B427,회원명부!$A$3:$A$502,0)),"미등록회원"))</f>
        <v/>
      </c>
      <c r="D427" s="13"/>
      <c r="E427" s="10"/>
      <c r="F427" s="10"/>
      <c r="G427" s="10"/>
    </row>
    <row r="428" customFormat="false" ht="15" hidden="false" customHeight="true" outlineLevel="0" collapsed="false">
      <c r="A428" s="12"/>
      <c r="B428" s="10"/>
      <c r="C428" s="15" t="str">
        <f aca="false">IF($B428="","",IFERROR(INDEX(회원명부!$B$3:$B$502,MATCH($B428,회원명부!$A$3:$A$502,0)),"미등록회원"))</f>
        <v/>
      </c>
      <c r="D428" s="13"/>
      <c r="E428" s="10"/>
      <c r="F428" s="10"/>
      <c r="G428" s="10"/>
    </row>
    <row r="429" customFormat="false" ht="15" hidden="false" customHeight="true" outlineLevel="0" collapsed="false">
      <c r="A429" s="12"/>
      <c r="B429" s="10"/>
      <c r="C429" s="15" t="str">
        <f aca="false">IF($B429="","",IFERROR(INDEX(회원명부!$B$3:$B$502,MATCH($B429,회원명부!$A$3:$A$502,0)),"미등록회원"))</f>
        <v/>
      </c>
      <c r="D429" s="13"/>
      <c r="E429" s="10"/>
      <c r="F429" s="10"/>
      <c r="G429" s="10"/>
    </row>
    <row r="430" customFormat="false" ht="15" hidden="false" customHeight="true" outlineLevel="0" collapsed="false">
      <c r="A430" s="12"/>
      <c r="B430" s="10"/>
      <c r="C430" s="15" t="str">
        <f aca="false">IF($B430="","",IFERROR(INDEX(회원명부!$B$3:$B$502,MATCH($B430,회원명부!$A$3:$A$502,0)),"미등록회원"))</f>
        <v/>
      </c>
      <c r="D430" s="13"/>
      <c r="E430" s="10"/>
      <c r="F430" s="10"/>
      <c r="G430" s="10"/>
    </row>
    <row r="431" customFormat="false" ht="15" hidden="false" customHeight="true" outlineLevel="0" collapsed="false">
      <c r="A431" s="12"/>
      <c r="B431" s="10"/>
      <c r="C431" s="15" t="str">
        <f aca="false">IF($B431="","",IFERROR(INDEX(회원명부!$B$3:$B$502,MATCH($B431,회원명부!$A$3:$A$502,0)),"미등록회원"))</f>
        <v/>
      </c>
      <c r="D431" s="13"/>
      <c r="E431" s="10"/>
      <c r="F431" s="10"/>
      <c r="G431" s="10"/>
    </row>
    <row r="432" customFormat="false" ht="15" hidden="false" customHeight="true" outlineLevel="0" collapsed="false">
      <c r="A432" s="12"/>
      <c r="B432" s="10"/>
      <c r="C432" s="15" t="str">
        <f aca="false">IF($B432="","",IFERROR(INDEX(회원명부!$B$3:$B$502,MATCH($B432,회원명부!$A$3:$A$502,0)),"미등록회원"))</f>
        <v/>
      </c>
      <c r="D432" s="13"/>
      <c r="E432" s="10"/>
      <c r="F432" s="10"/>
      <c r="G432" s="10"/>
    </row>
    <row r="433" customFormat="false" ht="15" hidden="false" customHeight="true" outlineLevel="0" collapsed="false">
      <c r="A433" s="12"/>
      <c r="B433" s="10"/>
      <c r="C433" s="15" t="str">
        <f aca="false">IF($B433="","",IFERROR(INDEX(회원명부!$B$3:$B$502,MATCH($B433,회원명부!$A$3:$A$502,0)),"미등록회원"))</f>
        <v/>
      </c>
      <c r="D433" s="13"/>
      <c r="E433" s="10"/>
      <c r="F433" s="10"/>
      <c r="G433" s="10"/>
    </row>
    <row r="434" customFormat="false" ht="15" hidden="false" customHeight="true" outlineLevel="0" collapsed="false">
      <c r="A434" s="12"/>
      <c r="B434" s="10"/>
      <c r="C434" s="15" t="str">
        <f aca="false">IF($B434="","",IFERROR(INDEX(회원명부!$B$3:$B$502,MATCH($B434,회원명부!$A$3:$A$502,0)),"미등록회원"))</f>
        <v/>
      </c>
      <c r="D434" s="13"/>
      <c r="E434" s="10"/>
      <c r="F434" s="10"/>
      <c r="G434" s="10"/>
    </row>
    <row r="435" customFormat="false" ht="15" hidden="false" customHeight="true" outlineLevel="0" collapsed="false">
      <c r="A435" s="12"/>
      <c r="B435" s="10"/>
      <c r="C435" s="15" t="str">
        <f aca="false">IF($B435="","",IFERROR(INDEX(회원명부!$B$3:$B$502,MATCH($B435,회원명부!$A$3:$A$502,0)),"미등록회원"))</f>
        <v/>
      </c>
      <c r="D435" s="13"/>
      <c r="E435" s="10"/>
      <c r="F435" s="10"/>
      <c r="G435" s="10"/>
    </row>
    <row r="436" customFormat="false" ht="15" hidden="false" customHeight="true" outlineLevel="0" collapsed="false">
      <c r="A436" s="12"/>
      <c r="B436" s="10"/>
      <c r="C436" s="15" t="str">
        <f aca="false">IF($B436="","",IFERROR(INDEX(회원명부!$B$3:$B$502,MATCH($B436,회원명부!$A$3:$A$502,0)),"미등록회원"))</f>
        <v/>
      </c>
      <c r="D436" s="13"/>
      <c r="E436" s="10"/>
      <c r="F436" s="10"/>
      <c r="G436" s="10"/>
    </row>
    <row r="437" customFormat="false" ht="15" hidden="false" customHeight="true" outlineLevel="0" collapsed="false">
      <c r="A437" s="12"/>
      <c r="B437" s="10"/>
      <c r="C437" s="15" t="str">
        <f aca="false">IF($B437="","",IFERROR(INDEX(회원명부!$B$3:$B$502,MATCH($B437,회원명부!$A$3:$A$502,0)),"미등록회원"))</f>
        <v/>
      </c>
      <c r="D437" s="13"/>
      <c r="E437" s="10"/>
      <c r="F437" s="10"/>
      <c r="G437" s="10"/>
    </row>
    <row r="438" customFormat="false" ht="15" hidden="false" customHeight="true" outlineLevel="0" collapsed="false">
      <c r="A438" s="12"/>
      <c r="B438" s="10"/>
      <c r="C438" s="15" t="str">
        <f aca="false">IF($B438="","",IFERROR(INDEX(회원명부!$B$3:$B$502,MATCH($B438,회원명부!$A$3:$A$502,0)),"미등록회원"))</f>
        <v/>
      </c>
      <c r="D438" s="13"/>
      <c r="E438" s="10"/>
      <c r="F438" s="10"/>
      <c r="G438" s="10"/>
    </row>
    <row r="439" customFormat="false" ht="15" hidden="false" customHeight="true" outlineLevel="0" collapsed="false">
      <c r="A439" s="12"/>
      <c r="B439" s="10"/>
      <c r="C439" s="15" t="str">
        <f aca="false">IF($B439="","",IFERROR(INDEX(회원명부!$B$3:$B$502,MATCH($B439,회원명부!$A$3:$A$502,0)),"미등록회원"))</f>
        <v/>
      </c>
      <c r="D439" s="13"/>
      <c r="E439" s="10"/>
      <c r="F439" s="10"/>
      <c r="G439" s="10"/>
    </row>
    <row r="440" customFormat="false" ht="15" hidden="false" customHeight="true" outlineLevel="0" collapsed="false">
      <c r="A440" s="12"/>
      <c r="B440" s="10"/>
      <c r="C440" s="15" t="str">
        <f aca="false">IF($B440="","",IFERROR(INDEX(회원명부!$B$3:$B$502,MATCH($B440,회원명부!$A$3:$A$502,0)),"미등록회원"))</f>
        <v/>
      </c>
      <c r="D440" s="13"/>
      <c r="E440" s="10"/>
      <c r="F440" s="10"/>
      <c r="G440" s="10"/>
    </row>
    <row r="441" customFormat="false" ht="15" hidden="false" customHeight="true" outlineLevel="0" collapsed="false">
      <c r="A441" s="12"/>
      <c r="B441" s="10"/>
      <c r="C441" s="15" t="str">
        <f aca="false">IF($B441="","",IFERROR(INDEX(회원명부!$B$3:$B$502,MATCH($B441,회원명부!$A$3:$A$502,0)),"미등록회원"))</f>
        <v/>
      </c>
      <c r="D441" s="13"/>
      <c r="E441" s="10"/>
      <c r="F441" s="10"/>
      <c r="G441" s="10"/>
    </row>
    <row r="442" customFormat="false" ht="15" hidden="false" customHeight="true" outlineLevel="0" collapsed="false">
      <c r="A442" s="12"/>
      <c r="B442" s="10"/>
      <c r="C442" s="15" t="str">
        <f aca="false">IF($B442="","",IFERROR(INDEX(회원명부!$B$3:$B$502,MATCH($B442,회원명부!$A$3:$A$502,0)),"미등록회원"))</f>
        <v/>
      </c>
      <c r="D442" s="13"/>
      <c r="E442" s="10"/>
      <c r="F442" s="10"/>
      <c r="G442" s="10"/>
    </row>
    <row r="443" customFormat="false" ht="15" hidden="false" customHeight="true" outlineLevel="0" collapsed="false">
      <c r="A443" s="12"/>
      <c r="B443" s="10"/>
      <c r="C443" s="15" t="str">
        <f aca="false">IF($B443="","",IFERROR(INDEX(회원명부!$B$3:$B$502,MATCH($B443,회원명부!$A$3:$A$502,0)),"미등록회원"))</f>
        <v/>
      </c>
      <c r="D443" s="13"/>
      <c r="E443" s="10"/>
      <c r="F443" s="10"/>
      <c r="G443" s="10"/>
    </row>
    <row r="444" customFormat="false" ht="15" hidden="false" customHeight="true" outlineLevel="0" collapsed="false">
      <c r="A444" s="12"/>
      <c r="B444" s="10"/>
      <c r="C444" s="15" t="str">
        <f aca="false">IF($B444="","",IFERROR(INDEX(회원명부!$B$3:$B$502,MATCH($B444,회원명부!$A$3:$A$502,0)),"미등록회원"))</f>
        <v/>
      </c>
      <c r="D444" s="13"/>
      <c r="E444" s="10"/>
      <c r="F444" s="10"/>
      <c r="G444" s="10"/>
    </row>
    <row r="445" customFormat="false" ht="15" hidden="false" customHeight="true" outlineLevel="0" collapsed="false">
      <c r="A445" s="12"/>
      <c r="B445" s="10"/>
      <c r="C445" s="15" t="str">
        <f aca="false">IF($B445="","",IFERROR(INDEX(회원명부!$B$3:$B$502,MATCH($B445,회원명부!$A$3:$A$502,0)),"미등록회원"))</f>
        <v/>
      </c>
      <c r="D445" s="13"/>
      <c r="E445" s="10"/>
      <c r="F445" s="10"/>
      <c r="G445" s="10"/>
    </row>
    <row r="446" customFormat="false" ht="15" hidden="false" customHeight="true" outlineLevel="0" collapsed="false">
      <c r="A446" s="12"/>
      <c r="B446" s="10"/>
      <c r="C446" s="15" t="str">
        <f aca="false">IF($B446="","",IFERROR(INDEX(회원명부!$B$3:$B$502,MATCH($B446,회원명부!$A$3:$A$502,0)),"미등록회원"))</f>
        <v/>
      </c>
      <c r="D446" s="13"/>
      <c r="E446" s="10"/>
      <c r="F446" s="10"/>
      <c r="G446" s="10"/>
    </row>
    <row r="447" customFormat="false" ht="15" hidden="false" customHeight="true" outlineLevel="0" collapsed="false">
      <c r="A447" s="12"/>
      <c r="B447" s="10"/>
      <c r="C447" s="15" t="str">
        <f aca="false">IF($B447="","",IFERROR(INDEX(회원명부!$B$3:$B$502,MATCH($B447,회원명부!$A$3:$A$502,0)),"미등록회원"))</f>
        <v/>
      </c>
      <c r="D447" s="13"/>
      <c r="E447" s="10"/>
      <c r="F447" s="10"/>
      <c r="G447" s="10"/>
    </row>
    <row r="448" customFormat="false" ht="15" hidden="false" customHeight="true" outlineLevel="0" collapsed="false">
      <c r="A448" s="12"/>
      <c r="B448" s="10"/>
      <c r="C448" s="15" t="str">
        <f aca="false">IF($B448="","",IFERROR(INDEX(회원명부!$B$3:$B$502,MATCH($B448,회원명부!$A$3:$A$502,0)),"미등록회원"))</f>
        <v/>
      </c>
      <c r="D448" s="13"/>
      <c r="E448" s="10"/>
      <c r="F448" s="10"/>
      <c r="G448" s="10"/>
    </row>
    <row r="449" customFormat="false" ht="15" hidden="false" customHeight="true" outlineLevel="0" collapsed="false">
      <c r="A449" s="12"/>
      <c r="B449" s="10"/>
      <c r="C449" s="15" t="str">
        <f aca="false">IF($B449="","",IFERROR(INDEX(회원명부!$B$3:$B$502,MATCH($B449,회원명부!$A$3:$A$502,0)),"미등록회원"))</f>
        <v/>
      </c>
      <c r="D449" s="13"/>
      <c r="E449" s="10"/>
      <c r="F449" s="10"/>
      <c r="G449" s="10"/>
    </row>
    <row r="450" customFormat="false" ht="15" hidden="false" customHeight="true" outlineLevel="0" collapsed="false">
      <c r="A450" s="12"/>
      <c r="B450" s="10"/>
      <c r="C450" s="15" t="str">
        <f aca="false">IF($B450="","",IFERROR(INDEX(회원명부!$B$3:$B$502,MATCH($B450,회원명부!$A$3:$A$502,0)),"미등록회원"))</f>
        <v/>
      </c>
      <c r="D450" s="13"/>
      <c r="E450" s="10"/>
      <c r="F450" s="10"/>
      <c r="G450" s="10"/>
    </row>
    <row r="451" customFormat="false" ht="15" hidden="false" customHeight="true" outlineLevel="0" collapsed="false">
      <c r="A451" s="12"/>
      <c r="B451" s="10"/>
      <c r="C451" s="15" t="str">
        <f aca="false">IF($B451="","",IFERROR(INDEX(회원명부!$B$3:$B$502,MATCH($B451,회원명부!$A$3:$A$502,0)),"미등록회원"))</f>
        <v/>
      </c>
      <c r="D451" s="13"/>
      <c r="E451" s="10"/>
      <c r="F451" s="10"/>
      <c r="G451" s="10"/>
    </row>
    <row r="452" customFormat="false" ht="15" hidden="false" customHeight="true" outlineLevel="0" collapsed="false">
      <c r="A452" s="12"/>
      <c r="B452" s="10"/>
      <c r="C452" s="15" t="str">
        <f aca="false">IF($B452="","",IFERROR(INDEX(회원명부!$B$3:$B$502,MATCH($B452,회원명부!$A$3:$A$502,0)),"미등록회원"))</f>
        <v/>
      </c>
      <c r="D452" s="13"/>
      <c r="E452" s="10"/>
      <c r="F452" s="10"/>
      <c r="G452" s="10"/>
    </row>
    <row r="453" customFormat="false" ht="15" hidden="false" customHeight="true" outlineLevel="0" collapsed="false">
      <c r="A453" s="12"/>
      <c r="B453" s="10"/>
      <c r="C453" s="15" t="str">
        <f aca="false">IF($B453="","",IFERROR(INDEX(회원명부!$B$3:$B$502,MATCH($B453,회원명부!$A$3:$A$502,0)),"미등록회원"))</f>
        <v/>
      </c>
      <c r="D453" s="13"/>
      <c r="E453" s="10"/>
      <c r="F453" s="10"/>
      <c r="G453" s="10"/>
    </row>
    <row r="454" customFormat="false" ht="15" hidden="false" customHeight="true" outlineLevel="0" collapsed="false">
      <c r="A454" s="12"/>
      <c r="B454" s="10"/>
      <c r="C454" s="15" t="str">
        <f aca="false">IF($B454="","",IFERROR(INDEX(회원명부!$B$3:$B$502,MATCH($B454,회원명부!$A$3:$A$502,0)),"미등록회원"))</f>
        <v/>
      </c>
      <c r="D454" s="13"/>
      <c r="E454" s="10"/>
      <c r="F454" s="10"/>
      <c r="G454" s="10"/>
    </row>
    <row r="455" customFormat="false" ht="15" hidden="false" customHeight="true" outlineLevel="0" collapsed="false">
      <c r="A455" s="12"/>
      <c r="B455" s="10"/>
      <c r="C455" s="15" t="str">
        <f aca="false">IF($B455="","",IFERROR(INDEX(회원명부!$B$3:$B$502,MATCH($B455,회원명부!$A$3:$A$502,0)),"미등록회원"))</f>
        <v/>
      </c>
      <c r="D455" s="13"/>
      <c r="E455" s="10"/>
      <c r="F455" s="10"/>
      <c r="G455" s="10"/>
    </row>
    <row r="456" customFormat="false" ht="15" hidden="false" customHeight="true" outlineLevel="0" collapsed="false">
      <c r="A456" s="12"/>
      <c r="B456" s="10"/>
      <c r="C456" s="15" t="str">
        <f aca="false">IF($B456="","",IFERROR(INDEX(회원명부!$B$3:$B$502,MATCH($B456,회원명부!$A$3:$A$502,0)),"미등록회원"))</f>
        <v/>
      </c>
      <c r="D456" s="13"/>
      <c r="E456" s="10"/>
      <c r="F456" s="10"/>
      <c r="G456" s="10"/>
    </row>
    <row r="457" customFormat="false" ht="15" hidden="false" customHeight="true" outlineLevel="0" collapsed="false">
      <c r="A457" s="12"/>
      <c r="B457" s="10"/>
      <c r="C457" s="15" t="str">
        <f aca="false">IF($B457="","",IFERROR(INDEX(회원명부!$B$3:$B$502,MATCH($B457,회원명부!$A$3:$A$502,0)),"미등록회원"))</f>
        <v/>
      </c>
      <c r="D457" s="13"/>
      <c r="E457" s="10"/>
      <c r="F457" s="10"/>
      <c r="G457" s="10"/>
    </row>
    <row r="458" customFormat="false" ht="15" hidden="false" customHeight="true" outlineLevel="0" collapsed="false">
      <c r="A458" s="12"/>
      <c r="B458" s="10"/>
      <c r="C458" s="15" t="str">
        <f aca="false">IF($B458="","",IFERROR(INDEX(회원명부!$B$3:$B$502,MATCH($B458,회원명부!$A$3:$A$502,0)),"미등록회원"))</f>
        <v/>
      </c>
      <c r="D458" s="13"/>
      <c r="E458" s="10"/>
      <c r="F458" s="10"/>
      <c r="G458" s="10"/>
    </row>
    <row r="459" customFormat="false" ht="15" hidden="false" customHeight="true" outlineLevel="0" collapsed="false">
      <c r="A459" s="12"/>
      <c r="B459" s="10"/>
      <c r="C459" s="15" t="str">
        <f aca="false">IF($B459="","",IFERROR(INDEX(회원명부!$B$3:$B$502,MATCH($B459,회원명부!$A$3:$A$502,0)),"미등록회원"))</f>
        <v/>
      </c>
      <c r="D459" s="13"/>
      <c r="E459" s="10"/>
      <c r="F459" s="10"/>
      <c r="G459" s="10"/>
    </row>
    <row r="460" customFormat="false" ht="15" hidden="false" customHeight="true" outlineLevel="0" collapsed="false">
      <c r="A460" s="12"/>
      <c r="B460" s="10"/>
      <c r="C460" s="15" t="str">
        <f aca="false">IF($B460="","",IFERROR(INDEX(회원명부!$B$3:$B$502,MATCH($B460,회원명부!$A$3:$A$502,0)),"미등록회원"))</f>
        <v/>
      </c>
      <c r="D460" s="13"/>
      <c r="E460" s="10"/>
      <c r="F460" s="10"/>
      <c r="G460" s="10"/>
    </row>
    <row r="461" customFormat="false" ht="15" hidden="false" customHeight="true" outlineLevel="0" collapsed="false">
      <c r="A461" s="12"/>
      <c r="B461" s="10"/>
      <c r="C461" s="15" t="str">
        <f aca="false">IF($B461="","",IFERROR(INDEX(회원명부!$B$3:$B$502,MATCH($B461,회원명부!$A$3:$A$502,0)),"미등록회원"))</f>
        <v/>
      </c>
      <c r="D461" s="13"/>
      <c r="E461" s="10"/>
      <c r="F461" s="10"/>
      <c r="G461" s="10"/>
    </row>
    <row r="462" customFormat="false" ht="15" hidden="false" customHeight="true" outlineLevel="0" collapsed="false">
      <c r="A462" s="12"/>
      <c r="B462" s="10"/>
      <c r="C462" s="15" t="str">
        <f aca="false">IF($B462="","",IFERROR(INDEX(회원명부!$B$3:$B$502,MATCH($B462,회원명부!$A$3:$A$502,0)),"미등록회원"))</f>
        <v/>
      </c>
      <c r="D462" s="13"/>
      <c r="E462" s="10"/>
      <c r="F462" s="10"/>
      <c r="G462" s="10"/>
    </row>
    <row r="463" customFormat="false" ht="15" hidden="false" customHeight="true" outlineLevel="0" collapsed="false">
      <c r="A463" s="12"/>
      <c r="B463" s="10"/>
      <c r="C463" s="15" t="str">
        <f aca="false">IF($B463="","",IFERROR(INDEX(회원명부!$B$3:$B$502,MATCH($B463,회원명부!$A$3:$A$502,0)),"미등록회원"))</f>
        <v/>
      </c>
      <c r="D463" s="13"/>
      <c r="E463" s="10"/>
      <c r="F463" s="10"/>
      <c r="G463" s="10"/>
    </row>
    <row r="464" customFormat="false" ht="15" hidden="false" customHeight="true" outlineLevel="0" collapsed="false">
      <c r="A464" s="12"/>
      <c r="B464" s="10"/>
      <c r="C464" s="15" t="str">
        <f aca="false">IF($B464="","",IFERROR(INDEX(회원명부!$B$3:$B$502,MATCH($B464,회원명부!$A$3:$A$502,0)),"미등록회원"))</f>
        <v/>
      </c>
      <c r="D464" s="13"/>
      <c r="E464" s="10"/>
      <c r="F464" s="10"/>
      <c r="G464" s="10"/>
    </row>
    <row r="465" customFormat="false" ht="15" hidden="false" customHeight="true" outlineLevel="0" collapsed="false">
      <c r="A465" s="12"/>
      <c r="B465" s="10"/>
      <c r="C465" s="15" t="str">
        <f aca="false">IF($B465="","",IFERROR(INDEX(회원명부!$B$3:$B$502,MATCH($B465,회원명부!$A$3:$A$502,0)),"미등록회원"))</f>
        <v/>
      </c>
      <c r="D465" s="13"/>
      <c r="E465" s="10"/>
      <c r="F465" s="10"/>
      <c r="G465" s="10"/>
    </row>
    <row r="466" customFormat="false" ht="15" hidden="false" customHeight="true" outlineLevel="0" collapsed="false">
      <c r="A466" s="12"/>
      <c r="B466" s="10"/>
      <c r="C466" s="15" t="str">
        <f aca="false">IF($B466="","",IFERROR(INDEX(회원명부!$B$3:$B$502,MATCH($B466,회원명부!$A$3:$A$502,0)),"미등록회원"))</f>
        <v/>
      </c>
      <c r="D466" s="13"/>
      <c r="E466" s="10"/>
      <c r="F466" s="10"/>
      <c r="G466" s="10"/>
    </row>
    <row r="467" customFormat="false" ht="15" hidden="false" customHeight="true" outlineLevel="0" collapsed="false">
      <c r="A467" s="12"/>
      <c r="B467" s="10"/>
      <c r="C467" s="15" t="str">
        <f aca="false">IF($B467="","",IFERROR(INDEX(회원명부!$B$3:$B$502,MATCH($B467,회원명부!$A$3:$A$502,0)),"미등록회원"))</f>
        <v/>
      </c>
      <c r="D467" s="13"/>
      <c r="E467" s="10"/>
      <c r="F467" s="10"/>
      <c r="G467" s="10"/>
    </row>
    <row r="468" customFormat="false" ht="15" hidden="false" customHeight="true" outlineLevel="0" collapsed="false">
      <c r="A468" s="12"/>
      <c r="B468" s="10"/>
      <c r="C468" s="15" t="str">
        <f aca="false">IF($B468="","",IFERROR(INDEX(회원명부!$B$3:$B$502,MATCH($B468,회원명부!$A$3:$A$502,0)),"미등록회원"))</f>
        <v/>
      </c>
      <c r="D468" s="13"/>
      <c r="E468" s="10"/>
      <c r="F468" s="10"/>
      <c r="G468" s="10"/>
    </row>
    <row r="469" customFormat="false" ht="15" hidden="false" customHeight="true" outlineLevel="0" collapsed="false">
      <c r="A469" s="12"/>
      <c r="B469" s="10"/>
      <c r="C469" s="15" t="str">
        <f aca="false">IF($B469="","",IFERROR(INDEX(회원명부!$B$3:$B$502,MATCH($B469,회원명부!$A$3:$A$502,0)),"미등록회원"))</f>
        <v/>
      </c>
      <c r="D469" s="13"/>
      <c r="E469" s="10"/>
      <c r="F469" s="10"/>
      <c r="G469" s="10"/>
    </row>
    <row r="470" customFormat="false" ht="15" hidden="false" customHeight="true" outlineLevel="0" collapsed="false">
      <c r="A470" s="12"/>
      <c r="B470" s="10"/>
      <c r="C470" s="15" t="str">
        <f aca="false">IF($B470="","",IFERROR(INDEX(회원명부!$B$3:$B$502,MATCH($B470,회원명부!$A$3:$A$502,0)),"미등록회원"))</f>
        <v/>
      </c>
      <c r="D470" s="13"/>
      <c r="E470" s="10"/>
      <c r="F470" s="10"/>
      <c r="G470" s="10"/>
    </row>
    <row r="471" customFormat="false" ht="15" hidden="false" customHeight="true" outlineLevel="0" collapsed="false">
      <c r="A471" s="12"/>
      <c r="B471" s="10"/>
      <c r="C471" s="15" t="str">
        <f aca="false">IF($B471="","",IFERROR(INDEX(회원명부!$B$3:$B$502,MATCH($B471,회원명부!$A$3:$A$502,0)),"미등록회원"))</f>
        <v/>
      </c>
      <c r="D471" s="13"/>
      <c r="E471" s="10"/>
      <c r="F471" s="10"/>
      <c r="G471" s="10"/>
    </row>
    <row r="472" customFormat="false" ht="15" hidden="false" customHeight="true" outlineLevel="0" collapsed="false">
      <c r="A472" s="12"/>
      <c r="B472" s="10"/>
      <c r="C472" s="15" t="str">
        <f aca="false">IF($B472="","",IFERROR(INDEX(회원명부!$B$3:$B$502,MATCH($B472,회원명부!$A$3:$A$502,0)),"미등록회원"))</f>
        <v/>
      </c>
      <c r="D472" s="13"/>
      <c r="E472" s="10"/>
      <c r="F472" s="10"/>
      <c r="G472" s="10"/>
    </row>
    <row r="473" customFormat="false" ht="15" hidden="false" customHeight="true" outlineLevel="0" collapsed="false">
      <c r="A473" s="12"/>
      <c r="B473" s="10"/>
      <c r="C473" s="15" t="str">
        <f aca="false">IF($B473="","",IFERROR(INDEX(회원명부!$B$3:$B$502,MATCH($B473,회원명부!$A$3:$A$502,0)),"미등록회원"))</f>
        <v/>
      </c>
      <c r="D473" s="13"/>
      <c r="E473" s="10"/>
      <c r="F473" s="10"/>
      <c r="G473" s="10"/>
    </row>
    <row r="474" customFormat="false" ht="15" hidden="false" customHeight="true" outlineLevel="0" collapsed="false">
      <c r="A474" s="12"/>
      <c r="B474" s="10"/>
      <c r="C474" s="15" t="str">
        <f aca="false">IF($B474="","",IFERROR(INDEX(회원명부!$B$3:$B$502,MATCH($B474,회원명부!$A$3:$A$502,0)),"미등록회원"))</f>
        <v/>
      </c>
      <c r="D474" s="13"/>
      <c r="E474" s="10"/>
      <c r="F474" s="10"/>
      <c r="G474" s="10"/>
    </row>
    <row r="475" customFormat="false" ht="15" hidden="false" customHeight="true" outlineLevel="0" collapsed="false">
      <c r="A475" s="12"/>
      <c r="B475" s="10"/>
      <c r="C475" s="15" t="str">
        <f aca="false">IF($B475="","",IFERROR(INDEX(회원명부!$B$3:$B$502,MATCH($B475,회원명부!$A$3:$A$502,0)),"미등록회원"))</f>
        <v/>
      </c>
      <c r="D475" s="13"/>
      <c r="E475" s="10"/>
      <c r="F475" s="10"/>
      <c r="G475" s="10"/>
    </row>
    <row r="476" customFormat="false" ht="15" hidden="false" customHeight="true" outlineLevel="0" collapsed="false">
      <c r="A476" s="12"/>
      <c r="B476" s="10"/>
      <c r="C476" s="15" t="str">
        <f aca="false">IF($B476="","",IFERROR(INDEX(회원명부!$B$3:$B$502,MATCH($B476,회원명부!$A$3:$A$502,0)),"미등록회원"))</f>
        <v/>
      </c>
      <c r="D476" s="13"/>
      <c r="E476" s="10"/>
      <c r="F476" s="10"/>
      <c r="G476" s="10"/>
    </row>
    <row r="477" customFormat="false" ht="15" hidden="false" customHeight="true" outlineLevel="0" collapsed="false">
      <c r="A477" s="12"/>
      <c r="B477" s="10"/>
      <c r="C477" s="15" t="str">
        <f aca="false">IF($B477="","",IFERROR(INDEX(회원명부!$B$3:$B$502,MATCH($B477,회원명부!$A$3:$A$502,0)),"미등록회원"))</f>
        <v/>
      </c>
      <c r="D477" s="13"/>
      <c r="E477" s="10"/>
      <c r="F477" s="10"/>
      <c r="G477" s="10"/>
    </row>
    <row r="478" customFormat="false" ht="15" hidden="false" customHeight="true" outlineLevel="0" collapsed="false">
      <c r="A478" s="12"/>
      <c r="B478" s="10"/>
      <c r="C478" s="15" t="str">
        <f aca="false">IF($B478="","",IFERROR(INDEX(회원명부!$B$3:$B$502,MATCH($B478,회원명부!$A$3:$A$502,0)),"미등록회원"))</f>
        <v/>
      </c>
      <c r="D478" s="13"/>
      <c r="E478" s="10"/>
      <c r="F478" s="10"/>
      <c r="G478" s="10"/>
    </row>
    <row r="479" customFormat="false" ht="15" hidden="false" customHeight="true" outlineLevel="0" collapsed="false">
      <c r="A479" s="12"/>
      <c r="B479" s="10"/>
      <c r="C479" s="15" t="str">
        <f aca="false">IF($B479="","",IFERROR(INDEX(회원명부!$B$3:$B$502,MATCH($B479,회원명부!$A$3:$A$502,0)),"미등록회원"))</f>
        <v/>
      </c>
      <c r="D479" s="13"/>
      <c r="E479" s="10"/>
      <c r="F479" s="10"/>
      <c r="G479" s="10"/>
    </row>
    <row r="480" customFormat="false" ht="15" hidden="false" customHeight="true" outlineLevel="0" collapsed="false">
      <c r="A480" s="12"/>
      <c r="B480" s="10"/>
      <c r="C480" s="15" t="str">
        <f aca="false">IF($B480="","",IFERROR(INDEX(회원명부!$B$3:$B$502,MATCH($B480,회원명부!$A$3:$A$502,0)),"미등록회원"))</f>
        <v/>
      </c>
      <c r="D480" s="13"/>
      <c r="E480" s="10"/>
      <c r="F480" s="10"/>
      <c r="G480" s="10"/>
    </row>
    <row r="481" customFormat="false" ht="15" hidden="false" customHeight="true" outlineLevel="0" collapsed="false">
      <c r="A481" s="12"/>
      <c r="B481" s="10"/>
      <c r="C481" s="15" t="str">
        <f aca="false">IF($B481="","",IFERROR(INDEX(회원명부!$B$3:$B$502,MATCH($B481,회원명부!$A$3:$A$502,0)),"미등록회원"))</f>
        <v/>
      </c>
      <c r="D481" s="13"/>
      <c r="E481" s="10"/>
      <c r="F481" s="10"/>
      <c r="G481" s="10"/>
    </row>
    <row r="482" customFormat="false" ht="15" hidden="false" customHeight="true" outlineLevel="0" collapsed="false">
      <c r="A482" s="12"/>
      <c r="B482" s="10"/>
      <c r="C482" s="15" t="str">
        <f aca="false">IF($B482="","",IFERROR(INDEX(회원명부!$B$3:$B$502,MATCH($B482,회원명부!$A$3:$A$502,0)),"미등록회원"))</f>
        <v/>
      </c>
      <c r="D482" s="13"/>
      <c r="E482" s="10"/>
      <c r="F482" s="10"/>
      <c r="G482" s="10"/>
    </row>
    <row r="483" customFormat="false" ht="15" hidden="false" customHeight="true" outlineLevel="0" collapsed="false">
      <c r="A483" s="12"/>
      <c r="B483" s="10"/>
      <c r="C483" s="15" t="str">
        <f aca="false">IF($B483="","",IFERROR(INDEX(회원명부!$B$3:$B$502,MATCH($B483,회원명부!$A$3:$A$502,0)),"미등록회원"))</f>
        <v/>
      </c>
      <c r="D483" s="13"/>
      <c r="E483" s="10"/>
      <c r="F483" s="10"/>
      <c r="G483" s="10"/>
    </row>
    <row r="484" customFormat="false" ht="15" hidden="false" customHeight="true" outlineLevel="0" collapsed="false">
      <c r="A484" s="12"/>
      <c r="B484" s="10"/>
      <c r="C484" s="15" t="str">
        <f aca="false">IF($B484="","",IFERROR(INDEX(회원명부!$B$3:$B$502,MATCH($B484,회원명부!$A$3:$A$502,0)),"미등록회원"))</f>
        <v/>
      </c>
      <c r="D484" s="13"/>
      <c r="E484" s="10"/>
      <c r="F484" s="10"/>
      <c r="G484" s="10"/>
    </row>
    <row r="485" customFormat="false" ht="15" hidden="false" customHeight="true" outlineLevel="0" collapsed="false">
      <c r="A485" s="12"/>
      <c r="B485" s="10"/>
      <c r="C485" s="15" t="str">
        <f aca="false">IF($B485="","",IFERROR(INDEX(회원명부!$B$3:$B$502,MATCH($B485,회원명부!$A$3:$A$502,0)),"미등록회원"))</f>
        <v/>
      </c>
      <c r="D485" s="13"/>
      <c r="E485" s="10"/>
      <c r="F485" s="10"/>
      <c r="G485" s="10"/>
    </row>
    <row r="486" customFormat="false" ht="15" hidden="false" customHeight="true" outlineLevel="0" collapsed="false">
      <c r="A486" s="12"/>
      <c r="B486" s="10"/>
      <c r="C486" s="15" t="str">
        <f aca="false">IF($B486="","",IFERROR(INDEX(회원명부!$B$3:$B$502,MATCH($B486,회원명부!$A$3:$A$502,0)),"미등록회원"))</f>
        <v/>
      </c>
      <c r="D486" s="13"/>
      <c r="E486" s="10"/>
      <c r="F486" s="10"/>
      <c r="G486" s="10"/>
    </row>
    <row r="487" customFormat="false" ht="15" hidden="false" customHeight="true" outlineLevel="0" collapsed="false">
      <c r="A487" s="12"/>
      <c r="B487" s="10"/>
      <c r="C487" s="15" t="str">
        <f aca="false">IF($B487="","",IFERROR(INDEX(회원명부!$B$3:$B$502,MATCH($B487,회원명부!$A$3:$A$502,0)),"미등록회원"))</f>
        <v/>
      </c>
      <c r="D487" s="13"/>
      <c r="E487" s="10"/>
      <c r="F487" s="10"/>
      <c r="G487" s="10"/>
    </row>
    <row r="488" customFormat="false" ht="15" hidden="false" customHeight="true" outlineLevel="0" collapsed="false">
      <c r="A488" s="12"/>
      <c r="B488" s="10"/>
      <c r="C488" s="15" t="str">
        <f aca="false">IF($B488="","",IFERROR(INDEX(회원명부!$B$3:$B$502,MATCH($B488,회원명부!$A$3:$A$502,0)),"미등록회원"))</f>
        <v/>
      </c>
      <c r="D488" s="13"/>
      <c r="E488" s="10"/>
      <c r="F488" s="10"/>
      <c r="G488" s="10"/>
    </row>
    <row r="489" customFormat="false" ht="15" hidden="false" customHeight="true" outlineLevel="0" collapsed="false">
      <c r="A489" s="12"/>
      <c r="B489" s="10"/>
      <c r="C489" s="15" t="str">
        <f aca="false">IF($B489="","",IFERROR(INDEX(회원명부!$B$3:$B$502,MATCH($B489,회원명부!$A$3:$A$502,0)),"미등록회원"))</f>
        <v/>
      </c>
      <c r="D489" s="13"/>
      <c r="E489" s="10"/>
      <c r="F489" s="10"/>
      <c r="G489" s="10"/>
    </row>
    <row r="490" customFormat="false" ht="15" hidden="false" customHeight="true" outlineLevel="0" collapsed="false">
      <c r="A490" s="12"/>
      <c r="B490" s="10"/>
      <c r="C490" s="15" t="str">
        <f aca="false">IF($B490="","",IFERROR(INDEX(회원명부!$B$3:$B$502,MATCH($B490,회원명부!$A$3:$A$502,0)),"미등록회원"))</f>
        <v/>
      </c>
      <c r="D490" s="13"/>
      <c r="E490" s="10"/>
      <c r="F490" s="10"/>
      <c r="G490" s="10"/>
    </row>
    <row r="491" customFormat="false" ht="15" hidden="false" customHeight="true" outlineLevel="0" collapsed="false">
      <c r="A491" s="12"/>
      <c r="B491" s="10"/>
      <c r="C491" s="15" t="str">
        <f aca="false">IF($B491="","",IFERROR(INDEX(회원명부!$B$3:$B$502,MATCH($B491,회원명부!$A$3:$A$502,0)),"미등록회원"))</f>
        <v/>
      </c>
      <c r="D491" s="13"/>
      <c r="E491" s="10"/>
      <c r="F491" s="10"/>
      <c r="G491" s="10"/>
    </row>
    <row r="492" customFormat="false" ht="15" hidden="false" customHeight="true" outlineLevel="0" collapsed="false">
      <c r="A492" s="12"/>
      <c r="B492" s="10"/>
      <c r="C492" s="15" t="str">
        <f aca="false">IF($B492="","",IFERROR(INDEX(회원명부!$B$3:$B$502,MATCH($B492,회원명부!$A$3:$A$502,0)),"미등록회원"))</f>
        <v/>
      </c>
      <c r="D492" s="13"/>
      <c r="E492" s="10"/>
      <c r="F492" s="10"/>
      <c r="G492" s="10"/>
    </row>
    <row r="493" customFormat="false" ht="15" hidden="false" customHeight="true" outlineLevel="0" collapsed="false">
      <c r="A493" s="12"/>
      <c r="B493" s="10"/>
      <c r="C493" s="15" t="str">
        <f aca="false">IF($B493="","",IFERROR(INDEX(회원명부!$B$3:$B$502,MATCH($B493,회원명부!$A$3:$A$502,0)),"미등록회원"))</f>
        <v/>
      </c>
      <c r="D493" s="13"/>
      <c r="E493" s="10"/>
      <c r="F493" s="10"/>
      <c r="G493" s="10"/>
    </row>
    <row r="494" customFormat="false" ht="15" hidden="false" customHeight="true" outlineLevel="0" collapsed="false">
      <c r="A494" s="12"/>
      <c r="B494" s="10"/>
      <c r="C494" s="15" t="str">
        <f aca="false">IF($B494="","",IFERROR(INDEX(회원명부!$B$3:$B$502,MATCH($B494,회원명부!$A$3:$A$502,0)),"미등록회원"))</f>
        <v/>
      </c>
      <c r="D494" s="13"/>
      <c r="E494" s="10"/>
      <c r="F494" s="10"/>
      <c r="G494" s="10"/>
    </row>
    <row r="495" customFormat="false" ht="15" hidden="false" customHeight="true" outlineLevel="0" collapsed="false">
      <c r="A495" s="12"/>
      <c r="B495" s="10"/>
      <c r="C495" s="15" t="str">
        <f aca="false">IF($B495="","",IFERROR(INDEX(회원명부!$B$3:$B$502,MATCH($B495,회원명부!$A$3:$A$502,0)),"미등록회원"))</f>
        <v/>
      </c>
      <c r="D495" s="13"/>
      <c r="E495" s="10"/>
      <c r="F495" s="10"/>
      <c r="G495" s="10"/>
    </row>
    <row r="496" customFormat="false" ht="15" hidden="false" customHeight="true" outlineLevel="0" collapsed="false">
      <c r="A496" s="12"/>
      <c r="B496" s="10"/>
      <c r="C496" s="15" t="str">
        <f aca="false">IF($B496="","",IFERROR(INDEX(회원명부!$B$3:$B$502,MATCH($B496,회원명부!$A$3:$A$502,0)),"미등록회원"))</f>
        <v/>
      </c>
      <c r="D496" s="13"/>
      <c r="E496" s="10"/>
      <c r="F496" s="10"/>
      <c r="G496" s="10"/>
    </row>
    <row r="497" customFormat="false" ht="15" hidden="false" customHeight="true" outlineLevel="0" collapsed="false">
      <c r="A497" s="12"/>
      <c r="B497" s="10"/>
      <c r="C497" s="15" t="str">
        <f aca="false">IF($B497="","",IFERROR(INDEX(회원명부!$B$3:$B$502,MATCH($B497,회원명부!$A$3:$A$502,0)),"미등록회원"))</f>
        <v/>
      </c>
      <c r="D497" s="13"/>
      <c r="E497" s="10"/>
      <c r="F497" s="10"/>
      <c r="G497" s="10"/>
    </row>
    <row r="498" customFormat="false" ht="15" hidden="false" customHeight="true" outlineLevel="0" collapsed="false">
      <c r="A498" s="12"/>
      <c r="B498" s="10"/>
      <c r="C498" s="15" t="str">
        <f aca="false">IF($B498="","",IFERROR(INDEX(회원명부!$B$3:$B$502,MATCH($B498,회원명부!$A$3:$A$502,0)),"미등록회원"))</f>
        <v/>
      </c>
      <c r="D498" s="13"/>
      <c r="E498" s="10"/>
      <c r="F498" s="10"/>
      <c r="G498" s="10"/>
    </row>
    <row r="499" customFormat="false" ht="15" hidden="false" customHeight="true" outlineLevel="0" collapsed="false">
      <c r="A499" s="12"/>
      <c r="B499" s="10"/>
      <c r="C499" s="15" t="str">
        <f aca="false">IF($B499="","",IFERROR(INDEX(회원명부!$B$3:$B$502,MATCH($B499,회원명부!$A$3:$A$502,0)),"미등록회원"))</f>
        <v/>
      </c>
      <c r="D499" s="13"/>
      <c r="E499" s="10"/>
      <c r="F499" s="10"/>
      <c r="G499" s="10"/>
    </row>
    <row r="500" customFormat="false" ht="15" hidden="false" customHeight="true" outlineLevel="0" collapsed="false">
      <c r="A500" s="12"/>
      <c r="B500" s="10"/>
      <c r="C500" s="15" t="str">
        <f aca="false">IF($B500="","",IFERROR(INDEX(회원명부!$B$3:$B$502,MATCH($B500,회원명부!$A$3:$A$502,0)),"미등록회원"))</f>
        <v/>
      </c>
      <c r="D500" s="13"/>
      <c r="E500" s="10"/>
      <c r="F500" s="10"/>
      <c r="G500" s="10"/>
    </row>
    <row r="501" customFormat="false" ht="15" hidden="false" customHeight="true" outlineLevel="0" collapsed="false">
      <c r="A501" s="12"/>
      <c r="B501" s="10"/>
      <c r="C501" s="15" t="str">
        <f aca="false">IF($B501="","",IFERROR(INDEX(회원명부!$B$3:$B$502,MATCH($B501,회원명부!$A$3:$A$502,0)),"미등록회원"))</f>
        <v/>
      </c>
      <c r="D501" s="13"/>
      <c r="E501" s="10"/>
      <c r="F501" s="10"/>
      <c r="G501" s="10"/>
    </row>
    <row r="502" customFormat="false" ht="15" hidden="false" customHeight="true" outlineLevel="0" collapsed="false">
      <c r="A502" s="12"/>
      <c r="B502" s="10"/>
      <c r="C502" s="15" t="str">
        <f aca="false">IF($B502="","",IFERROR(INDEX(회원명부!$B$3:$B$502,MATCH($B502,회원명부!$A$3:$A$502,0)),"미등록회원"))</f>
        <v/>
      </c>
      <c r="D502" s="13"/>
      <c r="E502" s="10"/>
      <c r="F502" s="10"/>
      <c r="G502" s="10"/>
    </row>
    <row r="503" customFormat="false" ht="15" hidden="false" customHeight="true" outlineLevel="0" collapsed="false">
      <c r="A503" s="12"/>
      <c r="B503" s="10"/>
      <c r="C503" s="15" t="str">
        <f aca="false">IF($B503="","",IFERROR(INDEX(회원명부!$B$3:$B$502,MATCH($B503,회원명부!$A$3:$A$502,0)),"미등록회원"))</f>
        <v/>
      </c>
      <c r="D503" s="13"/>
      <c r="E503" s="10"/>
      <c r="F503" s="10"/>
      <c r="G503" s="10"/>
    </row>
    <row r="504" customFormat="false" ht="15" hidden="false" customHeight="true" outlineLevel="0" collapsed="false">
      <c r="A504" s="12"/>
      <c r="B504" s="10"/>
      <c r="C504" s="15" t="str">
        <f aca="false">IF($B504="","",IFERROR(INDEX(회원명부!$B$3:$B$502,MATCH($B504,회원명부!$A$3:$A$502,0)),"미등록회원"))</f>
        <v/>
      </c>
      <c r="D504" s="13"/>
      <c r="E504" s="10"/>
      <c r="F504" s="10"/>
      <c r="G504" s="10"/>
    </row>
    <row r="505" customFormat="false" ht="15" hidden="false" customHeight="true" outlineLevel="0" collapsed="false">
      <c r="A505" s="12"/>
      <c r="B505" s="10"/>
      <c r="C505" s="15" t="str">
        <f aca="false">IF($B505="","",IFERROR(INDEX(회원명부!$B$3:$B$502,MATCH($B505,회원명부!$A$3:$A$502,0)),"미등록회원"))</f>
        <v/>
      </c>
      <c r="D505" s="13"/>
      <c r="E505" s="10"/>
      <c r="F505" s="10"/>
      <c r="G505" s="10"/>
    </row>
    <row r="506" customFormat="false" ht="15" hidden="false" customHeight="true" outlineLevel="0" collapsed="false">
      <c r="A506" s="12"/>
      <c r="B506" s="10"/>
      <c r="C506" s="15" t="str">
        <f aca="false">IF($B506="","",IFERROR(INDEX(회원명부!$B$3:$B$502,MATCH($B506,회원명부!$A$3:$A$502,0)),"미등록회원"))</f>
        <v/>
      </c>
      <c r="D506" s="13"/>
      <c r="E506" s="10"/>
      <c r="F506" s="10"/>
      <c r="G506" s="10"/>
    </row>
    <row r="507" customFormat="false" ht="15" hidden="false" customHeight="true" outlineLevel="0" collapsed="false">
      <c r="A507" s="12"/>
      <c r="B507" s="10"/>
      <c r="C507" s="15" t="str">
        <f aca="false">IF($B507="","",IFERROR(INDEX(회원명부!$B$3:$B$502,MATCH($B507,회원명부!$A$3:$A$502,0)),"미등록회원"))</f>
        <v/>
      </c>
      <c r="D507" s="13"/>
      <c r="E507" s="10"/>
      <c r="F507" s="10"/>
      <c r="G507" s="10"/>
    </row>
    <row r="508" customFormat="false" ht="15" hidden="false" customHeight="true" outlineLevel="0" collapsed="false">
      <c r="A508" s="12"/>
      <c r="B508" s="10"/>
      <c r="C508" s="15" t="str">
        <f aca="false">IF($B508="","",IFERROR(INDEX(회원명부!$B$3:$B$502,MATCH($B508,회원명부!$A$3:$A$502,0)),"미등록회원"))</f>
        <v/>
      </c>
      <c r="D508" s="13"/>
      <c r="E508" s="10"/>
      <c r="F508" s="10"/>
      <c r="G508" s="10"/>
    </row>
    <row r="509" customFormat="false" ht="15" hidden="false" customHeight="true" outlineLevel="0" collapsed="false">
      <c r="A509" s="12"/>
      <c r="B509" s="10"/>
      <c r="C509" s="15" t="str">
        <f aca="false">IF($B509="","",IFERROR(INDEX(회원명부!$B$3:$B$502,MATCH($B509,회원명부!$A$3:$A$502,0)),"미등록회원"))</f>
        <v/>
      </c>
      <c r="D509" s="13"/>
      <c r="E509" s="10"/>
      <c r="F509" s="10"/>
      <c r="G509" s="10"/>
    </row>
    <row r="510" customFormat="false" ht="15" hidden="false" customHeight="true" outlineLevel="0" collapsed="false">
      <c r="A510" s="12"/>
      <c r="B510" s="10"/>
      <c r="C510" s="15" t="str">
        <f aca="false">IF($B510="","",IFERROR(INDEX(회원명부!$B$3:$B$502,MATCH($B510,회원명부!$A$3:$A$502,0)),"미등록회원"))</f>
        <v/>
      </c>
      <c r="D510" s="13"/>
      <c r="E510" s="10"/>
      <c r="F510" s="10"/>
      <c r="G510" s="10"/>
    </row>
    <row r="511" customFormat="false" ht="15" hidden="false" customHeight="true" outlineLevel="0" collapsed="false">
      <c r="A511" s="12"/>
      <c r="B511" s="10"/>
      <c r="C511" s="15" t="str">
        <f aca="false">IF($B511="","",IFERROR(INDEX(회원명부!$B$3:$B$502,MATCH($B511,회원명부!$A$3:$A$502,0)),"미등록회원"))</f>
        <v/>
      </c>
      <c r="D511" s="13"/>
      <c r="E511" s="10"/>
      <c r="F511" s="10"/>
      <c r="G511" s="10"/>
    </row>
    <row r="512" customFormat="false" ht="15" hidden="false" customHeight="true" outlineLevel="0" collapsed="false">
      <c r="A512" s="12"/>
      <c r="B512" s="10"/>
      <c r="C512" s="15" t="str">
        <f aca="false">IF($B512="","",IFERROR(INDEX(회원명부!$B$3:$B$502,MATCH($B512,회원명부!$A$3:$A$502,0)),"미등록회원"))</f>
        <v/>
      </c>
      <c r="D512" s="13"/>
      <c r="E512" s="10"/>
      <c r="F512" s="10"/>
      <c r="G512" s="10"/>
    </row>
    <row r="513" customFormat="false" ht="15" hidden="false" customHeight="true" outlineLevel="0" collapsed="false">
      <c r="A513" s="12"/>
      <c r="B513" s="10"/>
      <c r="C513" s="15" t="str">
        <f aca="false">IF($B513="","",IFERROR(INDEX(회원명부!$B$3:$B$502,MATCH($B513,회원명부!$A$3:$A$502,0)),"미등록회원"))</f>
        <v/>
      </c>
      <c r="D513" s="13"/>
      <c r="E513" s="10"/>
      <c r="F513" s="10"/>
      <c r="G513" s="10"/>
    </row>
    <row r="514" customFormat="false" ht="15" hidden="false" customHeight="true" outlineLevel="0" collapsed="false">
      <c r="A514" s="12"/>
      <c r="B514" s="10"/>
      <c r="C514" s="15" t="str">
        <f aca="false">IF($B514="","",IFERROR(INDEX(회원명부!$B$3:$B$502,MATCH($B514,회원명부!$A$3:$A$502,0)),"미등록회원"))</f>
        <v/>
      </c>
      <c r="D514" s="13"/>
      <c r="E514" s="10"/>
      <c r="F514" s="10"/>
      <c r="G514" s="10"/>
    </row>
    <row r="515" customFormat="false" ht="15" hidden="false" customHeight="true" outlineLevel="0" collapsed="false">
      <c r="A515" s="12"/>
      <c r="B515" s="10"/>
      <c r="C515" s="15" t="str">
        <f aca="false">IF($B515="","",IFERROR(INDEX(회원명부!$B$3:$B$502,MATCH($B515,회원명부!$A$3:$A$502,0)),"미등록회원"))</f>
        <v/>
      </c>
      <c r="D515" s="13"/>
      <c r="E515" s="10"/>
      <c r="F515" s="10"/>
      <c r="G515" s="10"/>
    </row>
    <row r="516" customFormat="false" ht="15" hidden="false" customHeight="true" outlineLevel="0" collapsed="false">
      <c r="A516" s="12"/>
      <c r="B516" s="10"/>
      <c r="C516" s="15" t="str">
        <f aca="false">IF($B516="","",IFERROR(INDEX(회원명부!$B$3:$B$502,MATCH($B516,회원명부!$A$3:$A$502,0)),"미등록회원"))</f>
        <v/>
      </c>
      <c r="D516" s="13"/>
      <c r="E516" s="10"/>
      <c r="F516" s="10"/>
      <c r="G516" s="10"/>
    </row>
    <row r="517" customFormat="false" ht="15" hidden="false" customHeight="true" outlineLevel="0" collapsed="false">
      <c r="A517" s="12"/>
      <c r="B517" s="10"/>
      <c r="C517" s="15" t="str">
        <f aca="false">IF($B517="","",IFERROR(INDEX(회원명부!$B$3:$B$502,MATCH($B517,회원명부!$A$3:$A$502,0)),"미등록회원"))</f>
        <v/>
      </c>
      <c r="D517" s="13"/>
      <c r="E517" s="10"/>
      <c r="F517" s="10"/>
      <c r="G517" s="10"/>
    </row>
    <row r="518" customFormat="false" ht="15" hidden="false" customHeight="true" outlineLevel="0" collapsed="false">
      <c r="A518" s="12"/>
      <c r="B518" s="10"/>
      <c r="C518" s="15" t="str">
        <f aca="false">IF($B518="","",IFERROR(INDEX(회원명부!$B$3:$B$502,MATCH($B518,회원명부!$A$3:$A$502,0)),"미등록회원"))</f>
        <v/>
      </c>
      <c r="D518" s="13"/>
      <c r="E518" s="10"/>
      <c r="F518" s="10"/>
      <c r="G518" s="10"/>
    </row>
    <row r="519" customFormat="false" ht="15" hidden="false" customHeight="true" outlineLevel="0" collapsed="false">
      <c r="A519" s="12"/>
      <c r="B519" s="10"/>
      <c r="C519" s="15" t="str">
        <f aca="false">IF($B519="","",IFERROR(INDEX(회원명부!$B$3:$B$502,MATCH($B519,회원명부!$A$3:$A$502,0)),"미등록회원"))</f>
        <v/>
      </c>
      <c r="D519" s="13"/>
      <c r="E519" s="10"/>
      <c r="F519" s="10"/>
      <c r="G519" s="10"/>
    </row>
    <row r="520" customFormat="false" ht="15" hidden="false" customHeight="true" outlineLevel="0" collapsed="false">
      <c r="A520" s="12"/>
      <c r="B520" s="10"/>
      <c r="C520" s="15" t="str">
        <f aca="false">IF($B520="","",IFERROR(INDEX(회원명부!$B$3:$B$502,MATCH($B520,회원명부!$A$3:$A$502,0)),"미등록회원"))</f>
        <v/>
      </c>
      <c r="D520" s="13"/>
      <c r="E520" s="10"/>
      <c r="F520" s="10"/>
      <c r="G520" s="10"/>
    </row>
    <row r="521" customFormat="false" ht="15" hidden="false" customHeight="true" outlineLevel="0" collapsed="false">
      <c r="A521" s="12"/>
      <c r="B521" s="10"/>
      <c r="C521" s="15" t="str">
        <f aca="false">IF($B521="","",IFERROR(INDEX(회원명부!$B$3:$B$502,MATCH($B521,회원명부!$A$3:$A$502,0)),"미등록회원"))</f>
        <v/>
      </c>
      <c r="D521" s="13"/>
      <c r="E521" s="10"/>
      <c r="F521" s="10"/>
      <c r="G521" s="10"/>
    </row>
    <row r="522" customFormat="false" ht="15" hidden="false" customHeight="true" outlineLevel="0" collapsed="false">
      <c r="A522" s="12"/>
      <c r="B522" s="10"/>
      <c r="C522" s="15" t="str">
        <f aca="false">IF($B522="","",IFERROR(INDEX(회원명부!$B$3:$B$502,MATCH($B522,회원명부!$A$3:$A$502,0)),"미등록회원"))</f>
        <v/>
      </c>
      <c r="D522" s="13"/>
      <c r="E522" s="10"/>
      <c r="F522" s="10"/>
      <c r="G522" s="10"/>
    </row>
    <row r="523" customFormat="false" ht="15" hidden="false" customHeight="true" outlineLevel="0" collapsed="false">
      <c r="A523" s="12"/>
      <c r="B523" s="10"/>
      <c r="C523" s="15" t="str">
        <f aca="false">IF($B523="","",IFERROR(INDEX(회원명부!$B$3:$B$502,MATCH($B523,회원명부!$A$3:$A$502,0)),"미등록회원"))</f>
        <v/>
      </c>
      <c r="D523" s="13"/>
      <c r="E523" s="10"/>
      <c r="F523" s="10"/>
      <c r="G523" s="10"/>
    </row>
    <row r="524" customFormat="false" ht="15" hidden="false" customHeight="true" outlineLevel="0" collapsed="false">
      <c r="A524" s="12"/>
      <c r="B524" s="10"/>
      <c r="C524" s="15" t="str">
        <f aca="false">IF($B524="","",IFERROR(INDEX(회원명부!$B$3:$B$502,MATCH($B524,회원명부!$A$3:$A$502,0)),"미등록회원"))</f>
        <v/>
      </c>
      <c r="D524" s="13"/>
      <c r="E524" s="10"/>
      <c r="F524" s="10"/>
      <c r="G524" s="10"/>
    </row>
    <row r="525" customFormat="false" ht="15" hidden="false" customHeight="true" outlineLevel="0" collapsed="false">
      <c r="A525" s="12"/>
      <c r="B525" s="10"/>
      <c r="C525" s="15" t="str">
        <f aca="false">IF($B525="","",IFERROR(INDEX(회원명부!$B$3:$B$502,MATCH($B525,회원명부!$A$3:$A$502,0)),"미등록회원"))</f>
        <v/>
      </c>
      <c r="D525" s="13"/>
      <c r="E525" s="10"/>
      <c r="F525" s="10"/>
      <c r="G525" s="10"/>
    </row>
    <row r="526" customFormat="false" ht="15" hidden="false" customHeight="true" outlineLevel="0" collapsed="false">
      <c r="A526" s="12"/>
      <c r="B526" s="10"/>
      <c r="C526" s="15" t="str">
        <f aca="false">IF($B526="","",IFERROR(INDEX(회원명부!$B$3:$B$502,MATCH($B526,회원명부!$A$3:$A$502,0)),"미등록회원"))</f>
        <v/>
      </c>
      <c r="D526" s="13"/>
      <c r="E526" s="10"/>
      <c r="F526" s="10"/>
      <c r="G526" s="10"/>
    </row>
    <row r="527" customFormat="false" ht="15" hidden="false" customHeight="true" outlineLevel="0" collapsed="false">
      <c r="A527" s="12"/>
      <c r="B527" s="10"/>
      <c r="C527" s="15" t="str">
        <f aca="false">IF($B527="","",IFERROR(INDEX(회원명부!$B$3:$B$502,MATCH($B527,회원명부!$A$3:$A$502,0)),"미등록회원"))</f>
        <v/>
      </c>
      <c r="D527" s="13"/>
      <c r="E527" s="10"/>
      <c r="F527" s="10"/>
      <c r="G527" s="10"/>
    </row>
    <row r="528" customFormat="false" ht="15" hidden="false" customHeight="true" outlineLevel="0" collapsed="false">
      <c r="A528" s="12"/>
      <c r="B528" s="10"/>
      <c r="C528" s="15" t="str">
        <f aca="false">IF($B528="","",IFERROR(INDEX(회원명부!$B$3:$B$502,MATCH($B528,회원명부!$A$3:$A$502,0)),"미등록회원"))</f>
        <v/>
      </c>
      <c r="D528" s="13"/>
      <c r="E528" s="10"/>
      <c r="F528" s="10"/>
      <c r="G528" s="10"/>
    </row>
    <row r="529" customFormat="false" ht="15" hidden="false" customHeight="true" outlineLevel="0" collapsed="false">
      <c r="A529" s="12"/>
      <c r="B529" s="10"/>
      <c r="C529" s="15" t="str">
        <f aca="false">IF($B529="","",IFERROR(INDEX(회원명부!$B$3:$B$502,MATCH($B529,회원명부!$A$3:$A$502,0)),"미등록회원"))</f>
        <v/>
      </c>
      <c r="D529" s="13"/>
      <c r="E529" s="10"/>
      <c r="F529" s="10"/>
      <c r="G529" s="10"/>
    </row>
    <row r="530" customFormat="false" ht="15" hidden="false" customHeight="true" outlineLevel="0" collapsed="false">
      <c r="A530" s="12"/>
      <c r="B530" s="10"/>
      <c r="C530" s="15" t="str">
        <f aca="false">IF($B530="","",IFERROR(INDEX(회원명부!$B$3:$B$502,MATCH($B530,회원명부!$A$3:$A$502,0)),"미등록회원"))</f>
        <v/>
      </c>
      <c r="D530" s="13"/>
      <c r="E530" s="10"/>
      <c r="F530" s="10"/>
      <c r="G530" s="10"/>
    </row>
    <row r="531" customFormat="false" ht="15" hidden="false" customHeight="true" outlineLevel="0" collapsed="false">
      <c r="A531" s="12"/>
      <c r="B531" s="10"/>
      <c r="C531" s="15" t="str">
        <f aca="false">IF($B531="","",IFERROR(INDEX(회원명부!$B$3:$B$502,MATCH($B531,회원명부!$A$3:$A$502,0)),"미등록회원"))</f>
        <v/>
      </c>
      <c r="D531" s="13"/>
      <c r="E531" s="10"/>
      <c r="F531" s="10"/>
      <c r="G531" s="10"/>
    </row>
    <row r="532" customFormat="false" ht="15" hidden="false" customHeight="true" outlineLevel="0" collapsed="false">
      <c r="A532" s="12"/>
      <c r="B532" s="10"/>
      <c r="C532" s="15" t="str">
        <f aca="false">IF($B532="","",IFERROR(INDEX(회원명부!$B$3:$B$502,MATCH($B532,회원명부!$A$3:$A$502,0)),"미등록회원"))</f>
        <v/>
      </c>
      <c r="D532" s="13"/>
      <c r="E532" s="10"/>
      <c r="F532" s="10"/>
      <c r="G532" s="10"/>
    </row>
    <row r="533" customFormat="false" ht="15" hidden="false" customHeight="true" outlineLevel="0" collapsed="false">
      <c r="A533" s="12"/>
      <c r="B533" s="10"/>
      <c r="C533" s="15" t="str">
        <f aca="false">IF($B533="","",IFERROR(INDEX(회원명부!$B$3:$B$502,MATCH($B533,회원명부!$A$3:$A$502,0)),"미등록회원"))</f>
        <v/>
      </c>
      <c r="D533" s="13"/>
      <c r="E533" s="10"/>
      <c r="F533" s="10"/>
      <c r="G533" s="10"/>
    </row>
    <row r="534" customFormat="false" ht="15" hidden="false" customHeight="true" outlineLevel="0" collapsed="false">
      <c r="A534" s="12"/>
      <c r="B534" s="10"/>
      <c r="C534" s="15" t="str">
        <f aca="false">IF($B534="","",IFERROR(INDEX(회원명부!$B$3:$B$502,MATCH($B534,회원명부!$A$3:$A$502,0)),"미등록회원"))</f>
        <v/>
      </c>
      <c r="D534" s="13"/>
      <c r="E534" s="10"/>
      <c r="F534" s="10"/>
      <c r="G534" s="10"/>
    </row>
    <row r="535" customFormat="false" ht="15" hidden="false" customHeight="true" outlineLevel="0" collapsed="false">
      <c r="A535" s="12"/>
      <c r="B535" s="10"/>
      <c r="C535" s="15" t="str">
        <f aca="false">IF($B535="","",IFERROR(INDEX(회원명부!$B$3:$B$502,MATCH($B535,회원명부!$A$3:$A$502,0)),"미등록회원"))</f>
        <v/>
      </c>
      <c r="D535" s="13"/>
      <c r="E535" s="10"/>
      <c r="F535" s="10"/>
      <c r="G535" s="10"/>
    </row>
    <row r="536" customFormat="false" ht="15" hidden="false" customHeight="true" outlineLevel="0" collapsed="false">
      <c r="A536" s="12"/>
      <c r="B536" s="10"/>
      <c r="C536" s="15" t="str">
        <f aca="false">IF($B536="","",IFERROR(INDEX(회원명부!$B$3:$B$502,MATCH($B536,회원명부!$A$3:$A$502,0)),"미등록회원"))</f>
        <v/>
      </c>
      <c r="D536" s="13"/>
      <c r="E536" s="10"/>
      <c r="F536" s="10"/>
      <c r="G536" s="10"/>
    </row>
    <row r="537" customFormat="false" ht="15" hidden="false" customHeight="true" outlineLevel="0" collapsed="false">
      <c r="A537" s="12"/>
      <c r="B537" s="10"/>
      <c r="C537" s="15" t="str">
        <f aca="false">IF($B537="","",IFERROR(INDEX(회원명부!$B$3:$B$502,MATCH($B537,회원명부!$A$3:$A$502,0)),"미등록회원"))</f>
        <v/>
      </c>
      <c r="D537" s="13"/>
      <c r="E537" s="10"/>
      <c r="F537" s="10"/>
      <c r="G537" s="10"/>
    </row>
    <row r="538" customFormat="false" ht="15" hidden="false" customHeight="true" outlineLevel="0" collapsed="false">
      <c r="A538" s="12"/>
      <c r="B538" s="10"/>
      <c r="C538" s="15" t="str">
        <f aca="false">IF($B538="","",IFERROR(INDEX(회원명부!$B$3:$B$502,MATCH($B538,회원명부!$A$3:$A$502,0)),"미등록회원"))</f>
        <v/>
      </c>
      <c r="D538" s="13"/>
      <c r="E538" s="10"/>
      <c r="F538" s="10"/>
      <c r="G538" s="10"/>
    </row>
    <row r="539" customFormat="false" ht="15" hidden="false" customHeight="true" outlineLevel="0" collapsed="false">
      <c r="A539" s="12"/>
      <c r="B539" s="10"/>
      <c r="C539" s="15" t="str">
        <f aca="false">IF($B539="","",IFERROR(INDEX(회원명부!$B$3:$B$502,MATCH($B539,회원명부!$A$3:$A$502,0)),"미등록회원"))</f>
        <v/>
      </c>
      <c r="D539" s="13"/>
      <c r="E539" s="10"/>
      <c r="F539" s="10"/>
      <c r="G539" s="10"/>
    </row>
    <row r="540" customFormat="false" ht="15" hidden="false" customHeight="true" outlineLevel="0" collapsed="false">
      <c r="A540" s="12"/>
      <c r="B540" s="10"/>
      <c r="C540" s="15" t="str">
        <f aca="false">IF($B540="","",IFERROR(INDEX(회원명부!$B$3:$B$502,MATCH($B540,회원명부!$A$3:$A$502,0)),"미등록회원"))</f>
        <v/>
      </c>
      <c r="D540" s="13"/>
      <c r="E540" s="10"/>
      <c r="F540" s="10"/>
      <c r="G540" s="10"/>
    </row>
    <row r="541" customFormat="false" ht="15" hidden="false" customHeight="true" outlineLevel="0" collapsed="false">
      <c r="A541" s="12"/>
      <c r="B541" s="10"/>
      <c r="C541" s="15" t="str">
        <f aca="false">IF($B541="","",IFERROR(INDEX(회원명부!$B$3:$B$502,MATCH($B541,회원명부!$A$3:$A$502,0)),"미등록회원"))</f>
        <v/>
      </c>
      <c r="D541" s="13"/>
      <c r="E541" s="10"/>
      <c r="F541" s="10"/>
      <c r="G541" s="10"/>
    </row>
    <row r="542" customFormat="false" ht="15" hidden="false" customHeight="true" outlineLevel="0" collapsed="false">
      <c r="A542" s="12"/>
      <c r="B542" s="10"/>
      <c r="C542" s="15" t="str">
        <f aca="false">IF($B542="","",IFERROR(INDEX(회원명부!$B$3:$B$502,MATCH($B542,회원명부!$A$3:$A$502,0)),"미등록회원"))</f>
        <v/>
      </c>
      <c r="D542" s="13"/>
      <c r="E542" s="10"/>
      <c r="F542" s="10"/>
      <c r="G542" s="10"/>
    </row>
    <row r="543" customFormat="false" ht="15" hidden="false" customHeight="true" outlineLevel="0" collapsed="false">
      <c r="A543" s="12"/>
      <c r="B543" s="10"/>
      <c r="C543" s="15" t="str">
        <f aca="false">IF($B543="","",IFERROR(INDEX(회원명부!$B$3:$B$502,MATCH($B543,회원명부!$A$3:$A$502,0)),"미등록회원"))</f>
        <v/>
      </c>
      <c r="D543" s="13"/>
      <c r="E543" s="10"/>
      <c r="F543" s="10"/>
      <c r="G543" s="10"/>
    </row>
    <row r="544" customFormat="false" ht="15" hidden="false" customHeight="true" outlineLevel="0" collapsed="false">
      <c r="A544" s="12"/>
      <c r="B544" s="10"/>
      <c r="C544" s="15" t="str">
        <f aca="false">IF($B544="","",IFERROR(INDEX(회원명부!$B$3:$B$502,MATCH($B544,회원명부!$A$3:$A$502,0)),"미등록회원"))</f>
        <v/>
      </c>
      <c r="D544" s="13"/>
      <c r="E544" s="10"/>
      <c r="F544" s="10"/>
      <c r="G544" s="10"/>
    </row>
    <row r="545" customFormat="false" ht="15" hidden="false" customHeight="true" outlineLevel="0" collapsed="false">
      <c r="A545" s="12"/>
      <c r="B545" s="10"/>
      <c r="C545" s="15" t="str">
        <f aca="false">IF($B545="","",IFERROR(INDEX(회원명부!$B$3:$B$502,MATCH($B545,회원명부!$A$3:$A$502,0)),"미등록회원"))</f>
        <v/>
      </c>
      <c r="D545" s="13"/>
      <c r="E545" s="10"/>
      <c r="F545" s="10"/>
      <c r="G545" s="10"/>
    </row>
    <row r="546" customFormat="false" ht="15" hidden="false" customHeight="true" outlineLevel="0" collapsed="false">
      <c r="A546" s="12"/>
      <c r="B546" s="10"/>
      <c r="C546" s="15" t="str">
        <f aca="false">IF($B546="","",IFERROR(INDEX(회원명부!$B$3:$B$502,MATCH($B546,회원명부!$A$3:$A$502,0)),"미등록회원"))</f>
        <v/>
      </c>
      <c r="D546" s="13"/>
      <c r="E546" s="10"/>
      <c r="F546" s="10"/>
      <c r="G546" s="10"/>
    </row>
    <row r="547" customFormat="false" ht="15" hidden="false" customHeight="true" outlineLevel="0" collapsed="false">
      <c r="A547" s="12"/>
      <c r="B547" s="10"/>
      <c r="C547" s="15" t="str">
        <f aca="false">IF($B547="","",IFERROR(INDEX(회원명부!$B$3:$B$502,MATCH($B547,회원명부!$A$3:$A$502,0)),"미등록회원"))</f>
        <v/>
      </c>
      <c r="D547" s="13"/>
      <c r="E547" s="10"/>
      <c r="F547" s="10"/>
      <c r="G547" s="10"/>
    </row>
    <row r="548" customFormat="false" ht="15" hidden="false" customHeight="true" outlineLevel="0" collapsed="false">
      <c r="A548" s="12"/>
      <c r="B548" s="10"/>
      <c r="C548" s="15" t="str">
        <f aca="false">IF($B548="","",IFERROR(INDEX(회원명부!$B$3:$B$502,MATCH($B548,회원명부!$A$3:$A$502,0)),"미등록회원"))</f>
        <v/>
      </c>
      <c r="D548" s="13"/>
      <c r="E548" s="10"/>
      <c r="F548" s="10"/>
      <c r="G548" s="10"/>
    </row>
    <row r="549" customFormat="false" ht="15" hidden="false" customHeight="true" outlineLevel="0" collapsed="false">
      <c r="A549" s="12"/>
      <c r="B549" s="10"/>
      <c r="C549" s="15" t="str">
        <f aca="false">IF($B549="","",IFERROR(INDEX(회원명부!$B$3:$B$502,MATCH($B549,회원명부!$A$3:$A$502,0)),"미등록회원"))</f>
        <v/>
      </c>
      <c r="D549" s="13"/>
      <c r="E549" s="10"/>
      <c r="F549" s="10"/>
      <c r="G549" s="10"/>
    </row>
    <row r="550" customFormat="false" ht="15" hidden="false" customHeight="true" outlineLevel="0" collapsed="false">
      <c r="A550" s="12"/>
      <c r="B550" s="10"/>
      <c r="C550" s="15" t="str">
        <f aca="false">IF($B550="","",IFERROR(INDEX(회원명부!$B$3:$B$502,MATCH($B550,회원명부!$A$3:$A$502,0)),"미등록회원"))</f>
        <v/>
      </c>
      <c r="D550" s="13"/>
      <c r="E550" s="10"/>
      <c r="F550" s="10"/>
      <c r="G550" s="10"/>
    </row>
    <row r="551" customFormat="false" ht="15" hidden="false" customHeight="true" outlineLevel="0" collapsed="false">
      <c r="A551" s="12"/>
      <c r="B551" s="10"/>
      <c r="C551" s="15" t="str">
        <f aca="false">IF($B551="","",IFERROR(INDEX(회원명부!$B$3:$B$502,MATCH($B551,회원명부!$A$3:$A$502,0)),"미등록회원"))</f>
        <v/>
      </c>
      <c r="D551" s="13"/>
      <c r="E551" s="10"/>
      <c r="F551" s="10"/>
      <c r="G551" s="10"/>
    </row>
    <row r="552" customFormat="false" ht="15" hidden="false" customHeight="true" outlineLevel="0" collapsed="false">
      <c r="A552" s="12"/>
      <c r="B552" s="10"/>
      <c r="C552" s="15" t="str">
        <f aca="false">IF($B552="","",IFERROR(INDEX(회원명부!$B$3:$B$502,MATCH($B552,회원명부!$A$3:$A$502,0)),"미등록회원"))</f>
        <v/>
      </c>
      <c r="D552" s="13"/>
      <c r="E552" s="10"/>
      <c r="F552" s="10"/>
      <c r="G552" s="10"/>
    </row>
    <row r="553" customFormat="false" ht="15" hidden="false" customHeight="true" outlineLevel="0" collapsed="false">
      <c r="A553" s="12"/>
      <c r="B553" s="10"/>
      <c r="C553" s="15" t="str">
        <f aca="false">IF($B553="","",IFERROR(INDEX(회원명부!$B$3:$B$502,MATCH($B553,회원명부!$A$3:$A$502,0)),"미등록회원"))</f>
        <v/>
      </c>
      <c r="D553" s="13"/>
      <c r="E553" s="10"/>
      <c r="F553" s="10"/>
      <c r="G553" s="10"/>
    </row>
    <row r="554" customFormat="false" ht="15" hidden="false" customHeight="true" outlineLevel="0" collapsed="false">
      <c r="A554" s="12"/>
      <c r="B554" s="10"/>
      <c r="C554" s="15" t="str">
        <f aca="false">IF($B554="","",IFERROR(INDEX(회원명부!$B$3:$B$502,MATCH($B554,회원명부!$A$3:$A$502,0)),"미등록회원"))</f>
        <v/>
      </c>
      <c r="D554" s="13"/>
      <c r="E554" s="10"/>
      <c r="F554" s="10"/>
      <c r="G554" s="10"/>
    </row>
    <row r="555" customFormat="false" ht="15" hidden="false" customHeight="true" outlineLevel="0" collapsed="false">
      <c r="A555" s="12"/>
      <c r="B555" s="10"/>
      <c r="C555" s="15" t="str">
        <f aca="false">IF($B555="","",IFERROR(INDEX(회원명부!$B$3:$B$502,MATCH($B555,회원명부!$A$3:$A$502,0)),"미등록회원"))</f>
        <v/>
      </c>
      <c r="D555" s="13"/>
      <c r="E555" s="10"/>
      <c r="F555" s="10"/>
      <c r="G555" s="10"/>
    </row>
    <row r="556" customFormat="false" ht="15" hidden="false" customHeight="true" outlineLevel="0" collapsed="false">
      <c r="A556" s="12"/>
      <c r="B556" s="10"/>
      <c r="C556" s="15" t="str">
        <f aca="false">IF($B556="","",IFERROR(INDEX(회원명부!$B$3:$B$502,MATCH($B556,회원명부!$A$3:$A$502,0)),"미등록회원"))</f>
        <v/>
      </c>
      <c r="D556" s="13"/>
      <c r="E556" s="10"/>
      <c r="F556" s="10"/>
      <c r="G556" s="10"/>
    </row>
    <row r="557" customFormat="false" ht="15" hidden="false" customHeight="true" outlineLevel="0" collapsed="false">
      <c r="A557" s="12"/>
      <c r="B557" s="10"/>
      <c r="C557" s="15" t="str">
        <f aca="false">IF($B557="","",IFERROR(INDEX(회원명부!$B$3:$B$502,MATCH($B557,회원명부!$A$3:$A$502,0)),"미등록회원"))</f>
        <v/>
      </c>
      <c r="D557" s="13"/>
      <c r="E557" s="10"/>
      <c r="F557" s="10"/>
      <c r="G557" s="10"/>
    </row>
    <row r="558" customFormat="false" ht="15" hidden="false" customHeight="true" outlineLevel="0" collapsed="false">
      <c r="A558" s="12"/>
      <c r="B558" s="10"/>
      <c r="C558" s="15" t="str">
        <f aca="false">IF($B558="","",IFERROR(INDEX(회원명부!$B$3:$B$502,MATCH($B558,회원명부!$A$3:$A$502,0)),"미등록회원"))</f>
        <v/>
      </c>
      <c r="D558" s="13"/>
      <c r="E558" s="10"/>
      <c r="F558" s="10"/>
      <c r="G558" s="10"/>
    </row>
    <row r="559" customFormat="false" ht="15" hidden="false" customHeight="true" outlineLevel="0" collapsed="false">
      <c r="A559" s="12"/>
      <c r="B559" s="10"/>
      <c r="C559" s="15" t="str">
        <f aca="false">IF($B559="","",IFERROR(INDEX(회원명부!$B$3:$B$502,MATCH($B559,회원명부!$A$3:$A$502,0)),"미등록회원"))</f>
        <v/>
      </c>
      <c r="D559" s="13"/>
      <c r="E559" s="10"/>
      <c r="F559" s="10"/>
      <c r="G559" s="10"/>
    </row>
    <row r="560" customFormat="false" ht="15" hidden="false" customHeight="true" outlineLevel="0" collapsed="false">
      <c r="A560" s="12"/>
      <c r="B560" s="10"/>
      <c r="C560" s="15" t="str">
        <f aca="false">IF($B560="","",IFERROR(INDEX(회원명부!$B$3:$B$502,MATCH($B560,회원명부!$A$3:$A$502,0)),"미등록회원"))</f>
        <v/>
      </c>
      <c r="D560" s="13"/>
      <c r="E560" s="10"/>
      <c r="F560" s="10"/>
      <c r="G560" s="10"/>
    </row>
    <row r="561" customFormat="false" ht="15" hidden="false" customHeight="true" outlineLevel="0" collapsed="false">
      <c r="A561" s="12"/>
      <c r="B561" s="10"/>
      <c r="C561" s="15" t="str">
        <f aca="false">IF($B561="","",IFERROR(INDEX(회원명부!$B$3:$B$502,MATCH($B561,회원명부!$A$3:$A$502,0)),"미등록회원"))</f>
        <v/>
      </c>
      <c r="D561" s="13"/>
      <c r="E561" s="10"/>
      <c r="F561" s="10"/>
      <c r="G561" s="10"/>
    </row>
    <row r="562" customFormat="false" ht="15" hidden="false" customHeight="true" outlineLevel="0" collapsed="false">
      <c r="A562" s="12"/>
      <c r="B562" s="10"/>
      <c r="C562" s="15" t="str">
        <f aca="false">IF($B562="","",IFERROR(INDEX(회원명부!$B$3:$B$502,MATCH($B562,회원명부!$A$3:$A$502,0)),"미등록회원"))</f>
        <v/>
      </c>
      <c r="D562" s="13"/>
      <c r="E562" s="10"/>
      <c r="F562" s="10"/>
      <c r="G562" s="10"/>
    </row>
    <row r="563" customFormat="false" ht="15" hidden="false" customHeight="true" outlineLevel="0" collapsed="false">
      <c r="A563" s="12"/>
      <c r="B563" s="10"/>
      <c r="C563" s="15" t="str">
        <f aca="false">IF($B563="","",IFERROR(INDEX(회원명부!$B$3:$B$502,MATCH($B563,회원명부!$A$3:$A$502,0)),"미등록회원"))</f>
        <v/>
      </c>
      <c r="D563" s="13"/>
      <c r="E563" s="10"/>
      <c r="F563" s="10"/>
      <c r="G563" s="10"/>
    </row>
    <row r="564" customFormat="false" ht="15" hidden="false" customHeight="true" outlineLevel="0" collapsed="false">
      <c r="A564" s="12"/>
      <c r="B564" s="10"/>
      <c r="C564" s="15" t="str">
        <f aca="false">IF($B564="","",IFERROR(INDEX(회원명부!$B$3:$B$502,MATCH($B564,회원명부!$A$3:$A$502,0)),"미등록회원"))</f>
        <v/>
      </c>
      <c r="D564" s="13"/>
      <c r="E564" s="10"/>
      <c r="F564" s="10"/>
      <c r="G564" s="10"/>
    </row>
    <row r="565" customFormat="false" ht="15" hidden="false" customHeight="true" outlineLevel="0" collapsed="false">
      <c r="A565" s="12"/>
      <c r="B565" s="10"/>
      <c r="C565" s="15" t="str">
        <f aca="false">IF($B565="","",IFERROR(INDEX(회원명부!$B$3:$B$502,MATCH($B565,회원명부!$A$3:$A$502,0)),"미등록회원"))</f>
        <v/>
      </c>
      <c r="D565" s="13"/>
      <c r="E565" s="10"/>
      <c r="F565" s="10"/>
      <c r="G565" s="10"/>
    </row>
    <row r="566" customFormat="false" ht="15" hidden="false" customHeight="true" outlineLevel="0" collapsed="false">
      <c r="A566" s="12"/>
      <c r="B566" s="10"/>
      <c r="C566" s="15" t="str">
        <f aca="false">IF($B566="","",IFERROR(INDEX(회원명부!$B$3:$B$502,MATCH($B566,회원명부!$A$3:$A$502,0)),"미등록회원"))</f>
        <v/>
      </c>
      <c r="D566" s="13"/>
      <c r="E566" s="10"/>
      <c r="F566" s="10"/>
      <c r="G566" s="10"/>
    </row>
    <row r="567" customFormat="false" ht="15" hidden="false" customHeight="true" outlineLevel="0" collapsed="false">
      <c r="A567" s="12"/>
      <c r="B567" s="10"/>
      <c r="C567" s="15" t="str">
        <f aca="false">IF($B567="","",IFERROR(INDEX(회원명부!$B$3:$B$502,MATCH($B567,회원명부!$A$3:$A$502,0)),"미등록회원"))</f>
        <v/>
      </c>
      <c r="D567" s="13"/>
      <c r="E567" s="10"/>
      <c r="F567" s="10"/>
      <c r="G567" s="10"/>
    </row>
    <row r="568" customFormat="false" ht="15" hidden="false" customHeight="true" outlineLevel="0" collapsed="false">
      <c r="A568" s="12"/>
      <c r="B568" s="10"/>
      <c r="C568" s="15" t="str">
        <f aca="false">IF($B568="","",IFERROR(INDEX(회원명부!$B$3:$B$502,MATCH($B568,회원명부!$A$3:$A$502,0)),"미등록회원"))</f>
        <v/>
      </c>
      <c r="D568" s="13"/>
      <c r="E568" s="10"/>
      <c r="F568" s="10"/>
      <c r="G568" s="10"/>
    </row>
    <row r="569" customFormat="false" ht="15" hidden="false" customHeight="true" outlineLevel="0" collapsed="false">
      <c r="A569" s="12"/>
      <c r="B569" s="10"/>
      <c r="C569" s="15" t="str">
        <f aca="false">IF($B569="","",IFERROR(INDEX(회원명부!$B$3:$B$502,MATCH($B569,회원명부!$A$3:$A$502,0)),"미등록회원"))</f>
        <v/>
      </c>
      <c r="D569" s="13"/>
      <c r="E569" s="10"/>
      <c r="F569" s="10"/>
      <c r="G569" s="10"/>
    </row>
    <row r="570" customFormat="false" ht="15" hidden="false" customHeight="true" outlineLevel="0" collapsed="false">
      <c r="A570" s="12"/>
      <c r="B570" s="10"/>
      <c r="C570" s="15" t="str">
        <f aca="false">IF($B570="","",IFERROR(INDEX(회원명부!$B$3:$B$502,MATCH($B570,회원명부!$A$3:$A$502,0)),"미등록회원"))</f>
        <v/>
      </c>
      <c r="D570" s="13"/>
      <c r="E570" s="10"/>
      <c r="F570" s="10"/>
      <c r="G570" s="10"/>
    </row>
    <row r="571" customFormat="false" ht="15" hidden="false" customHeight="true" outlineLevel="0" collapsed="false">
      <c r="A571" s="12"/>
      <c r="B571" s="10"/>
      <c r="C571" s="15" t="str">
        <f aca="false">IF($B571="","",IFERROR(INDEX(회원명부!$B$3:$B$502,MATCH($B571,회원명부!$A$3:$A$502,0)),"미등록회원"))</f>
        <v/>
      </c>
      <c r="D571" s="13"/>
      <c r="E571" s="10"/>
      <c r="F571" s="10"/>
      <c r="G571" s="10"/>
    </row>
    <row r="572" customFormat="false" ht="15" hidden="false" customHeight="true" outlineLevel="0" collapsed="false">
      <c r="A572" s="12"/>
      <c r="B572" s="10"/>
      <c r="C572" s="15" t="str">
        <f aca="false">IF($B572="","",IFERROR(INDEX(회원명부!$B$3:$B$502,MATCH($B572,회원명부!$A$3:$A$502,0)),"미등록회원"))</f>
        <v/>
      </c>
      <c r="D572" s="13"/>
      <c r="E572" s="10"/>
      <c r="F572" s="10"/>
      <c r="G572" s="10"/>
    </row>
    <row r="573" customFormat="false" ht="15" hidden="false" customHeight="true" outlineLevel="0" collapsed="false">
      <c r="A573" s="12"/>
      <c r="B573" s="10"/>
      <c r="C573" s="15" t="str">
        <f aca="false">IF($B573="","",IFERROR(INDEX(회원명부!$B$3:$B$502,MATCH($B573,회원명부!$A$3:$A$502,0)),"미등록회원"))</f>
        <v/>
      </c>
      <c r="D573" s="13"/>
      <c r="E573" s="10"/>
      <c r="F573" s="10"/>
      <c r="G573" s="10"/>
    </row>
    <row r="574" customFormat="false" ht="15" hidden="false" customHeight="true" outlineLevel="0" collapsed="false">
      <c r="A574" s="12"/>
      <c r="B574" s="10"/>
      <c r="C574" s="15" t="str">
        <f aca="false">IF($B574="","",IFERROR(INDEX(회원명부!$B$3:$B$502,MATCH($B574,회원명부!$A$3:$A$502,0)),"미등록회원"))</f>
        <v/>
      </c>
      <c r="D574" s="13"/>
      <c r="E574" s="10"/>
      <c r="F574" s="10"/>
      <c r="G574" s="10"/>
    </row>
    <row r="575" customFormat="false" ht="15" hidden="false" customHeight="true" outlineLevel="0" collapsed="false">
      <c r="A575" s="12"/>
      <c r="B575" s="10"/>
      <c r="C575" s="15" t="str">
        <f aca="false">IF($B575="","",IFERROR(INDEX(회원명부!$B$3:$B$502,MATCH($B575,회원명부!$A$3:$A$502,0)),"미등록회원"))</f>
        <v/>
      </c>
      <c r="D575" s="13"/>
      <c r="E575" s="10"/>
      <c r="F575" s="10"/>
      <c r="G575" s="10"/>
    </row>
    <row r="576" customFormat="false" ht="15" hidden="false" customHeight="true" outlineLevel="0" collapsed="false">
      <c r="A576" s="12"/>
      <c r="B576" s="10"/>
      <c r="C576" s="15" t="str">
        <f aca="false">IF($B576="","",IFERROR(INDEX(회원명부!$B$3:$B$502,MATCH($B576,회원명부!$A$3:$A$502,0)),"미등록회원"))</f>
        <v/>
      </c>
      <c r="D576" s="13"/>
      <c r="E576" s="10"/>
      <c r="F576" s="10"/>
      <c r="G576" s="10"/>
    </row>
    <row r="577" customFormat="false" ht="15" hidden="false" customHeight="true" outlineLevel="0" collapsed="false">
      <c r="A577" s="12"/>
      <c r="B577" s="10"/>
      <c r="C577" s="15" t="str">
        <f aca="false">IF($B577="","",IFERROR(INDEX(회원명부!$B$3:$B$502,MATCH($B577,회원명부!$A$3:$A$502,0)),"미등록회원"))</f>
        <v/>
      </c>
      <c r="D577" s="13"/>
      <c r="E577" s="10"/>
      <c r="F577" s="10"/>
      <c r="G577" s="10"/>
    </row>
    <row r="578" customFormat="false" ht="15" hidden="false" customHeight="true" outlineLevel="0" collapsed="false">
      <c r="A578" s="12"/>
      <c r="B578" s="10"/>
      <c r="C578" s="15" t="str">
        <f aca="false">IF($B578="","",IFERROR(INDEX(회원명부!$B$3:$B$502,MATCH($B578,회원명부!$A$3:$A$502,0)),"미등록회원"))</f>
        <v/>
      </c>
      <c r="D578" s="13"/>
      <c r="E578" s="10"/>
      <c r="F578" s="10"/>
      <c r="G578" s="10"/>
    </row>
    <row r="579" customFormat="false" ht="15" hidden="false" customHeight="true" outlineLevel="0" collapsed="false">
      <c r="A579" s="12"/>
      <c r="B579" s="10"/>
      <c r="C579" s="15" t="str">
        <f aca="false">IF($B579="","",IFERROR(INDEX(회원명부!$B$3:$B$502,MATCH($B579,회원명부!$A$3:$A$502,0)),"미등록회원"))</f>
        <v/>
      </c>
      <c r="D579" s="13"/>
      <c r="E579" s="10"/>
      <c r="F579" s="10"/>
      <c r="G579" s="10"/>
    </row>
    <row r="580" customFormat="false" ht="15" hidden="false" customHeight="true" outlineLevel="0" collapsed="false">
      <c r="A580" s="12"/>
      <c r="B580" s="10"/>
      <c r="C580" s="15" t="str">
        <f aca="false">IF($B580="","",IFERROR(INDEX(회원명부!$B$3:$B$502,MATCH($B580,회원명부!$A$3:$A$502,0)),"미등록회원"))</f>
        <v/>
      </c>
      <c r="D580" s="13"/>
      <c r="E580" s="10"/>
      <c r="F580" s="10"/>
      <c r="G580" s="10"/>
    </row>
    <row r="581" customFormat="false" ht="15" hidden="false" customHeight="true" outlineLevel="0" collapsed="false">
      <c r="A581" s="12"/>
      <c r="B581" s="10"/>
      <c r="C581" s="15" t="str">
        <f aca="false">IF($B581="","",IFERROR(INDEX(회원명부!$B$3:$B$502,MATCH($B581,회원명부!$A$3:$A$502,0)),"미등록회원"))</f>
        <v/>
      </c>
      <c r="D581" s="13"/>
      <c r="E581" s="10"/>
      <c r="F581" s="10"/>
      <c r="G581" s="10"/>
    </row>
    <row r="582" customFormat="false" ht="15" hidden="false" customHeight="true" outlineLevel="0" collapsed="false">
      <c r="A582" s="12"/>
      <c r="B582" s="10"/>
      <c r="C582" s="15" t="str">
        <f aca="false">IF($B582="","",IFERROR(INDEX(회원명부!$B$3:$B$502,MATCH($B582,회원명부!$A$3:$A$502,0)),"미등록회원"))</f>
        <v/>
      </c>
      <c r="D582" s="13"/>
      <c r="E582" s="10"/>
      <c r="F582" s="10"/>
      <c r="G582" s="10"/>
    </row>
    <row r="583" customFormat="false" ht="15" hidden="false" customHeight="true" outlineLevel="0" collapsed="false">
      <c r="A583" s="12"/>
      <c r="B583" s="10"/>
      <c r="C583" s="15" t="str">
        <f aca="false">IF($B583="","",IFERROR(INDEX(회원명부!$B$3:$B$502,MATCH($B583,회원명부!$A$3:$A$502,0)),"미등록회원"))</f>
        <v/>
      </c>
      <c r="D583" s="13"/>
      <c r="E583" s="10"/>
      <c r="F583" s="10"/>
      <c r="G583" s="10"/>
    </row>
    <row r="584" customFormat="false" ht="15" hidden="false" customHeight="true" outlineLevel="0" collapsed="false">
      <c r="A584" s="12"/>
      <c r="B584" s="10"/>
      <c r="C584" s="15" t="str">
        <f aca="false">IF($B584="","",IFERROR(INDEX(회원명부!$B$3:$B$502,MATCH($B584,회원명부!$A$3:$A$502,0)),"미등록회원"))</f>
        <v/>
      </c>
      <c r="D584" s="13"/>
      <c r="E584" s="10"/>
      <c r="F584" s="10"/>
      <c r="G584" s="10"/>
    </row>
    <row r="585" customFormat="false" ht="15" hidden="false" customHeight="true" outlineLevel="0" collapsed="false">
      <c r="A585" s="12"/>
      <c r="B585" s="10"/>
      <c r="C585" s="15" t="str">
        <f aca="false">IF($B585="","",IFERROR(INDEX(회원명부!$B$3:$B$502,MATCH($B585,회원명부!$A$3:$A$502,0)),"미등록회원"))</f>
        <v/>
      </c>
      <c r="D585" s="13"/>
      <c r="E585" s="10"/>
      <c r="F585" s="10"/>
      <c r="G585" s="10"/>
    </row>
    <row r="586" customFormat="false" ht="15" hidden="false" customHeight="true" outlineLevel="0" collapsed="false">
      <c r="A586" s="12"/>
      <c r="B586" s="10"/>
      <c r="C586" s="15" t="str">
        <f aca="false">IF($B586="","",IFERROR(INDEX(회원명부!$B$3:$B$502,MATCH($B586,회원명부!$A$3:$A$502,0)),"미등록회원"))</f>
        <v/>
      </c>
      <c r="D586" s="13"/>
      <c r="E586" s="10"/>
      <c r="F586" s="10"/>
      <c r="G586" s="10"/>
    </row>
    <row r="587" customFormat="false" ht="15" hidden="false" customHeight="true" outlineLevel="0" collapsed="false">
      <c r="A587" s="12"/>
      <c r="B587" s="10"/>
      <c r="C587" s="15" t="str">
        <f aca="false">IF($B587="","",IFERROR(INDEX(회원명부!$B$3:$B$502,MATCH($B587,회원명부!$A$3:$A$502,0)),"미등록회원"))</f>
        <v/>
      </c>
      <c r="D587" s="13"/>
      <c r="E587" s="10"/>
      <c r="F587" s="10"/>
      <c r="G587" s="10"/>
    </row>
    <row r="588" customFormat="false" ht="15" hidden="false" customHeight="true" outlineLevel="0" collapsed="false">
      <c r="A588" s="12"/>
      <c r="B588" s="10"/>
      <c r="C588" s="15" t="str">
        <f aca="false">IF($B588="","",IFERROR(INDEX(회원명부!$B$3:$B$502,MATCH($B588,회원명부!$A$3:$A$502,0)),"미등록회원"))</f>
        <v/>
      </c>
      <c r="D588" s="13"/>
      <c r="E588" s="10"/>
      <c r="F588" s="10"/>
      <c r="G588" s="10"/>
    </row>
    <row r="589" customFormat="false" ht="15" hidden="false" customHeight="true" outlineLevel="0" collapsed="false">
      <c r="A589" s="12"/>
      <c r="B589" s="10"/>
      <c r="C589" s="15" t="str">
        <f aca="false">IF($B589="","",IFERROR(INDEX(회원명부!$B$3:$B$502,MATCH($B589,회원명부!$A$3:$A$502,0)),"미등록회원"))</f>
        <v/>
      </c>
      <c r="D589" s="13"/>
      <c r="E589" s="10"/>
      <c r="F589" s="10"/>
      <c r="G589" s="10"/>
    </row>
    <row r="590" customFormat="false" ht="15" hidden="false" customHeight="true" outlineLevel="0" collapsed="false">
      <c r="A590" s="12"/>
      <c r="B590" s="10"/>
      <c r="C590" s="15" t="str">
        <f aca="false">IF($B590="","",IFERROR(INDEX(회원명부!$B$3:$B$502,MATCH($B590,회원명부!$A$3:$A$502,0)),"미등록회원"))</f>
        <v/>
      </c>
      <c r="D590" s="13"/>
      <c r="E590" s="10"/>
      <c r="F590" s="10"/>
      <c r="G590" s="10"/>
    </row>
    <row r="591" customFormat="false" ht="15" hidden="false" customHeight="true" outlineLevel="0" collapsed="false">
      <c r="A591" s="12"/>
      <c r="B591" s="10"/>
      <c r="C591" s="15" t="str">
        <f aca="false">IF($B591="","",IFERROR(INDEX(회원명부!$B$3:$B$502,MATCH($B591,회원명부!$A$3:$A$502,0)),"미등록회원"))</f>
        <v/>
      </c>
      <c r="D591" s="13"/>
      <c r="E591" s="10"/>
      <c r="F591" s="10"/>
      <c r="G591" s="10"/>
    </row>
    <row r="592" customFormat="false" ht="15" hidden="false" customHeight="true" outlineLevel="0" collapsed="false">
      <c r="A592" s="12"/>
      <c r="B592" s="10"/>
      <c r="C592" s="15" t="str">
        <f aca="false">IF($B592="","",IFERROR(INDEX(회원명부!$B$3:$B$502,MATCH($B592,회원명부!$A$3:$A$502,0)),"미등록회원"))</f>
        <v/>
      </c>
      <c r="D592" s="13"/>
      <c r="E592" s="10"/>
      <c r="F592" s="10"/>
      <c r="G592" s="10"/>
    </row>
    <row r="593" customFormat="false" ht="15" hidden="false" customHeight="true" outlineLevel="0" collapsed="false">
      <c r="A593" s="12"/>
      <c r="B593" s="10"/>
      <c r="C593" s="15" t="str">
        <f aca="false">IF($B593="","",IFERROR(INDEX(회원명부!$B$3:$B$502,MATCH($B593,회원명부!$A$3:$A$502,0)),"미등록회원"))</f>
        <v/>
      </c>
      <c r="D593" s="13"/>
      <c r="E593" s="10"/>
      <c r="F593" s="10"/>
      <c r="G593" s="10"/>
    </row>
    <row r="594" customFormat="false" ht="15" hidden="false" customHeight="true" outlineLevel="0" collapsed="false">
      <c r="A594" s="12"/>
      <c r="B594" s="10"/>
      <c r="C594" s="15" t="str">
        <f aca="false">IF($B594="","",IFERROR(INDEX(회원명부!$B$3:$B$502,MATCH($B594,회원명부!$A$3:$A$502,0)),"미등록회원"))</f>
        <v/>
      </c>
      <c r="D594" s="13"/>
      <c r="E594" s="10"/>
      <c r="F594" s="10"/>
      <c r="G594" s="10"/>
    </row>
    <row r="595" customFormat="false" ht="15" hidden="false" customHeight="true" outlineLevel="0" collapsed="false">
      <c r="A595" s="12"/>
      <c r="B595" s="10"/>
      <c r="C595" s="15" t="str">
        <f aca="false">IF($B595="","",IFERROR(INDEX(회원명부!$B$3:$B$502,MATCH($B595,회원명부!$A$3:$A$502,0)),"미등록회원"))</f>
        <v/>
      </c>
      <c r="D595" s="13"/>
      <c r="E595" s="10"/>
      <c r="F595" s="10"/>
      <c r="G595" s="10"/>
    </row>
    <row r="596" customFormat="false" ht="15" hidden="false" customHeight="true" outlineLevel="0" collapsed="false">
      <c r="A596" s="12"/>
      <c r="B596" s="10"/>
      <c r="C596" s="15" t="str">
        <f aca="false">IF($B596="","",IFERROR(INDEX(회원명부!$B$3:$B$502,MATCH($B596,회원명부!$A$3:$A$502,0)),"미등록회원"))</f>
        <v/>
      </c>
      <c r="D596" s="13"/>
      <c r="E596" s="10"/>
      <c r="F596" s="10"/>
      <c r="G596" s="10"/>
    </row>
    <row r="597" customFormat="false" ht="15" hidden="false" customHeight="true" outlineLevel="0" collapsed="false">
      <c r="A597" s="12"/>
      <c r="B597" s="10"/>
      <c r="C597" s="15" t="str">
        <f aca="false">IF($B597="","",IFERROR(INDEX(회원명부!$B$3:$B$502,MATCH($B597,회원명부!$A$3:$A$502,0)),"미등록회원"))</f>
        <v/>
      </c>
      <c r="D597" s="13"/>
      <c r="E597" s="10"/>
      <c r="F597" s="10"/>
      <c r="G597" s="10"/>
    </row>
    <row r="598" customFormat="false" ht="15" hidden="false" customHeight="true" outlineLevel="0" collapsed="false">
      <c r="A598" s="12"/>
      <c r="B598" s="10"/>
      <c r="C598" s="15" t="str">
        <f aca="false">IF($B598="","",IFERROR(INDEX(회원명부!$B$3:$B$502,MATCH($B598,회원명부!$A$3:$A$502,0)),"미등록회원"))</f>
        <v/>
      </c>
      <c r="D598" s="13"/>
      <c r="E598" s="10"/>
      <c r="F598" s="10"/>
      <c r="G598" s="10"/>
    </row>
    <row r="599" customFormat="false" ht="15" hidden="false" customHeight="true" outlineLevel="0" collapsed="false">
      <c r="A599" s="12"/>
      <c r="B599" s="10"/>
      <c r="C599" s="15" t="str">
        <f aca="false">IF($B599="","",IFERROR(INDEX(회원명부!$B$3:$B$502,MATCH($B599,회원명부!$A$3:$A$502,0)),"미등록회원"))</f>
        <v/>
      </c>
      <c r="D599" s="13"/>
      <c r="E599" s="10"/>
      <c r="F599" s="10"/>
      <c r="G599" s="10"/>
    </row>
    <row r="600" customFormat="false" ht="15" hidden="false" customHeight="true" outlineLevel="0" collapsed="false">
      <c r="A600" s="12"/>
      <c r="B600" s="10"/>
      <c r="C600" s="15" t="str">
        <f aca="false">IF($B600="","",IFERROR(INDEX(회원명부!$B$3:$B$502,MATCH($B600,회원명부!$A$3:$A$502,0)),"미등록회원"))</f>
        <v/>
      </c>
      <c r="D600" s="13"/>
      <c r="E600" s="10"/>
      <c r="F600" s="10"/>
      <c r="G600" s="10"/>
    </row>
    <row r="601" customFormat="false" ht="15" hidden="false" customHeight="true" outlineLevel="0" collapsed="false">
      <c r="A601" s="12"/>
      <c r="B601" s="10"/>
      <c r="C601" s="15" t="str">
        <f aca="false">IF($B601="","",IFERROR(INDEX(회원명부!$B$3:$B$502,MATCH($B601,회원명부!$A$3:$A$502,0)),"미등록회원"))</f>
        <v/>
      </c>
      <c r="D601" s="13"/>
      <c r="E601" s="10"/>
      <c r="F601" s="10"/>
      <c r="G601" s="10"/>
    </row>
    <row r="602" customFormat="false" ht="15" hidden="false" customHeight="true" outlineLevel="0" collapsed="false">
      <c r="A602" s="12"/>
      <c r="B602" s="10"/>
      <c r="C602" s="15" t="str">
        <f aca="false">IF($B602="","",IFERROR(INDEX(회원명부!$B$3:$B$502,MATCH($B602,회원명부!$A$3:$A$502,0)),"미등록회원"))</f>
        <v/>
      </c>
      <c r="D602" s="13"/>
      <c r="E602" s="10"/>
      <c r="F602" s="10"/>
      <c r="G602" s="10"/>
    </row>
    <row r="603" customFormat="false" ht="15" hidden="false" customHeight="true" outlineLevel="0" collapsed="false">
      <c r="A603" s="12"/>
      <c r="B603" s="10"/>
      <c r="C603" s="15" t="str">
        <f aca="false">IF($B603="","",IFERROR(INDEX(회원명부!$B$3:$B$502,MATCH($B603,회원명부!$A$3:$A$502,0)),"미등록회원"))</f>
        <v/>
      </c>
      <c r="D603" s="13"/>
      <c r="E603" s="10"/>
      <c r="F603" s="10"/>
      <c r="G603" s="10"/>
    </row>
    <row r="604" customFormat="false" ht="15" hidden="false" customHeight="true" outlineLevel="0" collapsed="false">
      <c r="A604" s="12"/>
      <c r="B604" s="10"/>
      <c r="C604" s="15" t="str">
        <f aca="false">IF($B604="","",IFERROR(INDEX(회원명부!$B$3:$B$502,MATCH($B604,회원명부!$A$3:$A$502,0)),"미등록회원"))</f>
        <v/>
      </c>
      <c r="D604" s="13"/>
      <c r="E604" s="10"/>
      <c r="F604" s="10"/>
      <c r="G604" s="10"/>
    </row>
    <row r="605" customFormat="false" ht="15" hidden="false" customHeight="true" outlineLevel="0" collapsed="false">
      <c r="A605" s="12"/>
      <c r="B605" s="10"/>
      <c r="C605" s="15" t="str">
        <f aca="false">IF($B605="","",IFERROR(INDEX(회원명부!$B$3:$B$502,MATCH($B605,회원명부!$A$3:$A$502,0)),"미등록회원"))</f>
        <v/>
      </c>
      <c r="D605" s="13"/>
      <c r="E605" s="10"/>
      <c r="F605" s="10"/>
      <c r="G605" s="10"/>
    </row>
    <row r="606" customFormat="false" ht="15" hidden="false" customHeight="true" outlineLevel="0" collapsed="false">
      <c r="A606" s="12"/>
      <c r="B606" s="10"/>
      <c r="C606" s="15" t="str">
        <f aca="false">IF($B606="","",IFERROR(INDEX(회원명부!$B$3:$B$502,MATCH($B606,회원명부!$A$3:$A$502,0)),"미등록회원"))</f>
        <v/>
      </c>
      <c r="D606" s="13"/>
      <c r="E606" s="10"/>
      <c r="F606" s="10"/>
      <c r="G606" s="10"/>
    </row>
    <row r="607" customFormat="false" ht="15" hidden="false" customHeight="true" outlineLevel="0" collapsed="false">
      <c r="A607" s="12"/>
      <c r="B607" s="10"/>
      <c r="C607" s="15" t="str">
        <f aca="false">IF($B607="","",IFERROR(INDEX(회원명부!$B$3:$B$502,MATCH($B607,회원명부!$A$3:$A$502,0)),"미등록회원"))</f>
        <v/>
      </c>
      <c r="D607" s="13"/>
      <c r="E607" s="10"/>
      <c r="F607" s="10"/>
      <c r="G607" s="10"/>
    </row>
    <row r="608" customFormat="false" ht="15" hidden="false" customHeight="true" outlineLevel="0" collapsed="false">
      <c r="A608" s="12"/>
      <c r="B608" s="10"/>
      <c r="C608" s="15" t="str">
        <f aca="false">IF($B608="","",IFERROR(INDEX(회원명부!$B$3:$B$502,MATCH($B608,회원명부!$A$3:$A$502,0)),"미등록회원"))</f>
        <v/>
      </c>
      <c r="D608" s="13"/>
      <c r="E608" s="10"/>
      <c r="F608" s="10"/>
      <c r="G608" s="10"/>
    </row>
    <row r="609" customFormat="false" ht="15" hidden="false" customHeight="true" outlineLevel="0" collapsed="false">
      <c r="A609" s="12"/>
      <c r="B609" s="10"/>
      <c r="C609" s="15" t="str">
        <f aca="false">IF($B609="","",IFERROR(INDEX(회원명부!$B$3:$B$502,MATCH($B609,회원명부!$A$3:$A$502,0)),"미등록회원"))</f>
        <v/>
      </c>
      <c r="D609" s="13"/>
      <c r="E609" s="10"/>
      <c r="F609" s="10"/>
      <c r="G609" s="10"/>
    </row>
    <row r="610" customFormat="false" ht="15" hidden="false" customHeight="true" outlineLevel="0" collapsed="false">
      <c r="A610" s="12"/>
      <c r="B610" s="10"/>
      <c r="C610" s="15" t="str">
        <f aca="false">IF($B610="","",IFERROR(INDEX(회원명부!$B$3:$B$502,MATCH($B610,회원명부!$A$3:$A$502,0)),"미등록회원"))</f>
        <v/>
      </c>
      <c r="D610" s="13"/>
      <c r="E610" s="10"/>
      <c r="F610" s="10"/>
      <c r="G610" s="10"/>
    </row>
    <row r="611" customFormat="false" ht="15" hidden="false" customHeight="true" outlineLevel="0" collapsed="false">
      <c r="A611" s="12"/>
      <c r="B611" s="10"/>
      <c r="C611" s="15" t="str">
        <f aca="false">IF($B611="","",IFERROR(INDEX(회원명부!$B$3:$B$502,MATCH($B611,회원명부!$A$3:$A$502,0)),"미등록회원"))</f>
        <v/>
      </c>
      <c r="D611" s="13"/>
      <c r="E611" s="10"/>
      <c r="F611" s="10"/>
      <c r="G611" s="10"/>
    </row>
    <row r="612" customFormat="false" ht="15" hidden="false" customHeight="true" outlineLevel="0" collapsed="false">
      <c r="A612" s="12"/>
      <c r="B612" s="10"/>
      <c r="C612" s="15" t="str">
        <f aca="false">IF($B612="","",IFERROR(INDEX(회원명부!$B$3:$B$502,MATCH($B612,회원명부!$A$3:$A$502,0)),"미등록회원"))</f>
        <v/>
      </c>
      <c r="D612" s="13"/>
      <c r="E612" s="10"/>
      <c r="F612" s="10"/>
      <c r="G612" s="10"/>
    </row>
    <row r="613" customFormat="false" ht="15" hidden="false" customHeight="true" outlineLevel="0" collapsed="false">
      <c r="A613" s="12"/>
      <c r="B613" s="10"/>
      <c r="C613" s="15" t="str">
        <f aca="false">IF($B613="","",IFERROR(INDEX(회원명부!$B$3:$B$502,MATCH($B613,회원명부!$A$3:$A$502,0)),"미등록회원"))</f>
        <v/>
      </c>
      <c r="D613" s="13"/>
      <c r="E613" s="10"/>
      <c r="F613" s="10"/>
      <c r="G613" s="10"/>
    </row>
    <row r="614" customFormat="false" ht="15" hidden="false" customHeight="true" outlineLevel="0" collapsed="false">
      <c r="A614" s="12"/>
      <c r="B614" s="10"/>
      <c r="C614" s="15" t="str">
        <f aca="false">IF($B614="","",IFERROR(INDEX(회원명부!$B$3:$B$502,MATCH($B614,회원명부!$A$3:$A$502,0)),"미등록회원"))</f>
        <v/>
      </c>
      <c r="D614" s="13"/>
      <c r="E614" s="10"/>
      <c r="F614" s="10"/>
      <c r="G614" s="10"/>
    </row>
    <row r="615" customFormat="false" ht="15" hidden="false" customHeight="true" outlineLevel="0" collapsed="false">
      <c r="A615" s="12"/>
      <c r="B615" s="10"/>
      <c r="C615" s="15" t="str">
        <f aca="false">IF($B615="","",IFERROR(INDEX(회원명부!$B$3:$B$502,MATCH($B615,회원명부!$A$3:$A$502,0)),"미등록회원"))</f>
        <v/>
      </c>
      <c r="D615" s="13"/>
      <c r="E615" s="10"/>
      <c r="F615" s="10"/>
      <c r="G615" s="10"/>
    </row>
    <row r="616" customFormat="false" ht="15" hidden="false" customHeight="true" outlineLevel="0" collapsed="false">
      <c r="A616" s="12"/>
      <c r="B616" s="10"/>
      <c r="C616" s="15" t="str">
        <f aca="false">IF($B616="","",IFERROR(INDEX(회원명부!$B$3:$B$502,MATCH($B616,회원명부!$A$3:$A$502,0)),"미등록회원"))</f>
        <v/>
      </c>
      <c r="D616" s="13"/>
      <c r="E616" s="10"/>
      <c r="F616" s="10"/>
      <c r="G616" s="10"/>
    </row>
    <row r="617" customFormat="false" ht="15" hidden="false" customHeight="true" outlineLevel="0" collapsed="false">
      <c r="A617" s="12"/>
      <c r="B617" s="10"/>
      <c r="C617" s="15" t="str">
        <f aca="false">IF($B617="","",IFERROR(INDEX(회원명부!$B$3:$B$502,MATCH($B617,회원명부!$A$3:$A$502,0)),"미등록회원"))</f>
        <v/>
      </c>
      <c r="D617" s="13"/>
      <c r="E617" s="10"/>
      <c r="F617" s="10"/>
      <c r="G617" s="10"/>
    </row>
    <row r="618" customFormat="false" ht="15" hidden="false" customHeight="true" outlineLevel="0" collapsed="false">
      <c r="A618" s="12"/>
      <c r="B618" s="10"/>
      <c r="C618" s="15" t="str">
        <f aca="false">IF($B618="","",IFERROR(INDEX(회원명부!$B$3:$B$502,MATCH($B618,회원명부!$A$3:$A$502,0)),"미등록회원"))</f>
        <v/>
      </c>
      <c r="D618" s="13"/>
      <c r="E618" s="10"/>
      <c r="F618" s="10"/>
      <c r="G618" s="10"/>
    </row>
    <row r="619" customFormat="false" ht="15" hidden="false" customHeight="true" outlineLevel="0" collapsed="false">
      <c r="A619" s="12"/>
      <c r="B619" s="10"/>
      <c r="C619" s="15" t="str">
        <f aca="false">IF($B619="","",IFERROR(INDEX(회원명부!$B$3:$B$502,MATCH($B619,회원명부!$A$3:$A$502,0)),"미등록회원"))</f>
        <v/>
      </c>
      <c r="D619" s="13"/>
      <c r="E619" s="10"/>
      <c r="F619" s="10"/>
      <c r="G619" s="10"/>
    </row>
    <row r="620" customFormat="false" ht="15" hidden="false" customHeight="true" outlineLevel="0" collapsed="false">
      <c r="A620" s="12"/>
      <c r="B620" s="10"/>
      <c r="C620" s="15" t="str">
        <f aca="false">IF($B620="","",IFERROR(INDEX(회원명부!$B$3:$B$502,MATCH($B620,회원명부!$A$3:$A$502,0)),"미등록회원"))</f>
        <v/>
      </c>
      <c r="D620" s="13"/>
      <c r="E620" s="10"/>
      <c r="F620" s="10"/>
      <c r="G620" s="10"/>
    </row>
    <row r="621" customFormat="false" ht="15" hidden="false" customHeight="true" outlineLevel="0" collapsed="false">
      <c r="A621" s="12"/>
      <c r="B621" s="10"/>
      <c r="C621" s="15" t="str">
        <f aca="false">IF($B621="","",IFERROR(INDEX(회원명부!$B$3:$B$502,MATCH($B621,회원명부!$A$3:$A$502,0)),"미등록회원"))</f>
        <v/>
      </c>
      <c r="D621" s="13"/>
      <c r="E621" s="10"/>
      <c r="F621" s="10"/>
      <c r="G621" s="10"/>
    </row>
    <row r="622" customFormat="false" ht="15" hidden="false" customHeight="true" outlineLevel="0" collapsed="false">
      <c r="A622" s="12"/>
      <c r="B622" s="10"/>
      <c r="C622" s="15" t="str">
        <f aca="false">IF($B622="","",IFERROR(INDEX(회원명부!$B$3:$B$502,MATCH($B622,회원명부!$A$3:$A$502,0)),"미등록회원"))</f>
        <v/>
      </c>
      <c r="D622" s="13"/>
      <c r="E622" s="10"/>
      <c r="F622" s="10"/>
      <c r="G622" s="10"/>
    </row>
    <row r="623" customFormat="false" ht="15" hidden="false" customHeight="true" outlineLevel="0" collapsed="false">
      <c r="A623" s="12"/>
      <c r="B623" s="10"/>
      <c r="C623" s="15" t="str">
        <f aca="false">IF($B623="","",IFERROR(INDEX(회원명부!$B$3:$B$502,MATCH($B623,회원명부!$A$3:$A$502,0)),"미등록회원"))</f>
        <v/>
      </c>
      <c r="D623" s="13"/>
      <c r="E623" s="10"/>
      <c r="F623" s="10"/>
      <c r="G623" s="10"/>
    </row>
    <row r="624" customFormat="false" ht="15" hidden="false" customHeight="true" outlineLevel="0" collapsed="false">
      <c r="A624" s="12"/>
      <c r="B624" s="10"/>
      <c r="C624" s="15" t="str">
        <f aca="false">IF($B624="","",IFERROR(INDEX(회원명부!$B$3:$B$502,MATCH($B624,회원명부!$A$3:$A$502,0)),"미등록회원"))</f>
        <v/>
      </c>
      <c r="D624" s="13"/>
      <c r="E624" s="10"/>
      <c r="F624" s="10"/>
      <c r="G624" s="10"/>
    </row>
    <row r="625" customFormat="false" ht="15" hidden="false" customHeight="true" outlineLevel="0" collapsed="false">
      <c r="A625" s="12"/>
      <c r="B625" s="10"/>
      <c r="C625" s="15" t="str">
        <f aca="false">IF($B625="","",IFERROR(INDEX(회원명부!$B$3:$B$502,MATCH($B625,회원명부!$A$3:$A$502,0)),"미등록회원"))</f>
        <v/>
      </c>
      <c r="D625" s="13"/>
      <c r="E625" s="10"/>
      <c r="F625" s="10"/>
      <c r="G625" s="10"/>
    </row>
    <row r="626" customFormat="false" ht="15" hidden="false" customHeight="true" outlineLevel="0" collapsed="false">
      <c r="A626" s="12"/>
      <c r="B626" s="10"/>
      <c r="C626" s="15" t="str">
        <f aca="false">IF($B626="","",IFERROR(INDEX(회원명부!$B$3:$B$502,MATCH($B626,회원명부!$A$3:$A$502,0)),"미등록회원"))</f>
        <v/>
      </c>
      <c r="D626" s="13"/>
      <c r="E626" s="10"/>
      <c r="F626" s="10"/>
      <c r="G626" s="10"/>
    </row>
    <row r="627" customFormat="false" ht="15" hidden="false" customHeight="true" outlineLevel="0" collapsed="false">
      <c r="A627" s="12"/>
      <c r="B627" s="10"/>
      <c r="C627" s="15" t="str">
        <f aca="false">IF($B627="","",IFERROR(INDEX(회원명부!$B$3:$B$502,MATCH($B627,회원명부!$A$3:$A$502,0)),"미등록회원"))</f>
        <v/>
      </c>
      <c r="D627" s="13"/>
      <c r="E627" s="10"/>
      <c r="F627" s="10"/>
      <c r="G627" s="10"/>
    </row>
    <row r="628" customFormat="false" ht="15" hidden="false" customHeight="true" outlineLevel="0" collapsed="false">
      <c r="A628" s="12"/>
      <c r="B628" s="10"/>
      <c r="C628" s="15" t="str">
        <f aca="false">IF($B628="","",IFERROR(INDEX(회원명부!$B$3:$B$502,MATCH($B628,회원명부!$A$3:$A$502,0)),"미등록회원"))</f>
        <v/>
      </c>
      <c r="D628" s="13"/>
      <c r="E628" s="10"/>
      <c r="F628" s="10"/>
      <c r="G628" s="10"/>
    </row>
    <row r="629" customFormat="false" ht="15" hidden="false" customHeight="true" outlineLevel="0" collapsed="false">
      <c r="A629" s="12"/>
      <c r="B629" s="10"/>
      <c r="C629" s="15" t="str">
        <f aca="false">IF($B629="","",IFERROR(INDEX(회원명부!$B$3:$B$502,MATCH($B629,회원명부!$A$3:$A$502,0)),"미등록회원"))</f>
        <v/>
      </c>
      <c r="D629" s="13"/>
      <c r="E629" s="10"/>
      <c r="F629" s="10"/>
      <c r="G629" s="10"/>
    </row>
    <row r="630" customFormat="false" ht="15" hidden="false" customHeight="true" outlineLevel="0" collapsed="false">
      <c r="A630" s="12"/>
      <c r="B630" s="10"/>
      <c r="C630" s="15" t="str">
        <f aca="false">IF($B630="","",IFERROR(INDEX(회원명부!$B$3:$B$502,MATCH($B630,회원명부!$A$3:$A$502,0)),"미등록회원"))</f>
        <v/>
      </c>
      <c r="D630" s="13"/>
      <c r="E630" s="10"/>
      <c r="F630" s="10"/>
      <c r="G630" s="10"/>
    </row>
    <row r="631" customFormat="false" ht="15" hidden="false" customHeight="true" outlineLevel="0" collapsed="false">
      <c r="A631" s="12"/>
      <c r="B631" s="10"/>
      <c r="C631" s="15" t="str">
        <f aca="false">IF($B631="","",IFERROR(INDEX(회원명부!$B$3:$B$502,MATCH($B631,회원명부!$A$3:$A$502,0)),"미등록회원"))</f>
        <v/>
      </c>
      <c r="D631" s="13"/>
      <c r="E631" s="10"/>
      <c r="F631" s="10"/>
      <c r="G631" s="10"/>
    </row>
    <row r="632" customFormat="false" ht="15" hidden="false" customHeight="true" outlineLevel="0" collapsed="false">
      <c r="A632" s="12"/>
      <c r="B632" s="10"/>
      <c r="C632" s="15" t="str">
        <f aca="false">IF($B632="","",IFERROR(INDEX(회원명부!$B$3:$B$502,MATCH($B632,회원명부!$A$3:$A$502,0)),"미등록회원"))</f>
        <v/>
      </c>
      <c r="D632" s="13"/>
      <c r="E632" s="10"/>
      <c r="F632" s="10"/>
      <c r="G632" s="10"/>
    </row>
    <row r="633" customFormat="false" ht="15" hidden="false" customHeight="true" outlineLevel="0" collapsed="false">
      <c r="A633" s="12"/>
      <c r="B633" s="10"/>
      <c r="C633" s="15" t="str">
        <f aca="false">IF($B633="","",IFERROR(INDEX(회원명부!$B$3:$B$502,MATCH($B633,회원명부!$A$3:$A$502,0)),"미등록회원"))</f>
        <v/>
      </c>
      <c r="D633" s="13"/>
      <c r="E633" s="10"/>
      <c r="F633" s="10"/>
      <c r="G633" s="10"/>
    </row>
    <row r="634" customFormat="false" ht="15" hidden="false" customHeight="true" outlineLevel="0" collapsed="false">
      <c r="A634" s="12"/>
      <c r="B634" s="10"/>
      <c r="C634" s="15" t="str">
        <f aca="false">IF($B634="","",IFERROR(INDEX(회원명부!$B$3:$B$502,MATCH($B634,회원명부!$A$3:$A$502,0)),"미등록회원"))</f>
        <v/>
      </c>
      <c r="D634" s="13"/>
      <c r="E634" s="10"/>
      <c r="F634" s="10"/>
      <c r="G634" s="10"/>
    </row>
    <row r="635" customFormat="false" ht="15" hidden="false" customHeight="true" outlineLevel="0" collapsed="false">
      <c r="A635" s="12"/>
      <c r="B635" s="10"/>
      <c r="C635" s="15" t="str">
        <f aca="false">IF($B635="","",IFERROR(INDEX(회원명부!$B$3:$B$502,MATCH($B635,회원명부!$A$3:$A$502,0)),"미등록회원"))</f>
        <v/>
      </c>
      <c r="D635" s="13"/>
      <c r="E635" s="10"/>
      <c r="F635" s="10"/>
      <c r="G635" s="10"/>
    </row>
    <row r="636" customFormat="false" ht="15" hidden="false" customHeight="true" outlineLevel="0" collapsed="false">
      <c r="A636" s="12"/>
      <c r="B636" s="10"/>
      <c r="C636" s="15" t="str">
        <f aca="false">IF($B636="","",IFERROR(INDEX(회원명부!$B$3:$B$502,MATCH($B636,회원명부!$A$3:$A$502,0)),"미등록회원"))</f>
        <v/>
      </c>
      <c r="D636" s="13"/>
      <c r="E636" s="10"/>
      <c r="F636" s="10"/>
      <c r="G636" s="10"/>
    </row>
    <row r="637" customFormat="false" ht="15" hidden="false" customHeight="true" outlineLevel="0" collapsed="false">
      <c r="A637" s="12"/>
      <c r="B637" s="10"/>
      <c r="C637" s="15" t="str">
        <f aca="false">IF($B637="","",IFERROR(INDEX(회원명부!$B$3:$B$502,MATCH($B637,회원명부!$A$3:$A$502,0)),"미등록회원"))</f>
        <v/>
      </c>
      <c r="D637" s="13"/>
      <c r="E637" s="10"/>
      <c r="F637" s="10"/>
      <c r="G637" s="10"/>
    </row>
    <row r="638" customFormat="false" ht="15" hidden="false" customHeight="true" outlineLevel="0" collapsed="false">
      <c r="A638" s="12"/>
      <c r="B638" s="10"/>
      <c r="C638" s="15" t="str">
        <f aca="false">IF($B638="","",IFERROR(INDEX(회원명부!$B$3:$B$502,MATCH($B638,회원명부!$A$3:$A$502,0)),"미등록회원"))</f>
        <v/>
      </c>
      <c r="D638" s="13"/>
      <c r="E638" s="10"/>
      <c r="F638" s="10"/>
      <c r="G638" s="10"/>
    </row>
    <row r="639" customFormat="false" ht="15" hidden="false" customHeight="true" outlineLevel="0" collapsed="false">
      <c r="A639" s="12"/>
      <c r="B639" s="10"/>
      <c r="C639" s="15" t="str">
        <f aca="false">IF($B639="","",IFERROR(INDEX(회원명부!$B$3:$B$502,MATCH($B639,회원명부!$A$3:$A$502,0)),"미등록회원"))</f>
        <v/>
      </c>
      <c r="D639" s="13"/>
      <c r="E639" s="10"/>
      <c r="F639" s="10"/>
      <c r="G639" s="10"/>
    </row>
    <row r="640" customFormat="false" ht="15" hidden="false" customHeight="true" outlineLevel="0" collapsed="false">
      <c r="A640" s="12"/>
      <c r="B640" s="10"/>
      <c r="C640" s="15" t="str">
        <f aca="false">IF($B640="","",IFERROR(INDEX(회원명부!$B$3:$B$502,MATCH($B640,회원명부!$A$3:$A$502,0)),"미등록회원"))</f>
        <v/>
      </c>
      <c r="D640" s="13"/>
      <c r="E640" s="10"/>
      <c r="F640" s="10"/>
      <c r="G640" s="10"/>
    </row>
    <row r="641" customFormat="false" ht="15" hidden="false" customHeight="true" outlineLevel="0" collapsed="false">
      <c r="A641" s="12"/>
      <c r="B641" s="10"/>
      <c r="C641" s="15" t="str">
        <f aca="false">IF($B641="","",IFERROR(INDEX(회원명부!$B$3:$B$502,MATCH($B641,회원명부!$A$3:$A$502,0)),"미등록회원"))</f>
        <v/>
      </c>
      <c r="D641" s="13"/>
      <c r="E641" s="10"/>
      <c r="F641" s="10"/>
      <c r="G641" s="10"/>
    </row>
    <row r="642" customFormat="false" ht="15" hidden="false" customHeight="true" outlineLevel="0" collapsed="false">
      <c r="A642" s="12"/>
      <c r="B642" s="10"/>
      <c r="C642" s="15" t="str">
        <f aca="false">IF($B642="","",IFERROR(INDEX(회원명부!$B$3:$B$502,MATCH($B642,회원명부!$A$3:$A$502,0)),"미등록회원"))</f>
        <v/>
      </c>
      <c r="D642" s="13"/>
      <c r="E642" s="10"/>
      <c r="F642" s="10"/>
      <c r="G642" s="10"/>
    </row>
    <row r="643" customFormat="false" ht="15" hidden="false" customHeight="true" outlineLevel="0" collapsed="false">
      <c r="A643" s="12"/>
      <c r="B643" s="10"/>
      <c r="C643" s="15" t="str">
        <f aca="false">IF($B643="","",IFERROR(INDEX(회원명부!$B$3:$B$502,MATCH($B643,회원명부!$A$3:$A$502,0)),"미등록회원"))</f>
        <v/>
      </c>
      <c r="D643" s="13"/>
      <c r="E643" s="10"/>
      <c r="F643" s="10"/>
      <c r="G643" s="10"/>
    </row>
    <row r="644" customFormat="false" ht="15" hidden="false" customHeight="true" outlineLevel="0" collapsed="false">
      <c r="A644" s="12"/>
      <c r="B644" s="10"/>
      <c r="C644" s="15" t="str">
        <f aca="false">IF($B644="","",IFERROR(INDEX(회원명부!$B$3:$B$502,MATCH($B644,회원명부!$A$3:$A$502,0)),"미등록회원"))</f>
        <v/>
      </c>
      <c r="D644" s="13"/>
      <c r="E644" s="10"/>
      <c r="F644" s="10"/>
      <c r="G644" s="10"/>
    </row>
    <row r="645" customFormat="false" ht="15" hidden="false" customHeight="true" outlineLevel="0" collapsed="false">
      <c r="A645" s="12"/>
      <c r="B645" s="10"/>
      <c r="C645" s="15" t="str">
        <f aca="false">IF($B645="","",IFERROR(INDEX(회원명부!$B$3:$B$502,MATCH($B645,회원명부!$A$3:$A$502,0)),"미등록회원"))</f>
        <v/>
      </c>
      <c r="D645" s="13"/>
      <c r="E645" s="10"/>
      <c r="F645" s="10"/>
      <c r="G645" s="10"/>
    </row>
    <row r="646" customFormat="false" ht="15" hidden="false" customHeight="true" outlineLevel="0" collapsed="false">
      <c r="A646" s="12"/>
      <c r="B646" s="10"/>
      <c r="C646" s="15" t="str">
        <f aca="false">IF($B646="","",IFERROR(INDEX(회원명부!$B$3:$B$502,MATCH($B646,회원명부!$A$3:$A$502,0)),"미등록회원"))</f>
        <v/>
      </c>
      <c r="D646" s="13"/>
      <c r="E646" s="10"/>
      <c r="F646" s="10"/>
      <c r="G646" s="10"/>
    </row>
    <row r="647" customFormat="false" ht="15" hidden="false" customHeight="true" outlineLevel="0" collapsed="false">
      <c r="A647" s="12"/>
      <c r="B647" s="10"/>
      <c r="C647" s="15" t="str">
        <f aca="false">IF($B647="","",IFERROR(INDEX(회원명부!$B$3:$B$502,MATCH($B647,회원명부!$A$3:$A$502,0)),"미등록회원"))</f>
        <v/>
      </c>
      <c r="D647" s="13"/>
      <c r="E647" s="10"/>
      <c r="F647" s="10"/>
      <c r="G647" s="10"/>
    </row>
    <row r="648" customFormat="false" ht="15" hidden="false" customHeight="true" outlineLevel="0" collapsed="false">
      <c r="A648" s="12"/>
      <c r="B648" s="10"/>
      <c r="C648" s="15" t="str">
        <f aca="false">IF($B648="","",IFERROR(INDEX(회원명부!$B$3:$B$502,MATCH($B648,회원명부!$A$3:$A$502,0)),"미등록회원"))</f>
        <v/>
      </c>
      <c r="D648" s="13"/>
      <c r="E648" s="10"/>
      <c r="F648" s="10"/>
      <c r="G648" s="10"/>
    </row>
    <row r="649" customFormat="false" ht="15" hidden="false" customHeight="true" outlineLevel="0" collapsed="false">
      <c r="A649" s="12"/>
      <c r="B649" s="10"/>
      <c r="C649" s="15" t="str">
        <f aca="false">IF($B649="","",IFERROR(INDEX(회원명부!$B$3:$B$502,MATCH($B649,회원명부!$A$3:$A$502,0)),"미등록회원"))</f>
        <v/>
      </c>
      <c r="D649" s="13"/>
      <c r="E649" s="10"/>
      <c r="F649" s="10"/>
      <c r="G649" s="10"/>
    </row>
    <row r="650" customFormat="false" ht="15" hidden="false" customHeight="true" outlineLevel="0" collapsed="false">
      <c r="A650" s="12"/>
      <c r="B650" s="10"/>
      <c r="C650" s="15" t="str">
        <f aca="false">IF($B650="","",IFERROR(INDEX(회원명부!$B$3:$B$502,MATCH($B650,회원명부!$A$3:$A$502,0)),"미등록회원"))</f>
        <v/>
      </c>
      <c r="D650" s="13"/>
      <c r="E650" s="10"/>
      <c r="F650" s="10"/>
      <c r="G650" s="10"/>
    </row>
    <row r="651" customFormat="false" ht="15" hidden="false" customHeight="true" outlineLevel="0" collapsed="false">
      <c r="A651" s="12"/>
      <c r="B651" s="10"/>
      <c r="C651" s="15" t="str">
        <f aca="false">IF($B651="","",IFERROR(INDEX(회원명부!$B$3:$B$502,MATCH($B651,회원명부!$A$3:$A$502,0)),"미등록회원"))</f>
        <v/>
      </c>
      <c r="D651" s="13"/>
      <c r="E651" s="10"/>
      <c r="F651" s="10"/>
      <c r="G651" s="10"/>
    </row>
    <row r="652" customFormat="false" ht="15" hidden="false" customHeight="true" outlineLevel="0" collapsed="false">
      <c r="A652" s="12"/>
      <c r="B652" s="10"/>
      <c r="C652" s="15" t="str">
        <f aca="false">IF($B652="","",IFERROR(INDEX(회원명부!$B$3:$B$502,MATCH($B652,회원명부!$A$3:$A$502,0)),"미등록회원"))</f>
        <v/>
      </c>
      <c r="D652" s="13"/>
      <c r="E652" s="10"/>
      <c r="F652" s="10"/>
      <c r="G652" s="10"/>
    </row>
    <row r="653" customFormat="false" ht="15" hidden="false" customHeight="true" outlineLevel="0" collapsed="false">
      <c r="A653" s="12"/>
      <c r="B653" s="10"/>
      <c r="C653" s="15" t="str">
        <f aca="false">IF($B653="","",IFERROR(INDEX(회원명부!$B$3:$B$502,MATCH($B653,회원명부!$A$3:$A$502,0)),"미등록회원"))</f>
        <v/>
      </c>
      <c r="D653" s="13"/>
      <c r="E653" s="10"/>
      <c r="F653" s="10"/>
      <c r="G653" s="10"/>
    </row>
    <row r="654" customFormat="false" ht="15" hidden="false" customHeight="true" outlineLevel="0" collapsed="false">
      <c r="A654" s="12"/>
      <c r="B654" s="10"/>
      <c r="C654" s="15" t="str">
        <f aca="false">IF($B654="","",IFERROR(INDEX(회원명부!$B$3:$B$502,MATCH($B654,회원명부!$A$3:$A$502,0)),"미등록회원"))</f>
        <v/>
      </c>
      <c r="D654" s="13"/>
      <c r="E654" s="10"/>
      <c r="F654" s="10"/>
      <c r="G654" s="10"/>
    </row>
    <row r="655" customFormat="false" ht="15" hidden="false" customHeight="true" outlineLevel="0" collapsed="false">
      <c r="A655" s="12"/>
      <c r="B655" s="10"/>
      <c r="C655" s="15" t="str">
        <f aca="false">IF($B655="","",IFERROR(INDEX(회원명부!$B$3:$B$502,MATCH($B655,회원명부!$A$3:$A$502,0)),"미등록회원"))</f>
        <v/>
      </c>
      <c r="D655" s="13"/>
      <c r="E655" s="10"/>
      <c r="F655" s="10"/>
      <c r="G655" s="10"/>
    </row>
    <row r="656" customFormat="false" ht="15" hidden="false" customHeight="true" outlineLevel="0" collapsed="false">
      <c r="A656" s="12"/>
      <c r="B656" s="10"/>
      <c r="C656" s="15" t="str">
        <f aca="false">IF($B656="","",IFERROR(INDEX(회원명부!$B$3:$B$502,MATCH($B656,회원명부!$A$3:$A$502,0)),"미등록회원"))</f>
        <v/>
      </c>
      <c r="D656" s="13"/>
      <c r="E656" s="10"/>
      <c r="F656" s="10"/>
      <c r="G656" s="10"/>
    </row>
    <row r="657" customFormat="false" ht="15" hidden="false" customHeight="true" outlineLevel="0" collapsed="false">
      <c r="A657" s="12"/>
      <c r="B657" s="10"/>
      <c r="C657" s="15" t="str">
        <f aca="false">IF($B657="","",IFERROR(INDEX(회원명부!$B$3:$B$502,MATCH($B657,회원명부!$A$3:$A$502,0)),"미등록회원"))</f>
        <v/>
      </c>
      <c r="D657" s="13"/>
      <c r="E657" s="10"/>
      <c r="F657" s="10"/>
      <c r="G657" s="10"/>
    </row>
    <row r="658" customFormat="false" ht="15" hidden="false" customHeight="true" outlineLevel="0" collapsed="false">
      <c r="A658" s="12"/>
      <c r="B658" s="10"/>
      <c r="C658" s="15" t="str">
        <f aca="false">IF($B658="","",IFERROR(INDEX(회원명부!$B$3:$B$502,MATCH($B658,회원명부!$A$3:$A$502,0)),"미등록회원"))</f>
        <v/>
      </c>
      <c r="D658" s="13"/>
      <c r="E658" s="10"/>
      <c r="F658" s="10"/>
      <c r="G658" s="10"/>
    </row>
    <row r="659" customFormat="false" ht="15" hidden="false" customHeight="true" outlineLevel="0" collapsed="false">
      <c r="A659" s="12"/>
      <c r="B659" s="10"/>
      <c r="C659" s="15" t="str">
        <f aca="false">IF($B659="","",IFERROR(INDEX(회원명부!$B$3:$B$502,MATCH($B659,회원명부!$A$3:$A$502,0)),"미등록회원"))</f>
        <v/>
      </c>
      <c r="D659" s="13"/>
      <c r="E659" s="10"/>
      <c r="F659" s="10"/>
      <c r="G659" s="10"/>
    </row>
    <row r="660" customFormat="false" ht="15" hidden="false" customHeight="true" outlineLevel="0" collapsed="false">
      <c r="A660" s="12"/>
      <c r="B660" s="10"/>
      <c r="C660" s="15" t="str">
        <f aca="false">IF($B660="","",IFERROR(INDEX(회원명부!$B$3:$B$502,MATCH($B660,회원명부!$A$3:$A$502,0)),"미등록회원"))</f>
        <v/>
      </c>
      <c r="D660" s="13"/>
      <c r="E660" s="10"/>
      <c r="F660" s="10"/>
      <c r="G660" s="10"/>
    </row>
    <row r="661" customFormat="false" ht="15" hidden="false" customHeight="true" outlineLevel="0" collapsed="false">
      <c r="A661" s="12"/>
      <c r="B661" s="10"/>
      <c r="C661" s="15" t="str">
        <f aca="false">IF($B661="","",IFERROR(INDEX(회원명부!$B$3:$B$502,MATCH($B661,회원명부!$A$3:$A$502,0)),"미등록회원"))</f>
        <v/>
      </c>
      <c r="D661" s="13"/>
      <c r="E661" s="10"/>
      <c r="F661" s="10"/>
      <c r="G661" s="10"/>
    </row>
    <row r="662" customFormat="false" ht="15" hidden="false" customHeight="true" outlineLevel="0" collapsed="false">
      <c r="A662" s="12"/>
      <c r="B662" s="10"/>
      <c r="C662" s="15" t="str">
        <f aca="false">IF($B662="","",IFERROR(INDEX(회원명부!$B$3:$B$502,MATCH($B662,회원명부!$A$3:$A$502,0)),"미등록회원"))</f>
        <v/>
      </c>
      <c r="D662" s="13"/>
      <c r="E662" s="10"/>
      <c r="F662" s="10"/>
      <c r="G662" s="10"/>
    </row>
    <row r="663" customFormat="false" ht="15" hidden="false" customHeight="true" outlineLevel="0" collapsed="false">
      <c r="A663" s="12"/>
      <c r="B663" s="10"/>
      <c r="C663" s="15" t="str">
        <f aca="false">IF($B663="","",IFERROR(INDEX(회원명부!$B$3:$B$502,MATCH($B663,회원명부!$A$3:$A$502,0)),"미등록회원"))</f>
        <v/>
      </c>
      <c r="D663" s="13"/>
      <c r="E663" s="10"/>
      <c r="F663" s="10"/>
      <c r="G663" s="10"/>
    </row>
    <row r="664" customFormat="false" ht="15" hidden="false" customHeight="true" outlineLevel="0" collapsed="false">
      <c r="A664" s="12"/>
      <c r="B664" s="10"/>
      <c r="C664" s="15" t="str">
        <f aca="false">IF($B664="","",IFERROR(INDEX(회원명부!$B$3:$B$502,MATCH($B664,회원명부!$A$3:$A$502,0)),"미등록회원"))</f>
        <v/>
      </c>
      <c r="D664" s="13"/>
      <c r="E664" s="10"/>
      <c r="F664" s="10"/>
      <c r="G664" s="10"/>
    </row>
    <row r="665" customFormat="false" ht="15" hidden="false" customHeight="true" outlineLevel="0" collapsed="false">
      <c r="A665" s="12"/>
      <c r="B665" s="10"/>
      <c r="C665" s="15" t="str">
        <f aca="false">IF($B665="","",IFERROR(INDEX(회원명부!$B$3:$B$502,MATCH($B665,회원명부!$A$3:$A$502,0)),"미등록회원"))</f>
        <v/>
      </c>
      <c r="D665" s="13"/>
      <c r="E665" s="10"/>
      <c r="F665" s="10"/>
      <c r="G665" s="10"/>
    </row>
    <row r="666" customFormat="false" ht="15" hidden="false" customHeight="true" outlineLevel="0" collapsed="false">
      <c r="A666" s="12"/>
      <c r="B666" s="10"/>
      <c r="C666" s="15" t="str">
        <f aca="false">IF($B666="","",IFERROR(INDEX(회원명부!$B$3:$B$502,MATCH($B666,회원명부!$A$3:$A$502,0)),"미등록회원"))</f>
        <v/>
      </c>
      <c r="D666" s="13"/>
      <c r="E666" s="10"/>
      <c r="F666" s="10"/>
      <c r="G666" s="10"/>
    </row>
    <row r="667" customFormat="false" ht="15" hidden="false" customHeight="true" outlineLevel="0" collapsed="false">
      <c r="A667" s="12"/>
      <c r="B667" s="10"/>
      <c r="C667" s="15" t="str">
        <f aca="false">IF($B667="","",IFERROR(INDEX(회원명부!$B$3:$B$502,MATCH($B667,회원명부!$A$3:$A$502,0)),"미등록회원"))</f>
        <v/>
      </c>
      <c r="D667" s="13"/>
      <c r="E667" s="10"/>
      <c r="F667" s="10"/>
      <c r="G667" s="10"/>
    </row>
    <row r="668" customFormat="false" ht="15" hidden="false" customHeight="true" outlineLevel="0" collapsed="false">
      <c r="A668" s="12"/>
      <c r="B668" s="10"/>
      <c r="C668" s="15" t="str">
        <f aca="false">IF($B668="","",IFERROR(INDEX(회원명부!$B$3:$B$502,MATCH($B668,회원명부!$A$3:$A$502,0)),"미등록회원"))</f>
        <v/>
      </c>
      <c r="D668" s="13"/>
      <c r="E668" s="10"/>
      <c r="F668" s="10"/>
      <c r="G668" s="10"/>
    </row>
    <row r="669" customFormat="false" ht="15" hidden="false" customHeight="true" outlineLevel="0" collapsed="false">
      <c r="A669" s="12"/>
      <c r="B669" s="10"/>
      <c r="C669" s="15" t="str">
        <f aca="false">IF($B669="","",IFERROR(INDEX(회원명부!$B$3:$B$502,MATCH($B669,회원명부!$A$3:$A$502,0)),"미등록회원"))</f>
        <v/>
      </c>
      <c r="D669" s="13"/>
      <c r="E669" s="10"/>
      <c r="F669" s="10"/>
      <c r="G669" s="10"/>
    </row>
    <row r="670" customFormat="false" ht="15" hidden="false" customHeight="true" outlineLevel="0" collapsed="false">
      <c r="A670" s="12"/>
      <c r="B670" s="10"/>
      <c r="C670" s="15" t="str">
        <f aca="false">IF($B670="","",IFERROR(INDEX(회원명부!$B$3:$B$502,MATCH($B670,회원명부!$A$3:$A$502,0)),"미등록회원"))</f>
        <v/>
      </c>
      <c r="D670" s="13"/>
      <c r="E670" s="10"/>
      <c r="F670" s="10"/>
      <c r="G670" s="10"/>
    </row>
    <row r="671" customFormat="false" ht="15" hidden="false" customHeight="true" outlineLevel="0" collapsed="false">
      <c r="A671" s="12"/>
      <c r="B671" s="10"/>
      <c r="C671" s="15" t="str">
        <f aca="false">IF($B671="","",IFERROR(INDEX(회원명부!$B$3:$B$502,MATCH($B671,회원명부!$A$3:$A$502,0)),"미등록회원"))</f>
        <v/>
      </c>
      <c r="D671" s="13"/>
      <c r="E671" s="10"/>
      <c r="F671" s="10"/>
      <c r="G671" s="10"/>
    </row>
    <row r="672" customFormat="false" ht="15" hidden="false" customHeight="true" outlineLevel="0" collapsed="false">
      <c r="A672" s="12"/>
      <c r="B672" s="10"/>
      <c r="C672" s="15" t="str">
        <f aca="false">IF($B672="","",IFERROR(INDEX(회원명부!$B$3:$B$502,MATCH($B672,회원명부!$A$3:$A$502,0)),"미등록회원"))</f>
        <v/>
      </c>
      <c r="D672" s="13"/>
      <c r="E672" s="10"/>
      <c r="F672" s="10"/>
      <c r="G672" s="10"/>
    </row>
    <row r="673" customFormat="false" ht="15" hidden="false" customHeight="true" outlineLevel="0" collapsed="false">
      <c r="A673" s="12"/>
      <c r="B673" s="10"/>
      <c r="C673" s="15" t="str">
        <f aca="false">IF($B673="","",IFERROR(INDEX(회원명부!$B$3:$B$502,MATCH($B673,회원명부!$A$3:$A$502,0)),"미등록회원"))</f>
        <v/>
      </c>
      <c r="D673" s="13"/>
      <c r="E673" s="10"/>
      <c r="F673" s="10"/>
      <c r="G673" s="10"/>
    </row>
    <row r="674" customFormat="false" ht="15" hidden="false" customHeight="true" outlineLevel="0" collapsed="false">
      <c r="A674" s="12"/>
      <c r="B674" s="10"/>
      <c r="C674" s="15" t="str">
        <f aca="false">IF($B674="","",IFERROR(INDEX(회원명부!$B$3:$B$502,MATCH($B674,회원명부!$A$3:$A$502,0)),"미등록회원"))</f>
        <v/>
      </c>
      <c r="D674" s="13"/>
      <c r="E674" s="10"/>
      <c r="F674" s="10"/>
      <c r="G674" s="10"/>
    </row>
    <row r="675" customFormat="false" ht="15" hidden="false" customHeight="true" outlineLevel="0" collapsed="false">
      <c r="A675" s="12"/>
      <c r="B675" s="10"/>
      <c r="C675" s="15" t="str">
        <f aca="false">IF($B675="","",IFERROR(INDEX(회원명부!$B$3:$B$502,MATCH($B675,회원명부!$A$3:$A$502,0)),"미등록회원"))</f>
        <v/>
      </c>
      <c r="D675" s="13"/>
      <c r="E675" s="10"/>
      <c r="F675" s="10"/>
      <c r="G675" s="10"/>
    </row>
    <row r="676" customFormat="false" ht="15" hidden="false" customHeight="true" outlineLevel="0" collapsed="false">
      <c r="A676" s="12"/>
      <c r="B676" s="10"/>
      <c r="C676" s="15" t="str">
        <f aca="false">IF($B676="","",IFERROR(INDEX(회원명부!$B$3:$B$502,MATCH($B676,회원명부!$A$3:$A$502,0)),"미등록회원"))</f>
        <v/>
      </c>
      <c r="D676" s="13"/>
      <c r="E676" s="10"/>
      <c r="F676" s="10"/>
      <c r="G676" s="10"/>
    </row>
    <row r="677" customFormat="false" ht="15" hidden="false" customHeight="true" outlineLevel="0" collapsed="false">
      <c r="A677" s="12"/>
      <c r="B677" s="10"/>
      <c r="C677" s="15" t="str">
        <f aca="false">IF($B677="","",IFERROR(INDEX(회원명부!$B$3:$B$502,MATCH($B677,회원명부!$A$3:$A$502,0)),"미등록회원"))</f>
        <v/>
      </c>
      <c r="D677" s="13"/>
      <c r="E677" s="10"/>
      <c r="F677" s="10"/>
      <c r="G677" s="10"/>
    </row>
    <row r="678" customFormat="false" ht="15" hidden="false" customHeight="true" outlineLevel="0" collapsed="false">
      <c r="A678" s="12"/>
      <c r="B678" s="10"/>
      <c r="C678" s="15" t="str">
        <f aca="false">IF($B678="","",IFERROR(INDEX(회원명부!$B$3:$B$502,MATCH($B678,회원명부!$A$3:$A$502,0)),"미등록회원"))</f>
        <v/>
      </c>
      <c r="D678" s="13"/>
      <c r="E678" s="10"/>
      <c r="F678" s="10"/>
      <c r="G678" s="10"/>
    </row>
    <row r="679" customFormat="false" ht="15" hidden="false" customHeight="true" outlineLevel="0" collapsed="false">
      <c r="A679" s="12"/>
      <c r="B679" s="10"/>
      <c r="C679" s="15" t="str">
        <f aca="false">IF($B679="","",IFERROR(INDEX(회원명부!$B$3:$B$502,MATCH($B679,회원명부!$A$3:$A$502,0)),"미등록회원"))</f>
        <v/>
      </c>
      <c r="D679" s="13"/>
      <c r="E679" s="10"/>
      <c r="F679" s="10"/>
      <c r="G679" s="10"/>
    </row>
    <row r="680" customFormat="false" ht="15" hidden="false" customHeight="true" outlineLevel="0" collapsed="false">
      <c r="A680" s="12"/>
      <c r="B680" s="10"/>
      <c r="C680" s="15" t="str">
        <f aca="false">IF($B680="","",IFERROR(INDEX(회원명부!$B$3:$B$502,MATCH($B680,회원명부!$A$3:$A$502,0)),"미등록회원"))</f>
        <v/>
      </c>
      <c r="D680" s="13"/>
      <c r="E680" s="10"/>
      <c r="F680" s="10"/>
      <c r="G680" s="10"/>
    </row>
    <row r="681" customFormat="false" ht="15" hidden="false" customHeight="true" outlineLevel="0" collapsed="false">
      <c r="A681" s="12"/>
      <c r="B681" s="10"/>
      <c r="C681" s="15" t="str">
        <f aca="false">IF($B681="","",IFERROR(INDEX(회원명부!$B$3:$B$502,MATCH($B681,회원명부!$A$3:$A$502,0)),"미등록회원"))</f>
        <v/>
      </c>
      <c r="D681" s="13"/>
      <c r="E681" s="10"/>
      <c r="F681" s="10"/>
      <c r="G681" s="10"/>
    </row>
    <row r="682" customFormat="false" ht="15" hidden="false" customHeight="true" outlineLevel="0" collapsed="false">
      <c r="A682" s="12"/>
      <c r="B682" s="10"/>
      <c r="C682" s="15" t="str">
        <f aca="false">IF($B682="","",IFERROR(INDEX(회원명부!$B$3:$B$502,MATCH($B682,회원명부!$A$3:$A$502,0)),"미등록회원"))</f>
        <v/>
      </c>
      <c r="D682" s="13"/>
      <c r="E682" s="10"/>
      <c r="F682" s="10"/>
      <c r="G682" s="10"/>
    </row>
    <row r="683" customFormat="false" ht="15" hidden="false" customHeight="true" outlineLevel="0" collapsed="false">
      <c r="A683" s="12"/>
      <c r="B683" s="10"/>
      <c r="C683" s="15" t="str">
        <f aca="false">IF($B683="","",IFERROR(INDEX(회원명부!$B$3:$B$502,MATCH($B683,회원명부!$A$3:$A$502,0)),"미등록회원"))</f>
        <v/>
      </c>
      <c r="D683" s="13"/>
      <c r="E683" s="10"/>
      <c r="F683" s="10"/>
      <c r="G683" s="10"/>
    </row>
    <row r="684" customFormat="false" ht="15" hidden="false" customHeight="true" outlineLevel="0" collapsed="false">
      <c r="A684" s="12"/>
      <c r="B684" s="10"/>
      <c r="C684" s="15" t="str">
        <f aca="false">IF($B684="","",IFERROR(INDEX(회원명부!$B$3:$B$502,MATCH($B684,회원명부!$A$3:$A$502,0)),"미등록회원"))</f>
        <v/>
      </c>
      <c r="D684" s="13"/>
      <c r="E684" s="10"/>
      <c r="F684" s="10"/>
      <c r="G684" s="10"/>
    </row>
    <row r="685" customFormat="false" ht="15" hidden="false" customHeight="true" outlineLevel="0" collapsed="false">
      <c r="A685" s="12"/>
      <c r="B685" s="10"/>
      <c r="C685" s="15" t="str">
        <f aca="false">IF($B685="","",IFERROR(INDEX(회원명부!$B$3:$B$502,MATCH($B685,회원명부!$A$3:$A$502,0)),"미등록회원"))</f>
        <v/>
      </c>
      <c r="D685" s="13"/>
      <c r="E685" s="10"/>
      <c r="F685" s="10"/>
      <c r="G685" s="10"/>
    </row>
    <row r="686" customFormat="false" ht="15" hidden="false" customHeight="true" outlineLevel="0" collapsed="false">
      <c r="A686" s="12"/>
      <c r="B686" s="10"/>
      <c r="C686" s="15" t="str">
        <f aca="false">IF($B686="","",IFERROR(INDEX(회원명부!$B$3:$B$502,MATCH($B686,회원명부!$A$3:$A$502,0)),"미등록회원"))</f>
        <v/>
      </c>
      <c r="D686" s="13"/>
      <c r="E686" s="10"/>
      <c r="F686" s="10"/>
      <c r="G686" s="10"/>
    </row>
    <row r="687" customFormat="false" ht="15" hidden="false" customHeight="true" outlineLevel="0" collapsed="false">
      <c r="A687" s="12"/>
      <c r="B687" s="10"/>
      <c r="C687" s="15" t="str">
        <f aca="false">IF($B687="","",IFERROR(INDEX(회원명부!$B$3:$B$502,MATCH($B687,회원명부!$A$3:$A$502,0)),"미등록회원"))</f>
        <v/>
      </c>
      <c r="D687" s="13"/>
      <c r="E687" s="10"/>
      <c r="F687" s="10"/>
      <c r="G687" s="10"/>
    </row>
    <row r="688" customFormat="false" ht="15" hidden="false" customHeight="true" outlineLevel="0" collapsed="false">
      <c r="A688" s="12"/>
      <c r="B688" s="10"/>
      <c r="C688" s="15" t="str">
        <f aca="false">IF($B688="","",IFERROR(INDEX(회원명부!$B$3:$B$502,MATCH($B688,회원명부!$A$3:$A$502,0)),"미등록회원"))</f>
        <v/>
      </c>
      <c r="D688" s="13"/>
      <c r="E688" s="10"/>
      <c r="F688" s="10"/>
      <c r="G688" s="10"/>
    </row>
    <row r="689" customFormat="false" ht="15" hidden="false" customHeight="true" outlineLevel="0" collapsed="false">
      <c r="A689" s="12"/>
      <c r="B689" s="10"/>
      <c r="C689" s="15" t="str">
        <f aca="false">IF($B689="","",IFERROR(INDEX(회원명부!$B$3:$B$502,MATCH($B689,회원명부!$A$3:$A$502,0)),"미등록회원"))</f>
        <v/>
      </c>
      <c r="D689" s="13"/>
      <c r="E689" s="10"/>
      <c r="F689" s="10"/>
      <c r="G689" s="10"/>
    </row>
    <row r="690" customFormat="false" ht="15" hidden="false" customHeight="true" outlineLevel="0" collapsed="false">
      <c r="A690" s="12"/>
      <c r="B690" s="10"/>
      <c r="C690" s="15" t="str">
        <f aca="false">IF($B690="","",IFERROR(INDEX(회원명부!$B$3:$B$502,MATCH($B690,회원명부!$A$3:$A$502,0)),"미등록회원"))</f>
        <v/>
      </c>
      <c r="D690" s="13"/>
      <c r="E690" s="10"/>
      <c r="F690" s="10"/>
      <c r="G690" s="10"/>
    </row>
    <row r="691" customFormat="false" ht="15" hidden="false" customHeight="true" outlineLevel="0" collapsed="false">
      <c r="A691" s="12"/>
      <c r="B691" s="10"/>
      <c r="C691" s="15" t="str">
        <f aca="false">IF($B691="","",IFERROR(INDEX(회원명부!$B$3:$B$502,MATCH($B691,회원명부!$A$3:$A$502,0)),"미등록회원"))</f>
        <v/>
      </c>
      <c r="D691" s="13"/>
      <c r="E691" s="10"/>
      <c r="F691" s="10"/>
      <c r="G691" s="10"/>
    </row>
    <row r="692" customFormat="false" ht="15" hidden="false" customHeight="true" outlineLevel="0" collapsed="false">
      <c r="A692" s="12"/>
      <c r="B692" s="10"/>
      <c r="C692" s="15" t="str">
        <f aca="false">IF($B692="","",IFERROR(INDEX(회원명부!$B$3:$B$502,MATCH($B692,회원명부!$A$3:$A$502,0)),"미등록회원"))</f>
        <v/>
      </c>
      <c r="D692" s="13"/>
      <c r="E692" s="10"/>
      <c r="F692" s="10"/>
      <c r="G692" s="10"/>
    </row>
    <row r="693" customFormat="false" ht="15" hidden="false" customHeight="true" outlineLevel="0" collapsed="false">
      <c r="A693" s="12"/>
      <c r="B693" s="10"/>
      <c r="C693" s="15" t="str">
        <f aca="false">IF($B693="","",IFERROR(INDEX(회원명부!$B$3:$B$502,MATCH($B693,회원명부!$A$3:$A$502,0)),"미등록회원"))</f>
        <v/>
      </c>
      <c r="D693" s="13"/>
      <c r="E693" s="10"/>
      <c r="F693" s="10"/>
      <c r="G693" s="10"/>
    </row>
    <row r="694" customFormat="false" ht="15" hidden="false" customHeight="true" outlineLevel="0" collapsed="false">
      <c r="A694" s="12"/>
      <c r="B694" s="10"/>
      <c r="C694" s="15" t="str">
        <f aca="false">IF($B694="","",IFERROR(INDEX(회원명부!$B$3:$B$502,MATCH($B694,회원명부!$A$3:$A$502,0)),"미등록회원"))</f>
        <v/>
      </c>
      <c r="D694" s="13"/>
      <c r="E694" s="10"/>
      <c r="F694" s="10"/>
      <c r="G694" s="10"/>
    </row>
    <row r="695" customFormat="false" ht="15" hidden="false" customHeight="true" outlineLevel="0" collapsed="false">
      <c r="A695" s="12"/>
      <c r="B695" s="10"/>
      <c r="C695" s="15" t="str">
        <f aca="false">IF($B695="","",IFERROR(INDEX(회원명부!$B$3:$B$502,MATCH($B695,회원명부!$A$3:$A$502,0)),"미등록회원"))</f>
        <v/>
      </c>
      <c r="D695" s="13"/>
      <c r="E695" s="10"/>
      <c r="F695" s="10"/>
      <c r="G695" s="10"/>
    </row>
    <row r="696" customFormat="false" ht="15" hidden="false" customHeight="true" outlineLevel="0" collapsed="false">
      <c r="A696" s="12"/>
      <c r="B696" s="10"/>
      <c r="C696" s="15" t="str">
        <f aca="false">IF($B696="","",IFERROR(INDEX(회원명부!$B$3:$B$502,MATCH($B696,회원명부!$A$3:$A$502,0)),"미등록회원"))</f>
        <v/>
      </c>
      <c r="D696" s="13"/>
      <c r="E696" s="10"/>
      <c r="F696" s="10"/>
      <c r="G696" s="10"/>
    </row>
    <row r="697" customFormat="false" ht="15" hidden="false" customHeight="true" outlineLevel="0" collapsed="false">
      <c r="A697" s="12"/>
      <c r="B697" s="10"/>
      <c r="C697" s="15" t="str">
        <f aca="false">IF($B697="","",IFERROR(INDEX(회원명부!$B$3:$B$502,MATCH($B697,회원명부!$A$3:$A$502,0)),"미등록회원"))</f>
        <v/>
      </c>
      <c r="D697" s="13"/>
      <c r="E697" s="10"/>
      <c r="F697" s="10"/>
      <c r="G697" s="10"/>
    </row>
    <row r="698" customFormat="false" ht="15" hidden="false" customHeight="true" outlineLevel="0" collapsed="false">
      <c r="A698" s="12"/>
      <c r="B698" s="10"/>
      <c r="C698" s="15" t="str">
        <f aca="false">IF($B698="","",IFERROR(INDEX(회원명부!$B$3:$B$502,MATCH($B698,회원명부!$A$3:$A$502,0)),"미등록회원"))</f>
        <v/>
      </c>
      <c r="D698" s="13"/>
      <c r="E698" s="10"/>
      <c r="F698" s="10"/>
      <c r="G698" s="10"/>
    </row>
    <row r="699" customFormat="false" ht="15" hidden="false" customHeight="true" outlineLevel="0" collapsed="false">
      <c r="A699" s="12"/>
      <c r="B699" s="10"/>
      <c r="C699" s="15" t="str">
        <f aca="false">IF($B699="","",IFERROR(INDEX(회원명부!$B$3:$B$502,MATCH($B699,회원명부!$A$3:$A$502,0)),"미등록회원"))</f>
        <v/>
      </c>
      <c r="D699" s="13"/>
      <c r="E699" s="10"/>
      <c r="F699" s="10"/>
      <c r="G699" s="10"/>
    </row>
    <row r="700" customFormat="false" ht="15" hidden="false" customHeight="true" outlineLevel="0" collapsed="false">
      <c r="A700" s="12"/>
      <c r="B700" s="10"/>
      <c r="C700" s="15" t="str">
        <f aca="false">IF($B700="","",IFERROR(INDEX(회원명부!$B$3:$B$502,MATCH($B700,회원명부!$A$3:$A$502,0)),"미등록회원"))</f>
        <v/>
      </c>
      <c r="D700" s="13"/>
      <c r="E700" s="10"/>
      <c r="F700" s="10"/>
      <c r="G700" s="10"/>
    </row>
    <row r="701" customFormat="false" ht="15" hidden="false" customHeight="true" outlineLevel="0" collapsed="false">
      <c r="A701" s="12"/>
      <c r="B701" s="10"/>
      <c r="C701" s="15" t="str">
        <f aca="false">IF($B701="","",IFERROR(INDEX(회원명부!$B$3:$B$502,MATCH($B701,회원명부!$A$3:$A$502,0)),"미등록회원"))</f>
        <v/>
      </c>
      <c r="D701" s="13"/>
      <c r="E701" s="10"/>
      <c r="F701" s="10"/>
      <c r="G701" s="10"/>
    </row>
    <row r="702" customFormat="false" ht="15" hidden="false" customHeight="true" outlineLevel="0" collapsed="false">
      <c r="A702" s="12"/>
      <c r="B702" s="10"/>
      <c r="C702" s="15" t="str">
        <f aca="false">IF($B702="","",IFERROR(INDEX(회원명부!$B$3:$B$502,MATCH($B702,회원명부!$A$3:$A$502,0)),"미등록회원"))</f>
        <v/>
      </c>
      <c r="D702" s="13"/>
      <c r="E702" s="10"/>
      <c r="F702" s="10"/>
      <c r="G702" s="10"/>
    </row>
    <row r="703" customFormat="false" ht="15" hidden="false" customHeight="true" outlineLevel="0" collapsed="false">
      <c r="A703" s="12"/>
      <c r="B703" s="10"/>
      <c r="C703" s="15" t="str">
        <f aca="false">IF($B703="","",IFERROR(INDEX(회원명부!$B$3:$B$502,MATCH($B703,회원명부!$A$3:$A$502,0)),"미등록회원"))</f>
        <v/>
      </c>
      <c r="D703" s="13"/>
      <c r="E703" s="10"/>
      <c r="F703" s="10"/>
      <c r="G703" s="10"/>
    </row>
    <row r="704" customFormat="false" ht="15" hidden="false" customHeight="true" outlineLevel="0" collapsed="false">
      <c r="A704" s="12"/>
      <c r="B704" s="10"/>
      <c r="C704" s="15" t="str">
        <f aca="false">IF($B704="","",IFERROR(INDEX(회원명부!$B$3:$B$502,MATCH($B704,회원명부!$A$3:$A$502,0)),"미등록회원"))</f>
        <v/>
      </c>
      <c r="D704" s="13"/>
      <c r="E704" s="10"/>
      <c r="F704" s="10"/>
      <c r="G704" s="10"/>
    </row>
    <row r="705" customFormat="false" ht="15" hidden="false" customHeight="true" outlineLevel="0" collapsed="false">
      <c r="A705" s="12"/>
      <c r="B705" s="10"/>
      <c r="C705" s="15" t="str">
        <f aca="false">IF($B705="","",IFERROR(INDEX(회원명부!$B$3:$B$502,MATCH($B705,회원명부!$A$3:$A$502,0)),"미등록회원"))</f>
        <v/>
      </c>
      <c r="D705" s="13"/>
      <c r="E705" s="10"/>
      <c r="F705" s="10"/>
      <c r="G705" s="10"/>
    </row>
    <row r="706" customFormat="false" ht="15" hidden="false" customHeight="true" outlineLevel="0" collapsed="false">
      <c r="A706" s="12"/>
      <c r="B706" s="10"/>
      <c r="C706" s="15" t="str">
        <f aca="false">IF($B706="","",IFERROR(INDEX(회원명부!$B$3:$B$502,MATCH($B706,회원명부!$A$3:$A$502,0)),"미등록회원"))</f>
        <v/>
      </c>
      <c r="D706" s="13"/>
      <c r="E706" s="10"/>
      <c r="F706" s="10"/>
      <c r="G706" s="10"/>
    </row>
    <row r="707" customFormat="false" ht="15" hidden="false" customHeight="true" outlineLevel="0" collapsed="false">
      <c r="A707" s="12"/>
      <c r="B707" s="10"/>
      <c r="C707" s="15" t="str">
        <f aca="false">IF($B707="","",IFERROR(INDEX(회원명부!$B$3:$B$502,MATCH($B707,회원명부!$A$3:$A$502,0)),"미등록회원"))</f>
        <v/>
      </c>
      <c r="D707" s="13"/>
      <c r="E707" s="10"/>
      <c r="F707" s="10"/>
      <c r="G707" s="10"/>
    </row>
    <row r="708" customFormat="false" ht="15" hidden="false" customHeight="true" outlineLevel="0" collapsed="false">
      <c r="A708" s="12"/>
      <c r="B708" s="10"/>
      <c r="C708" s="15" t="str">
        <f aca="false">IF($B708="","",IFERROR(INDEX(회원명부!$B$3:$B$502,MATCH($B708,회원명부!$A$3:$A$502,0)),"미등록회원"))</f>
        <v/>
      </c>
      <c r="D708" s="13"/>
      <c r="E708" s="10"/>
      <c r="F708" s="10"/>
      <c r="G708" s="10"/>
    </row>
    <row r="709" customFormat="false" ht="15" hidden="false" customHeight="true" outlineLevel="0" collapsed="false">
      <c r="A709" s="12"/>
      <c r="B709" s="10"/>
      <c r="C709" s="15" t="str">
        <f aca="false">IF($B709="","",IFERROR(INDEX(회원명부!$B$3:$B$502,MATCH($B709,회원명부!$A$3:$A$502,0)),"미등록회원"))</f>
        <v/>
      </c>
      <c r="D709" s="13"/>
      <c r="E709" s="10"/>
      <c r="F709" s="10"/>
      <c r="G709" s="10"/>
    </row>
    <row r="710" customFormat="false" ht="15" hidden="false" customHeight="true" outlineLevel="0" collapsed="false">
      <c r="A710" s="12"/>
      <c r="B710" s="10"/>
      <c r="C710" s="15" t="str">
        <f aca="false">IF($B710="","",IFERROR(INDEX(회원명부!$B$3:$B$502,MATCH($B710,회원명부!$A$3:$A$502,0)),"미등록회원"))</f>
        <v/>
      </c>
      <c r="D710" s="13"/>
      <c r="E710" s="10"/>
      <c r="F710" s="10"/>
      <c r="G710" s="10"/>
    </row>
    <row r="711" customFormat="false" ht="15" hidden="false" customHeight="true" outlineLevel="0" collapsed="false">
      <c r="A711" s="12"/>
      <c r="B711" s="10"/>
      <c r="C711" s="15" t="str">
        <f aca="false">IF($B711="","",IFERROR(INDEX(회원명부!$B$3:$B$502,MATCH($B711,회원명부!$A$3:$A$502,0)),"미등록회원"))</f>
        <v/>
      </c>
      <c r="D711" s="13"/>
      <c r="E711" s="10"/>
      <c r="F711" s="10"/>
      <c r="G711" s="10"/>
    </row>
    <row r="712" customFormat="false" ht="15" hidden="false" customHeight="true" outlineLevel="0" collapsed="false">
      <c r="A712" s="12"/>
      <c r="B712" s="10"/>
      <c r="C712" s="15" t="str">
        <f aca="false">IF($B712="","",IFERROR(INDEX(회원명부!$B$3:$B$502,MATCH($B712,회원명부!$A$3:$A$502,0)),"미등록회원"))</f>
        <v/>
      </c>
      <c r="D712" s="13"/>
      <c r="E712" s="10"/>
      <c r="F712" s="10"/>
      <c r="G712" s="10"/>
    </row>
    <row r="713" customFormat="false" ht="15" hidden="false" customHeight="true" outlineLevel="0" collapsed="false">
      <c r="A713" s="12"/>
      <c r="B713" s="10"/>
      <c r="C713" s="15" t="str">
        <f aca="false">IF($B713="","",IFERROR(INDEX(회원명부!$B$3:$B$502,MATCH($B713,회원명부!$A$3:$A$502,0)),"미등록회원"))</f>
        <v/>
      </c>
      <c r="D713" s="13"/>
      <c r="E713" s="10"/>
      <c r="F713" s="10"/>
      <c r="G713" s="10"/>
    </row>
    <row r="714" customFormat="false" ht="15" hidden="false" customHeight="true" outlineLevel="0" collapsed="false">
      <c r="A714" s="12"/>
      <c r="B714" s="10"/>
      <c r="C714" s="15" t="str">
        <f aca="false">IF($B714="","",IFERROR(INDEX(회원명부!$B$3:$B$502,MATCH($B714,회원명부!$A$3:$A$502,0)),"미등록회원"))</f>
        <v/>
      </c>
      <c r="D714" s="13"/>
      <c r="E714" s="10"/>
      <c r="F714" s="10"/>
      <c r="G714" s="10"/>
    </row>
    <row r="715" customFormat="false" ht="15" hidden="false" customHeight="true" outlineLevel="0" collapsed="false">
      <c r="A715" s="12"/>
      <c r="B715" s="10"/>
      <c r="C715" s="15" t="str">
        <f aca="false">IF($B715="","",IFERROR(INDEX(회원명부!$B$3:$B$502,MATCH($B715,회원명부!$A$3:$A$502,0)),"미등록회원"))</f>
        <v/>
      </c>
      <c r="D715" s="13"/>
      <c r="E715" s="10"/>
      <c r="F715" s="10"/>
      <c r="G715" s="10"/>
    </row>
    <row r="716" customFormat="false" ht="15" hidden="false" customHeight="true" outlineLevel="0" collapsed="false">
      <c r="A716" s="12"/>
      <c r="B716" s="10"/>
      <c r="C716" s="15" t="str">
        <f aca="false">IF($B716="","",IFERROR(INDEX(회원명부!$B$3:$B$502,MATCH($B716,회원명부!$A$3:$A$502,0)),"미등록회원"))</f>
        <v/>
      </c>
      <c r="D716" s="13"/>
      <c r="E716" s="10"/>
      <c r="F716" s="10"/>
      <c r="G716" s="10"/>
    </row>
    <row r="717" customFormat="false" ht="15" hidden="false" customHeight="true" outlineLevel="0" collapsed="false">
      <c r="A717" s="12"/>
      <c r="B717" s="10"/>
      <c r="C717" s="15" t="str">
        <f aca="false">IF($B717="","",IFERROR(INDEX(회원명부!$B$3:$B$502,MATCH($B717,회원명부!$A$3:$A$502,0)),"미등록회원"))</f>
        <v/>
      </c>
      <c r="D717" s="13"/>
      <c r="E717" s="10"/>
      <c r="F717" s="10"/>
      <c r="G717" s="10"/>
    </row>
    <row r="718" customFormat="false" ht="15" hidden="false" customHeight="true" outlineLevel="0" collapsed="false">
      <c r="A718" s="12"/>
      <c r="B718" s="10"/>
      <c r="C718" s="15" t="str">
        <f aca="false">IF($B718="","",IFERROR(INDEX(회원명부!$B$3:$B$502,MATCH($B718,회원명부!$A$3:$A$502,0)),"미등록회원"))</f>
        <v/>
      </c>
      <c r="D718" s="13"/>
      <c r="E718" s="10"/>
      <c r="F718" s="10"/>
      <c r="G718" s="10"/>
    </row>
    <row r="719" customFormat="false" ht="15" hidden="false" customHeight="true" outlineLevel="0" collapsed="false">
      <c r="A719" s="12"/>
      <c r="B719" s="10"/>
      <c r="C719" s="15" t="str">
        <f aca="false">IF($B719="","",IFERROR(INDEX(회원명부!$B$3:$B$502,MATCH($B719,회원명부!$A$3:$A$502,0)),"미등록회원"))</f>
        <v/>
      </c>
      <c r="D719" s="13"/>
      <c r="E719" s="10"/>
      <c r="F719" s="10"/>
      <c r="G719" s="10"/>
    </row>
    <row r="720" customFormat="false" ht="15" hidden="false" customHeight="true" outlineLevel="0" collapsed="false">
      <c r="A720" s="12"/>
      <c r="B720" s="10"/>
      <c r="C720" s="15" t="str">
        <f aca="false">IF($B720="","",IFERROR(INDEX(회원명부!$B$3:$B$502,MATCH($B720,회원명부!$A$3:$A$502,0)),"미등록회원"))</f>
        <v/>
      </c>
      <c r="D720" s="13"/>
      <c r="E720" s="10"/>
      <c r="F720" s="10"/>
      <c r="G720" s="10"/>
    </row>
    <row r="721" customFormat="false" ht="15" hidden="false" customHeight="true" outlineLevel="0" collapsed="false">
      <c r="A721" s="12"/>
      <c r="B721" s="10"/>
      <c r="C721" s="15" t="str">
        <f aca="false">IF($B721="","",IFERROR(INDEX(회원명부!$B$3:$B$502,MATCH($B721,회원명부!$A$3:$A$502,0)),"미등록회원"))</f>
        <v/>
      </c>
      <c r="D721" s="13"/>
      <c r="E721" s="10"/>
      <c r="F721" s="10"/>
      <c r="G721" s="10"/>
    </row>
    <row r="722" customFormat="false" ht="15" hidden="false" customHeight="true" outlineLevel="0" collapsed="false">
      <c r="A722" s="12"/>
      <c r="B722" s="10"/>
      <c r="C722" s="15" t="str">
        <f aca="false">IF($B722="","",IFERROR(INDEX(회원명부!$B$3:$B$502,MATCH($B722,회원명부!$A$3:$A$502,0)),"미등록회원"))</f>
        <v/>
      </c>
      <c r="D722" s="13"/>
      <c r="E722" s="10"/>
      <c r="F722" s="10"/>
      <c r="G722" s="10"/>
    </row>
    <row r="723" customFormat="false" ht="15" hidden="false" customHeight="true" outlineLevel="0" collapsed="false">
      <c r="A723" s="12"/>
      <c r="B723" s="10"/>
      <c r="C723" s="15" t="str">
        <f aca="false">IF($B723="","",IFERROR(INDEX(회원명부!$B$3:$B$502,MATCH($B723,회원명부!$A$3:$A$502,0)),"미등록회원"))</f>
        <v/>
      </c>
      <c r="D723" s="13"/>
      <c r="E723" s="10"/>
      <c r="F723" s="10"/>
      <c r="G723" s="10"/>
    </row>
    <row r="724" customFormat="false" ht="15" hidden="false" customHeight="true" outlineLevel="0" collapsed="false">
      <c r="A724" s="12"/>
      <c r="B724" s="10"/>
      <c r="C724" s="15" t="str">
        <f aca="false">IF($B724="","",IFERROR(INDEX(회원명부!$B$3:$B$502,MATCH($B724,회원명부!$A$3:$A$502,0)),"미등록회원"))</f>
        <v/>
      </c>
      <c r="D724" s="13"/>
      <c r="E724" s="10"/>
      <c r="F724" s="10"/>
      <c r="G724" s="10"/>
    </row>
    <row r="725" customFormat="false" ht="15" hidden="false" customHeight="true" outlineLevel="0" collapsed="false">
      <c r="A725" s="12"/>
      <c r="B725" s="10"/>
      <c r="C725" s="15" t="str">
        <f aca="false">IF($B725="","",IFERROR(INDEX(회원명부!$B$3:$B$502,MATCH($B725,회원명부!$A$3:$A$502,0)),"미등록회원"))</f>
        <v/>
      </c>
      <c r="D725" s="13"/>
      <c r="E725" s="10"/>
      <c r="F725" s="10"/>
      <c r="G725" s="10"/>
    </row>
    <row r="726" customFormat="false" ht="15" hidden="false" customHeight="true" outlineLevel="0" collapsed="false">
      <c r="A726" s="12"/>
      <c r="B726" s="10"/>
      <c r="C726" s="15" t="str">
        <f aca="false">IF($B726="","",IFERROR(INDEX(회원명부!$B$3:$B$502,MATCH($B726,회원명부!$A$3:$A$502,0)),"미등록회원"))</f>
        <v/>
      </c>
      <c r="D726" s="13"/>
      <c r="E726" s="10"/>
      <c r="F726" s="10"/>
      <c r="G726" s="10"/>
    </row>
    <row r="727" customFormat="false" ht="15" hidden="false" customHeight="true" outlineLevel="0" collapsed="false">
      <c r="A727" s="12"/>
      <c r="B727" s="10"/>
      <c r="C727" s="15" t="str">
        <f aca="false">IF($B727="","",IFERROR(INDEX(회원명부!$B$3:$B$502,MATCH($B727,회원명부!$A$3:$A$502,0)),"미등록회원"))</f>
        <v/>
      </c>
      <c r="D727" s="13"/>
      <c r="E727" s="10"/>
      <c r="F727" s="10"/>
      <c r="G727" s="10"/>
    </row>
    <row r="728" customFormat="false" ht="15" hidden="false" customHeight="true" outlineLevel="0" collapsed="false">
      <c r="A728" s="12"/>
      <c r="B728" s="10"/>
      <c r="C728" s="15" t="str">
        <f aca="false">IF($B728="","",IFERROR(INDEX(회원명부!$B$3:$B$502,MATCH($B728,회원명부!$A$3:$A$502,0)),"미등록회원"))</f>
        <v/>
      </c>
      <c r="D728" s="13"/>
      <c r="E728" s="10"/>
      <c r="F728" s="10"/>
      <c r="G728" s="10"/>
    </row>
    <row r="729" customFormat="false" ht="15" hidden="false" customHeight="true" outlineLevel="0" collapsed="false">
      <c r="A729" s="12"/>
      <c r="B729" s="10"/>
      <c r="C729" s="15" t="str">
        <f aca="false">IF($B729="","",IFERROR(INDEX(회원명부!$B$3:$B$502,MATCH($B729,회원명부!$A$3:$A$502,0)),"미등록회원"))</f>
        <v/>
      </c>
      <c r="D729" s="13"/>
      <c r="E729" s="10"/>
      <c r="F729" s="10"/>
      <c r="G729" s="10"/>
    </row>
    <row r="730" customFormat="false" ht="15" hidden="false" customHeight="true" outlineLevel="0" collapsed="false">
      <c r="A730" s="12"/>
      <c r="B730" s="10"/>
      <c r="C730" s="15" t="str">
        <f aca="false">IF($B730="","",IFERROR(INDEX(회원명부!$B$3:$B$502,MATCH($B730,회원명부!$A$3:$A$502,0)),"미등록회원"))</f>
        <v/>
      </c>
      <c r="D730" s="13"/>
      <c r="E730" s="10"/>
      <c r="F730" s="10"/>
      <c r="G730" s="10"/>
    </row>
    <row r="731" customFormat="false" ht="15" hidden="false" customHeight="true" outlineLevel="0" collapsed="false">
      <c r="A731" s="12"/>
      <c r="B731" s="10"/>
      <c r="C731" s="15" t="str">
        <f aca="false">IF($B731="","",IFERROR(INDEX(회원명부!$B$3:$B$502,MATCH($B731,회원명부!$A$3:$A$502,0)),"미등록회원"))</f>
        <v/>
      </c>
      <c r="D731" s="13"/>
      <c r="E731" s="10"/>
      <c r="F731" s="10"/>
      <c r="G731" s="10"/>
    </row>
    <row r="732" customFormat="false" ht="15" hidden="false" customHeight="true" outlineLevel="0" collapsed="false">
      <c r="A732" s="12"/>
      <c r="B732" s="10"/>
      <c r="C732" s="15" t="str">
        <f aca="false">IF($B732="","",IFERROR(INDEX(회원명부!$B$3:$B$502,MATCH($B732,회원명부!$A$3:$A$502,0)),"미등록회원"))</f>
        <v/>
      </c>
      <c r="D732" s="13"/>
      <c r="E732" s="10"/>
      <c r="F732" s="10"/>
      <c r="G732" s="10"/>
    </row>
    <row r="733" customFormat="false" ht="15" hidden="false" customHeight="true" outlineLevel="0" collapsed="false">
      <c r="A733" s="12"/>
      <c r="B733" s="10"/>
      <c r="C733" s="15" t="str">
        <f aca="false">IF($B733="","",IFERROR(INDEX(회원명부!$B$3:$B$502,MATCH($B733,회원명부!$A$3:$A$502,0)),"미등록회원"))</f>
        <v/>
      </c>
      <c r="D733" s="13"/>
      <c r="E733" s="10"/>
      <c r="F733" s="10"/>
      <c r="G733" s="10"/>
    </row>
    <row r="734" customFormat="false" ht="15" hidden="false" customHeight="true" outlineLevel="0" collapsed="false">
      <c r="A734" s="12"/>
      <c r="B734" s="10"/>
      <c r="C734" s="15" t="str">
        <f aca="false">IF($B734="","",IFERROR(INDEX(회원명부!$B$3:$B$502,MATCH($B734,회원명부!$A$3:$A$502,0)),"미등록회원"))</f>
        <v/>
      </c>
      <c r="D734" s="13"/>
      <c r="E734" s="10"/>
      <c r="F734" s="10"/>
      <c r="G734" s="10"/>
    </row>
    <row r="735" customFormat="false" ht="15" hidden="false" customHeight="true" outlineLevel="0" collapsed="false">
      <c r="A735" s="12"/>
      <c r="B735" s="10"/>
      <c r="C735" s="15" t="str">
        <f aca="false">IF($B735="","",IFERROR(INDEX(회원명부!$B$3:$B$502,MATCH($B735,회원명부!$A$3:$A$502,0)),"미등록회원"))</f>
        <v/>
      </c>
      <c r="D735" s="13"/>
      <c r="E735" s="10"/>
      <c r="F735" s="10"/>
      <c r="G735" s="10"/>
    </row>
    <row r="736" customFormat="false" ht="15" hidden="false" customHeight="true" outlineLevel="0" collapsed="false">
      <c r="A736" s="12"/>
      <c r="B736" s="10"/>
      <c r="C736" s="15" t="str">
        <f aca="false">IF($B736="","",IFERROR(INDEX(회원명부!$B$3:$B$502,MATCH($B736,회원명부!$A$3:$A$502,0)),"미등록회원"))</f>
        <v/>
      </c>
      <c r="D736" s="13"/>
      <c r="E736" s="10"/>
      <c r="F736" s="10"/>
      <c r="G736" s="10"/>
    </row>
    <row r="737" customFormat="false" ht="15" hidden="false" customHeight="true" outlineLevel="0" collapsed="false">
      <c r="A737" s="12"/>
      <c r="B737" s="10"/>
      <c r="C737" s="15" t="str">
        <f aca="false">IF($B737="","",IFERROR(INDEX(회원명부!$B$3:$B$502,MATCH($B737,회원명부!$A$3:$A$502,0)),"미등록회원"))</f>
        <v/>
      </c>
      <c r="D737" s="13"/>
      <c r="E737" s="10"/>
      <c r="F737" s="10"/>
      <c r="G737" s="10"/>
    </row>
    <row r="738" customFormat="false" ht="15" hidden="false" customHeight="true" outlineLevel="0" collapsed="false">
      <c r="A738" s="12"/>
      <c r="B738" s="10"/>
      <c r="C738" s="15" t="str">
        <f aca="false">IF($B738="","",IFERROR(INDEX(회원명부!$B$3:$B$502,MATCH($B738,회원명부!$A$3:$A$502,0)),"미등록회원"))</f>
        <v/>
      </c>
      <c r="D738" s="13"/>
      <c r="E738" s="10"/>
      <c r="F738" s="10"/>
      <c r="G738" s="10"/>
    </row>
    <row r="739" customFormat="false" ht="15" hidden="false" customHeight="true" outlineLevel="0" collapsed="false">
      <c r="A739" s="12"/>
      <c r="B739" s="10"/>
      <c r="C739" s="15" t="str">
        <f aca="false">IF($B739="","",IFERROR(INDEX(회원명부!$B$3:$B$502,MATCH($B739,회원명부!$A$3:$A$502,0)),"미등록회원"))</f>
        <v/>
      </c>
      <c r="D739" s="13"/>
      <c r="E739" s="10"/>
      <c r="F739" s="10"/>
      <c r="G739" s="10"/>
    </row>
    <row r="740" customFormat="false" ht="15" hidden="false" customHeight="true" outlineLevel="0" collapsed="false">
      <c r="A740" s="12"/>
      <c r="B740" s="10"/>
      <c r="C740" s="15" t="str">
        <f aca="false">IF($B740="","",IFERROR(INDEX(회원명부!$B$3:$B$502,MATCH($B740,회원명부!$A$3:$A$502,0)),"미등록회원"))</f>
        <v/>
      </c>
      <c r="D740" s="13"/>
      <c r="E740" s="10"/>
      <c r="F740" s="10"/>
      <c r="G740" s="10"/>
    </row>
    <row r="741" customFormat="false" ht="15" hidden="false" customHeight="true" outlineLevel="0" collapsed="false">
      <c r="A741" s="12"/>
      <c r="B741" s="10"/>
      <c r="C741" s="15" t="str">
        <f aca="false">IF($B741="","",IFERROR(INDEX(회원명부!$B$3:$B$502,MATCH($B741,회원명부!$A$3:$A$502,0)),"미등록회원"))</f>
        <v/>
      </c>
      <c r="D741" s="13"/>
      <c r="E741" s="10"/>
      <c r="F741" s="10"/>
      <c r="G741" s="10"/>
    </row>
    <row r="742" customFormat="false" ht="15" hidden="false" customHeight="true" outlineLevel="0" collapsed="false">
      <c r="A742" s="12"/>
      <c r="B742" s="10"/>
      <c r="C742" s="15" t="str">
        <f aca="false">IF($B742="","",IFERROR(INDEX(회원명부!$B$3:$B$502,MATCH($B742,회원명부!$A$3:$A$502,0)),"미등록회원"))</f>
        <v/>
      </c>
      <c r="D742" s="13"/>
      <c r="E742" s="10"/>
      <c r="F742" s="10"/>
      <c r="G742" s="10"/>
    </row>
    <row r="743" customFormat="false" ht="15" hidden="false" customHeight="true" outlineLevel="0" collapsed="false">
      <c r="A743" s="12"/>
      <c r="B743" s="10"/>
      <c r="C743" s="15" t="str">
        <f aca="false">IF($B743="","",IFERROR(INDEX(회원명부!$B$3:$B$502,MATCH($B743,회원명부!$A$3:$A$502,0)),"미등록회원"))</f>
        <v/>
      </c>
      <c r="D743" s="13"/>
      <c r="E743" s="10"/>
      <c r="F743" s="10"/>
      <c r="G743" s="10"/>
    </row>
    <row r="744" customFormat="false" ht="15" hidden="false" customHeight="true" outlineLevel="0" collapsed="false">
      <c r="A744" s="12"/>
      <c r="B744" s="10"/>
      <c r="C744" s="15" t="str">
        <f aca="false">IF($B744="","",IFERROR(INDEX(회원명부!$B$3:$B$502,MATCH($B744,회원명부!$A$3:$A$502,0)),"미등록회원"))</f>
        <v/>
      </c>
      <c r="D744" s="13"/>
      <c r="E744" s="10"/>
      <c r="F744" s="10"/>
      <c r="G744" s="10"/>
    </row>
    <row r="745" customFormat="false" ht="15" hidden="false" customHeight="true" outlineLevel="0" collapsed="false">
      <c r="A745" s="12"/>
      <c r="B745" s="10"/>
      <c r="C745" s="15" t="str">
        <f aca="false">IF($B745="","",IFERROR(INDEX(회원명부!$B$3:$B$502,MATCH($B745,회원명부!$A$3:$A$502,0)),"미등록회원"))</f>
        <v/>
      </c>
      <c r="D745" s="13"/>
      <c r="E745" s="10"/>
      <c r="F745" s="10"/>
      <c r="G745" s="10"/>
    </row>
    <row r="746" customFormat="false" ht="15" hidden="false" customHeight="true" outlineLevel="0" collapsed="false">
      <c r="A746" s="12"/>
      <c r="B746" s="10"/>
      <c r="C746" s="15" t="str">
        <f aca="false">IF($B746="","",IFERROR(INDEX(회원명부!$B$3:$B$502,MATCH($B746,회원명부!$A$3:$A$502,0)),"미등록회원"))</f>
        <v/>
      </c>
      <c r="D746" s="13"/>
      <c r="E746" s="10"/>
      <c r="F746" s="10"/>
      <c r="G746" s="10"/>
    </row>
    <row r="747" customFormat="false" ht="15" hidden="false" customHeight="true" outlineLevel="0" collapsed="false">
      <c r="A747" s="12"/>
      <c r="B747" s="10"/>
      <c r="C747" s="15" t="str">
        <f aca="false">IF($B747="","",IFERROR(INDEX(회원명부!$B$3:$B$502,MATCH($B747,회원명부!$A$3:$A$502,0)),"미등록회원"))</f>
        <v/>
      </c>
      <c r="D747" s="13"/>
      <c r="E747" s="10"/>
      <c r="F747" s="10"/>
      <c r="G747" s="10"/>
    </row>
    <row r="748" customFormat="false" ht="15" hidden="false" customHeight="true" outlineLevel="0" collapsed="false">
      <c r="A748" s="12"/>
      <c r="B748" s="10"/>
      <c r="C748" s="15" t="str">
        <f aca="false">IF($B748="","",IFERROR(INDEX(회원명부!$B$3:$B$502,MATCH($B748,회원명부!$A$3:$A$502,0)),"미등록회원"))</f>
        <v/>
      </c>
      <c r="D748" s="13"/>
      <c r="E748" s="10"/>
      <c r="F748" s="10"/>
      <c r="G748" s="10"/>
    </row>
    <row r="749" customFormat="false" ht="15" hidden="false" customHeight="true" outlineLevel="0" collapsed="false">
      <c r="A749" s="12"/>
      <c r="B749" s="10"/>
      <c r="C749" s="15" t="str">
        <f aca="false">IF($B749="","",IFERROR(INDEX(회원명부!$B$3:$B$502,MATCH($B749,회원명부!$A$3:$A$502,0)),"미등록회원"))</f>
        <v/>
      </c>
      <c r="D749" s="13"/>
      <c r="E749" s="10"/>
      <c r="F749" s="10"/>
      <c r="G749" s="10"/>
    </row>
    <row r="750" customFormat="false" ht="15" hidden="false" customHeight="true" outlineLevel="0" collapsed="false">
      <c r="A750" s="12"/>
      <c r="B750" s="10"/>
      <c r="C750" s="15" t="str">
        <f aca="false">IF($B750="","",IFERROR(INDEX(회원명부!$B$3:$B$502,MATCH($B750,회원명부!$A$3:$A$502,0)),"미등록회원"))</f>
        <v/>
      </c>
      <c r="D750" s="13"/>
      <c r="E750" s="10"/>
      <c r="F750" s="10"/>
      <c r="G750" s="10"/>
    </row>
    <row r="751" customFormat="false" ht="15" hidden="false" customHeight="true" outlineLevel="0" collapsed="false">
      <c r="A751" s="12"/>
      <c r="B751" s="10"/>
      <c r="C751" s="15" t="str">
        <f aca="false">IF($B751="","",IFERROR(INDEX(회원명부!$B$3:$B$502,MATCH($B751,회원명부!$A$3:$A$502,0)),"미등록회원"))</f>
        <v/>
      </c>
      <c r="D751" s="13"/>
      <c r="E751" s="10"/>
      <c r="F751" s="10"/>
      <c r="G751" s="10"/>
    </row>
    <row r="752" customFormat="false" ht="15" hidden="false" customHeight="true" outlineLevel="0" collapsed="false">
      <c r="A752" s="12"/>
      <c r="B752" s="10"/>
      <c r="C752" s="15" t="str">
        <f aca="false">IF($B752="","",IFERROR(INDEX(회원명부!$B$3:$B$502,MATCH($B752,회원명부!$A$3:$A$502,0)),"미등록회원"))</f>
        <v/>
      </c>
      <c r="D752" s="13"/>
      <c r="E752" s="10"/>
      <c r="F752" s="10"/>
      <c r="G752" s="10"/>
    </row>
    <row r="753" customFormat="false" ht="15" hidden="false" customHeight="true" outlineLevel="0" collapsed="false">
      <c r="A753" s="12"/>
      <c r="B753" s="10"/>
      <c r="C753" s="15" t="str">
        <f aca="false">IF($B753="","",IFERROR(INDEX(회원명부!$B$3:$B$502,MATCH($B753,회원명부!$A$3:$A$502,0)),"미등록회원"))</f>
        <v/>
      </c>
      <c r="D753" s="13"/>
      <c r="E753" s="10"/>
      <c r="F753" s="10"/>
      <c r="G753" s="10"/>
    </row>
    <row r="754" customFormat="false" ht="15" hidden="false" customHeight="true" outlineLevel="0" collapsed="false">
      <c r="A754" s="12"/>
      <c r="B754" s="10"/>
      <c r="C754" s="15" t="str">
        <f aca="false">IF($B754="","",IFERROR(INDEX(회원명부!$B$3:$B$502,MATCH($B754,회원명부!$A$3:$A$502,0)),"미등록회원"))</f>
        <v/>
      </c>
      <c r="D754" s="13"/>
      <c r="E754" s="10"/>
      <c r="F754" s="10"/>
      <c r="G754" s="10"/>
    </row>
    <row r="755" customFormat="false" ht="15" hidden="false" customHeight="true" outlineLevel="0" collapsed="false">
      <c r="A755" s="12"/>
      <c r="B755" s="10"/>
      <c r="C755" s="15" t="str">
        <f aca="false">IF($B755="","",IFERROR(INDEX(회원명부!$B$3:$B$502,MATCH($B755,회원명부!$A$3:$A$502,0)),"미등록회원"))</f>
        <v/>
      </c>
      <c r="D755" s="13"/>
      <c r="E755" s="10"/>
      <c r="F755" s="10"/>
      <c r="G755" s="10"/>
    </row>
    <row r="756" customFormat="false" ht="15" hidden="false" customHeight="true" outlineLevel="0" collapsed="false">
      <c r="A756" s="12"/>
      <c r="B756" s="10"/>
      <c r="C756" s="15" t="str">
        <f aca="false">IF($B756="","",IFERROR(INDEX(회원명부!$B$3:$B$502,MATCH($B756,회원명부!$A$3:$A$502,0)),"미등록회원"))</f>
        <v/>
      </c>
      <c r="D756" s="13"/>
      <c r="E756" s="10"/>
      <c r="F756" s="10"/>
      <c r="G756" s="10"/>
    </row>
    <row r="757" customFormat="false" ht="15" hidden="false" customHeight="true" outlineLevel="0" collapsed="false">
      <c r="A757" s="12"/>
      <c r="B757" s="10"/>
      <c r="C757" s="15" t="str">
        <f aca="false">IF($B757="","",IFERROR(INDEX(회원명부!$B$3:$B$502,MATCH($B757,회원명부!$A$3:$A$502,0)),"미등록회원"))</f>
        <v/>
      </c>
      <c r="D757" s="13"/>
      <c r="E757" s="10"/>
      <c r="F757" s="10"/>
      <c r="G757" s="10"/>
    </row>
    <row r="758" customFormat="false" ht="15" hidden="false" customHeight="true" outlineLevel="0" collapsed="false">
      <c r="A758" s="12"/>
      <c r="B758" s="10"/>
      <c r="C758" s="15" t="str">
        <f aca="false">IF($B758="","",IFERROR(INDEX(회원명부!$B$3:$B$502,MATCH($B758,회원명부!$A$3:$A$502,0)),"미등록회원"))</f>
        <v/>
      </c>
      <c r="D758" s="13"/>
      <c r="E758" s="10"/>
      <c r="F758" s="10"/>
      <c r="G758" s="10"/>
    </row>
    <row r="759" customFormat="false" ht="15" hidden="false" customHeight="true" outlineLevel="0" collapsed="false">
      <c r="A759" s="12"/>
      <c r="B759" s="10"/>
      <c r="C759" s="15" t="str">
        <f aca="false">IF($B759="","",IFERROR(INDEX(회원명부!$B$3:$B$502,MATCH($B759,회원명부!$A$3:$A$502,0)),"미등록회원"))</f>
        <v/>
      </c>
      <c r="D759" s="13"/>
      <c r="E759" s="10"/>
      <c r="F759" s="10"/>
      <c r="G759" s="10"/>
    </row>
    <row r="760" customFormat="false" ht="15" hidden="false" customHeight="true" outlineLevel="0" collapsed="false">
      <c r="A760" s="12"/>
      <c r="B760" s="10"/>
      <c r="C760" s="15" t="str">
        <f aca="false">IF($B760="","",IFERROR(INDEX(회원명부!$B$3:$B$502,MATCH($B760,회원명부!$A$3:$A$502,0)),"미등록회원"))</f>
        <v/>
      </c>
      <c r="D760" s="13"/>
      <c r="E760" s="10"/>
      <c r="F760" s="10"/>
      <c r="G760" s="10"/>
    </row>
    <row r="761" customFormat="false" ht="15" hidden="false" customHeight="true" outlineLevel="0" collapsed="false">
      <c r="A761" s="12"/>
      <c r="B761" s="10"/>
      <c r="C761" s="15" t="str">
        <f aca="false">IF($B761="","",IFERROR(INDEX(회원명부!$B$3:$B$502,MATCH($B761,회원명부!$A$3:$A$502,0)),"미등록회원"))</f>
        <v/>
      </c>
      <c r="D761" s="13"/>
      <c r="E761" s="10"/>
      <c r="F761" s="10"/>
      <c r="G761" s="10"/>
    </row>
    <row r="762" customFormat="false" ht="15" hidden="false" customHeight="true" outlineLevel="0" collapsed="false">
      <c r="A762" s="12"/>
      <c r="B762" s="10"/>
      <c r="C762" s="15" t="str">
        <f aca="false">IF($B762="","",IFERROR(INDEX(회원명부!$B$3:$B$502,MATCH($B762,회원명부!$A$3:$A$502,0)),"미등록회원"))</f>
        <v/>
      </c>
      <c r="D762" s="13"/>
      <c r="E762" s="10"/>
      <c r="F762" s="10"/>
      <c r="G762" s="10"/>
    </row>
    <row r="763" customFormat="false" ht="15" hidden="false" customHeight="true" outlineLevel="0" collapsed="false">
      <c r="A763" s="12"/>
      <c r="B763" s="10"/>
      <c r="C763" s="15" t="str">
        <f aca="false">IF($B763="","",IFERROR(INDEX(회원명부!$B$3:$B$502,MATCH($B763,회원명부!$A$3:$A$502,0)),"미등록회원"))</f>
        <v/>
      </c>
      <c r="D763" s="13"/>
      <c r="E763" s="10"/>
      <c r="F763" s="10"/>
      <c r="G763" s="10"/>
    </row>
    <row r="764" customFormat="false" ht="15" hidden="false" customHeight="true" outlineLevel="0" collapsed="false">
      <c r="A764" s="12"/>
      <c r="B764" s="10"/>
      <c r="C764" s="15" t="str">
        <f aca="false">IF($B764="","",IFERROR(INDEX(회원명부!$B$3:$B$502,MATCH($B764,회원명부!$A$3:$A$502,0)),"미등록회원"))</f>
        <v/>
      </c>
      <c r="D764" s="13"/>
      <c r="E764" s="10"/>
      <c r="F764" s="10"/>
      <c r="G764" s="10"/>
    </row>
    <row r="765" customFormat="false" ht="15" hidden="false" customHeight="true" outlineLevel="0" collapsed="false">
      <c r="A765" s="12"/>
      <c r="B765" s="10"/>
      <c r="C765" s="15" t="str">
        <f aca="false">IF($B765="","",IFERROR(INDEX(회원명부!$B$3:$B$502,MATCH($B765,회원명부!$A$3:$A$502,0)),"미등록회원"))</f>
        <v/>
      </c>
      <c r="D765" s="13"/>
      <c r="E765" s="10"/>
      <c r="F765" s="10"/>
      <c r="G765" s="10"/>
    </row>
    <row r="766" customFormat="false" ht="15" hidden="false" customHeight="true" outlineLevel="0" collapsed="false">
      <c r="A766" s="12"/>
      <c r="B766" s="10"/>
      <c r="C766" s="15" t="str">
        <f aca="false">IF($B766="","",IFERROR(INDEX(회원명부!$B$3:$B$502,MATCH($B766,회원명부!$A$3:$A$502,0)),"미등록회원"))</f>
        <v/>
      </c>
      <c r="D766" s="13"/>
      <c r="E766" s="10"/>
      <c r="F766" s="10"/>
      <c r="G766" s="10"/>
    </row>
    <row r="767" customFormat="false" ht="15" hidden="false" customHeight="true" outlineLevel="0" collapsed="false">
      <c r="A767" s="12"/>
      <c r="B767" s="10"/>
      <c r="C767" s="15" t="str">
        <f aca="false">IF($B767="","",IFERROR(INDEX(회원명부!$B$3:$B$502,MATCH($B767,회원명부!$A$3:$A$502,0)),"미등록회원"))</f>
        <v/>
      </c>
      <c r="D767" s="13"/>
      <c r="E767" s="10"/>
      <c r="F767" s="10"/>
      <c r="G767" s="10"/>
    </row>
    <row r="768" customFormat="false" ht="15" hidden="false" customHeight="true" outlineLevel="0" collapsed="false">
      <c r="A768" s="12"/>
      <c r="B768" s="10"/>
      <c r="C768" s="15" t="str">
        <f aca="false">IF($B768="","",IFERROR(INDEX(회원명부!$B$3:$B$502,MATCH($B768,회원명부!$A$3:$A$502,0)),"미등록회원"))</f>
        <v/>
      </c>
      <c r="D768" s="13"/>
      <c r="E768" s="10"/>
      <c r="F768" s="10"/>
      <c r="G768" s="10"/>
    </row>
    <row r="769" customFormat="false" ht="15" hidden="false" customHeight="true" outlineLevel="0" collapsed="false">
      <c r="A769" s="12"/>
      <c r="B769" s="10"/>
      <c r="C769" s="15" t="str">
        <f aca="false">IF($B769="","",IFERROR(INDEX(회원명부!$B$3:$B$502,MATCH($B769,회원명부!$A$3:$A$502,0)),"미등록회원"))</f>
        <v/>
      </c>
      <c r="D769" s="13"/>
      <c r="E769" s="10"/>
      <c r="F769" s="10"/>
      <c r="G769" s="10"/>
    </row>
    <row r="770" customFormat="false" ht="15" hidden="false" customHeight="true" outlineLevel="0" collapsed="false">
      <c r="A770" s="12"/>
      <c r="B770" s="10"/>
      <c r="C770" s="15" t="str">
        <f aca="false">IF($B770="","",IFERROR(INDEX(회원명부!$B$3:$B$502,MATCH($B770,회원명부!$A$3:$A$502,0)),"미등록회원"))</f>
        <v/>
      </c>
      <c r="D770" s="13"/>
      <c r="E770" s="10"/>
      <c r="F770" s="10"/>
      <c r="G770" s="10"/>
    </row>
    <row r="771" customFormat="false" ht="15" hidden="false" customHeight="true" outlineLevel="0" collapsed="false">
      <c r="A771" s="12"/>
      <c r="B771" s="10"/>
      <c r="C771" s="15" t="str">
        <f aca="false">IF($B771="","",IFERROR(INDEX(회원명부!$B$3:$B$502,MATCH($B771,회원명부!$A$3:$A$502,0)),"미등록회원"))</f>
        <v/>
      </c>
      <c r="D771" s="13"/>
      <c r="E771" s="10"/>
      <c r="F771" s="10"/>
      <c r="G771" s="10"/>
    </row>
    <row r="772" customFormat="false" ht="15" hidden="false" customHeight="true" outlineLevel="0" collapsed="false">
      <c r="A772" s="12"/>
      <c r="B772" s="10"/>
      <c r="C772" s="15" t="str">
        <f aca="false">IF($B772="","",IFERROR(INDEX(회원명부!$B$3:$B$502,MATCH($B772,회원명부!$A$3:$A$502,0)),"미등록회원"))</f>
        <v/>
      </c>
      <c r="D772" s="13"/>
      <c r="E772" s="10"/>
      <c r="F772" s="10"/>
      <c r="G772" s="10"/>
    </row>
    <row r="773" customFormat="false" ht="15" hidden="false" customHeight="true" outlineLevel="0" collapsed="false">
      <c r="A773" s="12"/>
      <c r="B773" s="10"/>
      <c r="C773" s="15" t="str">
        <f aca="false">IF($B773="","",IFERROR(INDEX(회원명부!$B$3:$B$502,MATCH($B773,회원명부!$A$3:$A$502,0)),"미등록회원"))</f>
        <v/>
      </c>
      <c r="D773" s="13"/>
      <c r="E773" s="10"/>
      <c r="F773" s="10"/>
      <c r="G773" s="10"/>
    </row>
    <row r="774" customFormat="false" ht="15" hidden="false" customHeight="true" outlineLevel="0" collapsed="false">
      <c r="A774" s="12"/>
      <c r="B774" s="10"/>
      <c r="C774" s="15" t="str">
        <f aca="false">IF($B774="","",IFERROR(INDEX(회원명부!$B$3:$B$502,MATCH($B774,회원명부!$A$3:$A$502,0)),"미등록회원"))</f>
        <v/>
      </c>
      <c r="D774" s="13"/>
      <c r="E774" s="10"/>
      <c r="F774" s="10"/>
      <c r="G774" s="10"/>
    </row>
    <row r="775" customFormat="false" ht="15" hidden="false" customHeight="true" outlineLevel="0" collapsed="false">
      <c r="A775" s="12"/>
      <c r="B775" s="10"/>
      <c r="C775" s="15" t="str">
        <f aca="false">IF($B775="","",IFERROR(INDEX(회원명부!$B$3:$B$502,MATCH($B775,회원명부!$A$3:$A$502,0)),"미등록회원"))</f>
        <v/>
      </c>
      <c r="D775" s="13"/>
      <c r="E775" s="10"/>
      <c r="F775" s="10"/>
      <c r="G775" s="10"/>
    </row>
    <row r="776" customFormat="false" ht="15" hidden="false" customHeight="true" outlineLevel="0" collapsed="false">
      <c r="A776" s="12"/>
      <c r="B776" s="10"/>
      <c r="C776" s="15" t="str">
        <f aca="false">IF($B776="","",IFERROR(INDEX(회원명부!$B$3:$B$502,MATCH($B776,회원명부!$A$3:$A$502,0)),"미등록회원"))</f>
        <v/>
      </c>
      <c r="D776" s="13"/>
      <c r="E776" s="10"/>
      <c r="F776" s="10"/>
      <c r="G776" s="10"/>
    </row>
    <row r="777" customFormat="false" ht="15" hidden="false" customHeight="true" outlineLevel="0" collapsed="false">
      <c r="A777" s="12"/>
      <c r="B777" s="10"/>
      <c r="C777" s="15" t="str">
        <f aca="false">IF($B777="","",IFERROR(INDEX(회원명부!$B$3:$B$502,MATCH($B777,회원명부!$A$3:$A$502,0)),"미등록회원"))</f>
        <v/>
      </c>
      <c r="D777" s="13"/>
      <c r="E777" s="10"/>
      <c r="F777" s="10"/>
      <c r="G777" s="10"/>
    </row>
    <row r="778" customFormat="false" ht="15" hidden="false" customHeight="true" outlineLevel="0" collapsed="false">
      <c r="A778" s="12"/>
      <c r="B778" s="10"/>
      <c r="C778" s="15" t="str">
        <f aca="false">IF($B778="","",IFERROR(INDEX(회원명부!$B$3:$B$502,MATCH($B778,회원명부!$A$3:$A$502,0)),"미등록회원"))</f>
        <v/>
      </c>
      <c r="D778" s="13"/>
      <c r="E778" s="10"/>
      <c r="F778" s="10"/>
      <c r="G778" s="10"/>
    </row>
    <row r="779" customFormat="false" ht="15" hidden="false" customHeight="true" outlineLevel="0" collapsed="false">
      <c r="A779" s="12"/>
      <c r="B779" s="10"/>
      <c r="C779" s="15" t="str">
        <f aca="false">IF($B779="","",IFERROR(INDEX(회원명부!$B$3:$B$502,MATCH($B779,회원명부!$A$3:$A$502,0)),"미등록회원"))</f>
        <v/>
      </c>
      <c r="D779" s="13"/>
      <c r="E779" s="10"/>
      <c r="F779" s="10"/>
      <c r="G779" s="10"/>
    </row>
    <row r="780" customFormat="false" ht="15" hidden="false" customHeight="true" outlineLevel="0" collapsed="false">
      <c r="A780" s="12"/>
      <c r="B780" s="10"/>
      <c r="C780" s="15" t="str">
        <f aca="false">IF($B780="","",IFERROR(INDEX(회원명부!$B$3:$B$502,MATCH($B780,회원명부!$A$3:$A$502,0)),"미등록회원"))</f>
        <v/>
      </c>
      <c r="D780" s="13"/>
      <c r="E780" s="10"/>
      <c r="F780" s="10"/>
      <c r="G780" s="10"/>
    </row>
    <row r="781" customFormat="false" ht="15" hidden="false" customHeight="true" outlineLevel="0" collapsed="false">
      <c r="A781" s="12"/>
      <c r="B781" s="10"/>
      <c r="C781" s="15" t="str">
        <f aca="false">IF($B781="","",IFERROR(INDEX(회원명부!$B$3:$B$502,MATCH($B781,회원명부!$A$3:$A$502,0)),"미등록회원"))</f>
        <v/>
      </c>
      <c r="D781" s="13"/>
      <c r="E781" s="10"/>
      <c r="F781" s="10"/>
      <c r="G781" s="10"/>
    </row>
    <row r="782" customFormat="false" ht="15" hidden="false" customHeight="true" outlineLevel="0" collapsed="false">
      <c r="A782" s="12"/>
      <c r="B782" s="10"/>
      <c r="C782" s="15" t="str">
        <f aca="false">IF($B782="","",IFERROR(INDEX(회원명부!$B$3:$B$502,MATCH($B782,회원명부!$A$3:$A$502,0)),"미등록회원"))</f>
        <v/>
      </c>
      <c r="D782" s="13"/>
      <c r="E782" s="10"/>
      <c r="F782" s="10"/>
      <c r="G782" s="10"/>
    </row>
    <row r="783" customFormat="false" ht="15" hidden="false" customHeight="true" outlineLevel="0" collapsed="false">
      <c r="A783" s="12"/>
      <c r="B783" s="10"/>
      <c r="C783" s="15" t="str">
        <f aca="false">IF($B783="","",IFERROR(INDEX(회원명부!$B$3:$B$502,MATCH($B783,회원명부!$A$3:$A$502,0)),"미등록회원"))</f>
        <v/>
      </c>
      <c r="D783" s="13"/>
      <c r="E783" s="10"/>
      <c r="F783" s="10"/>
      <c r="G783" s="10"/>
    </row>
    <row r="784" customFormat="false" ht="15" hidden="false" customHeight="true" outlineLevel="0" collapsed="false">
      <c r="A784" s="12"/>
      <c r="B784" s="10"/>
      <c r="C784" s="15" t="str">
        <f aca="false">IF($B784="","",IFERROR(INDEX(회원명부!$B$3:$B$502,MATCH($B784,회원명부!$A$3:$A$502,0)),"미등록회원"))</f>
        <v/>
      </c>
      <c r="D784" s="13"/>
      <c r="E784" s="10"/>
      <c r="F784" s="10"/>
      <c r="G784" s="10"/>
    </row>
    <row r="785" customFormat="false" ht="15" hidden="false" customHeight="true" outlineLevel="0" collapsed="false">
      <c r="A785" s="12"/>
      <c r="B785" s="10"/>
      <c r="C785" s="15" t="str">
        <f aca="false">IF($B785="","",IFERROR(INDEX(회원명부!$B$3:$B$502,MATCH($B785,회원명부!$A$3:$A$502,0)),"미등록회원"))</f>
        <v/>
      </c>
      <c r="D785" s="13"/>
      <c r="E785" s="10"/>
      <c r="F785" s="10"/>
      <c r="G785" s="10"/>
    </row>
    <row r="786" customFormat="false" ht="15" hidden="false" customHeight="true" outlineLevel="0" collapsed="false">
      <c r="A786" s="12"/>
      <c r="B786" s="10"/>
      <c r="C786" s="15" t="str">
        <f aca="false">IF($B786="","",IFERROR(INDEX(회원명부!$B$3:$B$502,MATCH($B786,회원명부!$A$3:$A$502,0)),"미등록회원"))</f>
        <v/>
      </c>
      <c r="D786" s="13"/>
      <c r="E786" s="10"/>
      <c r="F786" s="10"/>
      <c r="G786" s="10"/>
    </row>
    <row r="787" customFormat="false" ht="15" hidden="false" customHeight="true" outlineLevel="0" collapsed="false">
      <c r="A787" s="12"/>
      <c r="B787" s="10"/>
      <c r="C787" s="15" t="str">
        <f aca="false">IF($B787="","",IFERROR(INDEX(회원명부!$B$3:$B$502,MATCH($B787,회원명부!$A$3:$A$502,0)),"미등록회원"))</f>
        <v/>
      </c>
      <c r="D787" s="13"/>
      <c r="E787" s="10"/>
      <c r="F787" s="10"/>
      <c r="G787" s="10"/>
    </row>
    <row r="788" customFormat="false" ht="15" hidden="false" customHeight="true" outlineLevel="0" collapsed="false">
      <c r="A788" s="12"/>
      <c r="B788" s="10"/>
      <c r="C788" s="15" t="str">
        <f aca="false">IF($B788="","",IFERROR(INDEX(회원명부!$B$3:$B$502,MATCH($B788,회원명부!$A$3:$A$502,0)),"미등록회원"))</f>
        <v/>
      </c>
      <c r="D788" s="13"/>
      <c r="E788" s="10"/>
      <c r="F788" s="10"/>
      <c r="G788" s="10"/>
    </row>
    <row r="789" customFormat="false" ht="15" hidden="false" customHeight="true" outlineLevel="0" collapsed="false">
      <c r="A789" s="12"/>
      <c r="B789" s="10"/>
      <c r="C789" s="15" t="str">
        <f aca="false">IF($B789="","",IFERROR(INDEX(회원명부!$B$3:$B$502,MATCH($B789,회원명부!$A$3:$A$502,0)),"미등록회원"))</f>
        <v/>
      </c>
      <c r="D789" s="13"/>
      <c r="E789" s="10"/>
      <c r="F789" s="10"/>
      <c r="G789" s="10"/>
    </row>
    <row r="790" customFormat="false" ht="15" hidden="false" customHeight="true" outlineLevel="0" collapsed="false">
      <c r="A790" s="12"/>
      <c r="B790" s="10"/>
      <c r="C790" s="15" t="str">
        <f aca="false">IF($B790="","",IFERROR(INDEX(회원명부!$B$3:$B$502,MATCH($B790,회원명부!$A$3:$A$502,0)),"미등록회원"))</f>
        <v/>
      </c>
      <c r="D790" s="13"/>
      <c r="E790" s="10"/>
      <c r="F790" s="10"/>
      <c r="G790" s="10"/>
    </row>
    <row r="791" customFormat="false" ht="15" hidden="false" customHeight="true" outlineLevel="0" collapsed="false">
      <c r="A791" s="12"/>
      <c r="B791" s="10"/>
      <c r="C791" s="15" t="str">
        <f aca="false">IF($B791="","",IFERROR(INDEX(회원명부!$B$3:$B$502,MATCH($B791,회원명부!$A$3:$A$502,0)),"미등록회원"))</f>
        <v/>
      </c>
      <c r="D791" s="13"/>
      <c r="E791" s="10"/>
      <c r="F791" s="10"/>
      <c r="G791" s="10"/>
    </row>
    <row r="792" customFormat="false" ht="15" hidden="false" customHeight="true" outlineLevel="0" collapsed="false">
      <c r="A792" s="12"/>
      <c r="B792" s="10"/>
      <c r="C792" s="15" t="str">
        <f aca="false">IF($B792="","",IFERROR(INDEX(회원명부!$B$3:$B$502,MATCH($B792,회원명부!$A$3:$A$502,0)),"미등록회원"))</f>
        <v/>
      </c>
      <c r="D792" s="13"/>
      <c r="E792" s="10"/>
      <c r="F792" s="10"/>
      <c r="G792" s="10"/>
    </row>
    <row r="793" customFormat="false" ht="15" hidden="false" customHeight="true" outlineLevel="0" collapsed="false">
      <c r="A793" s="12"/>
      <c r="B793" s="10"/>
      <c r="C793" s="15" t="str">
        <f aca="false">IF($B793="","",IFERROR(INDEX(회원명부!$B$3:$B$502,MATCH($B793,회원명부!$A$3:$A$502,0)),"미등록회원"))</f>
        <v/>
      </c>
      <c r="D793" s="13"/>
      <c r="E793" s="10"/>
      <c r="F793" s="10"/>
      <c r="G793" s="10"/>
    </row>
    <row r="794" customFormat="false" ht="15" hidden="false" customHeight="true" outlineLevel="0" collapsed="false">
      <c r="A794" s="12"/>
      <c r="B794" s="10"/>
      <c r="C794" s="15" t="str">
        <f aca="false">IF($B794="","",IFERROR(INDEX(회원명부!$B$3:$B$502,MATCH($B794,회원명부!$A$3:$A$502,0)),"미등록회원"))</f>
        <v/>
      </c>
      <c r="D794" s="13"/>
      <c r="E794" s="10"/>
      <c r="F794" s="10"/>
      <c r="G794" s="10"/>
    </row>
    <row r="795" customFormat="false" ht="15" hidden="false" customHeight="true" outlineLevel="0" collapsed="false">
      <c r="A795" s="12"/>
      <c r="B795" s="10"/>
      <c r="C795" s="15" t="str">
        <f aca="false">IF($B795="","",IFERROR(INDEX(회원명부!$B$3:$B$502,MATCH($B795,회원명부!$A$3:$A$502,0)),"미등록회원"))</f>
        <v/>
      </c>
      <c r="D795" s="13"/>
      <c r="E795" s="10"/>
      <c r="F795" s="10"/>
      <c r="G795" s="10"/>
    </row>
    <row r="796" customFormat="false" ht="15" hidden="false" customHeight="true" outlineLevel="0" collapsed="false">
      <c r="A796" s="12"/>
      <c r="B796" s="10"/>
      <c r="C796" s="15" t="str">
        <f aca="false">IF($B796="","",IFERROR(INDEX(회원명부!$B$3:$B$502,MATCH($B796,회원명부!$A$3:$A$502,0)),"미등록회원"))</f>
        <v/>
      </c>
      <c r="D796" s="13"/>
      <c r="E796" s="10"/>
      <c r="F796" s="10"/>
      <c r="G796" s="10"/>
    </row>
    <row r="797" customFormat="false" ht="15" hidden="false" customHeight="true" outlineLevel="0" collapsed="false">
      <c r="A797" s="12"/>
      <c r="B797" s="10"/>
      <c r="C797" s="15" t="str">
        <f aca="false">IF($B797="","",IFERROR(INDEX(회원명부!$B$3:$B$502,MATCH($B797,회원명부!$A$3:$A$502,0)),"미등록회원"))</f>
        <v/>
      </c>
      <c r="D797" s="13"/>
      <c r="E797" s="10"/>
      <c r="F797" s="10"/>
      <c r="G797" s="10"/>
    </row>
    <row r="798" customFormat="false" ht="15" hidden="false" customHeight="true" outlineLevel="0" collapsed="false">
      <c r="A798" s="12"/>
      <c r="B798" s="10"/>
      <c r="C798" s="15" t="str">
        <f aca="false">IF($B798="","",IFERROR(INDEX(회원명부!$B$3:$B$502,MATCH($B798,회원명부!$A$3:$A$502,0)),"미등록회원"))</f>
        <v/>
      </c>
      <c r="D798" s="13"/>
      <c r="E798" s="10"/>
      <c r="F798" s="10"/>
      <c r="G798" s="10"/>
    </row>
    <row r="799" customFormat="false" ht="15" hidden="false" customHeight="true" outlineLevel="0" collapsed="false">
      <c r="A799" s="12"/>
      <c r="B799" s="10"/>
      <c r="C799" s="15" t="str">
        <f aca="false">IF($B799="","",IFERROR(INDEX(회원명부!$B$3:$B$502,MATCH($B799,회원명부!$A$3:$A$502,0)),"미등록회원"))</f>
        <v/>
      </c>
      <c r="D799" s="13"/>
      <c r="E799" s="10"/>
      <c r="F799" s="10"/>
      <c r="G799" s="10"/>
    </row>
    <row r="800" customFormat="false" ht="15" hidden="false" customHeight="true" outlineLevel="0" collapsed="false">
      <c r="A800" s="12"/>
      <c r="B800" s="10"/>
      <c r="C800" s="15" t="str">
        <f aca="false">IF($B800="","",IFERROR(INDEX(회원명부!$B$3:$B$502,MATCH($B800,회원명부!$A$3:$A$502,0)),"미등록회원"))</f>
        <v/>
      </c>
      <c r="D800" s="13"/>
      <c r="E800" s="10"/>
      <c r="F800" s="10"/>
      <c r="G800" s="10"/>
    </row>
    <row r="801" customFormat="false" ht="15" hidden="false" customHeight="true" outlineLevel="0" collapsed="false">
      <c r="A801" s="12"/>
      <c r="B801" s="10"/>
      <c r="C801" s="15" t="str">
        <f aca="false">IF($B801="","",IFERROR(INDEX(회원명부!$B$3:$B$502,MATCH($B801,회원명부!$A$3:$A$502,0)),"미등록회원"))</f>
        <v/>
      </c>
      <c r="D801" s="13"/>
      <c r="E801" s="10"/>
      <c r="F801" s="10"/>
      <c r="G801" s="10"/>
    </row>
    <row r="802" customFormat="false" ht="15" hidden="false" customHeight="true" outlineLevel="0" collapsed="false">
      <c r="A802" s="12"/>
      <c r="B802" s="10"/>
      <c r="C802" s="15" t="str">
        <f aca="false">IF($B802="","",IFERROR(INDEX(회원명부!$B$3:$B$502,MATCH($B802,회원명부!$A$3:$A$502,0)),"미등록회원"))</f>
        <v/>
      </c>
      <c r="D802" s="13"/>
      <c r="E802" s="10"/>
      <c r="F802" s="10"/>
      <c r="G802" s="10"/>
    </row>
    <row r="803" customFormat="false" ht="15" hidden="false" customHeight="true" outlineLevel="0" collapsed="false">
      <c r="A803" s="12"/>
      <c r="B803" s="10"/>
      <c r="C803" s="15" t="str">
        <f aca="false">IF($B803="","",IFERROR(INDEX(회원명부!$B$3:$B$502,MATCH($B803,회원명부!$A$3:$A$502,0)),"미등록회원"))</f>
        <v/>
      </c>
      <c r="D803" s="13"/>
      <c r="E803" s="10"/>
      <c r="F803" s="10"/>
      <c r="G803" s="10"/>
    </row>
    <row r="804" customFormat="false" ht="15" hidden="false" customHeight="true" outlineLevel="0" collapsed="false">
      <c r="A804" s="12"/>
      <c r="B804" s="10"/>
      <c r="C804" s="15" t="str">
        <f aca="false">IF($B804="","",IFERROR(INDEX(회원명부!$B$3:$B$502,MATCH($B804,회원명부!$A$3:$A$502,0)),"미등록회원"))</f>
        <v/>
      </c>
      <c r="D804" s="13"/>
      <c r="E804" s="10"/>
      <c r="F804" s="10"/>
      <c r="G804" s="10"/>
    </row>
    <row r="805" customFormat="false" ht="15" hidden="false" customHeight="true" outlineLevel="0" collapsed="false">
      <c r="A805" s="12"/>
      <c r="B805" s="10"/>
      <c r="C805" s="15" t="str">
        <f aca="false">IF($B805="","",IFERROR(INDEX(회원명부!$B$3:$B$502,MATCH($B805,회원명부!$A$3:$A$502,0)),"미등록회원"))</f>
        <v/>
      </c>
      <c r="D805" s="13"/>
      <c r="E805" s="10"/>
      <c r="F805" s="10"/>
      <c r="G805" s="10"/>
    </row>
    <row r="806" customFormat="false" ht="15" hidden="false" customHeight="true" outlineLevel="0" collapsed="false">
      <c r="A806" s="12"/>
      <c r="B806" s="10"/>
      <c r="C806" s="15" t="str">
        <f aca="false">IF($B806="","",IFERROR(INDEX(회원명부!$B$3:$B$502,MATCH($B806,회원명부!$A$3:$A$502,0)),"미등록회원"))</f>
        <v/>
      </c>
      <c r="D806" s="13"/>
      <c r="E806" s="10"/>
      <c r="F806" s="10"/>
      <c r="G806" s="10"/>
    </row>
    <row r="807" customFormat="false" ht="15" hidden="false" customHeight="true" outlineLevel="0" collapsed="false">
      <c r="A807" s="12"/>
      <c r="B807" s="10"/>
      <c r="C807" s="15" t="str">
        <f aca="false">IF($B807="","",IFERROR(INDEX(회원명부!$B$3:$B$502,MATCH($B807,회원명부!$A$3:$A$502,0)),"미등록회원"))</f>
        <v/>
      </c>
      <c r="D807" s="13"/>
      <c r="E807" s="10"/>
      <c r="F807" s="10"/>
      <c r="G807" s="10"/>
    </row>
    <row r="808" customFormat="false" ht="15" hidden="false" customHeight="true" outlineLevel="0" collapsed="false">
      <c r="A808" s="12"/>
      <c r="B808" s="10"/>
      <c r="C808" s="15" t="str">
        <f aca="false">IF($B808="","",IFERROR(INDEX(회원명부!$B$3:$B$502,MATCH($B808,회원명부!$A$3:$A$502,0)),"미등록회원"))</f>
        <v/>
      </c>
      <c r="D808" s="13"/>
      <c r="E808" s="10"/>
      <c r="F808" s="10"/>
      <c r="G808" s="10"/>
    </row>
    <row r="809" customFormat="false" ht="15" hidden="false" customHeight="true" outlineLevel="0" collapsed="false">
      <c r="A809" s="12"/>
      <c r="B809" s="10"/>
      <c r="C809" s="15" t="str">
        <f aca="false">IF($B809="","",IFERROR(INDEX(회원명부!$B$3:$B$502,MATCH($B809,회원명부!$A$3:$A$502,0)),"미등록회원"))</f>
        <v/>
      </c>
      <c r="D809" s="13"/>
      <c r="E809" s="10"/>
      <c r="F809" s="10"/>
      <c r="G809" s="10"/>
    </row>
    <row r="810" customFormat="false" ht="15" hidden="false" customHeight="true" outlineLevel="0" collapsed="false">
      <c r="A810" s="12"/>
      <c r="B810" s="10"/>
      <c r="C810" s="15" t="str">
        <f aca="false">IF($B810="","",IFERROR(INDEX(회원명부!$B$3:$B$502,MATCH($B810,회원명부!$A$3:$A$502,0)),"미등록회원"))</f>
        <v/>
      </c>
      <c r="D810" s="13"/>
      <c r="E810" s="10"/>
      <c r="F810" s="10"/>
      <c r="G810" s="10"/>
    </row>
    <row r="811" customFormat="false" ht="15" hidden="false" customHeight="true" outlineLevel="0" collapsed="false">
      <c r="A811" s="12"/>
      <c r="B811" s="10"/>
      <c r="C811" s="15" t="str">
        <f aca="false">IF($B811="","",IFERROR(INDEX(회원명부!$B$3:$B$502,MATCH($B811,회원명부!$A$3:$A$502,0)),"미등록회원"))</f>
        <v/>
      </c>
      <c r="D811" s="13"/>
      <c r="E811" s="10"/>
      <c r="F811" s="10"/>
      <c r="G811" s="10"/>
    </row>
    <row r="812" customFormat="false" ht="15" hidden="false" customHeight="true" outlineLevel="0" collapsed="false">
      <c r="A812" s="12"/>
      <c r="B812" s="10"/>
      <c r="C812" s="15" t="str">
        <f aca="false">IF($B812="","",IFERROR(INDEX(회원명부!$B$3:$B$502,MATCH($B812,회원명부!$A$3:$A$502,0)),"미등록회원"))</f>
        <v/>
      </c>
      <c r="D812" s="13"/>
      <c r="E812" s="10"/>
      <c r="F812" s="10"/>
      <c r="G812" s="10"/>
    </row>
    <row r="813" customFormat="false" ht="15" hidden="false" customHeight="true" outlineLevel="0" collapsed="false">
      <c r="A813" s="12"/>
      <c r="B813" s="10"/>
      <c r="C813" s="15" t="str">
        <f aca="false">IF($B813="","",IFERROR(INDEX(회원명부!$B$3:$B$502,MATCH($B813,회원명부!$A$3:$A$502,0)),"미등록회원"))</f>
        <v/>
      </c>
      <c r="D813" s="13"/>
      <c r="E813" s="10"/>
      <c r="F813" s="10"/>
      <c r="G813" s="10"/>
    </row>
    <row r="814" customFormat="false" ht="15" hidden="false" customHeight="true" outlineLevel="0" collapsed="false">
      <c r="A814" s="12"/>
      <c r="B814" s="10"/>
      <c r="C814" s="15" t="str">
        <f aca="false">IF($B814="","",IFERROR(INDEX(회원명부!$B$3:$B$502,MATCH($B814,회원명부!$A$3:$A$502,0)),"미등록회원"))</f>
        <v/>
      </c>
      <c r="D814" s="13"/>
      <c r="E814" s="10"/>
      <c r="F814" s="10"/>
      <c r="G814" s="10"/>
    </row>
    <row r="815" customFormat="false" ht="15" hidden="false" customHeight="true" outlineLevel="0" collapsed="false">
      <c r="A815" s="12"/>
      <c r="B815" s="10"/>
      <c r="C815" s="15" t="str">
        <f aca="false">IF($B815="","",IFERROR(INDEX(회원명부!$B$3:$B$502,MATCH($B815,회원명부!$A$3:$A$502,0)),"미등록회원"))</f>
        <v/>
      </c>
      <c r="D815" s="13"/>
      <c r="E815" s="10"/>
      <c r="F815" s="10"/>
      <c r="G815" s="10"/>
    </row>
    <row r="816" customFormat="false" ht="15" hidden="false" customHeight="true" outlineLevel="0" collapsed="false">
      <c r="A816" s="12"/>
      <c r="B816" s="10"/>
      <c r="C816" s="15" t="str">
        <f aca="false">IF($B816="","",IFERROR(INDEX(회원명부!$B$3:$B$502,MATCH($B816,회원명부!$A$3:$A$502,0)),"미등록회원"))</f>
        <v/>
      </c>
      <c r="D816" s="13"/>
      <c r="E816" s="10"/>
      <c r="F816" s="10"/>
      <c r="G816" s="10"/>
    </row>
    <row r="817" customFormat="false" ht="15" hidden="false" customHeight="true" outlineLevel="0" collapsed="false">
      <c r="A817" s="12"/>
      <c r="B817" s="10"/>
      <c r="C817" s="15" t="str">
        <f aca="false">IF($B817="","",IFERROR(INDEX(회원명부!$B$3:$B$502,MATCH($B817,회원명부!$A$3:$A$502,0)),"미등록회원"))</f>
        <v/>
      </c>
      <c r="D817" s="13"/>
      <c r="E817" s="10"/>
      <c r="F817" s="10"/>
      <c r="G817" s="10"/>
    </row>
    <row r="818" customFormat="false" ht="15" hidden="false" customHeight="true" outlineLevel="0" collapsed="false">
      <c r="A818" s="12"/>
      <c r="B818" s="10"/>
      <c r="C818" s="15" t="str">
        <f aca="false">IF($B818="","",IFERROR(INDEX(회원명부!$B$3:$B$502,MATCH($B818,회원명부!$A$3:$A$502,0)),"미등록회원"))</f>
        <v/>
      </c>
      <c r="D818" s="13"/>
      <c r="E818" s="10"/>
      <c r="F818" s="10"/>
      <c r="G818" s="10"/>
    </row>
    <row r="819" customFormat="false" ht="15" hidden="false" customHeight="true" outlineLevel="0" collapsed="false">
      <c r="A819" s="12"/>
      <c r="B819" s="10"/>
      <c r="C819" s="15" t="str">
        <f aca="false">IF($B819="","",IFERROR(INDEX(회원명부!$B$3:$B$502,MATCH($B819,회원명부!$A$3:$A$502,0)),"미등록회원"))</f>
        <v/>
      </c>
      <c r="D819" s="13"/>
      <c r="E819" s="10"/>
      <c r="F819" s="10"/>
      <c r="G819" s="10"/>
    </row>
    <row r="820" customFormat="false" ht="15" hidden="false" customHeight="true" outlineLevel="0" collapsed="false">
      <c r="A820" s="12"/>
      <c r="B820" s="10"/>
      <c r="C820" s="15" t="str">
        <f aca="false">IF($B820="","",IFERROR(INDEX(회원명부!$B$3:$B$502,MATCH($B820,회원명부!$A$3:$A$502,0)),"미등록회원"))</f>
        <v/>
      </c>
      <c r="D820" s="13"/>
      <c r="E820" s="10"/>
      <c r="F820" s="10"/>
      <c r="G820" s="10"/>
    </row>
    <row r="821" customFormat="false" ht="15" hidden="false" customHeight="true" outlineLevel="0" collapsed="false">
      <c r="A821" s="12"/>
      <c r="B821" s="10"/>
      <c r="C821" s="15" t="str">
        <f aca="false">IF($B821="","",IFERROR(INDEX(회원명부!$B$3:$B$502,MATCH($B821,회원명부!$A$3:$A$502,0)),"미등록회원"))</f>
        <v/>
      </c>
      <c r="D821" s="13"/>
      <c r="E821" s="10"/>
      <c r="F821" s="10"/>
      <c r="G821" s="10"/>
    </row>
    <row r="822" customFormat="false" ht="15" hidden="false" customHeight="true" outlineLevel="0" collapsed="false">
      <c r="A822" s="12"/>
      <c r="B822" s="10"/>
      <c r="C822" s="15" t="str">
        <f aca="false">IF($B822="","",IFERROR(INDEX(회원명부!$B$3:$B$502,MATCH($B822,회원명부!$A$3:$A$502,0)),"미등록회원"))</f>
        <v/>
      </c>
      <c r="D822" s="13"/>
      <c r="E822" s="10"/>
      <c r="F822" s="10"/>
      <c r="G822" s="10"/>
    </row>
    <row r="823" customFormat="false" ht="15" hidden="false" customHeight="true" outlineLevel="0" collapsed="false">
      <c r="A823" s="12"/>
      <c r="B823" s="10"/>
      <c r="C823" s="15" t="str">
        <f aca="false">IF($B823="","",IFERROR(INDEX(회원명부!$B$3:$B$502,MATCH($B823,회원명부!$A$3:$A$502,0)),"미등록회원"))</f>
        <v/>
      </c>
      <c r="D823" s="13"/>
      <c r="E823" s="10"/>
      <c r="F823" s="10"/>
      <c r="G823" s="10"/>
    </row>
    <row r="824" customFormat="false" ht="15" hidden="false" customHeight="true" outlineLevel="0" collapsed="false">
      <c r="A824" s="12"/>
      <c r="B824" s="10"/>
      <c r="C824" s="15" t="str">
        <f aca="false">IF($B824="","",IFERROR(INDEX(회원명부!$B$3:$B$502,MATCH($B824,회원명부!$A$3:$A$502,0)),"미등록회원"))</f>
        <v/>
      </c>
      <c r="D824" s="13"/>
      <c r="E824" s="10"/>
      <c r="F824" s="10"/>
      <c r="G824" s="10"/>
    </row>
    <row r="825" customFormat="false" ht="15" hidden="false" customHeight="true" outlineLevel="0" collapsed="false">
      <c r="A825" s="12"/>
      <c r="B825" s="10"/>
      <c r="C825" s="15" t="str">
        <f aca="false">IF($B825="","",IFERROR(INDEX(회원명부!$B$3:$B$502,MATCH($B825,회원명부!$A$3:$A$502,0)),"미등록회원"))</f>
        <v/>
      </c>
      <c r="D825" s="13"/>
      <c r="E825" s="10"/>
      <c r="F825" s="10"/>
      <c r="G825" s="10"/>
    </row>
    <row r="826" customFormat="false" ht="15" hidden="false" customHeight="true" outlineLevel="0" collapsed="false">
      <c r="A826" s="12"/>
      <c r="B826" s="10"/>
      <c r="C826" s="15" t="str">
        <f aca="false">IF($B826="","",IFERROR(INDEX(회원명부!$B$3:$B$502,MATCH($B826,회원명부!$A$3:$A$502,0)),"미등록회원"))</f>
        <v/>
      </c>
      <c r="D826" s="13"/>
      <c r="E826" s="10"/>
      <c r="F826" s="10"/>
      <c r="G826" s="10"/>
    </row>
    <row r="827" customFormat="false" ht="15" hidden="false" customHeight="true" outlineLevel="0" collapsed="false">
      <c r="A827" s="12"/>
      <c r="B827" s="10"/>
      <c r="C827" s="15" t="str">
        <f aca="false">IF($B827="","",IFERROR(INDEX(회원명부!$B$3:$B$502,MATCH($B827,회원명부!$A$3:$A$502,0)),"미등록회원"))</f>
        <v/>
      </c>
      <c r="D827" s="13"/>
      <c r="E827" s="10"/>
      <c r="F827" s="10"/>
      <c r="G827" s="10"/>
    </row>
    <row r="828" customFormat="false" ht="15" hidden="false" customHeight="true" outlineLevel="0" collapsed="false">
      <c r="A828" s="12"/>
      <c r="B828" s="10"/>
      <c r="C828" s="15" t="str">
        <f aca="false">IF($B828="","",IFERROR(INDEX(회원명부!$B$3:$B$502,MATCH($B828,회원명부!$A$3:$A$502,0)),"미등록회원"))</f>
        <v/>
      </c>
      <c r="D828" s="13"/>
      <c r="E828" s="10"/>
      <c r="F828" s="10"/>
      <c r="G828" s="10"/>
    </row>
    <row r="829" customFormat="false" ht="15" hidden="false" customHeight="true" outlineLevel="0" collapsed="false">
      <c r="A829" s="12"/>
      <c r="B829" s="10"/>
      <c r="C829" s="15" t="str">
        <f aca="false">IF($B829="","",IFERROR(INDEX(회원명부!$B$3:$B$502,MATCH($B829,회원명부!$A$3:$A$502,0)),"미등록회원"))</f>
        <v/>
      </c>
      <c r="D829" s="13"/>
      <c r="E829" s="10"/>
      <c r="F829" s="10"/>
      <c r="G829" s="10"/>
    </row>
    <row r="830" customFormat="false" ht="15" hidden="false" customHeight="true" outlineLevel="0" collapsed="false">
      <c r="A830" s="12"/>
      <c r="B830" s="10"/>
      <c r="C830" s="15" t="str">
        <f aca="false">IF($B830="","",IFERROR(INDEX(회원명부!$B$3:$B$502,MATCH($B830,회원명부!$A$3:$A$502,0)),"미등록회원"))</f>
        <v/>
      </c>
      <c r="D830" s="13"/>
      <c r="E830" s="10"/>
      <c r="F830" s="10"/>
      <c r="G830" s="10"/>
    </row>
    <row r="831" customFormat="false" ht="15" hidden="false" customHeight="true" outlineLevel="0" collapsed="false">
      <c r="A831" s="12"/>
      <c r="B831" s="10"/>
      <c r="C831" s="15" t="str">
        <f aca="false">IF($B831="","",IFERROR(INDEX(회원명부!$B$3:$B$502,MATCH($B831,회원명부!$A$3:$A$502,0)),"미등록회원"))</f>
        <v/>
      </c>
      <c r="D831" s="13"/>
      <c r="E831" s="10"/>
      <c r="F831" s="10"/>
      <c r="G831" s="10"/>
    </row>
    <row r="832" customFormat="false" ht="15" hidden="false" customHeight="true" outlineLevel="0" collapsed="false">
      <c r="A832" s="12"/>
      <c r="B832" s="10"/>
      <c r="C832" s="15" t="str">
        <f aca="false">IF($B832="","",IFERROR(INDEX(회원명부!$B$3:$B$502,MATCH($B832,회원명부!$A$3:$A$502,0)),"미등록회원"))</f>
        <v/>
      </c>
      <c r="D832" s="13"/>
      <c r="E832" s="10"/>
      <c r="F832" s="10"/>
      <c r="G832" s="10"/>
    </row>
    <row r="833" customFormat="false" ht="15" hidden="false" customHeight="true" outlineLevel="0" collapsed="false">
      <c r="A833" s="12"/>
      <c r="B833" s="10"/>
      <c r="C833" s="15" t="str">
        <f aca="false">IF($B833="","",IFERROR(INDEX(회원명부!$B$3:$B$502,MATCH($B833,회원명부!$A$3:$A$502,0)),"미등록회원"))</f>
        <v/>
      </c>
      <c r="D833" s="13"/>
      <c r="E833" s="10"/>
      <c r="F833" s="10"/>
      <c r="G833" s="10"/>
    </row>
    <row r="834" customFormat="false" ht="15" hidden="false" customHeight="true" outlineLevel="0" collapsed="false">
      <c r="A834" s="12"/>
      <c r="B834" s="10"/>
      <c r="C834" s="15" t="str">
        <f aca="false">IF($B834="","",IFERROR(INDEX(회원명부!$B$3:$B$502,MATCH($B834,회원명부!$A$3:$A$502,0)),"미등록회원"))</f>
        <v/>
      </c>
      <c r="D834" s="13"/>
      <c r="E834" s="10"/>
      <c r="F834" s="10"/>
      <c r="G834" s="10"/>
    </row>
    <row r="835" customFormat="false" ht="15" hidden="false" customHeight="true" outlineLevel="0" collapsed="false">
      <c r="A835" s="12"/>
      <c r="B835" s="10"/>
      <c r="C835" s="15" t="str">
        <f aca="false">IF($B835="","",IFERROR(INDEX(회원명부!$B$3:$B$502,MATCH($B835,회원명부!$A$3:$A$502,0)),"미등록회원"))</f>
        <v/>
      </c>
      <c r="D835" s="13"/>
      <c r="E835" s="10"/>
      <c r="F835" s="10"/>
      <c r="G835" s="10"/>
    </row>
    <row r="836" customFormat="false" ht="15" hidden="false" customHeight="true" outlineLevel="0" collapsed="false">
      <c r="A836" s="12"/>
      <c r="B836" s="10"/>
      <c r="C836" s="15" t="str">
        <f aca="false">IF($B836="","",IFERROR(INDEX(회원명부!$B$3:$B$502,MATCH($B836,회원명부!$A$3:$A$502,0)),"미등록회원"))</f>
        <v/>
      </c>
      <c r="D836" s="13"/>
      <c r="E836" s="10"/>
      <c r="F836" s="10"/>
      <c r="G836" s="10"/>
    </row>
    <row r="837" customFormat="false" ht="15" hidden="false" customHeight="true" outlineLevel="0" collapsed="false">
      <c r="A837" s="12"/>
      <c r="B837" s="10"/>
      <c r="C837" s="15" t="str">
        <f aca="false">IF($B837="","",IFERROR(INDEX(회원명부!$B$3:$B$502,MATCH($B837,회원명부!$A$3:$A$502,0)),"미등록회원"))</f>
        <v/>
      </c>
      <c r="D837" s="13"/>
      <c r="E837" s="10"/>
      <c r="F837" s="10"/>
      <c r="G837" s="10"/>
    </row>
    <row r="838" customFormat="false" ht="15" hidden="false" customHeight="true" outlineLevel="0" collapsed="false">
      <c r="A838" s="12"/>
      <c r="B838" s="10"/>
      <c r="C838" s="15" t="str">
        <f aca="false">IF($B838="","",IFERROR(INDEX(회원명부!$B$3:$B$502,MATCH($B838,회원명부!$A$3:$A$502,0)),"미등록회원"))</f>
        <v/>
      </c>
      <c r="D838" s="13"/>
      <c r="E838" s="10"/>
      <c r="F838" s="10"/>
      <c r="G838" s="10"/>
    </row>
    <row r="839" customFormat="false" ht="15" hidden="false" customHeight="true" outlineLevel="0" collapsed="false">
      <c r="A839" s="12"/>
      <c r="B839" s="10"/>
      <c r="C839" s="15" t="str">
        <f aca="false">IF($B839="","",IFERROR(INDEX(회원명부!$B$3:$B$502,MATCH($B839,회원명부!$A$3:$A$502,0)),"미등록회원"))</f>
        <v/>
      </c>
      <c r="D839" s="13"/>
      <c r="E839" s="10"/>
      <c r="F839" s="10"/>
      <c r="G839" s="10"/>
    </row>
    <row r="840" customFormat="false" ht="15" hidden="false" customHeight="true" outlineLevel="0" collapsed="false">
      <c r="A840" s="12"/>
      <c r="B840" s="10"/>
      <c r="C840" s="15" t="str">
        <f aca="false">IF($B840="","",IFERROR(INDEX(회원명부!$B$3:$B$502,MATCH($B840,회원명부!$A$3:$A$502,0)),"미등록회원"))</f>
        <v/>
      </c>
      <c r="D840" s="13"/>
      <c r="E840" s="10"/>
      <c r="F840" s="10"/>
      <c r="G840" s="10"/>
    </row>
    <row r="841" customFormat="false" ht="15" hidden="false" customHeight="true" outlineLevel="0" collapsed="false">
      <c r="A841" s="12"/>
      <c r="B841" s="10"/>
      <c r="C841" s="15" t="str">
        <f aca="false">IF($B841="","",IFERROR(INDEX(회원명부!$B$3:$B$502,MATCH($B841,회원명부!$A$3:$A$502,0)),"미등록회원"))</f>
        <v/>
      </c>
      <c r="D841" s="13"/>
      <c r="E841" s="10"/>
      <c r="F841" s="10"/>
      <c r="G841" s="10"/>
    </row>
    <row r="842" customFormat="false" ht="15" hidden="false" customHeight="true" outlineLevel="0" collapsed="false">
      <c r="A842" s="12"/>
      <c r="B842" s="10"/>
      <c r="C842" s="15" t="str">
        <f aca="false">IF($B842="","",IFERROR(INDEX(회원명부!$B$3:$B$502,MATCH($B842,회원명부!$A$3:$A$502,0)),"미등록회원"))</f>
        <v/>
      </c>
      <c r="D842" s="13"/>
      <c r="E842" s="10"/>
      <c r="F842" s="10"/>
      <c r="G842" s="10"/>
    </row>
    <row r="843" customFormat="false" ht="15" hidden="false" customHeight="true" outlineLevel="0" collapsed="false">
      <c r="A843" s="12"/>
      <c r="B843" s="10"/>
      <c r="C843" s="15" t="str">
        <f aca="false">IF($B843="","",IFERROR(INDEX(회원명부!$B$3:$B$502,MATCH($B843,회원명부!$A$3:$A$502,0)),"미등록회원"))</f>
        <v/>
      </c>
      <c r="D843" s="13"/>
      <c r="E843" s="10"/>
      <c r="F843" s="10"/>
      <c r="G843" s="10"/>
    </row>
    <row r="844" customFormat="false" ht="15" hidden="false" customHeight="true" outlineLevel="0" collapsed="false">
      <c r="A844" s="12"/>
      <c r="B844" s="10"/>
      <c r="C844" s="15" t="str">
        <f aca="false">IF($B844="","",IFERROR(INDEX(회원명부!$B$3:$B$502,MATCH($B844,회원명부!$A$3:$A$502,0)),"미등록회원"))</f>
        <v/>
      </c>
      <c r="D844" s="13"/>
      <c r="E844" s="10"/>
      <c r="F844" s="10"/>
      <c r="G844" s="10"/>
    </row>
    <row r="845" customFormat="false" ht="15" hidden="false" customHeight="true" outlineLevel="0" collapsed="false">
      <c r="A845" s="12"/>
      <c r="B845" s="10"/>
      <c r="C845" s="15" t="str">
        <f aca="false">IF($B845="","",IFERROR(INDEX(회원명부!$B$3:$B$502,MATCH($B845,회원명부!$A$3:$A$502,0)),"미등록회원"))</f>
        <v/>
      </c>
      <c r="D845" s="13"/>
      <c r="E845" s="10"/>
      <c r="F845" s="10"/>
      <c r="G845" s="10"/>
    </row>
    <row r="846" customFormat="false" ht="15" hidden="false" customHeight="true" outlineLevel="0" collapsed="false">
      <c r="A846" s="12"/>
      <c r="B846" s="10"/>
      <c r="C846" s="15" t="str">
        <f aca="false">IF($B846="","",IFERROR(INDEX(회원명부!$B$3:$B$502,MATCH($B846,회원명부!$A$3:$A$502,0)),"미등록회원"))</f>
        <v/>
      </c>
      <c r="D846" s="13"/>
      <c r="E846" s="10"/>
      <c r="F846" s="10"/>
      <c r="G846" s="10"/>
    </row>
    <row r="847" customFormat="false" ht="15" hidden="false" customHeight="true" outlineLevel="0" collapsed="false">
      <c r="A847" s="12"/>
      <c r="B847" s="10"/>
      <c r="C847" s="15" t="str">
        <f aca="false">IF($B847="","",IFERROR(INDEX(회원명부!$B$3:$B$502,MATCH($B847,회원명부!$A$3:$A$502,0)),"미등록회원"))</f>
        <v/>
      </c>
      <c r="D847" s="13"/>
      <c r="E847" s="10"/>
      <c r="F847" s="10"/>
      <c r="G847" s="10"/>
    </row>
    <row r="848" customFormat="false" ht="15" hidden="false" customHeight="true" outlineLevel="0" collapsed="false">
      <c r="A848" s="12"/>
      <c r="B848" s="10"/>
      <c r="C848" s="15" t="str">
        <f aca="false">IF($B848="","",IFERROR(INDEX(회원명부!$B$3:$B$502,MATCH($B848,회원명부!$A$3:$A$502,0)),"미등록회원"))</f>
        <v/>
      </c>
      <c r="D848" s="13"/>
      <c r="E848" s="10"/>
      <c r="F848" s="10"/>
      <c r="G848" s="10"/>
    </row>
    <row r="849" customFormat="false" ht="15" hidden="false" customHeight="true" outlineLevel="0" collapsed="false">
      <c r="A849" s="12"/>
      <c r="B849" s="10"/>
      <c r="C849" s="15" t="str">
        <f aca="false">IF($B849="","",IFERROR(INDEX(회원명부!$B$3:$B$502,MATCH($B849,회원명부!$A$3:$A$502,0)),"미등록회원"))</f>
        <v/>
      </c>
      <c r="D849" s="13"/>
      <c r="E849" s="10"/>
      <c r="F849" s="10"/>
      <c r="G849" s="10"/>
    </row>
    <row r="850" customFormat="false" ht="15" hidden="false" customHeight="true" outlineLevel="0" collapsed="false">
      <c r="A850" s="12"/>
      <c r="B850" s="10"/>
      <c r="C850" s="15" t="str">
        <f aca="false">IF($B850="","",IFERROR(INDEX(회원명부!$B$3:$B$502,MATCH($B850,회원명부!$A$3:$A$502,0)),"미등록회원"))</f>
        <v/>
      </c>
      <c r="D850" s="13"/>
      <c r="E850" s="10"/>
      <c r="F850" s="10"/>
      <c r="G850" s="10"/>
    </row>
    <row r="851" customFormat="false" ht="15" hidden="false" customHeight="true" outlineLevel="0" collapsed="false">
      <c r="A851" s="12"/>
      <c r="B851" s="10"/>
      <c r="C851" s="15" t="str">
        <f aca="false">IF($B851="","",IFERROR(INDEX(회원명부!$B$3:$B$502,MATCH($B851,회원명부!$A$3:$A$502,0)),"미등록회원"))</f>
        <v/>
      </c>
      <c r="D851" s="13"/>
      <c r="E851" s="10"/>
      <c r="F851" s="10"/>
      <c r="G851" s="10"/>
    </row>
    <row r="852" customFormat="false" ht="15" hidden="false" customHeight="true" outlineLevel="0" collapsed="false">
      <c r="A852" s="12"/>
      <c r="B852" s="10"/>
      <c r="C852" s="15" t="str">
        <f aca="false">IF($B852="","",IFERROR(INDEX(회원명부!$B$3:$B$502,MATCH($B852,회원명부!$A$3:$A$502,0)),"미등록회원"))</f>
        <v/>
      </c>
      <c r="D852" s="13"/>
      <c r="E852" s="10"/>
      <c r="F852" s="10"/>
      <c r="G852" s="10"/>
    </row>
    <row r="853" customFormat="false" ht="15" hidden="false" customHeight="true" outlineLevel="0" collapsed="false">
      <c r="A853" s="12"/>
      <c r="B853" s="10"/>
      <c r="C853" s="15" t="str">
        <f aca="false">IF($B853="","",IFERROR(INDEX(회원명부!$B$3:$B$502,MATCH($B853,회원명부!$A$3:$A$502,0)),"미등록회원"))</f>
        <v/>
      </c>
      <c r="D853" s="13"/>
      <c r="E853" s="10"/>
      <c r="F853" s="10"/>
      <c r="G853" s="10"/>
    </row>
    <row r="854" customFormat="false" ht="15" hidden="false" customHeight="true" outlineLevel="0" collapsed="false">
      <c r="A854" s="12"/>
      <c r="B854" s="10"/>
      <c r="C854" s="15" t="str">
        <f aca="false">IF($B854="","",IFERROR(INDEX(회원명부!$B$3:$B$502,MATCH($B854,회원명부!$A$3:$A$502,0)),"미등록회원"))</f>
        <v/>
      </c>
      <c r="D854" s="13"/>
      <c r="E854" s="10"/>
      <c r="F854" s="10"/>
      <c r="G854" s="10"/>
    </row>
    <row r="855" customFormat="false" ht="15" hidden="false" customHeight="true" outlineLevel="0" collapsed="false">
      <c r="A855" s="12"/>
      <c r="B855" s="10"/>
      <c r="C855" s="15" t="str">
        <f aca="false">IF($B855="","",IFERROR(INDEX(회원명부!$B$3:$B$502,MATCH($B855,회원명부!$A$3:$A$502,0)),"미등록회원"))</f>
        <v/>
      </c>
      <c r="D855" s="13"/>
      <c r="E855" s="10"/>
      <c r="F855" s="10"/>
      <c r="G855" s="10"/>
    </row>
    <row r="856" customFormat="false" ht="15" hidden="false" customHeight="true" outlineLevel="0" collapsed="false">
      <c r="A856" s="12"/>
      <c r="B856" s="10"/>
      <c r="C856" s="15" t="str">
        <f aca="false">IF($B856="","",IFERROR(INDEX(회원명부!$B$3:$B$502,MATCH($B856,회원명부!$A$3:$A$502,0)),"미등록회원"))</f>
        <v/>
      </c>
      <c r="D856" s="13"/>
      <c r="E856" s="10"/>
      <c r="F856" s="10"/>
      <c r="G856" s="10"/>
    </row>
    <row r="857" customFormat="false" ht="15" hidden="false" customHeight="true" outlineLevel="0" collapsed="false">
      <c r="A857" s="12"/>
      <c r="B857" s="10"/>
      <c r="C857" s="15" t="str">
        <f aca="false">IF($B857="","",IFERROR(INDEX(회원명부!$B$3:$B$502,MATCH($B857,회원명부!$A$3:$A$502,0)),"미등록회원"))</f>
        <v/>
      </c>
      <c r="D857" s="13"/>
      <c r="E857" s="10"/>
      <c r="F857" s="10"/>
      <c r="G857" s="10"/>
    </row>
    <row r="858" customFormat="false" ht="15" hidden="false" customHeight="true" outlineLevel="0" collapsed="false">
      <c r="A858" s="12"/>
      <c r="B858" s="10"/>
      <c r="C858" s="15" t="str">
        <f aca="false">IF($B858="","",IFERROR(INDEX(회원명부!$B$3:$B$502,MATCH($B858,회원명부!$A$3:$A$502,0)),"미등록회원"))</f>
        <v/>
      </c>
      <c r="D858" s="13"/>
      <c r="E858" s="10"/>
      <c r="F858" s="10"/>
      <c r="G858" s="10"/>
    </row>
    <row r="859" customFormat="false" ht="15" hidden="false" customHeight="true" outlineLevel="0" collapsed="false">
      <c r="A859" s="12"/>
      <c r="B859" s="10"/>
      <c r="C859" s="15" t="str">
        <f aca="false">IF($B859="","",IFERROR(INDEX(회원명부!$B$3:$B$502,MATCH($B859,회원명부!$A$3:$A$502,0)),"미등록회원"))</f>
        <v/>
      </c>
      <c r="D859" s="13"/>
      <c r="E859" s="10"/>
      <c r="F859" s="10"/>
      <c r="G859" s="10"/>
    </row>
    <row r="860" customFormat="false" ht="15" hidden="false" customHeight="true" outlineLevel="0" collapsed="false">
      <c r="A860" s="12"/>
      <c r="B860" s="10"/>
      <c r="C860" s="15" t="str">
        <f aca="false">IF($B860="","",IFERROR(INDEX(회원명부!$B$3:$B$502,MATCH($B860,회원명부!$A$3:$A$502,0)),"미등록회원"))</f>
        <v/>
      </c>
      <c r="D860" s="13"/>
      <c r="E860" s="10"/>
      <c r="F860" s="10"/>
      <c r="G860" s="10"/>
    </row>
    <row r="861" customFormat="false" ht="15" hidden="false" customHeight="true" outlineLevel="0" collapsed="false">
      <c r="A861" s="12"/>
      <c r="B861" s="10"/>
      <c r="C861" s="15" t="str">
        <f aca="false">IF($B861="","",IFERROR(INDEX(회원명부!$B$3:$B$502,MATCH($B861,회원명부!$A$3:$A$502,0)),"미등록회원"))</f>
        <v/>
      </c>
      <c r="D861" s="13"/>
      <c r="E861" s="10"/>
      <c r="F861" s="10"/>
      <c r="G861" s="10"/>
    </row>
    <row r="862" customFormat="false" ht="15" hidden="false" customHeight="true" outlineLevel="0" collapsed="false">
      <c r="A862" s="12"/>
      <c r="B862" s="10"/>
      <c r="C862" s="15" t="str">
        <f aca="false">IF($B862="","",IFERROR(INDEX(회원명부!$B$3:$B$502,MATCH($B862,회원명부!$A$3:$A$502,0)),"미등록회원"))</f>
        <v/>
      </c>
      <c r="D862" s="13"/>
      <c r="E862" s="10"/>
      <c r="F862" s="10"/>
      <c r="G862" s="10"/>
    </row>
    <row r="863" customFormat="false" ht="15" hidden="false" customHeight="true" outlineLevel="0" collapsed="false">
      <c r="A863" s="12"/>
      <c r="B863" s="10"/>
      <c r="C863" s="15" t="str">
        <f aca="false">IF($B863="","",IFERROR(INDEX(회원명부!$B$3:$B$502,MATCH($B863,회원명부!$A$3:$A$502,0)),"미등록회원"))</f>
        <v/>
      </c>
      <c r="D863" s="13"/>
      <c r="E863" s="10"/>
      <c r="F863" s="10"/>
      <c r="G863" s="10"/>
    </row>
    <row r="864" customFormat="false" ht="15" hidden="false" customHeight="true" outlineLevel="0" collapsed="false">
      <c r="A864" s="12"/>
      <c r="B864" s="10"/>
      <c r="C864" s="15" t="str">
        <f aca="false">IF($B864="","",IFERROR(INDEX(회원명부!$B$3:$B$502,MATCH($B864,회원명부!$A$3:$A$502,0)),"미등록회원"))</f>
        <v/>
      </c>
      <c r="D864" s="13"/>
      <c r="E864" s="10"/>
      <c r="F864" s="10"/>
      <c r="G864" s="10"/>
    </row>
    <row r="865" customFormat="false" ht="15" hidden="false" customHeight="true" outlineLevel="0" collapsed="false">
      <c r="A865" s="12"/>
      <c r="B865" s="10"/>
      <c r="C865" s="15" t="str">
        <f aca="false">IF($B865="","",IFERROR(INDEX(회원명부!$B$3:$B$502,MATCH($B865,회원명부!$A$3:$A$502,0)),"미등록회원"))</f>
        <v/>
      </c>
      <c r="D865" s="13"/>
      <c r="E865" s="10"/>
      <c r="F865" s="10"/>
      <c r="G865" s="10"/>
    </row>
    <row r="866" customFormat="false" ht="15" hidden="false" customHeight="true" outlineLevel="0" collapsed="false">
      <c r="A866" s="12"/>
      <c r="B866" s="10"/>
      <c r="C866" s="15" t="str">
        <f aca="false">IF($B866="","",IFERROR(INDEX(회원명부!$B$3:$B$502,MATCH($B866,회원명부!$A$3:$A$502,0)),"미등록회원"))</f>
        <v/>
      </c>
      <c r="D866" s="13"/>
      <c r="E866" s="10"/>
      <c r="F866" s="10"/>
      <c r="G866" s="10"/>
    </row>
    <row r="867" customFormat="false" ht="15" hidden="false" customHeight="true" outlineLevel="0" collapsed="false">
      <c r="A867" s="12"/>
      <c r="B867" s="10"/>
      <c r="C867" s="15" t="str">
        <f aca="false">IF($B867="","",IFERROR(INDEX(회원명부!$B$3:$B$502,MATCH($B867,회원명부!$A$3:$A$502,0)),"미등록회원"))</f>
        <v/>
      </c>
      <c r="D867" s="13"/>
      <c r="E867" s="10"/>
      <c r="F867" s="10"/>
      <c r="G867" s="10"/>
    </row>
    <row r="868" customFormat="false" ht="15" hidden="false" customHeight="true" outlineLevel="0" collapsed="false">
      <c r="A868" s="12"/>
      <c r="B868" s="10"/>
      <c r="C868" s="15" t="str">
        <f aca="false">IF($B868="","",IFERROR(INDEX(회원명부!$B$3:$B$502,MATCH($B868,회원명부!$A$3:$A$502,0)),"미등록회원"))</f>
        <v/>
      </c>
      <c r="D868" s="13"/>
      <c r="E868" s="10"/>
      <c r="F868" s="10"/>
      <c r="G868" s="10"/>
    </row>
    <row r="869" customFormat="false" ht="15" hidden="false" customHeight="true" outlineLevel="0" collapsed="false">
      <c r="A869" s="12"/>
      <c r="B869" s="10"/>
      <c r="C869" s="15" t="str">
        <f aca="false">IF($B869="","",IFERROR(INDEX(회원명부!$B$3:$B$502,MATCH($B869,회원명부!$A$3:$A$502,0)),"미등록회원"))</f>
        <v/>
      </c>
      <c r="D869" s="13"/>
      <c r="E869" s="10"/>
      <c r="F869" s="10"/>
      <c r="G869" s="10"/>
    </row>
    <row r="870" customFormat="false" ht="15" hidden="false" customHeight="true" outlineLevel="0" collapsed="false">
      <c r="A870" s="12"/>
      <c r="B870" s="10"/>
      <c r="C870" s="15" t="str">
        <f aca="false">IF($B870="","",IFERROR(INDEX(회원명부!$B$3:$B$502,MATCH($B870,회원명부!$A$3:$A$502,0)),"미등록회원"))</f>
        <v/>
      </c>
      <c r="D870" s="13"/>
      <c r="E870" s="10"/>
      <c r="F870" s="10"/>
      <c r="G870" s="10"/>
    </row>
    <row r="871" customFormat="false" ht="15" hidden="false" customHeight="true" outlineLevel="0" collapsed="false">
      <c r="A871" s="12"/>
      <c r="B871" s="10"/>
      <c r="C871" s="15" t="str">
        <f aca="false">IF($B871="","",IFERROR(INDEX(회원명부!$B$3:$B$502,MATCH($B871,회원명부!$A$3:$A$502,0)),"미등록회원"))</f>
        <v/>
      </c>
      <c r="D871" s="13"/>
      <c r="E871" s="10"/>
      <c r="F871" s="10"/>
      <c r="G871" s="10"/>
    </row>
    <row r="872" customFormat="false" ht="15" hidden="false" customHeight="true" outlineLevel="0" collapsed="false">
      <c r="A872" s="12"/>
      <c r="B872" s="10"/>
      <c r="C872" s="15" t="str">
        <f aca="false">IF($B872="","",IFERROR(INDEX(회원명부!$B$3:$B$502,MATCH($B872,회원명부!$A$3:$A$502,0)),"미등록회원"))</f>
        <v/>
      </c>
      <c r="D872" s="13"/>
      <c r="E872" s="10"/>
      <c r="F872" s="10"/>
      <c r="G872" s="10"/>
    </row>
    <row r="873" customFormat="false" ht="15" hidden="false" customHeight="true" outlineLevel="0" collapsed="false">
      <c r="A873" s="12"/>
      <c r="B873" s="10"/>
      <c r="C873" s="15" t="str">
        <f aca="false">IF($B873="","",IFERROR(INDEX(회원명부!$B$3:$B$502,MATCH($B873,회원명부!$A$3:$A$502,0)),"미등록회원"))</f>
        <v/>
      </c>
      <c r="D873" s="13"/>
      <c r="E873" s="10"/>
      <c r="F873" s="10"/>
      <c r="G873" s="10"/>
    </row>
    <row r="874" customFormat="false" ht="15" hidden="false" customHeight="true" outlineLevel="0" collapsed="false">
      <c r="A874" s="12"/>
      <c r="B874" s="10"/>
      <c r="C874" s="15" t="str">
        <f aca="false">IF($B874="","",IFERROR(INDEX(회원명부!$B$3:$B$502,MATCH($B874,회원명부!$A$3:$A$502,0)),"미등록회원"))</f>
        <v/>
      </c>
      <c r="D874" s="13"/>
      <c r="E874" s="10"/>
      <c r="F874" s="10"/>
      <c r="G874" s="10"/>
    </row>
    <row r="875" customFormat="false" ht="15" hidden="false" customHeight="true" outlineLevel="0" collapsed="false">
      <c r="A875" s="12"/>
      <c r="B875" s="10"/>
      <c r="C875" s="15" t="str">
        <f aca="false">IF($B875="","",IFERROR(INDEX(회원명부!$B$3:$B$502,MATCH($B875,회원명부!$A$3:$A$502,0)),"미등록회원"))</f>
        <v/>
      </c>
      <c r="D875" s="13"/>
      <c r="E875" s="10"/>
      <c r="F875" s="10"/>
      <c r="G875" s="10"/>
    </row>
    <row r="876" customFormat="false" ht="15" hidden="false" customHeight="true" outlineLevel="0" collapsed="false">
      <c r="A876" s="12"/>
      <c r="B876" s="10"/>
      <c r="C876" s="15" t="str">
        <f aca="false">IF($B876="","",IFERROR(INDEX(회원명부!$B$3:$B$502,MATCH($B876,회원명부!$A$3:$A$502,0)),"미등록회원"))</f>
        <v/>
      </c>
      <c r="D876" s="13"/>
      <c r="E876" s="10"/>
      <c r="F876" s="10"/>
      <c r="G876" s="10"/>
    </row>
    <row r="877" customFormat="false" ht="15" hidden="false" customHeight="true" outlineLevel="0" collapsed="false">
      <c r="A877" s="12"/>
      <c r="B877" s="10"/>
      <c r="C877" s="15" t="str">
        <f aca="false">IF($B877="","",IFERROR(INDEX(회원명부!$B$3:$B$502,MATCH($B877,회원명부!$A$3:$A$502,0)),"미등록회원"))</f>
        <v/>
      </c>
      <c r="D877" s="13"/>
      <c r="E877" s="10"/>
      <c r="F877" s="10"/>
      <c r="G877" s="10"/>
    </row>
    <row r="878" customFormat="false" ht="15" hidden="false" customHeight="true" outlineLevel="0" collapsed="false">
      <c r="A878" s="12"/>
      <c r="B878" s="10"/>
      <c r="C878" s="15" t="str">
        <f aca="false">IF($B878="","",IFERROR(INDEX(회원명부!$B$3:$B$502,MATCH($B878,회원명부!$A$3:$A$502,0)),"미등록회원"))</f>
        <v/>
      </c>
      <c r="D878" s="13"/>
      <c r="E878" s="10"/>
      <c r="F878" s="10"/>
      <c r="G878" s="10"/>
    </row>
    <row r="879" customFormat="false" ht="15" hidden="false" customHeight="true" outlineLevel="0" collapsed="false">
      <c r="A879" s="12"/>
      <c r="B879" s="10"/>
      <c r="C879" s="15" t="str">
        <f aca="false">IF($B879="","",IFERROR(INDEX(회원명부!$B$3:$B$502,MATCH($B879,회원명부!$A$3:$A$502,0)),"미등록회원"))</f>
        <v/>
      </c>
      <c r="D879" s="13"/>
      <c r="E879" s="10"/>
      <c r="F879" s="10"/>
      <c r="G879" s="10"/>
    </row>
    <row r="880" customFormat="false" ht="15" hidden="false" customHeight="true" outlineLevel="0" collapsed="false">
      <c r="A880" s="12"/>
      <c r="B880" s="10"/>
      <c r="C880" s="15" t="str">
        <f aca="false">IF($B880="","",IFERROR(INDEX(회원명부!$B$3:$B$502,MATCH($B880,회원명부!$A$3:$A$502,0)),"미등록회원"))</f>
        <v/>
      </c>
      <c r="D880" s="13"/>
      <c r="E880" s="10"/>
      <c r="F880" s="10"/>
      <c r="G880" s="10"/>
    </row>
    <row r="881" customFormat="false" ht="15" hidden="false" customHeight="true" outlineLevel="0" collapsed="false">
      <c r="A881" s="12"/>
      <c r="B881" s="10"/>
      <c r="C881" s="15" t="str">
        <f aca="false">IF($B881="","",IFERROR(INDEX(회원명부!$B$3:$B$502,MATCH($B881,회원명부!$A$3:$A$502,0)),"미등록회원"))</f>
        <v/>
      </c>
      <c r="D881" s="13"/>
      <c r="E881" s="10"/>
      <c r="F881" s="10"/>
      <c r="G881" s="10"/>
    </row>
    <row r="882" customFormat="false" ht="15" hidden="false" customHeight="true" outlineLevel="0" collapsed="false">
      <c r="A882" s="12"/>
      <c r="B882" s="10"/>
      <c r="C882" s="15" t="str">
        <f aca="false">IF($B882="","",IFERROR(INDEX(회원명부!$B$3:$B$502,MATCH($B882,회원명부!$A$3:$A$502,0)),"미등록회원"))</f>
        <v/>
      </c>
      <c r="D882" s="13"/>
      <c r="E882" s="10"/>
      <c r="F882" s="10"/>
      <c r="G882" s="10"/>
    </row>
    <row r="883" customFormat="false" ht="15" hidden="false" customHeight="true" outlineLevel="0" collapsed="false">
      <c r="A883" s="12"/>
      <c r="B883" s="10"/>
      <c r="C883" s="15" t="str">
        <f aca="false">IF($B883="","",IFERROR(INDEX(회원명부!$B$3:$B$502,MATCH($B883,회원명부!$A$3:$A$502,0)),"미등록회원"))</f>
        <v/>
      </c>
      <c r="D883" s="13"/>
      <c r="E883" s="10"/>
      <c r="F883" s="10"/>
      <c r="G883" s="10"/>
    </row>
    <row r="884" customFormat="false" ht="15" hidden="false" customHeight="true" outlineLevel="0" collapsed="false">
      <c r="A884" s="12"/>
      <c r="B884" s="10"/>
      <c r="C884" s="15" t="str">
        <f aca="false">IF($B884="","",IFERROR(INDEX(회원명부!$B$3:$B$502,MATCH($B884,회원명부!$A$3:$A$502,0)),"미등록회원"))</f>
        <v/>
      </c>
      <c r="D884" s="13"/>
      <c r="E884" s="10"/>
      <c r="F884" s="10"/>
      <c r="G884" s="10"/>
    </row>
    <row r="885" customFormat="false" ht="15" hidden="false" customHeight="true" outlineLevel="0" collapsed="false">
      <c r="A885" s="12"/>
      <c r="B885" s="10"/>
      <c r="C885" s="15" t="str">
        <f aca="false">IF($B885="","",IFERROR(INDEX(회원명부!$B$3:$B$502,MATCH($B885,회원명부!$A$3:$A$502,0)),"미등록회원"))</f>
        <v/>
      </c>
      <c r="D885" s="13"/>
      <c r="E885" s="10"/>
      <c r="F885" s="10"/>
      <c r="G885" s="10"/>
    </row>
    <row r="886" customFormat="false" ht="15" hidden="false" customHeight="true" outlineLevel="0" collapsed="false">
      <c r="A886" s="12"/>
      <c r="B886" s="10"/>
      <c r="C886" s="15" t="str">
        <f aca="false">IF($B886="","",IFERROR(INDEX(회원명부!$B$3:$B$502,MATCH($B886,회원명부!$A$3:$A$502,0)),"미등록회원"))</f>
        <v/>
      </c>
      <c r="D886" s="13"/>
      <c r="E886" s="10"/>
      <c r="F886" s="10"/>
      <c r="G886" s="10"/>
    </row>
    <row r="887" customFormat="false" ht="15" hidden="false" customHeight="true" outlineLevel="0" collapsed="false">
      <c r="A887" s="12"/>
      <c r="B887" s="10"/>
      <c r="C887" s="15" t="str">
        <f aca="false">IF($B887="","",IFERROR(INDEX(회원명부!$B$3:$B$502,MATCH($B887,회원명부!$A$3:$A$502,0)),"미등록회원"))</f>
        <v/>
      </c>
      <c r="D887" s="13"/>
      <c r="E887" s="10"/>
      <c r="F887" s="10"/>
      <c r="G887" s="10"/>
    </row>
    <row r="888" customFormat="false" ht="15" hidden="false" customHeight="true" outlineLevel="0" collapsed="false">
      <c r="A888" s="12"/>
      <c r="B888" s="10"/>
      <c r="C888" s="15" t="str">
        <f aca="false">IF($B888="","",IFERROR(INDEX(회원명부!$B$3:$B$502,MATCH($B888,회원명부!$A$3:$A$502,0)),"미등록회원"))</f>
        <v/>
      </c>
      <c r="D888" s="13"/>
      <c r="E888" s="10"/>
      <c r="F888" s="10"/>
      <c r="G888" s="10"/>
    </row>
    <row r="889" customFormat="false" ht="15" hidden="false" customHeight="true" outlineLevel="0" collapsed="false">
      <c r="A889" s="12"/>
      <c r="B889" s="10"/>
      <c r="C889" s="15" t="str">
        <f aca="false">IF($B889="","",IFERROR(INDEX(회원명부!$B$3:$B$502,MATCH($B889,회원명부!$A$3:$A$502,0)),"미등록회원"))</f>
        <v/>
      </c>
      <c r="D889" s="13"/>
      <c r="E889" s="10"/>
      <c r="F889" s="10"/>
      <c r="G889" s="10"/>
    </row>
    <row r="890" customFormat="false" ht="15" hidden="false" customHeight="true" outlineLevel="0" collapsed="false">
      <c r="A890" s="12"/>
      <c r="B890" s="10"/>
      <c r="C890" s="15" t="str">
        <f aca="false">IF($B890="","",IFERROR(INDEX(회원명부!$B$3:$B$502,MATCH($B890,회원명부!$A$3:$A$502,0)),"미등록회원"))</f>
        <v/>
      </c>
      <c r="D890" s="13"/>
      <c r="E890" s="10"/>
      <c r="F890" s="10"/>
      <c r="G890" s="10"/>
    </row>
    <row r="891" customFormat="false" ht="15" hidden="false" customHeight="true" outlineLevel="0" collapsed="false">
      <c r="A891" s="12"/>
      <c r="B891" s="10"/>
      <c r="C891" s="15" t="str">
        <f aca="false">IF($B891="","",IFERROR(INDEX(회원명부!$B$3:$B$502,MATCH($B891,회원명부!$A$3:$A$502,0)),"미등록회원"))</f>
        <v/>
      </c>
      <c r="D891" s="13"/>
      <c r="E891" s="10"/>
      <c r="F891" s="10"/>
      <c r="G891" s="10"/>
    </row>
    <row r="892" customFormat="false" ht="15" hidden="false" customHeight="true" outlineLevel="0" collapsed="false">
      <c r="A892" s="12"/>
      <c r="B892" s="10"/>
      <c r="C892" s="15" t="str">
        <f aca="false">IF($B892="","",IFERROR(INDEX(회원명부!$B$3:$B$502,MATCH($B892,회원명부!$A$3:$A$502,0)),"미등록회원"))</f>
        <v/>
      </c>
      <c r="D892" s="13"/>
      <c r="E892" s="10"/>
      <c r="F892" s="10"/>
      <c r="G892" s="10"/>
    </row>
    <row r="893" customFormat="false" ht="15" hidden="false" customHeight="true" outlineLevel="0" collapsed="false">
      <c r="A893" s="12"/>
      <c r="B893" s="10"/>
      <c r="C893" s="15" t="str">
        <f aca="false">IF($B893="","",IFERROR(INDEX(회원명부!$B$3:$B$502,MATCH($B893,회원명부!$A$3:$A$502,0)),"미등록회원"))</f>
        <v/>
      </c>
      <c r="D893" s="13"/>
      <c r="E893" s="10"/>
      <c r="F893" s="10"/>
      <c r="G893" s="10"/>
    </row>
    <row r="894" customFormat="false" ht="15" hidden="false" customHeight="true" outlineLevel="0" collapsed="false">
      <c r="A894" s="12"/>
      <c r="B894" s="10"/>
      <c r="C894" s="15" t="str">
        <f aca="false">IF($B894="","",IFERROR(INDEX(회원명부!$B$3:$B$502,MATCH($B894,회원명부!$A$3:$A$502,0)),"미등록회원"))</f>
        <v/>
      </c>
      <c r="D894" s="13"/>
      <c r="E894" s="10"/>
      <c r="F894" s="10"/>
      <c r="G894" s="10"/>
    </row>
    <row r="895" customFormat="false" ht="15" hidden="false" customHeight="true" outlineLevel="0" collapsed="false">
      <c r="A895" s="12"/>
      <c r="B895" s="10"/>
      <c r="C895" s="15" t="str">
        <f aca="false">IF($B895="","",IFERROR(INDEX(회원명부!$B$3:$B$502,MATCH($B895,회원명부!$A$3:$A$502,0)),"미등록회원"))</f>
        <v/>
      </c>
      <c r="D895" s="13"/>
      <c r="E895" s="10"/>
      <c r="F895" s="10"/>
      <c r="G895" s="10"/>
    </row>
    <row r="896" customFormat="false" ht="15" hidden="false" customHeight="true" outlineLevel="0" collapsed="false">
      <c r="A896" s="12"/>
      <c r="B896" s="10"/>
      <c r="C896" s="15" t="str">
        <f aca="false">IF($B896="","",IFERROR(INDEX(회원명부!$B$3:$B$502,MATCH($B896,회원명부!$A$3:$A$502,0)),"미등록회원"))</f>
        <v/>
      </c>
      <c r="D896" s="13"/>
      <c r="E896" s="10"/>
      <c r="F896" s="10"/>
      <c r="G896" s="10"/>
    </row>
    <row r="897" customFormat="false" ht="15" hidden="false" customHeight="true" outlineLevel="0" collapsed="false">
      <c r="A897" s="12"/>
      <c r="B897" s="10"/>
      <c r="C897" s="15" t="str">
        <f aca="false">IF($B897="","",IFERROR(INDEX(회원명부!$B$3:$B$502,MATCH($B897,회원명부!$A$3:$A$502,0)),"미등록회원"))</f>
        <v/>
      </c>
      <c r="D897" s="13"/>
      <c r="E897" s="10"/>
      <c r="F897" s="10"/>
      <c r="G897" s="10"/>
    </row>
    <row r="898" customFormat="false" ht="15" hidden="false" customHeight="true" outlineLevel="0" collapsed="false">
      <c r="A898" s="12"/>
      <c r="B898" s="10"/>
      <c r="C898" s="15" t="str">
        <f aca="false">IF($B898="","",IFERROR(INDEX(회원명부!$B$3:$B$502,MATCH($B898,회원명부!$A$3:$A$502,0)),"미등록회원"))</f>
        <v/>
      </c>
      <c r="D898" s="13"/>
      <c r="E898" s="10"/>
      <c r="F898" s="10"/>
      <c r="G898" s="10"/>
    </row>
    <row r="899" customFormat="false" ht="15" hidden="false" customHeight="true" outlineLevel="0" collapsed="false">
      <c r="A899" s="12"/>
      <c r="B899" s="10"/>
      <c r="C899" s="15" t="str">
        <f aca="false">IF($B899="","",IFERROR(INDEX(회원명부!$B$3:$B$502,MATCH($B899,회원명부!$A$3:$A$502,0)),"미등록회원"))</f>
        <v/>
      </c>
      <c r="D899" s="13"/>
      <c r="E899" s="10"/>
      <c r="F899" s="10"/>
      <c r="G899" s="10"/>
    </row>
    <row r="900" customFormat="false" ht="15" hidden="false" customHeight="true" outlineLevel="0" collapsed="false">
      <c r="A900" s="12"/>
      <c r="B900" s="10"/>
      <c r="C900" s="15" t="str">
        <f aca="false">IF($B900="","",IFERROR(INDEX(회원명부!$B$3:$B$502,MATCH($B900,회원명부!$A$3:$A$502,0)),"미등록회원"))</f>
        <v/>
      </c>
      <c r="D900" s="13"/>
      <c r="E900" s="10"/>
      <c r="F900" s="10"/>
      <c r="G900" s="10"/>
    </row>
    <row r="901" customFormat="false" ht="15" hidden="false" customHeight="true" outlineLevel="0" collapsed="false">
      <c r="A901" s="12"/>
      <c r="B901" s="10"/>
      <c r="C901" s="15" t="str">
        <f aca="false">IF($B901="","",IFERROR(INDEX(회원명부!$B$3:$B$502,MATCH($B901,회원명부!$A$3:$A$502,0)),"미등록회원"))</f>
        <v/>
      </c>
      <c r="D901" s="13"/>
      <c r="E901" s="10"/>
      <c r="F901" s="10"/>
      <c r="G901" s="10"/>
    </row>
    <row r="902" customFormat="false" ht="15" hidden="false" customHeight="true" outlineLevel="0" collapsed="false">
      <c r="A902" s="12"/>
      <c r="B902" s="10"/>
      <c r="C902" s="15" t="str">
        <f aca="false">IF($B902="","",IFERROR(INDEX(회원명부!$B$3:$B$502,MATCH($B902,회원명부!$A$3:$A$502,0)),"미등록회원"))</f>
        <v/>
      </c>
      <c r="D902" s="13"/>
      <c r="E902" s="10"/>
      <c r="F902" s="10"/>
      <c r="G902" s="10"/>
    </row>
    <row r="903" customFormat="false" ht="15" hidden="false" customHeight="true" outlineLevel="0" collapsed="false">
      <c r="A903" s="12"/>
      <c r="B903" s="10"/>
      <c r="C903" s="15" t="str">
        <f aca="false">IF($B903="","",IFERROR(INDEX(회원명부!$B$3:$B$502,MATCH($B903,회원명부!$A$3:$A$502,0)),"미등록회원"))</f>
        <v/>
      </c>
      <c r="D903" s="13"/>
      <c r="E903" s="10"/>
      <c r="F903" s="10"/>
      <c r="G903" s="10"/>
    </row>
    <row r="904" customFormat="false" ht="15" hidden="false" customHeight="true" outlineLevel="0" collapsed="false">
      <c r="A904" s="12"/>
      <c r="B904" s="10"/>
      <c r="C904" s="15" t="str">
        <f aca="false">IF($B904="","",IFERROR(INDEX(회원명부!$B$3:$B$502,MATCH($B904,회원명부!$A$3:$A$502,0)),"미등록회원"))</f>
        <v/>
      </c>
      <c r="D904" s="13"/>
      <c r="E904" s="10"/>
      <c r="F904" s="10"/>
      <c r="G904" s="10"/>
    </row>
    <row r="905" customFormat="false" ht="15" hidden="false" customHeight="true" outlineLevel="0" collapsed="false">
      <c r="A905" s="12"/>
      <c r="B905" s="10"/>
      <c r="C905" s="15" t="str">
        <f aca="false">IF($B905="","",IFERROR(INDEX(회원명부!$B$3:$B$502,MATCH($B905,회원명부!$A$3:$A$502,0)),"미등록회원"))</f>
        <v/>
      </c>
      <c r="D905" s="13"/>
      <c r="E905" s="10"/>
      <c r="F905" s="10"/>
      <c r="G905" s="10"/>
    </row>
    <row r="906" customFormat="false" ht="15" hidden="false" customHeight="true" outlineLevel="0" collapsed="false">
      <c r="A906" s="12"/>
      <c r="B906" s="10"/>
      <c r="C906" s="15" t="str">
        <f aca="false">IF($B906="","",IFERROR(INDEX(회원명부!$B$3:$B$502,MATCH($B906,회원명부!$A$3:$A$502,0)),"미등록회원"))</f>
        <v/>
      </c>
      <c r="D906" s="13"/>
      <c r="E906" s="10"/>
      <c r="F906" s="10"/>
      <c r="G906" s="10"/>
    </row>
    <row r="907" customFormat="false" ht="15" hidden="false" customHeight="true" outlineLevel="0" collapsed="false">
      <c r="A907" s="12"/>
      <c r="B907" s="10"/>
      <c r="C907" s="15" t="str">
        <f aca="false">IF($B907="","",IFERROR(INDEX(회원명부!$B$3:$B$502,MATCH($B907,회원명부!$A$3:$A$502,0)),"미등록회원"))</f>
        <v/>
      </c>
      <c r="D907" s="13"/>
      <c r="E907" s="10"/>
      <c r="F907" s="10"/>
      <c r="G907" s="10"/>
    </row>
    <row r="908" customFormat="false" ht="15" hidden="false" customHeight="true" outlineLevel="0" collapsed="false">
      <c r="A908" s="12"/>
      <c r="B908" s="10"/>
      <c r="C908" s="15" t="str">
        <f aca="false">IF($B908="","",IFERROR(INDEX(회원명부!$B$3:$B$502,MATCH($B908,회원명부!$A$3:$A$502,0)),"미등록회원"))</f>
        <v/>
      </c>
      <c r="D908" s="13"/>
      <c r="E908" s="10"/>
      <c r="F908" s="10"/>
      <c r="G908" s="10"/>
    </row>
    <row r="909" customFormat="false" ht="15" hidden="false" customHeight="true" outlineLevel="0" collapsed="false">
      <c r="A909" s="12"/>
      <c r="B909" s="10"/>
      <c r="C909" s="15" t="str">
        <f aca="false">IF($B909="","",IFERROR(INDEX(회원명부!$B$3:$B$502,MATCH($B909,회원명부!$A$3:$A$502,0)),"미등록회원"))</f>
        <v/>
      </c>
      <c r="D909" s="13"/>
      <c r="E909" s="10"/>
      <c r="F909" s="10"/>
      <c r="G909" s="10"/>
    </row>
    <row r="910" customFormat="false" ht="15" hidden="false" customHeight="true" outlineLevel="0" collapsed="false">
      <c r="A910" s="12"/>
      <c r="B910" s="10"/>
      <c r="C910" s="15" t="str">
        <f aca="false">IF($B910="","",IFERROR(INDEX(회원명부!$B$3:$B$502,MATCH($B910,회원명부!$A$3:$A$502,0)),"미등록회원"))</f>
        <v/>
      </c>
      <c r="D910" s="13"/>
      <c r="E910" s="10"/>
      <c r="F910" s="10"/>
      <c r="G910" s="10"/>
    </row>
    <row r="911" customFormat="false" ht="15" hidden="false" customHeight="true" outlineLevel="0" collapsed="false">
      <c r="A911" s="12"/>
      <c r="B911" s="10"/>
      <c r="C911" s="15" t="str">
        <f aca="false">IF($B911="","",IFERROR(INDEX(회원명부!$B$3:$B$502,MATCH($B911,회원명부!$A$3:$A$502,0)),"미등록회원"))</f>
        <v/>
      </c>
      <c r="D911" s="13"/>
      <c r="E911" s="10"/>
      <c r="F911" s="10"/>
      <c r="G911" s="10"/>
    </row>
    <row r="912" customFormat="false" ht="15" hidden="false" customHeight="true" outlineLevel="0" collapsed="false">
      <c r="A912" s="12"/>
      <c r="B912" s="10"/>
      <c r="C912" s="15" t="str">
        <f aca="false">IF($B912="","",IFERROR(INDEX(회원명부!$B$3:$B$502,MATCH($B912,회원명부!$A$3:$A$502,0)),"미등록회원"))</f>
        <v/>
      </c>
      <c r="D912" s="13"/>
      <c r="E912" s="10"/>
      <c r="F912" s="10"/>
      <c r="G912" s="10"/>
    </row>
    <row r="913" customFormat="false" ht="15" hidden="false" customHeight="true" outlineLevel="0" collapsed="false">
      <c r="A913" s="12"/>
      <c r="B913" s="10"/>
      <c r="C913" s="15" t="str">
        <f aca="false">IF($B913="","",IFERROR(INDEX(회원명부!$B$3:$B$502,MATCH($B913,회원명부!$A$3:$A$502,0)),"미등록회원"))</f>
        <v/>
      </c>
      <c r="D913" s="13"/>
      <c r="E913" s="10"/>
      <c r="F913" s="10"/>
      <c r="G913" s="10"/>
    </row>
    <row r="914" customFormat="false" ht="15" hidden="false" customHeight="true" outlineLevel="0" collapsed="false">
      <c r="A914" s="12"/>
      <c r="B914" s="10"/>
      <c r="C914" s="15" t="str">
        <f aca="false">IF($B914="","",IFERROR(INDEX(회원명부!$B$3:$B$502,MATCH($B914,회원명부!$A$3:$A$502,0)),"미등록회원"))</f>
        <v/>
      </c>
      <c r="D914" s="13"/>
      <c r="E914" s="10"/>
      <c r="F914" s="10"/>
      <c r="G914" s="10"/>
    </row>
    <row r="915" customFormat="false" ht="15" hidden="false" customHeight="true" outlineLevel="0" collapsed="false">
      <c r="A915" s="12"/>
      <c r="B915" s="10"/>
      <c r="C915" s="15" t="str">
        <f aca="false">IF($B915="","",IFERROR(INDEX(회원명부!$B$3:$B$502,MATCH($B915,회원명부!$A$3:$A$502,0)),"미등록회원"))</f>
        <v/>
      </c>
      <c r="D915" s="13"/>
      <c r="E915" s="10"/>
      <c r="F915" s="10"/>
      <c r="G915" s="10"/>
    </row>
    <row r="916" customFormat="false" ht="15" hidden="false" customHeight="true" outlineLevel="0" collapsed="false">
      <c r="A916" s="12"/>
      <c r="B916" s="10"/>
      <c r="C916" s="15" t="str">
        <f aca="false">IF($B916="","",IFERROR(INDEX(회원명부!$B$3:$B$502,MATCH($B916,회원명부!$A$3:$A$502,0)),"미등록회원"))</f>
        <v/>
      </c>
      <c r="D916" s="13"/>
      <c r="E916" s="10"/>
      <c r="F916" s="10"/>
      <c r="G916" s="10"/>
    </row>
    <row r="917" customFormat="false" ht="15" hidden="false" customHeight="true" outlineLevel="0" collapsed="false">
      <c r="A917" s="12"/>
      <c r="B917" s="10"/>
      <c r="C917" s="15" t="str">
        <f aca="false">IF($B917="","",IFERROR(INDEX(회원명부!$B$3:$B$502,MATCH($B917,회원명부!$A$3:$A$502,0)),"미등록회원"))</f>
        <v/>
      </c>
      <c r="D917" s="13"/>
      <c r="E917" s="10"/>
      <c r="F917" s="10"/>
      <c r="G917" s="10"/>
    </row>
    <row r="918" customFormat="false" ht="15" hidden="false" customHeight="true" outlineLevel="0" collapsed="false">
      <c r="A918" s="12"/>
      <c r="B918" s="10"/>
      <c r="C918" s="15" t="str">
        <f aca="false">IF($B918="","",IFERROR(INDEX(회원명부!$B$3:$B$502,MATCH($B918,회원명부!$A$3:$A$502,0)),"미등록회원"))</f>
        <v/>
      </c>
      <c r="D918" s="13"/>
      <c r="E918" s="10"/>
      <c r="F918" s="10"/>
      <c r="G918" s="10"/>
    </row>
    <row r="919" customFormat="false" ht="15" hidden="false" customHeight="true" outlineLevel="0" collapsed="false">
      <c r="A919" s="12"/>
      <c r="B919" s="10"/>
      <c r="C919" s="15" t="str">
        <f aca="false">IF($B919="","",IFERROR(INDEX(회원명부!$B$3:$B$502,MATCH($B919,회원명부!$A$3:$A$502,0)),"미등록회원"))</f>
        <v/>
      </c>
      <c r="D919" s="13"/>
      <c r="E919" s="10"/>
      <c r="F919" s="10"/>
      <c r="G919" s="10"/>
    </row>
    <row r="920" customFormat="false" ht="15" hidden="false" customHeight="true" outlineLevel="0" collapsed="false">
      <c r="A920" s="12"/>
      <c r="B920" s="10"/>
      <c r="C920" s="15" t="str">
        <f aca="false">IF($B920="","",IFERROR(INDEX(회원명부!$B$3:$B$502,MATCH($B920,회원명부!$A$3:$A$502,0)),"미등록회원"))</f>
        <v/>
      </c>
      <c r="D920" s="13"/>
      <c r="E920" s="10"/>
      <c r="F920" s="10"/>
      <c r="G920" s="10"/>
    </row>
    <row r="921" customFormat="false" ht="15" hidden="false" customHeight="true" outlineLevel="0" collapsed="false">
      <c r="A921" s="12"/>
      <c r="B921" s="10"/>
      <c r="C921" s="15" t="str">
        <f aca="false">IF($B921="","",IFERROR(INDEX(회원명부!$B$3:$B$502,MATCH($B921,회원명부!$A$3:$A$502,0)),"미등록회원"))</f>
        <v/>
      </c>
      <c r="D921" s="13"/>
      <c r="E921" s="10"/>
      <c r="F921" s="10"/>
      <c r="G921" s="10"/>
    </row>
    <row r="922" customFormat="false" ht="15" hidden="false" customHeight="true" outlineLevel="0" collapsed="false">
      <c r="A922" s="12"/>
      <c r="B922" s="10"/>
      <c r="C922" s="15" t="str">
        <f aca="false">IF($B922="","",IFERROR(INDEX(회원명부!$B$3:$B$502,MATCH($B922,회원명부!$A$3:$A$502,0)),"미등록회원"))</f>
        <v/>
      </c>
      <c r="D922" s="13"/>
      <c r="E922" s="10"/>
      <c r="F922" s="10"/>
      <c r="G922" s="10"/>
    </row>
    <row r="923" customFormat="false" ht="15" hidden="false" customHeight="true" outlineLevel="0" collapsed="false">
      <c r="A923" s="12"/>
      <c r="B923" s="10"/>
      <c r="C923" s="15" t="str">
        <f aca="false">IF($B923="","",IFERROR(INDEX(회원명부!$B$3:$B$502,MATCH($B923,회원명부!$A$3:$A$502,0)),"미등록회원"))</f>
        <v/>
      </c>
      <c r="D923" s="13"/>
      <c r="E923" s="10"/>
      <c r="F923" s="10"/>
      <c r="G923" s="10"/>
    </row>
    <row r="924" customFormat="false" ht="15" hidden="false" customHeight="true" outlineLevel="0" collapsed="false">
      <c r="A924" s="12"/>
      <c r="B924" s="10"/>
      <c r="C924" s="15" t="str">
        <f aca="false">IF($B924="","",IFERROR(INDEX(회원명부!$B$3:$B$502,MATCH($B924,회원명부!$A$3:$A$502,0)),"미등록회원"))</f>
        <v/>
      </c>
      <c r="D924" s="13"/>
      <c r="E924" s="10"/>
      <c r="F924" s="10"/>
      <c r="G924" s="10"/>
    </row>
    <row r="925" customFormat="false" ht="15" hidden="false" customHeight="true" outlineLevel="0" collapsed="false">
      <c r="A925" s="12"/>
      <c r="B925" s="10"/>
      <c r="C925" s="15" t="str">
        <f aca="false">IF($B925="","",IFERROR(INDEX(회원명부!$B$3:$B$502,MATCH($B925,회원명부!$A$3:$A$502,0)),"미등록회원"))</f>
        <v/>
      </c>
      <c r="D925" s="13"/>
      <c r="E925" s="10"/>
      <c r="F925" s="10"/>
      <c r="G925" s="10"/>
    </row>
    <row r="926" customFormat="false" ht="15" hidden="false" customHeight="true" outlineLevel="0" collapsed="false">
      <c r="A926" s="12"/>
      <c r="B926" s="10"/>
      <c r="C926" s="15" t="str">
        <f aca="false">IF($B926="","",IFERROR(INDEX(회원명부!$B$3:$B$502,MATCH($B926,회원명부!$A$3:$A$502,0)),"미등록회원"))</f>
        <v/>
      </c>
      <c r="D926" s="13"/>
      <c r="E926" s="10"/>
      <c r="F926" s="10"/>
      <c r="G926" s="10"/>
    </row>
    <row r="927" customFormat="false" ht="15" hidden="false" customHeight="true" outlineLevel="0" collapsed="false">
      <c r="A927" s="12"/>
      <c r="B927" s="10"/>
      <c r="C927" s="15" t="str">
        <f aca="false">IF($B927="","",IFERROR(INDEX(회원명부!$B$3:$B$502,MATCH($B927,회원명부!$A$3:$A$502,0)),"미등록회원"))</f>
        <v/>
      </c>
      <c r="D927" s="13"/>
      <c r="E927" s="10"/>
      <c r="F927" s="10"/>
      <c r="G927" s="10"/>
    </row>
    <row r="928" customFormat="false" ht="15" hidden="false" customHeight="true" outlineLevel="0" collapsed="false">
      <c r="A928" s="12"/>
      <c r="B928" s="10"/>
      <c r="C928" s="15" t="str">
        <f aca="false">IF($B928="","",IFERROR(INDEX(회원명부!$B$3:$B$502,MATCH($B928,회원명부!$A$3:$A$502,0)),"미등록회원"))</f>
        <v/>
      </c>
      <c r="D928" s="13"/>
      <c r="E928" s="10"/>
      <c r="F928" s="10"/>
      <c r="G928" s="10"/>
    </row>
    <row r="929" customFormat="false" ht="15" hidden="false" customHeight="true" outlineLevel="0" collapsed="false">
      <c r="A929" s="12"/>
      <c r="B929" s="10"/>
      <c r="C929" s="15" t="str">
        <f aca="false">IF($B929="","",IFERROR(INDEX(회원명부!$B$3:$B$502,MATCH($B929,회원명부!$A$3:$A$502,0)),"미등록회원"))</f>
        <v/>
      </c>
      <c r="D929" s="13"/>
      <c r="E929" s="10"/>
      <c r="F929" s="10"/>
      <c r="G929" s="10"/>
    </row>
    <row r="930" customFormat="false" ht="15" hidden="false" customHeight="true" outlineLevel="0" collapsed="false">
      <c r="A930" s="12"/>
      <c r="B930" s="10"/>
      <c r="C930" s="15" t="str">
        <f aca="false">IF($B930="","",IFERROR(INDEX(회원명부!$B$3:$B$502,MATCH($B930,회원명부!$A$3:$A$502,0)),"미등록회원"))</f>
        <v/>
      </c>
      <c r="D930" s="13"/>
      <c r="E930" s="10"/>
      <c r="F930" s="10"/>
      <c r="G930" s="10"/>
    </row>
    <row r="931" customFormat="false" ht="15" hidden="false" customHeight="true" outlineLevel="0" collapsed="false">
      <c r="A931" s="12"/>
      <c r="B931" s="10"/>
      <c r="C931" s="15" t="str">
        <f aca="false">IF($B931="","",IFERROR(INDEX(회원명부!$B$3:$B$502,MATCH($B931,회원명부!$A$3:$A$502,0)),"미등록회원"))</f>
        <v/>
      </c>
      <c r="D931" s="13"/>
      <c r="E931" s="10"/>
      <c r="F931" s="10"/>
      <c r="G931" s="10"/>
    </row>
    <row r="932" customFormat="false" ht="15" hidden="false" customHeight="true" outlineLevel="0" collapsed="false">
      <c r="A932" s="12"/>
      <c r="B932" s="10"/>
      <c r="C932" s="15" t="str">
        <f aca="false">IF($B932="","",IFERROR(INDEX(회원명부!$B$3:$B$502,MATCH($B932,회원명부!$A$3:$A$502,0)),"미등록회원"))</f>
        <v/>
      </c>
      <c r="D932" s="13"/>
      <c r="E932" s="10"/>
      <c r="F932" s="10"/>
      <c r="G932" s="10"/>
    </row>
    <row r="933" customFormat="false" ht="15" hidden="false" customHeight="true" outlineLevel="0" collapsed="false">
      <c r="A933" s="12"/>
      <c r="B933" s="10"/>
      <c r="C933" s="15" t="str">
        <f aca="false">IF($B933="","",IFERROR(INDEX(회원명부!$B$3:$B$502,MATCH($B933,회원명부!$A$3:$A$502,0)),"미등록회원"))</f>
        <v/>
      </c>
      <c r="D933" s="13"/>
      <c r="E933" s="10"/>
      <c r="F933" s="10"/>
      <c r="G933" s="10"/>
    </row>
    <row r="934" customFormat="false" ht="15" hidden="false" customHeight="true" outlineLevel="0" collapsed="false">
      <c r="A934" s="12"/>
      <c r="B934" s="10"/>
      <c r="C934" s="15" t="str">
        <f aca="false">IF($B934="","",IFERROR(INDEX(회원명부!$B$3:$B$502,MATCH($B934,회원명부!$A$3:$A$502,0)),"미등록회원"))</f>
        <v/>
      </c>
      <c r="D934" s="13"/>
      <c r="E934" s="10"/>
      <c r="F934" s="10"/>
      <c r="G934" s="10"/>
    </row>
    <row r="935" customFormat="false" ht="15" hidden="false" customHeight="true" outlineLevel="0" collapsed="false">
      <c r="A935" s="12"/>
      <c r="B935" s="10"/>
      <c r="C935" s="15" t="str">
        <f aca="false">IF($B935="","",IFERROR(INDEX(회원명부!$B$3:$B$502,MATCH($B935,회원명부!$A$3:$A$502,0)),"미등록회원"))</f>
        <v/>
      </c>
      <c r="D935" s="13"/>
      <c r="E935" s="10"/>
      <c r="F935" s="10"/>
      <c r="G935" s="10"/>
    </row>
    <row r="936" customFormat="false" ht="15" hidden="false" customHeight="true" outlineLevel="0" collapsed="false">
      <c r="A936" s="12"/>
      <c r="B936" s="10"/>
      <c r="C936" s="15" t="str">
        <f aca="false">IF($B936="","",IFERROR(INDEX(회원명부!$B$3:$B$502,MATCH($B936,회원명부!$A$3:$A$502,0)),"미등록회원"))</f>
        <v/>
      </c>
      <c r="D936" s="13"/>
      <c r="E936" s="10"/>
      <c r="F936" s="10"/>
      <c r="G936" s="10"/>
    </row>
    <row r="937" customFormat="false" ht="15" hidden="false" customHeight="true" outlineLevel="0" collapsed="false">
      <c r="A937" s="12"/>
      <c r="B937" s="10"/>
      <c r="C937" s="15" t="str">
        <f aca="false">IF($B937="","",IFERROR(INDEX(회원명부!$B$3:$B$502,MATCH($B937,회원명부!$A$3:$A$502,0)),"미등록회원"))</f>
        <v/>
      </c>
      <c r="D937" s="13"/>
      <c r="E937" s="10"/>
      <c r="F937" s="10"/>
      <c r="G937" s="10"/>
    </row>
    <row r="938" customFormat="false" ht="15" hidden="false" customHeight="true" outlineLevel="0" collapsed="false">
      <c r="A938" s="12"/>
      <c r="B938" s="10"/>
      <c r="C938" s="15" t="str">
        <f aca="false">IF($B938="","",IFERROR(INDEX(회원명부!$B$3:$B$502,MATCH($B938,회원명부!$A$3:$A$502,0)),"미등록회원"))</f>
        <v/>
      </c>
      <c r="D938" s="13"/>
      <c r="E938" s="10"/>
      <c r="F938" s="10"/>
      <c r="G938" s="10"/>
    </row>
    <row r="939" customFormat="false" ht="15" hidden="false" customHeight="true" outlineLevel="0" collapsed="false">
      <c r="A939" s="12"/>
      <c r="B939" s="10"/>
      <c r="C939" s="15" t="str">
        <f aca="false">IF($B939="","",IFERROR(INDEX(회원명부!$B$3:$B$502,MATCH($B939,회원명부!$A$3:$A$502,0)),"미등록회원"))</f>
        <v/>
      </c>
      <c r="D939" s="13"/>
      <c r="E939" s="10"/>
      <c r="F939" s="10"/>
      <c r="G939" s="10"/>
    </row>
    <row r="940" customFormat="false" ht="15" hidden="false" customHeight="true" outlineLevel="0" collapsed="false">
      <c r="A940" s="12"/>
      <c r="B940" s="10"/>
      <c r="C940" s="15" t="str">
        <f aca="false">IF($B940="","",IFERROR(INDEX(회원명부!$B$3:$B$502,MATCH($B940,회원명부!$A$3:$A$502,0)),"미등록회원"))</f>
        <v/>
      </c>
      <c r="D940" s="13"/>
      <c r="E940" s="10"/>
      <c r="F940" s="10"/>
      <c r="G940" s="10"/>
    </row>
    <row r="941" customFormat="false" ht="15" hidden="false" customHeight="true" outlineLevel="0" collapsed="false">
      <c r="A941" s="12"/>
      <c r="B941" s="10"/>
      <c r="C941" s="15" t="str">
        <f aca="false">IF($B941="","",IFERROR(INDEX(회원명부!$B$3:$B$502,MATCH($B941,회원명부!$A$3:$A$502,0)),"미등록회원"))</f>
        <v/>
      </c>
      <c r="D941" s="13"/>
      <c r="E941" s="10"/>
      <c r="F941" s="10"/>
      <c r="G941" s="10"/>
    </row>
    <row r="942" customFormat="false" ht="15" hidden="false" customHeight="true" outlineLevel="0" collapsed="false">
      <c r="A942" s="12"/>
      <c r="B942" s="10"/>
      <c r="C942" s="15" t="str">
        <f aca="false">IF($B942="","",IFERROR(INDEX(회원명부!$B$3:$B$502,MATCH($B942,회원명부!$A$3:$A$502,0)),"미등록회원"))</f>
        <v/>
      </c>
      <c r="D942" s="13"/>
      <c r="E942" s="10"/>
      <c r="F942" s="10"/>
      <c r="G942" s="10"/>
    </row>
    <row r="943" customFormat="false" ht="15" hidden="false" customHeight="true" outlineLevel="0" collapsed="false">
      <c r="A943" s="12"/>
      <c r="B943" s="10"/>
      <c r="C943" s="15" t="str">
        <f aca="false">IF($B943="","",IFERROR(INDEX(회원명부!$B$3:$B$502,MATCH($B943,회원명부!$A$3:$A$502,0)),"미등록회원"))</f>
        <v/>
      </c>
      <c r="D943" s="13"/>
      <c r="E943" s="10"/>
      <c r="F943" s="10"/>
      <c r="G943" s="10"/>
    </row>
    <row r="944" customFormat="false" ht="15" hidden="false" customHeight="true" outlineLevel="0" collapsed="false">
      <c r="A944" s="12"/>
      <c r="B944" s="10"/>
      <c r="C944" s="15" t="str">
        <f aca="false">IF($B944="","",IFERROR(INDEX(회원명부!$B$3:$B$502,MATCH($B944,회원명부!$A$3:$A$502,0)),"미등록회원"))</f>
        <v/>
      </c>
      <c r="D944" s="13"/>
      <c r="E944" s="10"/>
      <c r="F944" s="10"/>
      <c r="G944" s="10"/>
    </row>
    <row r="945" customFormat="false" ht="15" hidden="false" customHeight="true" outlineLevel="0" collapsed="false">
      <c r="A945" s="12"/>
      <c r="B945" s="10"/>
      <c r="C945" s="15" t="str">
        <f aca="false">IF($B945="","",IFERROR(INDEX(회원명부!$B$3:$B$502,MATCH($B945,회원명부!$A$3:$A$502,0)),"미등록회원"))</f>
        <v/>
      </c>
      <c r="D945" s="13"/>
      <c r="E945" s="10"/>
      <c r="F945" s="10"/>
      <c r="G945" s="10"/>
    </row>
    <row r="946" customFormat="false" ht="15" hidden="false" customHeight="true" outlineLevel="0" collapsed="false">
      <c r="A946" s="12"/>
      <c r="B946" s="10"/>
      <c r="C946" s="15" t="str">
        <f aca="false">IF($B946="","",IFERROR(INDEX(회원명부!$B$3:$B$502,MATCH($B946,회원명부!$A$3:$A$502,0)),"미등록회원"))</f>
        <v/>
      </c>
      <c r="D946" s="13"/>
      <c r="E946" s="10"/>
      <c r="F946" s="10"/>
      <c r="G946" s="10"/>
    </row>
    <row r="947" customFormat="false" ht="15" hidden="false" customHeight="true" outlineLevel="0" collapsed="false">
      <c r="A947" s="12"/>
      <c r="B947" s="10"/>
      <c r="C947" s="15" t="str">
        <f aca="false">IF($B947="","",IFERROR(INDEX(회원명부!$B$3:$B$502,MATCH($B947,회원명부!$A$3:$A$502,0)),"미등록회원"))</f>
        <v/>
      </c>
      <c r="D947" s="13"/>
      <c r="E947" s="10"/>
      <c r="F947" s="10"/>
      <c r="G947" s="10"/>
    </row>
    <row r="948" customFormat="false" ht="15" hidden="false" customHeight="true" outlineLevel="0" collapsed="false">
      <c r="A948" s="12"/>
      <c r="B948" s="10"/>
      <c r="C948" s="15" t="str">
        <f aca="false">IF($B948="","",IFERROR(INDEX(회원명부!$B$3:$B$502,MATCH($B948,회원명부!$A$3:$A$502,0)),"미등록회원"))</f>
        <v/>
      </c>
      <c r="D948" s="13"/>
      <c r="E948" s="10"/>
      <c r="F948" s="10"/>
      <c r="G948" s="10"/>
    </row>
    <row r="949" customFormat="false" ht="15" hidden="false" customHeight="true" outlineLevel="0" collapsed="false">
      <c r="A949" s="12"/>
      <c r="B949" s="10"/>
      <c r="C949" s="15" t="str">
        <f aca="false">IF($B949="","",IFERROR(INDEX(회원명부!$B$3:$B$502,MATCH($B949,회원명부!$A$3:$A$502,0)),"미등록회원"))</f>
        <v/>
      </c>
      <c r="D949" s="13"/>
      <c r="E949" s="10"/>
      <c r="F949" s="10"/>
      <c r="G949" s="10"/>
    </row>
    <row r="950" customFormat="false" ht="15" hidden="false" customHeight="true" outlineLevel="0" collapsed="false">
      <c r="A950" s="12"/>
      <c r="B950" s="10"/>
      <c r="C950" s="15" t="str">
        <f aca="false">IF($B950="","",IFERROR(INDEX(회원명부!$B$3:$B$502,MATCH($B950,회원명부!$A$3:$A$502,0)),"미등록회원"))</f>
        <v/>
      </c>
      <c r="D950" s="13"/>
      <c r="E950" s="10"/>
      <c r="F950" s="10"/>
      <c r="G950" s="10"/>
    </row>
    <row r="951" customFormat="false" ht="15" hidden="false" customHeight="true" outlineLevel="0" collapsed="false">
      <c r="A951" s="12"/>
      <c r="B951" s="10"/>
      <c r="C951" s="15" t="str">
        <f aca="false">IF($B951="","",IFERROR(INDEX(회원명부!$B$3:$B$502,MATCH($B951,회원명부!$A$3:$A$502,0)),"미등록회원"))</f>
        <v/>
      </c>
      <c r="D951" s="13"/>
      <c r="E951" s="10"/>
      <c r="F951" s="10"/>
      <c r="G951" s="10"/>
    </row>
    <row r="952" customFormat="false" ht="15" hidden="false" customHeight="true" outlineLevel="0" collapsed="false">
      <c r="A952" s="12"/>
      <c r="B952" s="10"/>
      <c r="C952" s="15" t="str">
        <f aca="false">IF($B952="","",IFERROR(INDEX(회원명부!$B$3:$B$502,MATCH($B952,회원명부!$A$3:$A$502,0)),"미등록회원"))</f>
        <v/>
      </c>
      <c r="D952" s="13"/>
      <c r="E952" s="10"/>
      <c r="F952" s="10"/>
      <c r="G952" s="10"/>
    </row>
    <row r="953" customFormat="false" ht="15" hidden="false" customHeight="true" outlineLevel="0" collapsed="false">
      <c r="A953" s="12"/>
      <c r="B953" s="10"/>
      <c r="C953" s="15" t="str">
        <f aca="false">IF($B953="","",IFERROR(INDEX(회원명부!$B$3:$B$502,MATCH($B953,회원명부!$A$3:$A$502,0)),"미등록회원"))</f>
        <v/>
      </c>
      <c r="D953" s="13"/>
      <c r="E953" s="10"/>
      <c r="F953" s="10"/>
      <c r="G953" s="10"/>
    </row>
    <row r="954" customFormat="false" ht="15" hidden="false" customHeight="true" outlineLevel="0" collapsed="false">
      <c r="A954" s="12"/>
      <c r="B954" s="10"/>
      <c r="C954" s="15" t="str">
        <f aca="false">IF($B954="","",IFERROR(INDEX(회원명부!$B$3:$B$502,MATCH($B954,회원명부!$A$3:$A$502,0)),"미등록회원"))</f>
        <v/>
      </c>
      <c r="D954" s="13"/>
      <c r="E954" s="10"/>
      <c r="F954" s="10"/>
      <c r="G954" s="10"/>
    </row>
    <row r="955" customFormat="false" ht="15" hidden="false" customHeight="true" outlineLevel="0" collapsed="false">
      <c r="A955" s="12"/>
      <c r="B955" s="10"/>
      <c r="C955" s="15" t="str">
        <f aca="false">IF($B955="","",IFERROR(INDEX(회원명부!$B$3:$B$502,MATCH($B955,회원명부!$A$3:$A$502,0)),"미등록회원"))</f>
        <v/>
      </c>
      <c r="D955" s="13"/>
      <c r="E955" s="10"/>
      <c r="F955" s="10"/>
      <c r="G955" s="10"/>
    </row>
    <row r="956" customFormat="false" ht="15" hidden="false" customHeight="true" outlineLevel="0" collapsed="false">
      <c r="A956" s="12"/>
      <c r="B956" s="10"/>
      <c r="C956" s="15" t="str">
        <f aca="false">IF($B956="","",IFERROR(INDEX(회원명부!$B$3:$B$502,MATCH($B956,회원명부!$A$3:$A$502,0)),"미등록회원"))</f>
        <v/>
      </c>
      <c r="D956" s="13"/>
      <c r="E956" s="10"/>
      <c r="F956" s="10"/>
      <c r="G956" s="10"/>
    </row>
    <row r="957" customFormat="false" ht="15" hidden="false" customHeight="true" outlineLevel="0" collapsed="false">
      <c r="A957" s="12"/>
      <c r="B957" s="10"/>
      <c r="C957" s="15" t="str">
        <f aca="false">IF($B957="","",IFERROR(INDEX(회원명부!$B$3:$B$502,MATCH($B957,회원명부!$A$3:$A$502,0)),"미등록회원"))</f>
        <v/>
      </c>
      <c r="D957" s="13"/>
      <c r="E957" s="10"/>
      <c r="F957" s="10"/>
      <c r="G957" s="10"/>
    </row>
    <row r="958" customFormat="false" ht="15" hidden="false" customHeight="true" outlineLevel="0" collapsed="false">
      <c r="A958" s="12"/>
      <c r="B958" s="10"/>
      <c r="C958" s="15" t="str">
        <f aca="false">IF($B958="","",IFERROR(INDEX(회원명부!$B$3:$B$502,MATCH($B958,회원명부!$A$3:$A$502,0)),"미등록회원"))</f>
        <v/>
      </c>
      <c r="D958" s="13"/>
      <c r="E958" s="10"/>
      <c r="F958" s="10"/>
      <c r="G958" s="10"/>
    </row>
    <row r="959" customFormat="false" ht="15" hidden="false" customHeight="true" outlineLevel="0" collapsed="false">
      <c r="A959" s="12"/>
      <c r="B959" s="10"/>
      <c r="C959" s="15" t="str">
        <f aca="false">IF($B959="","",IFERROR(INDEX(회원명부!$B$3:$B$502,MATCH($B959,회원명부!$A$3:$A$502,0)),"미등록회원"))</f>
        <v/>
      </c>
      <c r="D959" s="13"/>
      <c r="E959" s="10"/>
      <c r="F959" s="10"/>
      <c r="G959" s="10"/>
    </row>
    <row r="960" customFormat="false" ht="15" hidden="false" customHeight="true" outlineLevel="0" collapsed="false">
      <c r="A960" s="12"/>
      <c r="B960" s="10"/>
      <c r="C960" s="15" t="str">
        <f aca="false">IF($B960="","",IFERROR(INDEX(회원명부!$B$3:$B$502,MATCH($B960,회원명부!$A$3:$A$502,0)),"미등록회원"))</f>
        <v/>
      </c>
      <c r="D960" s="13"/>
      <c r="E960" s="10"/>
      <c r="F960" s="10"/>
      <c r="G960" s="10"/>
    </row>
    <row r="961" customFormat="false" ht="15" hidden="false" customHeight="true" outlineLevel="0" collapsed="false">
      <c r="A961" s="12"/>
      <c r="B961" s="10"/>
      <c r="C961" s="15" t="str">
        <f aca="false">IF($B961="","",IFERROR(INDEX(회원명부!$B$3:$B$502,MATCH($B961,회원명부!$A$3:$A$502,0)),"미등록회원"))</f>
        <v/>
      </c>
      <c r="D961" s="13"/>
      <c r="E961" s="10"/>
      <c r="F961" s="10"/>
      <c r="G961" s="10"/>
    </row>
    <row r="962" customFormat="false" ht="15" hidden="false" customHeight="true" outlineLevel="0" collapsed="false">
      <c r="A962" s="12"/>
      <c r="B962" s="10"/>
      <c r="C962" s="15" t="str">
        <f aca="false">IF($B962="","",IFERROR(INDEX(회원명부!$B$3:$B$502,MATCH($B962,회원명부!$A$3:$A$502,0)),"미등록회원"))</f>
        <v/>
      </c>
      <c r="D962" s="13"/>
      <c r="E962" s="10"/>
      <c r="F962" s="10"/>
      <c r="G962" s="10"/>
    </row>
    <row r="963" customFormat="false" ht="15" hidden="false" customHeight="true" outlineLevel="0" collapsed="false">
      <c r="A963" s="12"/>
      <c r="B963" s="10"/>
      <c r="C963" s="15" t="str">
        <f aca="false">IF($B963="","",IFERROR(INDEX(회원명부!$B$3:$B$502,MATCH($B963,회원명부!$A$3:$A$502,0)),"미등록회원"))</f>
        <v/>
      </c>
      <c r="D963" s="13"/>
      <c r="E963" s="10"/>
      <c r="F963" s="10"/>
      <c r="G963" s="10"/>
    </row>
    <row r="964" customFormat="false" ht="15" hidden="false" customHeight="true" outlineLevel="0" collapsed="false">
      <c r="A964" s="12"/>
      <c r="B964" s="10"/>
      <c r="C964" s="15" t="str">
        <f aca="false">IF($B964="","",IFERROR(INDEX(회원명부!$B$3:$B$502,MATCH($B964,회원명부!$A$3:$A$502,0)),"미등록회원"))</f>
        <v/>
      </c>
      <c r="D964" s="13"/>
      <c r="E964" s="10"/>
      <c r="F964" s="10"/>
      <c r="G964" s="10"/>
    </row>
    <row r="965" customFormat="false" ht="15" hidden="false" customHeight="true" outlineLevel="0" collapsed="false">
      <c r="A965" s="12"/>
      <c r="B965" s="10"/>
      <c r="C965" s="15" t="str">
        <f aca="false">IF($B965="","",IFERROR(INDEX(회원명부!$B$3:$B$502,MATCH($B965,회원명부!$A$3:$A$502,0)),"미등록회원"))</f>
        <v/>
      </c>
      <c r="D965" s="13"/>
      <c r="E965" s="10"/>
      <c r="F965" s="10"/>
      <c r="G965" s="10"/>
    </row>
    <row r="966" customFormat="false" ht="15" hidden="false" customHeight="true" outlineLevel="0" collapsed="false">
      <c r="A966" s="12"/>
      <c r="B966" s="10"/>
      <c r="C966" s="15" t="str">
        <f aca="false">IF($B966="","",IFERROR(INDEX(회원명부!$B$3:$B$502,MATCH($B966,회원명부!$A$3:$A$502,0)),"미등록회원"))</f>
        <v/>
      </c>
      <c r="D966" s="13"/>
      <c r="E966" s="10"/>
      <c r="F966" s="10"/>
      <c r="G966" s="10"/>
    </row>
    <row r="967" customFormat="false" ht="15" hidden="false" customHeight="true" outlineLevel="0" collapsed="false">
      <c r="A967" s="12"/>
      <c r="B967" s="10"/>
      <c r="C967" s="15" t="str">
        <f aca="false">IF($B967="","",IFERROR(INDEX(회원명부!$B$3:$B$502,MATCH($B967,회원명부!$A$3:$A$502,0)),"미등록회원"))</f>
        <v/>
      </c>
      <c r="D967" s="13"/>
      <c r="E967" s="10"/>
      <c r="F967" s="10"/>
      <c r="G967" s="10"/>
    </row>
    <row r="968" customFormat="false" ht="15" hidden="false" customHeight="true" outlineLevel="0" collapsed="false">
      <c r="A968" s="12"/>
      <c r="B968" s="10"/>
      <c r="C968" s="15" t="str">
        <f aca="false">IF($B968="","",IFERROR(INDEX(회원명부!$B$3:$B$502,MATCH($B968,회원명부!$A$3:$A$502,0)),"미등록회원"))</f>
        <v/>
      </c>
      <c r="D968" s="13"/>
      <c r="E968" s="10"/>
      <c r="F968" s="10"/>
      <c r="G968" s="10"/>
    </row>
    <row r="969" customFormat="false" ht="15" hidden="false" customHeight="true" outlineLevel="0" collapsed="false">
      <c r="A969" s="12"/>
      <c r="B969" s="10"/>
      <c r="C969" s="15" t="str">
        <f aca="false">IF($B969="","",IFERROR(INDEX(회원명부!$B$3:$B$502,MATCH($B969,회원명부!$A$3:$A$502,0)),"미등록회원"))</f>
        <v/>
      </c>
      <c r="D969" s="13"/>
      <c r="E969" s="10"/>
      <c r="F969" s="10"/>
      <c r="G969" s="10"/>
    </row>
    <row r="970" customFormat="false" ht="15" hidden="false" customHeight="true" outlineLevel="0" collapsed="false">
      <c r="A970" s="12"/>
      <c r="B970" s="10"/>
      <c r="C970" s="15" t="str">
        <f aca="false">IF($B970="","",IFERROR(INDEX(회원명부!$B$3:$B$502,MATCH($B970,회원명부!$A$3:$A$502,0)),"미등록회원"))</f>
        <v/>
      </c>
      <c r="D970" s="13"/>
      <c r="E970" s="10"/>
      <c r="F970" s="10"/>
      <c r="G970" s="10"/>
    </row>
    <row r="971" customFormat="false" ht="15" hidden="false" customHeight="true" outlineLevel="0" collapsed="false">
      <c r="A971" s="12"/>
      <c r="B971" s="10"/>
      <c r="C971" s="15" t="str">
        <f aca="false">IF($B971="","",IFERROR(INDEX(회원명부!$B$3:$B$502,MATCH($B971,회원명부!$A$3:$A$502,0)),"미등록회원"))</f>
        <v/>
      </c>
      <c r="D971" s="13"/>
      <c r="E971" s="10"/>
      <c r="F971" s="10"/>
      <c r="G971" s="10"/>
    </row>
    <row r="972" customFormat="false" ht="15" hidden="false" customHeight="true" outlineLevel="0" collapsed="false">
      <c r="A972" s="12"/>
      <c r="B972" s="10"/>
      <c r="C972" s="15" t="str">
        <f aca="false">IF($B972="","",IFERROR(INDEX(회원명부!$B$3:$B$502,MATCH($B972,회원명부!$A$3:$A$502,0)),"미등록회원"))</f>
        <v/>
      </c>
      <c r="D972" s="13"/>
      <c r="E972" s="10"/>
      <c r="F972" s="10"/>
      <c r="G972" s="10"/>
    </row>
    <row r="973" customFormat="false" ht="15" hidden="false" customHeight="true" outlineLevel="0" collapsed="false">
      <c r="A973" s="12"/>
      <c r="B973" s="10"/>
      <c r="C973" s="15" t="str">
        <f aca="false">IF($B973="","",IFERROR(INDEX(회원명부!$B$3:$B$502,MATCH($B973,회원명부!$A$3:$A$502,0)),"미등록회원"))</f>
        <v/>
      </c>
      <c r="D973" s="13"/>
      <c r="E973" s="10"/>
      <c r="F973" s="10"/>
      <c r="G973" s="10"/>
    </row>
    <row r="974" customFormat="false" ht="15" hidden="false" customHeight="true" outlineLevel="0" collapsed="false">
      <c r="A974" s="12"/>
      <c r="B974" s="10"/>
      <c r="C974" s="15" t="str">
        <f aca="false">IF($B974="","",IFERROR(INDEX(회원명부!$B$3:$B$502,MATCH($B974,회원명부!$A$3:$A$502,0)),"미등록회원"))</f>
        <v/>
      </c>
      <c r="D974" s="13"/>
      <c r="E974" s="10"/>
      <c r="F974" s="10"/>
      <c r="G974" s="10"/>
    </row>
    <row r="975" customFormat="false" ht="15" hidden="false" customHeight="true" outlineLevel="0" collapsed="false">
      <c r="A975" s="12"/>
      <c r="B975" s="10"/>
      <c r="C975" s="15" t="str">
        <f aca="false">IF($B975="","",IFERROR(INDEX(회원명부!$B$3:$B$502,MATCH($B975,회원명부!$A$3:$A$502,0)),"미등록회원"))</f>
        <v/>
      </c>
      <c r="D975" s="13"/>
      <c r="E975" s="10"/>
      <c r="F975" s="10"/>
      <c r="G975" s="10"/>
    </row>
    <row r="976" customFormat="false" ht="15" hidden="false" customHeight="true" outlineLevel="0" collapsed="false">
      <c r="A976" s="12"/>
      <c r="B976" s="10"/>
      <c r="C976" s="15" t="str">
        <f aca="false">IF($B976="","",IFERROR(INDEX(회원명부!$B$3:$B$502,MATCH($B976,회원명부!$A$3:$A$502,0)),"미등록회원"))</f>
        <v/>
      </c>
      <c r="D976" s="13"/>
      <c r="E976" s="10"/>
      <c r="F976" s="10"/>
      <c r="G976" s="10"/>
    </row>
    <row r="977" customFormat="false" ht="15" hidden="false" customHeight="true" outlineLevel="0" collapsed="false">
      <c r="A977" s="12"/>
      <c r="B977" s="10"/>
      <c r="C977" s="15" t="str">
        <f aca="false">IF($B977="","",IFERROR(INDEX(회원명부!$B$3:$B$502,MATCH($B977,회원명부!$A$3:$A$502,0)),"미등록회원"))</f>
        <v/>
      </c>
      <c r="D977" s="13"/>
      <c r="E977" s="10"/>
      <c r="F977" s="10"/>
      <c r="G977" s="10"/>
    </row>
    <row r="978" customFormat="false" ht="15" hidden="false" customHeight="true" outlineLevel="0" collapsed="false">
      <c r="A978" s="12"/>
      <c r="B978" s="10"/>
      <c r="C978" s="15" t="str">
        <f aca="false">IF($B978="","",IFERROR(INDEX(회원명부!$B$3:$B$502,MATCH($B978,회원명부!$A$3:$A$502,0)),"미등록회원"))</f>
        <v/>
      </c>
      <c r="D978" s="13"/>
      <c r="E978" s="10"/>
      <c r="F978" s="10"/>
      <c r="G978" s="10"/>
    </row>
    <row r="979" customFormat="false" ht="15" hidden="false" customHeight="true" outlineLevel="0" collapsed="false">
      <c r="A979" s="12"/>
      <c r="B979" s="10"/>
      <c r="C979" s="15" t="str">
        <f aca="false">IF($B979="","",IFERROR(INDEX(회원명부!$B$3:$B$502,MATCH($B979,회원명부!$A$3:$A$502,0)),"미등록회원"))</f>
        <v/>
      </c>
      <c r="D979" s="13"/>
      <c r="E979" s="10"/>
      <c r="F979" s="10"/>
      <c r="G979" s="10"/>
    </row>
    <row r="980" customFormat="false" ht="15" hidden="false" customHeight="true" outlineLevel="0" collapsed="false">
      <c r="A980" s="12"/>
      <c r="B980" s="10"/>
      <c r="C980" s="15" t="str">
        <f aca="false">IF($B980="","",IFERROR(INDEX(회원명부!$B$3:$B$502,MATCH($B980,회원명부!$A$3:$A$502,0)),"미등록회원"))</f>
        <v/>
      </c>
      <c r="D980" s="13"/>
      <c r="E980" s="10"/>
      <c r="F980" s="10"/>
      <c r="G980" s="10"/>
    </row>
    <row r="981" customFormat="false" ht="15" hidden="false" customHeight="true" outlineLevel="0" collapsed="false">
      <c r="A981" s="12"/>
      <c r="B981" s="10"/>
      <c r="C981" s="15" t="str">
        <f aca="false">IF($B981="","",IFERROR(INDEX(회원명부!$B$3:$B$502,MATCH($B981,회원명부!$A$3:$A$502,0)),"미등록회원"))</f>
        <v/>
      </c>
      <c r="D981" s="13"/>
      <c r="E981" s="10"/>
      <c r="F981" s="10"/>
      <c r="G981" s="10"/>
    </row>
    <row r="982" customFormat="false" ht="15" hidden="false" customHeight="true" outlineLevel="0" collapsed="false">
      <c r="A982" s="12"/>
      <c r="B982" s="10"/>
      <c r="C982" s="15" t="str">
        <f aca="false">IF($B982="","",IFERROR(INDEX(회원명부!$B$3:$B$502,MATCH($B982,회원명부!$A$3:$A$502,0)),"미등록회원"))</f>
        <v/>
      </c>
      <c r="D982" s="13"/>
      <c r="E982" s="10"/>
      <c r="F982" s="10"/>
      <c r="G982" s="10"/>
    </row>
    <row r="983" customFormat="false" ht="15" hidden="false" customHeight="true" outlineLevel="0" collapsed="false">
      <c r="A983" s="12"/>
      <c r="B983" s="10"/>
      <c r="C983" s="15" t="str">
        <f aca="false">IF($B983="","",IFERROR(INDEX(회원명부!$B$3:$B$502,MATCH($B983,회원명부!$A$3:$A$502,0)),"미등록회원"))</f>
        <v/>
      </c>
      <c r="D983" s="13"/>
      <c r="E983" s="10"/>
      <c r="F983" s="10"/>
      <c r="G983" s="10"/>
    </row>
    <row r="984" customFormat="false" ht="15" hidden="false" customHeight="true" outlineLevel="0" collapsed="false">
      <c r="A984" s="12"/>
      <c r="B984" s="10"/>
      <c r="C984" s="15" t="str">
        <f aca="false">IF($B984="","",IFERROR(INDEX(회원명부!$B$3:$B$502,MATCH($B984,회원명부!$A$3:$A$502,0)),"미등록회원"))</f>
        <v/>
      </c>
      <c r="D984" s="13"/>
      <c r="E984" s="10"/>
      <c r="F984" s="10"/>
      <c r="G984" s="10"/>
    </row>
    <row r="985" customFormat="false" ht="15" hidden="false" customHeight="true" outlineLevel="0" collapsed="false">
      <c r="A985" s="12"/>
      <c r="B985" s="10"/>
      <c r="C985" s="15" t="str">
        <f aca="false">IF($B985="","",IFERROR(INDEX(회원명부!$B$3:$B$502,MATCH($B985,회원명부!$A$3:$A$502,0)),"미등록회원"))</f>
        <v/>
      </c>
      <c r="D985" s="13"/>
      <c r="E985" s="10"/>
      <c r="F985" s="10"/>
      <c r="G985" s="10"/>
    </row>
    <row r="986" customFormat="false" ht="15" hidden="false" customHeight="true" outlineLevel="0" collapsed="false">
      <c r="A986" s="12"/>
      <c r="B986" s="10"/>
      <c r="C986" s="15" t="str">
        <f aca="false">IF($B986="","",IFERROR(INDEX(회원명부!$B$3:$B$502,MATCH($B986,회원명부!$A$3:$A$502,0)),"미등록회원"))</f>
        <v/>
      </c>
      <c r="D986" s="13"/>
      <c r="E986" s="10"/>
      <c r="F986" s="10"/>
      <c r="G986" s="10"/>
    </row>
    <row r="987" customFormat="false" ht="15" hidden="false" customHeight="true" outlineLevel="0" collapsed="false">
      <c r="A987" s="12"/>
      <c r="B987" s="10"/>
      <c r="C987" s="15" t="str">
        <f aca="false">IF($B987="","",IFERROR(INDEX(회원명부!$B$3:$B$502,MATCH($B987,회원명부!$A$3:$A$502,0)),"미등록회원"))</f>
        <v/>
      </c>
      <c r="D987" s="13"/>
      <c r="E987" s="10"/>
      <c r="F987" s="10"/>
      <c r="G987" s="10"/>
    </row>
    <row r="988" customFormat="false" ht="15" hidden="false" customHeight="true" outlineLevel="0" collapsed="false">
      <c r="A988" s="12"/>
      <c r="B988" s="10"/>
      <c r="C988" s="15" t="str">
        <f aca="false">IF($B988="","",IFERROR(INDEX(회원명부!$B$3:$B$502,MATCH($B988,회원명부!$A$3:$A$502,0)),"미등록회원"))</f>
        <v/>
      </c>
      <c r="D988" s="13"/>
      <c r="E988" s="10"/>
      <c r="F988" s="10"/>
      <c r="G988" s="10"/>
    </row>
    <row r="989" customFormat="false" ht="15" hidden="false" customHeight="true" outlineLevel="0" collapsed="false">
      <c r="A989" s="12"/>
      <c r="B989" s="10"/>
      <c r="C989" s="15" t="str">
        <f aca="false">IF($B989="","",IFERROR(INDEX(회원명부!$B$3:$B$502,MATCH($B989,회원명부!$A$3:$A$502,0)),"미등록회원"))</f>
        <v/>
      </c>
      <c r="D989" s="13"/>
      <c r="E989" s="10"/>
      <c r="F989" s="10"/>
      <c r="G989" s="10"/>
    </row>
    <row r="990" customFormat="false" ht="15" hidden="false" customHeight="true" outlineLevel="0" collapsed="false">
      <c r="A990" s="12"/>
      <c r="B990" s="10"/>
      <c r="C990" s="15" t="str">
        <f aca="false">IF($B990="","",IFERROR(INDEX(회원명부!$B$3:$B$502,MATCH($B990,회원명부!$A$3:$A$502,0)),"미등록회원"))</f>
        <v/>
      </c>
      <c r="D990" s="13"/>
      <c r="E990" s="10"/>
      <c r="F990" s="10"/>
      <c r="G990" s="10"/>
    </row>
    <row r="991" customFormat="false" ht="15" hidden="false" customHeight="true" outlineLevel="0" collapsed="false">
      <c r="A991" s="12"/>
      <c r="B991" s="10"/>
      <c r="C991" s="15" t="str">
        <f aca="false">IF($B991="","",IFERROR(INDEX(회원명부!$B$3:$B$502,MATCH($B991,회원명부!$A$3:$A$502,0)),"미등록회원"))</f>
        <v/>
      </c>
      <c r="D991" s="13"/>
      <c r="E991" s="10"/>
      <c r="F991" s="10"/>
      <c r="G991" s="10"/>
    </row>
    <row r="992" customFormat="false" ht="15" hidden="false" customHeight="true" outlineLevel="0" collapsed="false">
      <c r="A992" s="12"/>
      <c r="B992" s="10"/>
      <c r="C992" s="15" t="str">
        <f aca="false">IF($B992="","",IFERROR(INDEX(회원명부!$B$3:$B$502,MATCH($B992,회원명부!$A$3:$A$502,0)),"미등록회원"))</f>
        <v/>
      </c>
      <c r="D992" s="13"/>
      <c r="E992" s="10"/>
      <c r="F992" s="10"/>
      <c r="G992" s="10"/>
    </row>
    <row r="993" customFormat="false" ht="15" hidden="false" customHeight="true" outlineLevel="0" collapsed="false">
      <c r="A993" s="12"/>
      <c r="B993" s="10"/>
      <c r="C993" s="15" t="str">
        <f aca="false">IF($B993="","",IFERROR(INDEX(회원명부!$B$3:$B$502,MATCH($B993,회원명부!$A$3:$A$502,0)),"미등록회원"))</f>
        <v/>
      </c>
      <c r="D993" s="13"/>
      <c r="E993" s="10"/>
      <c r="F993" s="10"/>
      <c r="G993" s="10"/>
    </row>
    <row r="994" customFormat="false" ht="15" hidden="false" customHeight="true" outlineLevel="0" collapsed="false">
      <c r="A994" s="12"/>
      <c r="B994" s="10"/>
      <c r="C994" s="15" t="str">
        <f aca="false">IF($B994="","",IFERROR(INDEX(회원명부!$B$3:$B$502,MATCH($B994,회원명부!$A$3:$A$502,0)),"미등록회원"))</f>
        <v/>
      </c>
      <c r="D994" s="13"/>
      <c r="E994" s="10"/>
      <c r="F994" s="10"/>
      <c r="G994" s="10"/>
    </row>
    <row r="995" customFormat="false" ht="15" hidden="false" customHeight="true" outlineLevel="0" collapsed="false">
      <c r="A995" s="12"/>
      <c r="B995" s="10"/>
      <c r="C995" s="15" t="str">
        <f aca="false">IF($B995="","",IFERROR(INDEX(회원명부!$B$3:$B$502,MATCH($B995,회원명부!$A$3:$A$502,0)),"미등록회원"))</f>
        <v/>
      </c>
      <c r="D995" s="13"/>
      <c r="E995" s="10"/>
      <c r="F995" s="10"/>
      <c r="G995" s="10"/>
    </row>
    <row r="996" customFormat="false" ht="15" hidden="false" customHeight="true" outlineLevel="0" collapsed="false">
      <c r="A996" s="12"/>
      <c r="B996" s="10"/>
      <c r="C996" s="15" t="str">
        <f aca="false">IF($B996="","",IFERROR(INDEX(회원명부!$B$3:$B$502,MATCH($B996,회원명부!$A$3:$A$502,0)),"미등록회원"))</f>
        <v/>
      </c>
      <c r="D996" s="13"/>
      <c r="E996" s="10"/>
      <c r="F996" s="10"/>
      <c r="G996" s="10"/>
    </row>
    <row r="997" customFormat="false" ht="15" hidden="false" customHeight="true" outlineLevel="0" collapsed="false">
      <c r="A997" s="12"/>
      <c r="B997" s="10"/>
      <c r="C997" s="15" t="str">
        <f aca="false">IF($B997="","",IFERROR(INDEX(회원명부!$B$3:$B$502,MATCH($B997,회원명부!$A$3:$A$502,0)),"미등록회원"))</f>
        <v/>
      </c>
      <c r="D997" s="13"/>
      <c r="E997" s="10"/>
      <c r="F997" s="10"/>
      <c r="G997" s="10"/>
    </row>
    <row r="998" customFormat="false" ht="15" hidden="false" customHeight="true" outlineLevel="0" collapsed="false">
      <c r="A998" s="12"/>
      <c r="B998" s="10"/>
      <c r="C998" s="15" t="str">
        <f aca="false">IF($B998="","",IFERROR(INDEX(회원명부!$B$3:$B$502,MATCH($B998,회원명부!$A$3:$A$502,0)),"미등록회원"))</f>
        <v/>
      </c>
      <c r="D998" s="13"/>
      <c r="E998" s="10"/>
      <c r="F998" s="10"/>
      <c r="G998" s="10"/>
    </row>
    <row r="999" customFormat="false" ht="15" hidden="false" customHeight="true" outlineLevel="0" collapsed="false">
      <c r="A999" s="12"/>
      <c r="B999" s="10"/>
      <c r="C999" s="15" t="str">
        <f aca="false">IF($B999="","",IFERROR(INDEX(회원명부!$B$3:$B$502,MATCH($B999,회원명부!$A$3:$A$502,0)),"미등록회원"))</f>
        <v/>
      </c>
      <c r="D999" s="13"/>
      <c r="E999" s="10"/>
      <c r="F999" s="10"/>
      <c r="G999" s="10"/>
    </row>
    <row r="1000" customFormat="false" ht="15" hidden="false" customHeight="true" outlineLevel="0" collapsed="false">
      <c r="A1000" s="12"/>
      <c r="B1000" s="10"/>
      <c r="C1000" s="15" t="str">
        <f aca="false">IF($B1000="","",IFERROR(INDEX(회원명부!$B$3:$B$502,MATCH($B1000,회원명부!$A$3:$A$502,0)),"미등록회원"))</f>
        <v/>
      </c>
      <c r="D1000" s="13"/>
      <c r="E1000" s="10"/>
      <c r="F1000" s="10"/>
      <c r="G1000" s="10"/>
    </row>
    <row r="1001" customFormat="false" ht="15" hidden="false" customHeight="true" outlineLevel="0" collapsed="false">
      <c r="A1001" s="12"/>
      <c r="B1001" s="10"/>
      <c r="C1001" s="15" t="str">
        <f aca="false">IF($B1001="","",IFERROR(INDEX(회원명부!$B$3:$B$502,MATCH($B1001,회원명부!$A$3:$A$502,0)),"미등록회원"))</f>
        <v/>
      </c>
      <c r="D1001" s="13"/>
      <c r="E1001" s="10"/>
      <c r="F1001" s="10"/>
      <c r="G1001" s="10"/>
    </row>
    <row r="1002" customFormat="false" ht="15" hidden="false" customHeight="true" outlineLevel="0" collapsed="false">
      <c r="A1002" s="12"/>
      <c r="B1002" s="10"/>
      <c r="C1002" s="15" t="str">
        <f aca="false">IF($B1002="","",IFERROR(INDEX(회원명부!$B$3:$B$502,MATCH($B1002,회원명부!$A$3:$A$502,0)),"미등록회원"))</f>
        <v/>
      </c>
      <c r="D1002" s="13"/>
      <c r="E1002" s="10"/>
      <c r="F1002" s="10"/>
      <c r="G1002" s="10"/>
    </row>
    <row r="1003" customFormat="false" ht="15" hidden="false" customHeight="true" outlineLevel="0" collapsed="false">
      <c r="A1003" s="12"/>
      <c r="B1003" s="10"/>
      <c r="C1003" s="15" t="str">
        <f aca="false">IF($B1003="","",IFERROR(INDEX(회원명부!$B$3:$B$502,MATCH($B1003,회원명부!$A$3:$A$502,0)),"미등록회원"))</f>
        <v/>
      </c>
      <c r="D1003" s="13"/>
      <c r="E1003" s="10"/>
      <c r="F1003" s="10"/>
      <c r="G1003" s="10"/>
    </row>
    <row r="1004" customFormat="false" ht="15" hidden="false" customHeight="true" outlineLevel="0" collapsed="false">
      <c r="A1004" s="12"/>
      <c r="B1004" s="10"/>
      <c r="C1004" s="15" t="str">
        <f aca="false">IF($B1004="","",IFERROR(INDEX(회원명부!$B$3:$B$502,MATCH($B1004,회원명부!$A$3:$A$502,0)),"미등록회원"))</f>
        <v/>
      </c>
      <c r="D1004" s="13"/>
      <c r="E1004" s="10"/>
      <c r="F1004" s="10"/>
      <c r="G1004" s="10"/>
    </row>
    <row r="1005" customFormat="false" ht="15" hidden="false" customHeight="true" outlineLevel="0" collapsed="false">
      <c r="A1005" s="12"/>
      <c r="B1005" s="10"/>
      <c r="C1005" s="15" t="str">
        <f aca="false">IF($B1005="","",IFERROR(INDEX(회원명부!$B$3:$B$502,MATCH($B1005,회원명부!$A$3:$A$502,0)),"미등록회원"))</f>
        <v/>
      </c>
      <c r="D1005" s="13"/>
      <c r="E1005" s="10"/>
      <c r="F1005" s="10"/>
      <c r="G1005" s="10"/>
    </row>
    <row r="1006" customFormat="false" ht="15" hidden="false" customHeight="true" outlineLevel="0" collapsed="false">
      <c r="A1006" s="12"/>
      <c r="B1006" s="10"/>
      <c r="C1006" s="15" t="str">
        <f aca="false">IF($B1006="","",IFERROR(INDEX(회원명부!$B$3:$B$502,MATCH($B1006,회원명부!$A$3:$A$502,0)),"미등록회원"))</f>
        <v/>
      </c>
      <c r="D1006" s="13"/>
      <c r="E1006" s="10"/>
      <c r="F1006" s="10"/>
      <c r="G1006" s="10"/>
    </row>
    <row r="1007" customFormat="false" ht="15" hidden="false" customHeight="true" outlineLevel="0" collapsed="false">
      <c r="A1007" s="12"/>
      <c r="B1007" s="10"/>
      <c r="C1007" s="15" t="str">
        <f aca="false">IF($B1007="","",IFERROR(INDEX(회원명부!$B$3:$B$502,MATCH($B1007,회원명부!$A$3:$A$502,0)),"미등록회원"))</f>
        <v/>
      </c>
      <c r="D1007" s="13"/>
      <c r="E1007" s="10"/>
      <c r="F1007" s="10"/>
      <c r="G1007" s="10"/>
    </row>
    <row r="1008" customFormat="false" ht="15" hidden="false" customHeight="true" outlineLevel="0" collapsed="false">
      <c r="A1008" s="12"/>
      <c r="B1008" s="10"/>
      <c r="C1008" s="15" t="str">
        <f aca="false">IF($B1008="","",IFERROR(INDEX(회원명부!$B$3:$B$502,MATCH($B1008,회원명부!$A$3:$A$502,0)),"미등록회원"))</f>
        <v/>
      </c>
      <c r="D1008" s="13"/>
      <c r="E1008" s="10"/>
      <c r="F1008" s="10"/>
      <c r="G1008" s="10"/>
    </row>
    <row r="1009" customFormat="false" ht="15" hidden="false" customHeight="true" outlineLevel="0" collapsed="false">
      <c r="A1009" s="12"/>
      <c r="B1009" s="10"/>
      <c r="C1009" s="15" t="str">
        <f aca="false">IF($B1009="","",IFERROR(INDEX(회원명부!$B$3:$B$502,MATCH($B1009,회원명부!$A$3:$A$502,0)),"미등록회원"))</f>
        <v/>
      </c>
      <c r="D1009" s="13"/>
      <c r="E1009" s="10"/>
      <c r="F1009" s="10"/>
      <c r="G1009" s="10"/>
    </row>
    <row r="1010" customFormat="false" ht="15" hidden="false" customHeight="true" outlineLevel="0" collapsed="false">
      <c r="A1010" s="12"/>
      <c r="B1010" s="10"/>
      <c r="C1010" s="15" t="str">
        <f aca="false">IF($B1010="","",IFERROR(INDEX(회원명부!$B$3:$B$502,MATCH($B1010,회원명부!$A$3:$A$502,0)),"미등록회원"))</f>
        <v/>
      </c>
      <c r="D1010" s="13"/>
      <c r="E1010" s="10"/>
      <c r="F1010" s="10"/>
      <c r="G1010" s="10"/>
    </row>
    <row r="1011" customFormat="false" ht="15" hidden="false" customHeight="true" outlineLevel="0" collapsed="false">
      <c r="A1011" s="12"/>
      <c r="B1011" s="10"/>
      <c r="C1011" s="15" t="str">
        <f aca="false">IF($B1011="","",IFERROR(INDEX(회원명부!$B$3:$B$502,MATCH($B1011,회원명부!$A$3:$A$502,0)),"미등록회원"))</f>
        <v/>
      </c>
      <c r="D1011" s="13"/>
      <c r="E1011" s="10"/>
      <c r="F1011" s="10"/>
      <c r="G1011" s="10"/>
    </row>
    <row r="1012" customFormat="false" ht="15" hidden="false" customHeight="true" outlineLevel="0" collapsed="false">
      <c r="A1012" s="12"/>
      <c r="B1012" s="10"/>
      <c r="C1012" s="15" t="str">
        <f aca="false">IF($B1012="","",IFERROR(INDEX(회원명부!$B$3:$B$502,MATCH($B1012,회원명부!$A$3:$A$502,0)),"미등록회원"))</f>
        <v/>
      </c>
      <c r="D1012" s="13"/>
      <c r="E1012" s="10"/>
      <c r="F1012" s="10"/>
      <c r="G1012" s="10"/>
    </row>
    <row r="1013" customFormat="false" ht="15" hidden="false" customHeight="true" outlineLevel="0" collapsed="false">
      <c r="A1013" s="12"/>
      <c r="B1013" s="10"/>
      <c r="C1013" s="15" t="str">
        <f aca="false">IF($B1013="","",IFERROR(INDEX(회원명부!$B$3:$B$502,MATCH($B1013,회원명부!$A$3:$A$502,0)),"미등록회원"))</f>
        <v/>
      </c>
      <c r="D1013" s="13"/>
      <c r="E1013" s="10"/>
      <c r="F1013" s="10"/>
      <c r="G1013" s="10"/>
    </row>
    <row r="1014" customFormat="false" ht="15" hidden="false" customHeight="true" outlineLevel="0" collapsed="false">
      <c r="A1014" s="12"/>
      <c r="B1014" s="10"/>
      <c r="C1014" s="15" t="str">
        <f aca="false">IF($B1014="","",IFERROR(INDEX(회원명부!$B$3:$B$502,MATCH($B1014,회원명부!$A$3:$A$502,0)),"미등록회원"))</f>
        <v/>
      </c>
      <c r="D1014" s="13"/>
      <c r="E1014" s="10"/>
      <c r="F1014" s="10"/>
      <c r="G1014" s="10"/>
    </row>
    <row r="1015" customFormat="false" ht="15" hidden="false" customHeight="true" outlineLevel="0" collapsed="false">
      <c r="A1015" s="12"/>
      <c r="B1015" s="10"/>
      <c r="C1015" s="15" t="str">
        <f aca="false">IF($B1015="","",IFERROR(INDEX(회원명부!$B$3:$B$502,MATCH($B1015,회원명부!$A$3:$A$502,0)),"미등록회원"))</f>
        <v/>
      </c>
      <c r="D1015" s="13"/>
      <c r="E1015" s="10"/>
      <c r="F1015" s="10"/>
      <c r="G1015" s="10"/>
    </row>
    <row r="1016" customFormat="false" ht="15" hidden="false" customHeight="true" outlineLevel="0" collapsed="false">
      <c r="A1016" s="12"/>
      <c r="B1016" s="10"/>
      <c r="C1016" s="15" t="str">
        <f aca="false">IF($B1016="","",IFERROR(INDEX(회원명부!$B$3:$B$502,MATCH($B1016,회원명부!$A$3:$A$502,0)),"미등록회원"))</f>
        <v/>
      </c>
      <c r="D1016" s="13"/>
      <c r="E1016" s="10"/>
      <c r="F1016" s="10"/>
      <c r="G1016" s="10"/>
    </row>
    <row r="1017" customFormat="false" ht="15" hidden="false" customHeight="true" outlineLevel="0" collapsed="false">
      <c r="A1017" s="12"/>
      <c r="B1017" s="10"/>
      <c r="C1017" s="15" t="str">
        <f aca="false">IF($B1017="","",IFERROR(INDEX(회원명부!$B$3:$B$502,MATCH($B1017,회원명부!$A$3:$A$502,0)),"미등록회원"))</f>
        <v/>
      </c>
      <c r="D1017" s="13"/>
      <c r="E1017" s="10"/>
      <c r="F1017" s="10"/>
      <c r="G1017" s="10"/>
    </row>
    <row r="1018" customFormat="false" ht="15" hidden="false" customHeight="true" outlineLevel="0" collapsed="false">
      <c r="A1018" s="12"/>
      <c r="B1018" s="10"/>
      <c r="C1018" s="15" t="str">
        <f aca="false">IF($B1018="","",IFERROR(INDEX(회원명부!$B$3:$B$502,MATCH($B1018,회원명부!$A$3:$A$502,0)),"미등록회원"))</f>
        <v/>
      </c>
      <c r="D1018" s="13"/>
      <c r="E1018" s="10"/>
      <c r="F1018" s="10"/>
      <c r="G1018" s="10"/>
    </row>
    <row r="1019" customFormat="false" ht="15" hidden="false" customHeight="true" outlineLevel="0" collapsed="false">
      <c r="A1019" s="12"/>
      <c r="B1019" s="10"/>
      <c r="C1019" s="15" t="str">
        <f aca="false">IF($B1019="","",IFERROR(INDEX(회원명부!$B$3:$B$502,MATCH($B1019,회원명부!$A$3:$A$502,0)),"미등록회원"))</f>
        <v/>
      </c>
      <c r="D1019" s="13"/>
      <c r="E1019" s="10"/>
      <c r="F1019" s="10"/>
      <c r="G1019" s="10"/>
    </row>
    <row r="1020" customFormat="false" ht="15" hidden="false" customHeight="true" outlineLevel="0" collapsed="false">
      <c r="A1020" s="12"/>
      <c r="B1020" s="10"/>
      <c r="C1020" s="15" t="str">
        <f aca="false">IF($B1020="","",IFERROR(INDEX(회원명부!$B$3:$B$502,MATCH($B1020,회원명부!$A$3:$A$502,0)),"미등록회원"))</f>
        <v/>
      </c>
      <c r="D1020" s="13"/>
      <c r="E1020" s="10"/>
      <c r="F1020" s="10"/>
      <c r="G1020" s="10"/>
    </row>
    <row r="1021" customFormat="false" ht="15" hidden="false" customHeight="true" outlineLevel="0" collapsed="false">
      <c r="A1021" s="12"/>
      <c r="B1021" s="10"/>
      <c r="C1021" s="15" t="str">
        <f aca="false">IF($B1021="","",IFERROR(INDEX(회원명부!$B$3:$B$502,MATCH($B1021,회원명부!$A$3:$A$502,0)),"미등록회원"))</f>
        <v/>
      </c>
      <c r="D1021" s="13"/>
      <c r="E1021" s="10"/>
      <c r="F1021" s="10"/>
      <c r="G1021" s="10"/>
    </row>
    <row r="1022" customFormat="false" ht="15" hidden="false" customHeight="true" outlineLevel="0" collapsed="false">
      <c r="A1022" s="12"/>
      <c r="B1022" s="10"/>
      <c r="C1022" s="15" t="str">
        <f aca="false">IF($B1022="","",IFERROR(INDEX(회원명부!$B$3:$B$502,MATCH($B1022,회원명부!$A$3:$A$502,0)),"미등록회원"))</f>
        <v/>
      </c>
      <c r="D1022" s="13"/>
      <c r="E1022" s="10"/>
      <c r="F1022" s="10"/>
      <c r="G1022" s="10"/>
    </row>
    <row r="1023" customFormat="false" ht="15" hidden="false" customHeight="true" outlineLevel="0" collapsed="false">
      <c r="A1023" s="12"/>
      <c r="B1023" s="10"/>
      <c r="C1023" s="15" t="str">
        <f aca="false">IF($B1023="","",IFERROR(INDEX(회원명부!$B$3:$B$502,MATCH($B1023,회원명부!$A$3:$A$502,0)),"미등록회원"))</f>
        <v/>
      </c>
      <c r="D1023" s="13"/>
      <c r="E1023" s="10"/>
      <c r="F1023" s="10"/>
      <c r="G1023" s="10"/>
    </row>
    <row r="1024" customFormat="false" ht="15" hidden="false" customHeight="true" outlineLevel="0" collapsed="false">
      <c r="A1024" s="12"/>
      <c r="B1024" s="10"/>
      <c r="C1024" s="15" t="str">
        <f aca="false">IF($B1024="","",IFERROR(INDEX(회원명부!$B$3:$B$502,MATCH($B1024,회원명부!$A$3:$A$502,0)),"미등록회원"))</f>
        <v/>
      </c>
      <c r="D1024" s="13"/>
      <c r="E1024" s="10"/>
      <c r="F1024" s="10"/>
      <c r="G1024" s="10"/>
    </row>
    <row r="1025" customFormat="false" ht="15" hidden="false" customHeight="true" outlineLevel="0" collapsed="false">
      <c r="A1025" s="12"/>
      <c r="B1025" s="10"/>
      <c r="C1025" s="15" t="str">
        <f aca="false">IF($B1025="","",IFERROR(INDEX(회원명부!$B$3:$B$502,MATCH($B1025,회원명부!$A$3:$A$502,0)),"미등록회원"))</f>
        <v/>
      </c>
      <c r="D1025" s="13"/>
      <c r="E1025" s="10"/>
      <c r="F1025" s="10"/>
      <c r="G1025" s="10"/>
    </row>
    <row r="1026" customFormat="false" ht="15" hidden="false" customHeight="true" outlineLevel="0" collapsed="false">
      <c r="A1026" s="12"/>
      <c r="B1026" s="10"/>
      <c r="C1026" s="15" t="str">
        <f aca="false">IF($B1026="","",IFERROR(INDEX(회원명부!$B$3:$B$502,MATCH($B1026,회원명부!$A$3:$A$502,0)),"미등록회원"))</f>
        <v/>
      </c>
      <c r="D1026" s="13"/>
      <c r="E1026" s="10"/>
      <c r="F1026" s="10"/>
      <c r="G1026" s="10"/>
    </row>
    <row r="1027" customFormat="false" ht="15" hidden="false" customHeight="true" outlineLevel="0" collapsed="false">
      <c r="A1027" s="12"/>
      <c r="B1027" s="10"/>
      <c r="C1027" s="15" t="str">
        <f aca="false">IF($B1027="","",IFERROR(INDEX(회원명부!$B$3:$B$502,MATCH($B1027,회원명부!$A$3:$A$502,0)),"미등록회원"))</f>
        <v/>
      </c>
      <c r="D1027" s="13"/>
      <c r="E1027" s="10"/>
      <c r="F1027" s="10"/>
      <c r="G1027" s="10"/>
    </row>
    <row r="1028" customFormat="false" ht="15" hidden="false" customHeight="true" outlineLevel="0" collapsed="false">
      <c r="A1028" s="12"/>
      <c r="B1028" s="10"/>
      <c r="C1028" s="15" t="str">
        <f aca="false">IF($B1028="","",IFERROR(INDEX(회원명부!$B$3:$B$502,MATCH($B1028,회원명부!$A$3:$A$502,0)),"미등록회원"))</f>
        <v/>
      </c>
      <c r="D1028" s="13"/>
      <c r="E1028" s="10"/>
      <c r="F1028" s="10"/>
      <c r="G1028" s="10"/>
    </row>
    <row r="1029" customFormat="false" ht="15" hidden="false" customHeight="true" outlineLevel="0" collapsed="false">
      <c r="A1029" s="12"/>
      <c r="B1029" s="10"/>
      <c r="C1029" s="15" t="str">
        <f aca="false">IF($B1029="","",IFERROR(INDEX(회원명부!$B$3:$B$502,MATCH($B1029,회원명부!$A$3:$A$502,0)),"미등록회원"))</f>
        <v/>
      </c>
      <c r="D1029" s="13"/>
      <c r="E1029" s="10"/>
      <c r="F1029" s="10"/>
      <c r="G1029" s="10"/>
    </row>
    <row r="1030" customFormat="false" ht="15" hidden="false" customHeight="true" outlineLevel="0" collapsed="false">
      <c r="A1030" s="12"/>
      <c r="B1030" s="10"/>
      <c r="C1030" s="15" t="str">
        <f aca="false">IF($B1030="","",IFERROR(INDEX(회원명부!$B$3:$B$502,MATCH($B1030,회원명부!$A$3:$A$502,0)),"미등록회원"))</f>
        <v/>
      </c>
      <c r="D1030" s="13"/>
      <c r="E1030" s="10"/>
      <c r="F1030" s="10"/>
      <c r="G1030" s="10"/>
    </row>
    <row r="1031" customFormat="false" ht="15" hidden="false" customHeight="true" outlineLevel="0" collapsed="false">
      <c r="A1031" s="12"/>
      <c r="B1031" s="10"/>
      <c r="C1031" s="15" t="str">
        <f aca="false">IF($B1031="","",IFERROR(INDEX(회원명부!$B$3:$B$502,MATCH($B1031,회원명부!$A$3:$A$502,0)),"미등록회원"))</f>
        <v/>
      </c>
      <c r="D1031" s="13"/>
      <c r="E1031" s="10"/>
      <c r="F1031" s="10"/>
      <c r="G1031" s="10"/>
    </row>
    <row r="1032" customFormat="false" ht="15" hidden="false" customHeight="true" outlineLevel="0" collapsed="false">
      <c r="A1032" s="12"/>
      <c r="B1032" s="10"/>
      <c r="C1032" s="15" t="str">
        <f aca="false">IF($B1032="","",IFERROR(INDEX(회원명부!$B$3:$B$502,MATCH($B1032,회원명부!$A$3:$A$502,0)),"미등록회원"))</f>
        <v/>
      </c>
      <c r="D1032" s="13"/>
      <c r="E1032" s="10"/>
      <c r="F1032" s="10"/>
      <c r="G1032" s="10"/>
    </row>
    <row r="1033" customFormat="false" ht="15" hidden="false" customHeight="true" outlineLevel="0" collapsed="false">
      <c r="A1033" s="12"/>
      <c r="B1033" s="10"/>
      <c r="C1033" s="15" t="str">
        <f aca="false">IF($B1033="","",IFERROR(INDEX(회원명부!$B$3:$B$502,MATCH($B1033,회원명부!$A$3:$A$502,0)),"미등록회원"))</f>
        <v/>
      </c>
      <c r="D1033" s="13"/>
      <c r="E1033" s="10"/>
      <c r="F1033" s="10"/>
      <c r="G1033" s="10"/>
    </row>
    <row r="1034" customFormat="false" ht="15" hidden="false" customHeight="true" outlineLevel="0" collapsed="false">
      <c r="A1034" s="12"/>
      <c r="B1034" s="10"/>
      <c r="C1034" s="15" t="str">
        <f aca="false">IF($B1034="","",IFERROR(INDEX(회원명부!$B$3:$B$502,MATCH($B1034,회원명부!$A$3:$A$502,0)),"미등록회원"))</f>
        <v/>
      </c>
      <c r="D1034" s="13"/>
      <c r="E1034" s="10"/>
      <c r="F1034" s="10"/>
      <c r="G1034" s="10"/>
    </row>
    <row r="1035" customFormat="false" ht="15" hidden="false" customHeight="true" outlineLevel="0" collapsed="false">
      <c r="A1035" s="12"/>
      <c r="B1035" s="10"/>
      <c r="C1035" s="15" t="str">
        <f aca="false">IF($B1035="","",IFERROR(INDEX(회원명부!$B$3:$B$502,MATCH($B1035,회원명부!$A$3:$A$502,0)),"미등록회원"))</f>
        <v/>
      </c>
      <c r="D1035" s="13"/>
      <c r="E1035" s="10"/>
      <c r="F1035" s="10"/>
      <c r="G1035" s="10"/>
    </row>
    <row r="1036" customFormat="false" ht="15" hidden="false" customHeight="true" outlineLevel="0" collapsed="false">
      <c r="A1036" s="12"/>
      <c r="B1036" s="10"/>
      <c r="C1036" s="15" t="str">
        <f aca="false">IF($B1036="","",IFERROR(INDEX(회원명부!$B$3:$B$502,MATCH($B1036,회원명부!$A$3:$A$502,0)),"미등록회원"))</f>
        <v/>
      </c>
      <c r="D1036" s="13"/>
      <c r="E1036" s="10"/>
      <c r="F1036" s="10"/>
      <c r="G1036" s="10"/>
    </row>
    <row r="1037" customFormat="false" ht="15" hidden="false" customHeight="true" outlineLevel="0" collapsed="false">
      <c r="A1037" s="12"/>
      <c r="B1037" s="10"/>
      <c r="C1037" s="15" t="str">
        <f aca="false">IF($B1037="","",IFERROR(INDEX(회원명부!$B$3:$B$502,MATCH($B1037,회원명부!$A$3:$A$502,0)),"미등록회원"))</f>
        <v/>
      </c>
      <c r="D1037" s="13"/>
      <c r="E1037" s="10"/>
      <c r="F1037" s="10"/>
      <c r="G1037" s="10"/>
    </row>
    <row r="1038" customFormat="false" ht="15" hidden="false" customHeight="true" outlineLevel="0" collapsed="false">
      <c r="A1038" s="12"/>
      <c r="B1038" s="10"/>
      <c r="C1038" s="15" t="str">
        <f aca="false">IF($B1038="","",IFERROR(INDEX(회원명부!$B$3:$B$502,MATCH($B1038,회원명부!$A$3:$A$502,0)),"미등록회원"))</f>
        <v/>
      </c>
      <c r="D1038" s="13"/>
      <c r="E1038" s="10"/>
      <c r="F1038" s="10"/>
      <c r="G1038" s="10"/>
    </row>
    <row r="1039" customFormat="false" ht="15" hidden="false" customHeight="true" outlineLevel="0" collapsed="false">
      <c r="A1039" s="12"/>
      <c r="B1039" s="10"/>
      <c r="C1039" s="15" t="str">
        <f aca="false">IF($B1039="","",IFERROR(INDEX(회원명부!$B$3:$B$502,MATCH($B1039,회원명부!$A$3:$A$502,0)),"미등록회원"))</f>
        <v/>
      </c>
      <c r="D1039" s="13"/>
      <c r="E1039" s="10"/>
      <c r="F1039" s="10"/>
      <c r="G1039" s="10"/>
    </row>
    <row r="1040" customFormat="false" ht="15" hidden="false" customHeight="true" outlineLevel="0" collapsed="false">
      <c r="A1040" s="12"/>
      <c r="B1040" s="10"/>
      <c r="C1040" s="15" t="str">
        <f aca="false">IF($B1040="","",IFERROR(INDEX(회원명부!$B$3:$B$502,MATCH($B1040,회원명부!$A$3:$A$502,0)),"미등록회원"))</f>
        <v/>
      </c>
      <c r="D1040" s="13"/>
      <c r="E1040" s="10"/>
      <c r="F1040" s="10"/>
      <c r="G1040" s="10"/>
    </row>
    <row r="1041" customFormat="false" ht="15" hidden="false" customHeight="true" outlineLevel="0" collapsed="false">
      <c r="A1041" s="12"/>
      <c r="B1041" s="10"/>
      <c r="C1041" s="15" t="str">
        <f aca="false">IF($B1041="","",IFERROR(INDEX(회원명부!$B$3:$B$502,MATCH($B1041,회원명부!$A$3:$A$502,0)),"미등록회원"))</f>
        <v/>
      </c>
      <c r="D1041" s="13"/>
      <c r="E1041" s="10"/>
      <c r="F1041" s="10"/>
      <c r="G1041" s="10"/>
    </row>
    <row r="1042" customFormat="false" ht="15" hidden="false" customHeight="true" outlineLevel="0" collapsed="false">
      <c r="A1042" s="12"/>
      <c r="B1042" s="10"/>
      <c r="C1042" s="15" t="str">
        <f aca="false">IF($B1042="","",IFERROR(INDEX(회원명부!$B$3:$B$502,MATCH($B1042,회원명부!$A$3:$A$502,0)),"미등록회원"))</f>
        <v/>
      </c>
      <c r="D1042" s="13"/>
      <c r="E1042" s="10"/>
      <c r="F1042" s="10"/>
      <c r="G1042" s="10"/>
    </row>
    <row r="1043" customFormat="false" ht="15" hidden="false" customHeight="true" outlineLevel="0" collapsed="false">
      <c r="A1043" s="12"/>
      <c r="B1043" s="10"/>
      <c r="C1043" s="15" t="str">
        <f aca="false">IF($B1043="","",IFERROR(INDEX(회원명부!$B$3:$B$502,MATCH($B1043,회원명부!$A$3:$A$502,0)),"미등록회원"))</f>
        <v/>
      </c>
      <c r="D1043" s="13"/>
      <c r="E1043" s="10"/>
      <c r="F1043" s="10"/>
      <c r="G1043" s="10"/>
    </row>
    <row r="1044" customFormat="false" ht="15" hidden="false" customHeight="true" outlineLevel="0" collapsed="false">
      <c r="A1044" s="12"/>
      <c r="B1044" s="10"/>
      <c r="C1044" s="15" t="str">
        <f aca="false">IF($B1044="","",IFERROR(INDEX(회원명부!$B$3:$B$502,MATCH($B1044,회원명부!$A$3:$A$502,0)),"미등록회원"))</f>
        <v/>
      </c>
      <c r="D1044" s="13"/>
      <c r="E1044" s="10"/>
      <c r="F1044" s="10"/>
      <c r="G1044" s="10"/>
    </row>
    <row r="1045" customFormat="false" ht="15" hidden="false" customHeight="true" outlineLevel="0" collapsed="false">
      <c r="A1045" s="12"/>
      <c r="B1045" s="10"/>
      <c r="C1045" s="15" t="str">
        <f aca="false">IF($B1045="","",IFERROR(INDEX(회원명부!$B$3:$B$502,MATCH($B1045,회원명부!$A$3:$A$502,0)),"미등록회원"))</f>
        <v/>
      </c>
      <c r="D1045" s="13"/>
      <c r="E1045" s="10"/>
      <c r="F1045" s="10"/>
      <c r="G1045" s="10"/>
    </row>
    <row r="1046" customFormat="false" ht="15" hidden="false" customHeight="true" outlineLevel="0" collapsed="false">
      <c r="A1046" s="12"/>
      <c r="B1046" s="10"/>
      <c r="C1046" s="15" t="str">
        <f aca="false">IF($B1046="","",IFERROR(INDEX(회원명부!$B$3:$B$502,MATCH($B1046,회원명부!$A$3:$A$502,0)),"미등록회원"))</f>
        <v/>
      </c>
      <c r="D1046" s="13"/>
      <c r="E1046" s="10"/>
      <c r="F1046" s="10"/>
      <c r="G1046" s="10"/>
    </row>
    <row r="1047" customFormat="false" ht="15" hidden="false" customHeight="true" outlineLevel="0" collapsed="false">
      <c r="A1047" s="12"/>
      <c r="B1047" s="10"/>
      <c r="C1047" s="15" t="str">
        <f aca="false">IF($B1047="","",IFERROR(INDEX(회원명부!$B$3:$B$502,MATCH($B1047,회원명부!$A$3:$A$502,0)),"미등록회원"))</f>
        <v/>
      </c>
      <c r="D1047" s="13"/>
      <c r="E1047" s="10"/>
      <c r="F1047" s="10"/>
      <c r="G1047" s="10"/>
    </row>
    <row r="1048" customFormat="false" ht="15" hidden="false" customHeight="true" outlineLevel="0" collapsed="false">
      <c r="A1048" s="12"/>
      <c r="B1048" s="10"/>
      <c r="C1048" s="15" t="str">
        <f aca="false">IF($B1048="","",IFERROR(INDEX(회원명부!$B$3:$B$502,MATCH($B1048,회원명부!$A$3:$A$502,0)),"미등록회원"))</f>
        <v/>
      </c>
      <c r="D1048" s="13"/>
      <c r="E1048" s="10"/>
      <c r="F1048" s="10"/>
      <c r="G1048" s="10"/>
    </row>
    <row r="1049" customFormat="false" ht="15" hidden="false" customHeight="true" outlineLevel="0" collapsed="false">
      <c r="A1049" s="12"/>
      <c r="B1049" s="10"/>
      <c r="C1049" s="15" t="str">
        <f aca="false">IF($B1049="","",IFERROR(INDEX(회원명부!$B$3:$B$502,MATCH($B1049,회원명부!$A$3:$A$502,0)),"미등록회원"))</f>
        <v/>
      </c>
      <c r="D1049" s="13"/>
      <c r="E1049" s="10"/>
      <c r="F1049" s="10"/>
      <c r="G1049" s="10"/>
    </row>
    <row r="1050" customFormat="false" ht="15" hidden="false" customHeight="true" outlineLevel="0" collapsed="false">
      <c r="A1050" s="12"/>
      <c r="B1050" s="10"/>
      <c r="C1050" s="15" t="str">
        <f aca="false">IF($B1050="","",IFERROR(INDEX(회원명부!$B$3:$B$502,MATCH($B1050,회원명부!$A$3:$A$502,0)),"미등록회원"))</f>
        <v/>
      </c>
      <c r="D1050" s="13"/>
      <c r="E1050" s="10"/>
      <c r="F1050" s="10"/>
      <c r="G1050" s="10"/>
    </row>
    <row r="1051" customFormat="false" ht="15" hidden="false" customHeight="true" outlineLevel="0" collapsed="false">
      <c r="A1051" s="12"/>
      <c r="B1051" s="10"/>
      <c r="C1051" s="15" t="str">
        <f aca="false">IF($B1051="","",IFERROR(INDEX(회원명부!$B$3:$B$502,MATCH($B1051,회원명부!$A$3:$A$502,0)),"미등록회원"))</f>
        <v/>
      </c>
      <c r="D1051" s="13"/>
      <c r="E1051" s="10"/>
      <c r="F1051" s="10"/>
      <c r="G1051" s="10"/>
    </row>
    <row r="1052" customFormat="false" ht="15" hidden="false" customHeight="true" outlineLevel="0" collapsed="false">
      <c r="A1052" s="12"/>
      <c r="B1052" s="10"/>
      <c r="C1052" s="15" t="str">
        <f aca="false">IF($B1052="","",IFERROR(INDEX(회원명부!$B$3:$B$502,MATCH($B1052,회원명부!$A$3:$A$502,0)),"미등록회원"))</f>
        <v/>
      </c>
      <c r="D1052" s="13"/>
      <c r="E1052" s="10"/>
      <c r="F1052" s="10"/>
      <c r="G1052" s="10"/>
    </row>
    <row r="1053" customFormat="false" ht="15" hidden="false" customHeight="true" outlineLevel="0" collapsed="false">
      <c r="A1053" s="12"/>
      <c r="B1053" s="10"/>
      <c r="C1053" s="15" t="str">
        <f aca="false">IF($B1053="","",IFERROR(INDEX(회원명부!$B$3:$B$502,MATCH($B1053,회원명부!$A$3:$A$502,0)),"미등록회원"))</f>
        <v/>
      </c>
      <c r="D1053" s="13"/>
      <c r="E1053" s="10"/>
      <c r="F1053" s="10"/>
      <c r="G1053" s="10"/>
    </row>
    <row r="1054" customFormat="false" ht="15" hidden="false" customHeight="true" outlineLevel="0" collapsed="false">
      <c r="A1054" s="12"/>
      <c r="B1054" s="10"/>
      <c r="C1054" s="15" t="str">
        <f aca="false">IF($B1054="","",IFERROR(INDEX(회원명부!$B$3:$B$502,MATCH($B1054,회원명부!$A$3:$A$502,0)),"미등록회원"))</f>
        <v/>
      </c>
      <c r="D1054" s="13"/>
      <c r="E1054" s="10"/>
      <c r="F1054" s="10"/>
      <c r="G1054" s="10"/>
    </row>
    <row r="1055" customFormat="false" ht="15" hidden="false" customHeight="true" outlineLevel="0" collapsed="false">
      <c r="A1055" s="12"/>
      <c r="B1055" s="10"/>
      <c r="C1055" s="15" t="str">
        <f aca="false">IF($B1055="","",IFERROR(INDEX(회원명부!$B$3:$B$502,MATCH($B1055,회원명부!$A$3:$A$502,0)),"미등록회원"))</f>
        <v/>
      </c>
      <c r="D1055" s="13"/>
      <c r="E1055" s="10"/>
      <c r="F1055" s="10"/>
      <c r="G1055" s="10"/>
    </row>
    <row r="1056" customFormat="false" ht="15" hidden="false" customHeight="true" outlineLevel="0" collapsed="false">
      <c r="A1056" s="12"/>
      <c r="B1056" s="10"/>
      <c r="C1056" s="15" t="str">
        <f aca="false">IF($B1056="","",IFERROR(INDEX(회원명부!$B$3:$B$502,MATCH($B1056,회원명부!$A$3:$A$502,0)),"미등록회원"))</f>
        <v/>
      </c>
      <c r="D1056" s="13"/>
      <c r="E1056" s="10"/>
      <c r="F1056" s="10"/>
      <c r="G1056" s="10"/>
    </row>
    <row r="1057" customFormat="false" ht="15" hidden="false" customHeight="true" outlineLevel="0" collapsed="false">
      <c r="A1057" s="12"/>
      <c r="B1057" s="10"/>
      <c r="C1057" s="15" t="str">
        <f aca="false">IF($B1057="","",IFERROR(INDEX(회원명부!$B$3:$B$502,MATCH($B1057,회원명부!$A$3:$A$502,0)),"미등록회원"))</f>
        <v/>
      </c>
      <c r="D1057" s="13"/>
      <c r="E1057" s="10"/>
      <c r="F1057" s="10"/>
      <c r="G1057" s="10"/>
    </row>
    <row r="1058" customFormat="false" ht="15" hidden="false" customHeight="true" outlineLevel="0" collapsed="false">
      <c r="A1058" s="12"/>
      <c r="B1058" s="10"/>
      <c r="C1058" s="15" t="str">
        <f aca="false">IF($B1058="","",IFERROR(INDEX(회원명부!$B$3:$B$502,MATCH($B1058,회원명부!$A$3:$A$502,0)),"미등록회원"))</f>
        <v/>
      </c>
      <c r="D1058" s="13"/>
      <c r="E1058" s="10"/>
      <c r="F1058" s="10"/>
      <c r="G1058" s="10"/>
    </row>
    <row r="1059" customFormat="false" ht="15" hidden="false" customHeight="true" outlineLevel="0" collapsed="false">
      <c r="A1059" s="12"/>
      <c r="B1059" s="10"/>
      <c r="C1059" s="15" t="str">
        <f aca="false">IF($B1059="","",IFERROR(INDEX(회원명부!$B$3:$B$502,MATCH($B1059,회원명부!$A$3:$A$502,0)),"미등록회원"))</f>
        <v/>
      </c>
      <c r="D1059" s="13"/>
      <c r="E1059" s="10"/>
      <c r="F1059" s="10"/>
      <c r="G1059" s="10"/>
    </row>
    <row r="1060" customFormat="false" ht="15" hidden="false" customHeight="true" outlineLevel="0" collapsed="false">
      <c r="A1060" s="12"/>
      <c r="B1060" s="10"/>
      <c r="C1060" s="15" t="str">
        <f aca="false">IF($B1060="","",IFERROR(INDEX(회원명부!$B$3:$B$502,MATCH($B1060,회원명부!$A$3:$A$502,0)),"미등록회원"))</f>
        <v/>
      </c>
      <c r="D1060" s="13"/>
      <c r="E1060" s="10"/>
      <c r="F1060" s="10"/>
      <c r="G1060" s="10"/>
    </row>
    <row r="1061" customFormat="false" ht="15" hidden="false" customHeight="true" outlineLevel="0" collapsed="false">
      <c r="A1061" s="12"/>
      <c r="B1061" s="10"/>
      <c r="C1061" s="15" t="str">
        <f aca="false">IF($B1061="","",IFERROR(INDEX(회원명부!$B$3:$B$502,MATCH($B1061,회원명부!$A$3:$A$502,0)),"미등록회원"))</f>
        <v/>
      </c>
      <c r="D1061" s="13"/>
      <c r="E1061" s="10"/>
      <c r="F1061" s="10"/>
      <c r="G1061" s="10"/>
    </row>
    <row r="1062" customFormat="false" ht="15" hidden="false" customHeight="true" outlineLevel="0" collapsed="false">
      <c r="A1062" s="12"/>
      <c r="B1062" s="10"/>
      <c r="C1062" s="15" t="str">
        <f aca="false">IF($B1062="","",IFERROR(INDEX(회원명부!$B$3:$B$502,MATCH($B1062,회원명부!$A$3:$A$502,0)),"미등록회원"))</f>
        <v/>
      </c>
      <c r="D1062" s="13"/>
      <c r="E1062" s="10"/>
      <c r="F1062" s="10"/>
      <c r="G1062" s="10"/>
    </row>
    <row r="1063" customFormat="false" ht="15" hidden="false" customHeight="true" outlineLevel="0" collapsed="false">
      <c r="A1063" s="12"/>
      <c r="B1063" s="10"/>
      <c r="C1063" s="15" t="str">
        <f aca="false">IF($B1063="","",IFERROR(INDEX(회원명부!$B$3:$B$502,MATCH($B1063,회원명부!$A$3:$A$502,0)),"미등록회원"))</f>
        <v/>
      </c>
      <c r="D1063" s="13"/>
      <c r="E1063" s="10"/>
      <c r="F1063" s="10"/>
      <c r="G1063" s="10"/>
    </row>
    <row r="1064" customFormat="false" ht="15" hidden="false" customHeight="true" outlineLevel="0" collapsed="false">
      <c r="A1064" s="12"/>
      <c r="B1064" s="10"/>
      <c r="C1064" s="15" t="str">
        <f aca="false">IF($B1064="","",IFERROR(INDEX(회원명부!$B$3:$B$502,MATCH($B1064,회원명부!$A$3:$A$502,0)),"미등록회원"))</f>
        <v/>
      </c>
      <c r="D1064" s="13"/>
      <c r="E1064" s="10"/>
      <c r="F1064" s="10"/>
      <c r="G1064" s="10"/>
    </row>
    <row r="1065" customFormat="false" ht="15" hidden="false" customHeight="true" outlineLevel="0" collapsed="false">
      <c r="A1065" s="12"/>
      <c r="B1065" s="10"/>
      <c r="C1065" s="15" t="str">
        <f aca="false">IF($B1065="","",IFERROR(INDEX(회원명부!$B$3:$B$502,MATCH($B1065,회원명부!$A$3:$A$502,0)),"미등록회원"))</f>
        <v/>
      </c>
      <c r="D1065" s="13"/>
      <c r="E1065" s="10"/>
      <c r="F1065" s="10"/>
      <c r="G1065" s="10"/>
    </row>
    <row r="1066" customFormat="false" ht="15" hidden="false" customHeight="true" outlineLevel="0" collapsed="false">
      <c r="A1066" s="12"/>
      <c r="B1066" s="10"/>
      <c r="C1066" s="15" t="str">
        <f aca="false">IF($B1066="","",IFERROR(INDEX(회원명부!$B$3:$B$502,MATCH($B1066,회원명부!$A$3:$A$502,0)),"미등록회원"))</f>
        <v/>
      </c>
      <c r="D1066" s="13"/>
      <c r="E1066" s="10"/>
      <c r="F1066" s="10"/>
      <c r="G1066" s="10"/>
    </row>
    <row r="1067" customFormat="false" ht="15" hidden="false" customHeight="true" outlineLevel="0" collapsed="false">
      <c r="A1067" s="12"/>
      <c r="B1067" s="10"/>
      <c r="C1067" s="15" t="str">
        <f aca="false">IF($B1067="","",IFERROR(INDEX(회원명부!$B$3:$B$502,MATCH($B1067,회원명부!$A$3:$A$502,0)),"미등록회원"))</f>
        <v/>
      </c>
      <c r="D1067" s="13"/>
      <c r="E1067" s="10"/>
      <c r="F1067" s="10"/>
      <c r="G1067" s="10"/>
    </row>
    <row r="1068" customFormat="false" ht="15" hidden="false" customHeight="true" outlineLevel="0" collapsed="false">
      <c r="A1068" s="12"/>
      <c r="B1068" s="10"/>
      <c r="C1068" s="15" t="str">
        <f aca="false">IF($B1068="","",IFERROR(INDEX(회원명부!$B$3:$B$502,MATCH($B1068,회원명부!$A$3:$A$502,0)),"미등록회원"))</f>
        <v/>
      </c>
      <c r="D1068" s="13"/>
      <c r="E1068" s="10"/>
      <c r="F1068" s="10"/>
      <c r="G1068" s="10"/>
    </row>
    <row r="1069" customFormat="false" ht="15" hidden="false" customHeight="true" outlineLevel="0" collapsed="false">
      <c r="A1069" s="12"/>
      <c r="B1069" s="10"/>
      <c r="C1069" s="15" t="str">
        <f aca="false">IF($B1069="","",IFERROR(INDEX(회원명부!$B$3:$B$502,MATCH($B1069,회원명부!$A$3:$A$502,0)),"미등록회원"))</f>
        <v/>
      </c>
      <c r="D1069" s="13"/>
      <c r="E1069" s="10"/>
      <c r="F1069" s="10"/>
      <c r="G1069" s="10"/>
    </row>
    <row r="1070" customFormat="false" ht="15" hidden="false" customHeight="true" outlineLevel="0" collapsed="false">
      <c r="A1070" s="12"/>
      <c r="B1070" s="10"/>
      <c r="C1070" s="15" t="str">
        <f aca="false">IF($B1070="","",IFERROR(INDEX(회원명부!$B$3:$B$502,MATCH($B1070,회원명부!$A$3:$A$502,0)),"미등록회원"))</f>
        <v/>
      </c>
      <c r="D1070" s="13"/>
      <c r="E1070" s="10"/>
      <c r="F1070" s="10"/>
      <c r="G1070" s="10"/>
    </row>
    <row r="1071" customFormat="false" ht="15" hidden="false" customHeight="true" outlineLevel="0" collapsed="false">
      <c r="A1071" s="12"/>
      <c r="B1071" s="10"/>
      <c r="C1071" s="15" t="str">
        <f aca="false">IF($B1071="","",IFERROR(INDEX(회원명부!$B$3:$B$502,MATCH($B1071,회원명부!$A$3:$A$502,0)),"미등록회원"))</f>
        <v/>
      </c>
      <c r="D1071" s="13"/>
      <c r="E1071" s="10"/>
      <c r="F1071" s="10"/>
      <c r="G1071" s="10"/>
    </row>
    <row r="1072" customFormat="false" ht="15" hidden="false" customHeight="true" outlineLevel="0" collapsed="false">
      <c r="A1072" s="12"/>
      <c r="B1072" s="10"/>
      <c r="C1072" s="15" t="str">
        <f aca="false">IF($B1072="","",IFERROR(INDEX(회원명부!$B$3:$B$502,MATCH($B1072,회원명부!$A$3:$A$502,0)),"미등록회원"))</f>
        <v/>
      </c>
      <c r="D1072" s="13"/>
      <c r="E1072" s="10"/>
      <c r="F1072" s="10"/>
      <c r="G1072" s="10"/>
    </row>
    <row r="1073" customFormat="false" ht="15" hidden="false" customHeight="true" outlineLevel="0" collapsed="false">
      <c r="A1073" s="12"/>
      <c r="B1073" s="10"/>
      <c r="C1073" s="15" t="str">
        <f aca="false">IF($B1073="","",IFERROR(INDEX(회원명부!$B$3:$B$502,MATCH($B1073,회원명부!$A$3:$A$502,0)),"미등록회원"))</f>
        <v/>
      </c>
      <c r="D1073" s="13"/>
      <c r="E1073" s="10"/>
      <c r="F1073" s="10"/>
      <c r="G1073" s="10"/>
    </row>
    <row r="1074" customFormat="false" ht="15" hidden="false" customHeight="true" outlineLevel="0" collapsed="false">
      <c r="A1074" s="12"/>
      <c r="B1074" s="10"/>
      <c r="C1074" s="15" t="str">
        <f aca="false">IF($B1074="","",IFERROR(INDEX(회원명부!$B$3:$B$502,MATCH($B1074,회원명부!$A$3:$A$502,0)),"미등록회원"))</f>
        <v/>
      </c>
      <c r="D1074" s="13"/>
      <c r="E1074" s="10"/>
      <c r="F1074" s="10"/>
      <c r="G1074" s="10"/>
    </row>
    <row r="1075" customFormat="false" ht="15" hidden="false" customHeight="true" outlineLevel="0" collapsed="false">
      <c r="A1075" s="12"/>
      <c r="B1075" s="10"/>
      <c r="C1075" s="15" t="str">
        <f aca="false">IF($B1075="","",IFERROR(INDEX(회원명부!$B$3:$B$502,MATCH($B1075,회원명부!$A$3:$A$502,0)),"미등록회원"))</f>
        <v/>
      </c>
      <c r="D1075" s="13"/>
      <c r="E1075" s="10"/>
      <c r="F1075" s="10"/>
      <c r="G1075" s="10"/>
    </row>
    <row r="1076" customFormat="false" ht="15" hidden="false" customHeight="true" outlineLevel="0" collapsed="false">
      <c r="A1076" s="12"/>
      <c r="B1076" s="10"/>
      <c r="C1076" s="15" t="str">
        <f aca="false">IF($B1076="","",IFERROR(INDEX(회원명부!$B$3:$B$502,MATCH($B1076,회원명부!$A$3:$A$502,0)),"미등록회원"))</f>
        <v/>
      </c>
      <c r="D1076" s="13"/>
      <c r="E1076" s="10"/>
      <c r="F1076" s="10"/>
      <c r="G1076" s="10"/>
    </row>
    <row r="1077" customFormat="false" ht="15" hidden="false" customHeight="true" outlineLevel="0" collapsed="false">
      <c r="A1077" s="12"/>
      <c r="B1077" s="10"/>
      <c r="C1077" s="15" t="str">
        <f aca="false">IF($B1077="","",IFERROR(INDEX(회원명부!$B$3:$B$502,MATCH($B1077,회원명부!$A$3:$A$502,0)),"미등록회원"))</f>
        <v/>
      </c>
      <c r="D1077" s="13"/>
      <c r="E1077" s="10"/>
      <c r="F1077" s="10"/>
      <c r="G1077" s="10"/>
    </row>
    <row r="1078" customFormat="false" ht="15" hidden="false" customHeight="true" outlineLevel="0" collapsed="false">
      <c r="A1078" s="12"/>
      <c r="B1078" s="10"/>
      <c r="C1078" s="15" t="str">
        <f aca="false">IF($B1078="","",IFERROR(INDEX(회원명부!$B$3:$B$502,MATCH($B1078,회원명부!$A$3:$A$502,0)),"미등록회원"))</f>
        <v/>
      </c>
      <c r="D1078" s="13"/>
      <c r="E1078" s="10"/>
      <c r="F1078" s="10"/>
      <c r="G1078" s="10"/>
    </row>
    <row r="1079" customFormat="false" ht="15" hidden="false" customHeight="true" outlineLevel="0" collapsed="false">
      <c r="A1079" s="12"/>
      <c r="B1079" s="10"/>
      <c r="C1079" s="15" t="str">
        <f aca="false">IF($B1079="","",IFERROR(INDEX(회원명부!$B$3:$B$502,MATCH($B1079,회원명부!$A$3:$A$502,0)),"미등록회원"))</f>
        <v/>
      </c>
      <c r="D1079" s="13"/>
      <c r="E1079" s="10"/>
      <c r="F1079" s="10"/>
      <c r="G1079" s="10"/>
    </row>
    <row r="1080" customFormat="false" ht="15" hidden="false" customHeight="true" outlineLevel="0" collapsed="false">
      <c r="A1080" s="12"/>
      <c r="B1080" s="10"/>
      <c r="C1080" s="15" t="str">
        <f aca="false">IF($B1080="","",IFERROR(INDEX(회원명부!$B$3:$B$502,MATCH($B1080,회원명부!$A$3:$A$502,0)),"미등록회원"))</f>
        <v/>
      </c>
      <c r="D1080" s="13"/>
      <c r="E1080" s="10"/>
      <c r="F1080" s="10"/>
      <c r="G1080" s="10"/>
    </row>
    <row r="1081" customFormat="false" ht="15" hidden="false" customHeight="true" outlineLevel="0" collapsed="false">
      <c r="A1081" s="12"/>
      <c r="B1081" s="10"/>
      <c r="C1081" s="15" t="str">
        <f aca="false">IF($B1081="","",IFERROR(INDEX(회원명부!$B$3:$B$502,MATCH($B1081,회원명부!$A$3:$A$502,0)),"미등록회원"))</f>
        <v/>
      </c>
      <c r="D1081" s="13"/>
      <c r="E1081" s="10"/>
      <c r="F1081" s="10"/>
      <c r="G1081" s="10"/>
    </row>
    <row r="1082" customFormat="false" ht="15" hidden="false" customHeight="true" outlineLevel="0" collapsed="false">
      <c r="A1082" s="12"/>
      <c r="B1082" s="10"/>
      <c r="C1082" s="15" t="str">
        <f aca="false">IF($B1082="","",IFERROR(INDEX(회원명부!$B$3:$B$502,MATCH($B1082,회원명부!$A$3:$A$502,0)),"미등록회원"))</f>
        <v/>
      </c>
      <c r="D1082" s="13"/>
      <c r="E1082" s="10"/>
      <c r="F1082" s="10"/>
      <c r="G1082" s="10"/>
    </row>
    <row r="1083" customFormat="false" ht="15" hidden="false" customHeight="true" outlineLevel="0" collapsed="false">
      <c r="A1083" s="12"/>
      <c r="B1083" s="10"/>
      <c r="C1083" s="15" t="str">
        <f aca="false">IF($B1083="","",IFERROR(INDEX(회원명부!$B$3:$B$502,MATCH($B1083,회원명부!$A$3:$A$502,0)),"미등록회원"))</f>
        <v/>
      </c>
      <c r="D1083" s="13"/>
      <c r="E1083" s="10"/>
      <c r="F1083" s="10"/>
      <c r="G1083" s="10"/>
    </row>
    <row r="1084" customFormat="false" ht="15" hidden="false" customHeight="true" outlineLevel="0" collapsed="false">
      <c r="A1084" s="12"/>
      <c r="B1084" s="10"/>
      <c r="C1084" s="15" t="str">
        <f aca="false">IF($B1084="","",IFERROR(INDEX(회원명부!$B$3:$B$502,MATCH($B1084,회원명부!$A$3:$A$502,0)),"미등록회원"))</f>
        <v/>
      </c>
      <c r="D1084" s="13"/>
      <c r="E1084" s="10"/>
      <c r="F1084" s="10"/>
      <c r="G1084" s="10"/>
    </row>
    <row r="1085" customFormat="false" ht="15" hidden="false" customHeight="true" outlineLevel="0" collapsed="false">
      <c r="A1085" s="12"/>
      <c r="B1085" s="10"/>
      <c r="C1085" s="15" t="str">
        <f aca="false">IF($B1085="","",IFERROR(INDEX(회원명부!$B$3:$B$502,MATCH($B1085,회원명부!$A$3:$A$502,0)),"미등록회원"))</f>
        <v/>
      </c>
      <c r="D1085" s="13"/>
      <c r="E1085" s="10"/>
      <c r="F1085" s="10"/>
      <c r="G1085" s="10"/>
    </row>
    <row r="1086" customFormat="false" ht="15" hidden="false" customHeight="true" outlineLevel="0" collapsed="false">
      <c r="A1086" s="12"/>
      <c r="B1086" s="10"/>
      <c r="C1086" s="15" t="str">
        <f aca="false">IF($B1086="","",IFERROR(INDEX(회원명부!$B$3:$B$502,MATCH($B1086,회원명부!$A$3:$A$502,0)),"미등록회원"))</f>
        <v/>
      </c>
      <c r="D1086" s="13"/>
      <c r="E1086" s="10"/>
      <c r="F1086" s="10"/>
      <c r="G1086" s="10"/>
    </row>
    <row r="1087" customFormat="false" ht="15" hidden="false" customHeight="true" outlineLevel="0" collapsed="false">
      <c r="A1087" s="12"/>
      <c r="B1087" s="10"/>
      <c r="C1087" s="15" t="str">
        <f aca="false">IF($B1087="","",IFERROR(INDEX(회원명부!$B$3:$B$502,MATCH($B1087,회원명부!$A$3:$A$502,0)),"미등록회원"))</f>
        <v/>
      </c>
      <c r="D1087" s="13"/>
      <c r="E1087" s="10"/>
      <c r="F1087" s="10"/>
      <c r="G1087" s="10"/>
    </row>
    <row r="1088" customFormat="false" ht="15" hidden="false" customHeight="true" outlineLevel="0" collapsed="false">
      <c r="A1088" s="12"/>
      <c r="B1088" s="10"/>
      <c r="C1088" s="15" t="str">
        <f aca="false">IF($B1088="","",IFERROR(INDEX(회원명부!$B$3:$B$502,MATCH($B1088,회원명부!$A$3:$A$502,0)),"미등록회원"))</f>
        <v/>
      </c>
      <c r="D1088" s="13"/>
      <c r="E1088" s="10"/>
      <c r="F1088" s="10"/>
      <c r="G1088" s="10"/>
    </row>
    <row r="1089" customFormat="false" ht="15" hidden="false" customHeight="true" outlineLevel="0" collapsed="false">
      <c r="A1089" s="12"/>
      <c r="B1089" s="10"/>
      <c r="C1089" s="15" t="str">
        <f aca="false">IF($B1089="","",IFERROR(INDEX(회원명부!$B$3:$B$502,MATCH($B1089,회원명부!$A$3:$A$502,0)),"미등록회원"))</f>
        <v/>
      </c>
      <c r="D1089" s="13"/>
      <c r="E1089" s="10"/>
      <c r="F1089" s="10"/>
      <c r="G1089" s="10"/>
    </row>
    <row r="1090" customFormat="false" ht="15" hidden="false" customHeight="true" outlineLevel="0" collapsed="false">
      <c r="A1090" s="12"/>
      <c r="B1090" s="10"/>
      <c r="C1090" s="15" t="str">
        <f aca="false">IF($B1090="","",IFERROR(INDEX(회원명부!$B$3:$B$502,MATCH($B1090,회원명부!$A$3:$A$502,0)),"미등록회원"))</f>
        <v/>
      </c>
      <c r="D1090" s="13"/>
      <c r="E1090" s="10"/>
      <c r="F1090" s="10"/>
      <c r="G1090" s="10"/>
    </row>
    <row r="1091" customFormat="false" ht="15" hidden="false" customHeight="true" outlineLevel="0" collapsed="false">
      <c r="A1091" s="12"/>
      <c r="B1091" s="10"/>
      <c r="C1091" s="15" t="str">
        <f aca="false">IF($B1091="","",IFERROR(INDEX(회원명부!$B$3:$B$502,MATCH($B1091,회원명부!$A$3:$A$502,0)),"미등록회원"))</f>
        <v/>
      </c>
      <c r="D1091" s="13"/>
      <c r="E1091" s="10"/>
      <c r="F1091" s="10"/>
      <c r="G1091" s="10"/>
    </row>
    <row r="1092" customFormat="false" ht="15" hidden="false" customHeight="true" outlineLevel="0" collapsed="false">
      <c r="A1092" s="12"/>
      <c r="B1092" s="10"/>
      <c r="C1092" s="15" t="str">
        <f aca="false">IF($B1092="","",IFERROR(INDEX(회원명부!$B$3:$B$502,MATCH($B1092,회원명부!$A$3:$A$502,0)),"미등록회원"))</f>
        <v/>
      </c>
      <c r="D1092" s="13"/>
      <c r="E1092" s="10"/>
      <c r="F1092" s="10"/>
      <c r="G1092" s="10"/>
    </row>
    <row r="1093" customFormat="false" ht="15" hidden="false" customHeight="true" outlineLevel="0" collapsed="false">
      <c r="A1093" s="12"/>
      <c r="B1093" s="10"/>
      <c r="C1093" s="15" t="str">
        <f aca="false">IF($B1093="","",IFERROR(INDEX(회원명부!$B$3:$B$502,MATCH($B1093,회원명부!$A$3:$A$502,0)),"미등록회원"))</f>
        <v/>
      </c>
      <c r="D1093" s="13"/>
      <c r="E1093" s="10"/>
      <c r="F1093" s="10"/>
      <c r="G1093" s="10"/>
    </row>
    <row r="1094" customFormat="false" ht="15" hidden="false" customHeight="true" outlineLevel="0" collapsed="false">
      <c r="A1094" s="12"/>
      <c r="B1094" s="10"/>
      <c r="C1094" s="15" t="str">
        <f aca="false">IF($B1094="","",IFERROR(INDEX(회원명부!$B$3:$B$502,MATCH($B1094,회원명부!$A$3:$A$502,0)),"미등록회원"))</f>
        <v/>
      </c>
      <c r="D1094" s="13"/>
      <c r="E1094" s="10"/>
      <c r="F1094" s="10"/>
      <c r="G1094" s="10"/>
    </row>
    <row r="1095" customFormat="false" ht="15" hidden="false" customHeight="true" outlineLevel="0" collapsed="false">
      <c r="A1095" s="12"/>
      <c r="B1095" s="10"/>
      <c r="C1095" s="15" t="str">
        <f aca="false">IF($B1095="","",IFERROR(INDEX(회원명부!$B$3:$B$502,MATCH($B1095,회원명부!$A$3:$A$502,0)),"미등록회원"))</f>
        <v/>
      </c>
      <c r="D1095" s="13"/>
      <c r="E1095" s="10"/>
      <c r="F1095" s="10"/>
      <c r="G1095" s="10"/>
    </row>
    <row r="1096" customFormat="false" ht="15" hidden="false" customHeight="true" outlineLevel="0" collapsed="false">
      <c r="A1096" s="12"/>
      <c r="B1096" s="10"/>
      <c r="C1096" s="15" t="str">
        <f aca="false">IF($B1096="","",IFERROR(INDEX(회원명부!$B$3:$B$502,MATCH($B1096,회원명부!$A$3:$A$502,0)),"미등록회원"))</f>
        <v/>
      </c>
      <c r="D1096" s="13"/>
      <c r="E1096" s="10"/>
      <c r="F1096" s="10"/>
      <c r="G1096" s="10"/>
    </row>
    <row r="1097" customFormat="false" ht="15" hidden="false" customHeight="true" outlineLevel="0" collapsed="false">
      <c r="A1097" s="12"/>
      <c r="B1097" s="10"/>
      <c r="C1097" s="15" t="str">
        <f aca="false">IF($B1097="","",IFERROR(INDEX(회원명부!$B$3:$B$502,MATCH($B1097,회원명부!$A$3:$A$502,0)),"미등록회원"))</f>
        <v/>
      </c>
      <c r="D1097" s="13"/>
      <c r="E1097" s="10"/>
      <c r="F1097" s="10"/>
      <c r="G1097" s="10"/>
    </row>
    <row r="1098" customFormat="false" ht="15" hidden="false" customHeight="true" outlineLevel="0" collapsed="false">
      <c r="A1098" s="12"/>
      <c r="B1098" s="10"/>
      <c r="C1098" s="15" t="str">
        <f aca="false">IF($B1098="","",IFERROR(INDEX(회원명부!$B$3:$B$502,MATCH($B1098,회원명부!$A$3:$A$502,0)),"미등록회원"))</f>
        <v/>
      </c>
      <c r="D1098" s="13"/>
      <c r="E1098" s="10"/>
      <c r="F1098" s="10"/>
      <c r="G1098" s="10"/>
    </row>
    <row r="1099" customFormat="false" ht="15" hidden="false" customHeight="true" outlineLevel="0" collapsed="false">
      <c r="A1099" s="12"/>
      <c r="B1099" s="10"/>
      <c r="C1099" s="15" t="str">
        <f aca="false">IF($B1099="","",IFERROR(INDEX(회원명부!$B$3:$B$502,MATCH($B1099,회원명부!$A$3:$A$502,0)),"미등록회원"))</f>
        <v/>
      </c>
      <c r="D1099" s="13"/>
      <c r="E1099" s="10"/>
      <c r="F1099" s="10"/>
      <c r="G1099" s="10"/>
    </row>
    <row r="1100" customFormat="false" ht="15" hidden="false" customHeight="true" outlineLevel="0" collapsed="false">
      <c r="A1100" s="12"/>
      <c r="B1100" s="10"/>
      <c r="C1100" s="15" t="str">
        <f aca="false">IF($B1100="","",IFERROR(INDEX(회원명부!$B$3:$B$502,MATCH($B1100,회원명부!$A$3:$A$502,0)),"미등록회원"))</f>
        <v/>
      </c>
      <c r="D1100" s="13"/>
      <c r="E1100" s="10"/>
      <c r="F1100" s="10"/>
      <c r="G1100" s="10"/>
    </row>
    <row r="1101" customFormat="false" ht="15" hidden="false" customHeight="true" outlineLevel="0" collapsed="false">
      <c r="A1101" s="12"/>
      <c r="B1101" s="10"/>
      <c r="C1101" s="15" t="str">
        <f aca="false">IF($B1101="","",IFERROR(INDEX(회원명부!$B$3:$B$502,MATCH($B1101,회원명부!$A$3:$A$502,0)),"미등록회원"))</f>
        <v/>
      </c>
      <c r="D1101" s="13"/>
      <c r="E1101" s="10"/>
      <c r="F1101" s="10"/>
      <c r="G1101" s="10"/>
    </row>
    <row r="1102" customFormat="false" ht="15" hidden="false" customHeight="true" outlineLevel="0" collapsed="false">
      <c r="A1102" s="12"/>
      <c r="B1102" s="10"/>
      <c r="C1102" s="15" t="str">
        <f aca="false">IF($B1102="","",IFERROR(INDEX(회원명부!$B$3:$B$502,MATCH($B1102,회원명부!$A$3:$A$502,0)),"미등록회원"))</f>
        <v/>
      </c>
      <c r="D1102" s="13"/>
      <c r="E1102" s="10"/>
      <c r="F1102" s="10"/>
      <c r="G1102" s="10"/>
    </row>
    <row r="1103" customFormat="false" ht="15" hidden="false" customHeight="true" outlineLevel="0" collapsed="false">
      <c r="A1103" s="12"/>
      <c r="B1103" s="10"/>
      <c r="C1103" s="15" t="str">
        <f aca="false">IF($B1103="","",IFERROR(INDEX(회원명부!$B$3:$B$502,MATCH($B1103,회원명부!$A$3:$A$502,0)),"미등록회원"))</f>
        <v/>
      </c>
      <c r="D1103" s="13"/>
      <c r="E1103" s="10"/>
      <c r="F1103" s="10"/>
      <c r="G1103" s="10"/>
    </row>
    <row r="1104" customFormat="false" ht="15" hidden="false" customHeight="true" outlineLevel="0" collapsed="false">
      <c r="A1104" s="12"/>
      <c r="B1104" s="10"/>
      <c r="C1104" s="15" t="str">
        <f aca="false">IF($B1104="","",IFERROR(INDEX(회원명부!$B$3:$B$502,MATCH($B1104,회원명부!$A$3:$A$502,0)),"미등록회원"))</f>
        <v/>
      </c>
      <c r="D1104" s="13"/>
      <c r="E1104" s="10"/>
      <c r="F1104" s="10"/>
      <c r="G1104" s="10"/>
    </row>
    <row r="1105" customFormat="false" ht="15" hidden="false" customHeight="true" outlineLevel="0" collapsed="false">
      <c r="A1105" s="12"/>
      <c r="B1105" s="10"/>
      <c r="C1105" s="15" t="str">
        <f aca="false">IF($B1105="","",IFERROR(INDEX(회원명부!$B$3:$B$502,MATCH($B1105,회원명부!$A$3:$A$502,0)),"미등록회원"))</f>
        <v/>
      </c>
      <c r="D1105" s="13"/>
      <c r="E1105" s="10"/>
      <c r="F1105" s="10"/>
      <c r="G1105" s="10"/>
    </row>
    <row r="1106" customFormat="false" ht="15" hidden="false" customHeight="true" outlineLevel="0" collapsed="false">
      <c r="A1106" s="12"/>
      <c r="B1106" s="10"/>
      <c r="C1106" s="15" t="str">
        <f aca="false">IF($B1106="","",IFERROR(INDEX(회원명부!$B$3:$B$502,MATCH($B1106,회원명부!$A$3:$A$502,0)),"미등록회원"))</f>
        <v/>
      </c>
      <c r="D1106" s="13"/>
      <c r="E1106" s="10"/>
      <c r="F1106" s="10"/>
      <c r="G1106" s="10"/>
    </row>
    <row r="1107" customFormat="false" ht="15" hidden="false" customHeight="true" outlineLevel="0" collapsed="false">
      <c r="A1107" s="12"/>
      <c r="B1107" s="10"/>
      <c r="C1107" s="15" t="str">
        <f aca="false">IF($B1107="","",IFERROR(INDEX(회원명부!$B$3:$B$502,MATCH($B1107,회원명부!$A$3:$A$502,0)),"미등록회원"))</f>
        <v/>
      </c>
      <c r="D1107" s="13"/>
      <c r="E1107" s="10"/>
      <c r="F1107" s="10"/>
      <c r="G1107" s="10"/>
    </row>
    <row r="1108" customFormat="false" ht="15" hidden="false" customHeight="true" outlineLevel="0" collapsed="false">
      <c r="A1108" s="12"/>
      <c r="B1108" s="10"/>
      <c r="C1108" s="15" t="str">
        <f aca="false">IF($B1108="","",IFERROR(INDEX(회원명부!$B$3:$B$502,MATCH($B1108,회원명부!$A$3:$A$502,0)),"미등록회원"))</f>
        <v/>
      </c>
      <c r="D1108" s="13"/>
      <c r="E1108" s="10"/>
      <c r="F1108" s="10"/>
      <c r="G1108" s="10"/>
    </row>
    <row r="1109" customFormat="false" ht="15" hidden="false" customHeight="true" outlineLevel="0" collapsed="false">
      <c r="A1109" s="12"/>
      <c r="B1109" s="10"/>
      <c r="C1109" s="15" t="str">
        <f aca="false">IF($B1109="","",IFERROR(INDEX(회원명부!$B$3:$B$502,MATCH($B1109,회원명부!$A$3:$A$502,0)),"미등록회원"))</f>
        <v/>
      </c>
      <c r="D1109" s="13"/>
      <c r="E1109" s="10"/>
      <c r="F1109" s="10"/>
      <c r="G1109" s="10"/>
    </row>
    <row r="1110" customFormat="false" ht="15" hidden="false" customHeight="true" outlineLevel="0" collapsed="false">
      <c r="A1110" s="12"/>
      <c r="B1110" s="10"/>
      <c r="C1110" s="15" t="str">
        <f aca="false">IF($B1110="","",IFERROR(INDEX(회원명부!$B$3:$B$502,MATCH($B1110,회원명부!$A$3:$A$502,0)),"미등록회원"))</f>
        <v/>
      </c>
      <c r="D1110" s="13"/>
      <c r="E1110" s="10"/>
      <c r="F1110" s="10"/>
      <c r="G1110" s="10"/>
    </row>
    <row r="1111" customFormat="false" ht="15" hidden="false" customHeight="true" outlineLevel="0" collapsed="false">
      <c r="A1111" s="12"/>
      <c r="B1111" s="10"/>
      <c r="C1111" s="15" t="str">
        <f aca="false">IF($B1111="","",IFERROR(INDEX(회원명부!$B$3:$B$502,MATCH($B1111,회원명부!$A$3:$A$502,0)),"미등록회원"))</f>
        <v/>
      </c>
      <c r="D1111" s="13"/>
      <c r="E1111" s="10"/>
      <c r="F1111" s="10"/>
      <c r="G1111" s="10"/>
    </row>
    <row r="1112" customFormat="false" ht="15" hidden="false" customHeight="true" outlineLevel="0" collapsed="false">
      <c r="A1112" s="12"/>
      <c r="B1112" s="10"/>
      <c r="C1112" s="15" t="str">
        <f aca="false">IF($B1112="","",IFERROR(INDEX(회원명부!$B$3:$B$502,MATCH($B1112,회원명부!$A$3:$A$502,0)),"미등록회원"))</f>
        <v/>
      </c>
      <c r="D1112" s="13"/>
      <c r="E1112" s="10"/>
      <c r="F1112" s="10"/>
      <c r="G1112" s="10"/>
    </row>
    <row r="1113" customFormat="false" ht="15" hidden="false" customHeight="true" outlineLevel="0" collapsed="false">
      <c r="A1113" s="12"/>
      <c r="B1113" s="10"/>
      <c r="C1113" s="15" t="str">
        <f aca="false">IF($B1113="","",IFERROR(INDEX(회원명부!$B$3:$B$502,MATCH($B1113,회원명부!$A$3:$A$502,0)),"미등록회원"))</f>
        <v/>
      </c>
      <c r="D1113" s="13"/>
      <c r="E1113" s="10"/>
      <c r="F1113" s="10"/>
      <c r="G1113" s="10"/>
    </row>
    <row r="1114" customFormat="false" ht="15" hidden="false" customHeight="true" outlineLevel="0" collapsed="false">
      <c r="A1114" s="12"/>
      <c r="B1114" s="10"/>
      <c r="C1114" s="15" t="str">
        <f aca="false">IF($B1114="","",IFERROR(INDEX(회원명부!$B$3:$B$502,MATCH($B1114,회원명부!$A$3:$A$502,0)),"미등록회원"))</f>
        <v/>
      </c>
      <c r="D1114" s="13"/>
      <c r="E1114" s="10"/>
      <c r="F1114" s="10"/>
      <c r="G1114" s="10"/>
    </row>
    <row r="1115" customFormat="false" ht="15" hidden="false" customHeight="true" outlineLevel="0" collapsed="false">
      <c r="A1115" s="12"/>
      <c r="B1115" s="10"/>
      <c r="C1115" s="15" t="str">
        <f aca="false">IF($B1115="","",IFERROR(INDEX(회원명부!$B$3:$B$502,MATCH($B1115,회원명부!$A$3:$A$502,0)),"미등록회원"))</f>
        <v/>
      </c>
      <c r="D1115" s="13"/>
      <c r="E1115" s="10"/>
      <c r="F1115" s="10"/>
      <c r="G1115" s="10"/>
    </row>
    <row r="1116" customFormat="false" ht="15" hidden="false" customHeight="true" outlineLevel="0" collapsed="false">
      <c r="A1116" s="12"/>
      <c r="B1116" s="10"/>
      <c r="C1116" s="15" t="str">
        <f aca="false">IF($B1116="","",IFERROR(INDEX(회원명부!$B$3:$B$502,MATCH($B1116,회원명부!$A$3:$A$502,0)),"미등록회원"))</f>
        <v/>
      </c>
      <c r="D1116" s="13"/>
      <c r="E1116" s="10"/>
      <c r="F1116" s="10"/>
      <c r="G1116" s="10"/>
    </row>
    <row r="1117" customFormat="false" ht="15" hidden="false" customHeight="true" outlineLevel="0" collapsed="false">
      <c r="A1117" s="12"/>
      <c r="B1117" s="10"/>
      <c r="C1117" s="15" t="str">
        <f aca="false">IF($B1117="","",IFERROR(INDEX(회원명부!$B$3:$B$502,MATCH($B1117,회원명부!$A$3:$A$502,0)),"미등록회원"))</f>
        <v/>
      </c>
      <c r="D1117" s="13"/>
      <c r="E1117" s="10"/>
      <c r="F1117" s="10"/>
      <c r="G1117" s="10"/>
    </row>
    <row r="1118" customFormat="false" ht="15" hidden="false" customHeight="true" outlineLevel="0" collapsed="false">
      <c r="A1118" s="12"/>
      <c r="B1118" s="10"/>
      <c r="C1118" s="15" t="str">
        <f aca="false">IF($B1118="","",IFERROR(INDEX(회원명부!$B$3:$B$502,MATCH($B1118,회원명부!$A$3:$A$502,0)),"미등록회원"))</f>
        <v/>
      </c>
      <c r="D1118" s="13"/>
      <c r="E1118" s="10"/>
      <c r="F1118" s="10"/>
      <c r="G1118" s="10"/>
    </row>
    <row r="1119" customFormat="false" ht="15" hidden="false" customHeight="true" outlineLevel="0" collapsed="false">
      <c r="A1119" s="12"/>
      <c r="B1119" s="10"/>
      <c r="C1119" s="15" t="str">
        <f aca="false">IF($B1119="","",IFERROR(INDEX(회원명부!$B$3:$B$502,MATCH($B1119,회원명부!$A$3:$A$502,0)),"미등록회원"))</f>
        <v/>
      </c>
      <c r="D1119" s="13"/>
      <c r="E1119" s="10"/>
      <c r="F1119" s="10"/>
      <c r="G1119" s="10"/>
    </row>
    <row r="1120" customFormat="false" ht="15" hidden="false" customHeight="true" outlineLevel="0" collapsed="false">
      <c r="A1120" s="12"/>
      <c r="B1120" s="10"/>
      <c r="C1120" s="15" t="str">
        <f aca="false">IF($B1120="","",IFERROR(INDEX(회원명부!$B$3:$B$502,MATCH($B1120,회원명부!$A$3:$A$502,0)),"미등록회원"))</f>
        <v/>
      </c>
      <c r="D1120" s="13"/>
      <c r="E1120" s="10"/>
      <c r="F1120" s="10"/>
      <c r="G1120" s="10"/>
    </row>
    <row r="1121" customFormat="false" ht="15" hidden="false" customHeight="true" outlineLevel="0" collapsed="false">
      <c r="A1121" s="12"/>
      <c r="B1121" s="10"/>
      <c r="C1121" s="15" t="str">
        <f aca="false">IF($B1121="","",IFERROR(INDEX(회원명부!$B$3:$B$502,MATCH($B1121,회원명부!$A$3:$A$502,0)),"미등록회원"))</f>
        <v/>
      </c>
      <c r="D1121" s="13"/>
      <c r="E1121" s="10"/>
      <c r="F1121" s="10"/>
      <c r="G1121" s="10"/>
    </row>
    <row r="1122" customFormat="false" ht="15" hidden="false" customHeight="true" outlineLevel="0" collapsed="false">
      <c r="A1122" s="12"/>
      <c r="B1122" s="10"/>
      <c r="C1122" s="15" t="str">
        <f aca="false">IF($B1122="","",IFERROR(INDEX(회원명부!$B$3:$B$502,MATCH($B1122,회원명부!$A$3:$A$502,0)),"미등록회원"))</f>
        <v/>
      </c>
      <c r="D1122" s="13"/>
      <c r="E1122" s="10"/>
      <c r="F1122" s="10"/>
      <c r="G1122" s="10"/>
    </row>
    <row r="1123" customFormat="false" ht="15" hidden="false" customHeight="true" outlineLevel="0" collapsed="false">
      <c r="A1123" s="12"/>
      <c r="B1123" s="10"/>
      <c r="C1123" s="15" t="str">
        <f aca="false">IF($B1123="","",IFERROR(INDEX(회원명부!$B$3:$B$502,MATCH($B1123,회원명부!$A$3:$A$502,0)),"미등록회원"))</f>
        <v/>
      </c>
      <c r="D1123" s="13"/>
      <c r="E1123" s="10"/>
      <c r="F1123" s="10"/>
      <c r="G1123" s="10"/>
    </row>
    <row r="1124" customFormat="false" ht="15" hidden="false" customHeight="true" outlineLevel="0" collapsed="false">
      <c r="A1124" s="12"/>
      <c r="B1124" s="10"/>
      <c r="C1124" s="15" t="str">
        <f aca="false">IF($B1124="","",IFERROR(INDEX(회원명부!$B$3:$B$502,MATCH($B1124,회원명부!$A$3:$A$502,0)),"미등록회원"))</f>
        <v/>
      </c>
      <c r="D1124" s="13"/>
      <c r="E1124" s="10"/>
      <c r="F1124" s="10"/>
      <c r="G1124" s="10"/>
    </row>
    <row r="1125" customFormat="false" ht="15" hidden="false" customHeight="true" outlineLevel="0" collapsed="false">
      <c r="A1125" s="12"/>
      <c r="B1125" s="10"/>
      <c r="C1125" s="15" t="str">
        <f aca="false">IF($B1125="","",IFERROR(INDEX(회원명부!$B$3:$B$502,MATCH($B1125,회원명부!$A$3:$A$502,0)),"미등록회원"))</f>
        <v/>
      </c>
      <c r="D1125" s="13"/>
      <c r="E1125" s="10"/>
      <c r="F1125" s="10"/>
      <c r="G1125" s="10"/>
    </row>
    <row r="1126" customFormat="false" ht="15" hidden="false" customHeight="true" outlineLevel="0" collapsed="false">
      <c r="A1126" s="12"/>
      <c r="B1126" s="10"/>
      <c r="C1126" s="15" t="str">
        <f aca="false">IF($B1126="","",IFERROR(INDEX(회원명부!$B$3:$B$502,MATCH($B1126,회원명부!$A$3:$A$502,0)),"미등록회원"))</f>
        <v/>
      </c>
      <c r="D1126" s="13"/>
      <c r="E1126" s="10"/>
      <c r="F1126" s="10"/>
      <c r="G1126" s="10"/>
    </row>
    <row r="1127" customFormat="false" ht="15" hidden="false" customHeight="true" outlineLevel="0" collapsed="false">
      <c r="A1127" s="12"/>
      <c r="B1127" s="10"/>
      <c r="C1127" s="15" t="str">
        <f aca="false">IF($B1127="","",IFERROR(INDEX(회원명부!$B$3:$B$502,MATCH($B1127,회원명부!$A$3:$A$502,0)),"미등록회원"))</f>
        <v/>
      </c>
      <c r="D1127" s="13"/>
      <c r="E1127" s="10"/>
      <c r="F1127" s="10"/>
      <c r="G1127" s="10"/>
    </row>
    <row r="1128" customFormat="false" ht="15" hidden="false" customHeight="true" outlineLevel="0" collapsed="false">
      <c r="A1128" s="12"/>
      <c r="B1128" s="10"/>
      <c r="C1128" s="15" t="str">
        <f aca="false">IF($B1128="","",IFERROR(INDEX(회원명부!$B$3:$B$502,MATCH($B1128,회원명부!$A$3:$A$502,0)),"미등록회원"))</f>
        <v/>
      </c>
      <c r="D1128" s="13"/>
      <c r="E1128" s="10"/>
      <c r="F1128" s="10"/>
      <c r="G1128" s="10"/>
    </row>
    <row r="1129" customFormat="false" ht="15" hidden="false" customHeight="true" outlineLevel="0" collapsed="false">
      <c r="A1129" s="12"/>
      <c r="B1129" s="10"/>
      <c r="C1129" s="15" t="str">
        <f aca="false">IF($B1129="","",IFERROR(INDEX(회원명부!$B$3:$B$502,MATCH($B1129,회원명부!$A$3:$A$502,0)),"미등록회원"))</f>
        <v/>
      </c>
      <c r="D1129" s="13"/>
      <c r="E1129" s="10"/>
      <c r="F1129" s="10"/>
      <c r="G1129" s="10"/>
    </row>
    <row r="1130" customFormat="false" ht="15" hidden="false" customHeight="true" outlineLevel="0" collapsed="false">
      <c r="A1130" s="12"/>
      <c r="B1130" s="10"/>
      <c r="C1130" s="15" t="str">
        <f aca="false">IF($B1130="","",IFERROR(INDEX(회원명부!$B$3:$B$502,MATCH($B1130,회원명부!$A$3:$A$502,0)),"미등록회원"))</f>
        <v/>
      </c>
      <c r="D1130" s="13"/>
      <c r="E1130" s="10"/>
      <c r="F1130" s="10"/>
      <c r="G1130" s="10"/>
    </row>
    <row r="1131" customFormat="false" ht="15" hidden="false" customHeight="true" outlineLevel="0" collapsed="false">
      <c r="A1131" s="12"/>
      <c r="B1131" s="10"/>
      <c r="C1131" s="15" t="str">
        <f aca="false">IF($B1131="","",IFERROR(INDEX(회원명부!$B$3:$B$502,MATCH($B1131,회원명부!$A$3:$A$502,0)),"미등록회원"))</f>
        <v/>
      </c>
      <c r="D1131" s="13"/>
      <c r="E1131" s="10"/>
      <c r="F1131" s="10"/>
      <c r="G1131" s="10"/>
    </row>
    <row r="1132" customFormat="false" ht="15" hidden="false" customHeight="true" outlineLevel="0" collapsed="false">
      <c r="A1132" s="12"/>
      <c r="B1132" s="10"/>
      <c r="C1132" s="15" t="str">
        <f aca="false">IF($B1132="","",IFERROR(INDEX(회원명부!$B$3:$B$502,MATCH($B1132,회원명부!$A$3:$A$502,0)),"미등록회원"))</f>
        <v/>
      </c>
      <c r="D1132" s="13"/>
      <c r="E1132" s="10"/>
      <c r="F1132" s="10"/>
      <c r="G1132" s="10"/>
    </row>
    <row r="1133" customFormat="false" ht="15" hidden="false" customHeight="true" outlineLevel="0" collapsed="false">
      <c r="A1133" s="12"/>
      <c r="B1133" s="10"/>
      <c r="C1133" s="15" t="str">
        <f aca="false">IF($B1133="","",IFERROR(INDEX(회원명부!$B$3:$B$502,MATCH($B1133,회원명부!$A$3:$A$502,0)),"미등록회원"))</f>
        <v/>
      </c>
      <c r="D1133" s="13"/>
      <c r="E1133" s="10"/>
      <c r="F1133" s="10"/>
      <c r="G1133" s="10"/>
    </row>
    <row r="1134" customFormat="false" ht="15" hidden="false" customHeight="true" outlineLevel="0" collapsed="false">
      <c r="A1134" s="12"/>
      <c r="B1134" s="10"/>
      <c r="C1134" s="15" t="str">
        <f aca="false">IF($B1134="","",IFERROR(INDEX(회원명부!$B$3:$B$502,MATCH($B1134,회원명부!$A$3:$A$502,0)),"미등록회원"))</f>
        <v/>
      </c>
      <c r="D1134" s="13"/>
      <c r="E1134" s="10"/>
      <c r="F1134" s="10"/>
      <c r="G1134" s="10"/>
    </row>
    <row r="1135" customFormat="false" ht="15" hidden="false" customHeight="true" outlineLevel="0" collapsed="false">
      <c r="A1135" s="12"/>
      <c r="B1135" s="10"/>
      <c r="C1135" s="15" t="str">
        <f aca="false">IF($B1135="","",IFERROR(INDEX(회원명부!$B$3:$B$502,MATCH($B1135,회원명부!$A$3:$A$502,0)),"미등록회원"))</f>
        <v/>
      </c>
      <c r="D1135" s="13"/>
      <c r="E1135" s="10"/>
      <c r="F1135" s="10"/>
      <c r="G1135" s="10"/>
    </row>
    <row r="1136" customFormat="false" ht="15" hidden="false" customHeight="true" outlineLevel="0" collapsed="false">
      <c r="A1136" s="12"/>
      <c r="B1136" s="10"/>
      <c r="C1136" s="15" t="str">
        <f aca="false">IF($B1136="","",IFERROR(INDEX(회원명부!$B$3:$B$502,MATCH($B1136,회원명부!$A$3:$A$502,0)),"미등록회원"))</f>
        <v/>
      </c>
      <c r="D1136" s="13"/>
      <c r="E1136" s="10"/>
      <c r="F1136" s="10"/>
      <c r="G1136" s="10"/>
    </row>
    <row r="1137" customFormat="false" ht="15" hidden="false" customHeight="true" outlineLevel="0" collapsed="false">
      <c r="A1137" s="12"/>
      <c r="B1137" s="10"/>
      <c r="C1137" s="15" t="str">
        <f aca="false">IF($B1137="","",IFERROR(INDEX(회원명부!$B$3:$B$502,MATCH($B1137,회원명부!$A$3:$A$502,0)),"미등록회원"))</f>
        <v/>
      </c>
      <c r="D1137" s="13"/>
      <c r="E1137" s="10"/>
      <c r="F1137" s="10"/>
      <c r="G1137" s="10"/>
    </row>
    <row r="1138" customFormat="false" ht="15" hidden="false" customHeight="true" outlineLevel="0" collapsed="false">
      <c r="A1138" s="12"/>
      <c r="B1138" s="10"/>
      <c r="C1138" s="15" t="str">
        <f aca="false">IF($B1138="","",IFERROR(INDEX(회원명부!$B$3:$B$502,MATCH($B1138,회원명부!$A$3:$A$502,0)),"미등록회원"))</f>
        <v/>
      </c>
      <c r="D1138" s="13"/>
      <c r="E1138" s="10"/>
      <c r="F1138" s="10"/>
      <c r="G1138" s="10"/>
    </row>
    <row r="1139" customFormat="false" ht="15" hidden="false" customHeight="true" outlineLevel="0" collapsed="false">
      <c r="A1139" s="12"/>
      <c r="B1139" s="10"/>
      <c r="C1139" s="15" t="str">
        <f aca="false">IF($B1139="","",IFERROR(INDEX(회원명부!$B$3:$B$502,MATCH($B1139,회원명부!$A$3:$A$502,0)),"미등록회원"))</f>
        <v/>
      </c>
      <c r="D1139" s="13"/>
      <c r="E1139" s="10"/>
      <c r="F1139" s="10"/>
      <c r="G1139" s="10"/>
    </row>
    <row r="1140" customFormat="false" ht="15" hidden="false" customHeight="true" outlineLevel="0" collapsed="false">
      <c r="A1140" s="12"/>
      <c r="B1140" s="10"/>
      <c r="C1140" s="15" t="str">
        <f aca="false">IF($B1140="","",IFERROR(INDEX(회원명부!$B$3:$B$502,MATCH($B1140,회원명부!$A$3:$A$502,0)),"미등록회원"))</f>
        <v/>
      </c>
      <c r="D1140" s="13"/>
      <c r="E1140" s="10"/>
      <c r="F1140" s="10"/>
      <c r="G1140" s="10"/>
    </row>
    <row r="1141" customFormat="false" ht="15" hidden="false" customHeight="true" outlineLevel="0" collapsed="false">
      <c r="A1141" s="12"/>
      <c r="B1141" s="10"/>
      <c r="C1141" s="15" t="str">
        <f aca="false">IF($B1141="","",IFERROR(INDEX(회원명부!$B$3:$B$502,MATCH($B1141,회원명부!$A$3:$A$502,0)),"미등록회원"))</f>
        <v/>
      </c>
      <c r="D1141" s="13"/>
      <c r="E1141" s="10"/>
      <c r="F1141" s="10"/>
      <c r="G1141" s="10"/>
    </row>
    <row r="1142" customFormat="false" ht="15" hidden="false" customHeight="true" outlineLevel="0" collapsed="false">
      <c r="A1142" s="12"/>
      <c r="B1142" s="10"/>
      <c r="C1142" s="15" t="str">
        <f aca="false">IF($B1142="","",IFERROR(INDEX(회원명부!$B$3:$B$502,MATCH($B1142,회원명부!$A$3:$A$502,0)),"미등록회원"))</f>
        <v/>
      </c>
      <c r="D1142" s="13"/>
      <c r="E1142" s="10"/>
      <c r="F1142" s="10"/>
      <c r="G1142" s="10"/>
    </row>
    <row r="1143" customFormat="false" ht="15" hidden="false" customHeight="true" outlineLevel="0" collapsed="false">
      <c r="A1143" s="12"/>
      <c r="B1143" s="10"/>
      <c r="C1143" s="15" t="str">
        <f aca="false">IF($B1143="","",IFERROR(INDEX(회원명부!$B$3:$B$502,MATCH($B1143,회원명부!$A$3:$A$502,0)),"미등록회원"))</f>
        <v/>
      </c>
      <c r="D1143" s="13"/>
      <c r="E1143" s="10"/>
      <c r="F1143" s="10"/>
      <c r="G1143" s="10"/>
    </row>
    <row r="1144" customFormat="false" ht="15" hidden="false" customHeight="true" outlineLevel="0" collapsed="false">
      <c r="A1144" s="12"/>
      <c r="B1144" s="10"/>
      <c r="C1144" s="15" t="str">
        <f aca="false">IF($B1144="","",IFERROR(INDEX(회원명부!$B$3:$B$502,MATCH($B1144,회원명부!$A$3:$A$502,0)),"미등록회원"))</f>
        <v/>
      </c>
      <c r="D1144" s="13"/>
      <c r="E1144" s="10"/>
      <c r="F1144" s="10"/>
      <c r="G1144" s="10"/>
    </row>
    <row r="1145" customFormat="false" ht="15" hidden="false" customHeight="true" outlineLevel="0" collapsed="false">
      <c r="A1145" s="12"/>
      <c r="B1145" s="10"/>
      <c r="C1145" s="15" t="str">
        <f aca="false">IF($B1145="","",IFERROR(INDEX(회원명부!$B$3:$B$502,MATCH($B1145,회원명부!$A$3:$A$502,0)),"미등록회원"))</f>
        <v/>
      </c>
      <c r="D1145" s="13"/>
      <c r="E1145" s="10"/>
      <c r="F1145" s="10"/>
      <c r="G1145" s="10"/>
    </row>
    <row r="1146" customFormat="false" ht="15" hidden="false" customHeight="true" outlineLevel="0" collapsed="false">
      <c r="A1146" s="12"/>
      <c r="B1146" s="10"/>
      <c r="C1146" s="15" t="str">
        <f aca="false">IF($B1146="","",IFERROR(INDEX(회원명부!$B$3:$B$502,MATCH($B1146,회원명부!$A$3:$A$502,0)),"미등록회원"))</f>
        <v/>
      </c>
      <c r="D1146" s="13"/>
      <c r="E1146" s="10"/>
      <c r="F1146" s="10"/>
      <c r="G1146" s="10"/>
    </row>
    <row r="1147" customFormat="false" ht="15" hidden="false" customHeight="true" outlineLevel="0" collapsed="false">
      <c r="A1147" s="12"/>
      <c r="B1147" s="10"/>
      <c r="C1147" s="15" t="str">
        <f aca="false">IF($B1147="","",IFERROR(INDEX(회원명부!$B$3:$B$502,MATCH($B1147,회원명부!$A$3:$A$502,0)),"미등록회원"))</f>
        <v/>
      </c>
      <c r="D1147" s="13"/>
      <c r="E1147" s="10"/>
      <c r="F1147" s="10"/>
      <c r="G1147" s="10"/>
    </row>
    <row r="1148" customFormat="false" ht="15" hidden="false" customHeight="true" outlineLevel="0" collapsed="false">
      <c r="A1148" s="12"/>
      <c r="B1148" s="10"/>
      <c r="C1148" s="15" t="str">
        <f aca="false">IF($B1148="","",IFERROR(INDEX(회원명부!$B$3:$B$502,MATCH($B1148,회원명부!$A$3:$A$502,0)),"미등록회원"))</f>
        <v/>
      </c>
      <c r="D1148" s="13"/>
      <c r="E1148" s="10"/>
      <c r="F1148" s="10"/>
      <c r="G1148" s="10"/>
    </row>
    <row r="1149" customFormat="false" ht="15" hidden="false" customHeight="true" outlineLevel="0" collapsed="false">
      <c r="A1149" s="12"/>
      <c r="B1149" s="10"/>
      <c r="C1149" s="15" t="str">
        <f aca="false">IF($B1149="","",IFERROR(INDEX(회원명부!$B$3:$B$502,MATCH($B1149,회원명부!$A$3:$A$502,0)),"미등록회원"))</f>
        <v/>
      </c>
      <c r="D1149" s="13"/>
      <c r="E1149" s="10"/>
      <c r="F1149" s="10"/>
      <c r="G1149" s="10"/>
    </row>
    <row r="1150" customFormat="false" ht="15" hidden="false" customHeight="true" outlineLevel="0" collapsed="false">
      <c r="A1150" s="12"/>
      <c r="B1150" s="10"/>
      <c r="C1150" s="15" t="str">
        <f aca="false">IF($B1150="","",IFERROR(INDEX(회원명부!$B$3:$B$502,MATCH($B1150,회원명부!$A$3:$A$502,0)),"미등록회원"))</f>
        <v/>
      </c>
      <c r="D1150" s="13"/>
      <c r="E1150" s="10"/>
      <c r="F1150" s="10"/>
      <c r="G1150" s="10"/>
    </row>
    <row r="1151" customFormat="false" ht="15" hidden="false" customHeight="true" outlineLevel="0" collapsed="false">
      <c r="A1151" s="12"/>
      <c r="B1151" s="10"/>
      <c r="C1151" s="15" t="str">
        <f aca="false">IF($B1151="","",IFERROR(INDEX(회원명부!$B$3:$B$502,MATCH($B1151,회원명부!$A$3:$A$502,0)),"미등록회원"))</f>
        <v/>
      </c>
      <c r="D1151" s="13"/>
      <c r="E1151" s="10"/>
      <c r="F1151" s="10"/>
      <c r="G1151" s="10"/>
    </row>
    <row r="1152" customFormat="false" ht="15" hidden="false" customHeight="true" outlineLevel="0" collapsed="false">
      <c r="A1152" s="12"/>
      <c r="B1152" s="10"/>
      <c r="C1152" s="15" t="str">
        <f aca="false">IF($B1152="","",IFERROR(INDEX(회원명부!$B$3:$B$502,MATCH($B1152,회원명부!$A$3:$A$502,0)),"미등록회원"))</f>
        <v/>
      </c>
      <c r="D1152" s="13"/>
      <c r="E1152" s="10"/>
      <c r="F1152" s="10"/>
      <c r="G1152" s="10"/>
    </row>
    <row r="1153" customFormat="false" ht="15" hidden="false" customHeight="true" outlineLevel="0" collapsed="false">
      <c r="A1153" s="12"/>
      <c r="B1153" s="10"/>
      <c r="C1153" s="15" t="str">
        <f aca="false">IF($B1153="","",IFERROR(INDEX(회원명부!$B$3:$B$502,MATCH($B1153,회원명부!$A$3:$A$502,0)),"미등록회원"))</f>
        <v/>
      </c>
      <c r="D1153" s="13"/>
      <c r="E1153" s="10"/>
      <c r="F1153" s="10"/>
      <c r="G1153" s="10"/>
    </row>
    <row r="1154" customFormat="false" ht="15" hidden="false" customHeight="true" outlineLevel="0" collapsed="false">
      <c r="A1154" s="12"/>
      <c r="B1154" s="10"/>
      <c r="C1154" s="15" t="str">
        <f aca="false">IF($B1154="","",IFERROR(INDEX(회원명부!$B$3:$B$502,MATCH($B1154,회원명부!$A$3:$A$502,0)),"미등록회원"))</f>
        <v/>
      </c>
      <c r="D1154" s="13"/>
      <c r="E1154" s="10"/>
      <c r="F1154" s="10"/>
      <c r="G1154" s="10"/>
    </row>
    <row r="1155" customFormat="false" ht="15" hidden="false" customHeight="true" outlineLevel="0" collapsed="false">
      <c r="A1155" s="12"/>
      <c r="B1155" s="10"/>
      <c r="C1155" s="15" t="str">
        <f aca="false">IF($B1155="","",IFERROR(INDEX(회원명부!$B$3:$B$502,MATCH($B1155,회원명부!$A$3:$A$502,0)),"미등록회원"))</f>
        <v/>
      </c>
      <c r="D1155" s="13"/>
      <c r="E1155" s="10"/>
      <c r="F1155" s="10"/>
      <c r="G1155" s="10"/>
    </row>
    <row r="1156" customFormat="false" ht="15" hidden="false" customHeight="true" outlineLevel="0" collapsed="false">
      <c r="A1156" s="12"/>
      <c r="B1156" s="10"/>
      <c r="C1156" s="15" t="str">
        <f aca="false">IF($B1156="","",IFERROR(INDEX(회원명부!$B$3:$B$502,MATCH($B1156,회원명부!$A$3:$A$502,0)),"미등록회원"))</f>
        <v/>
      </c>
      <c r="D1156" s="13"/>
      <c r="E1156" s="10"/>
      <c r="F1156" s="10"/>
      <c r="G1156" s="10"/>
    </row>
    <row r="1157" customFormat="false" ht="15" hidden="false" customHeight="true" outlineLevel="0" collapsed="false">
      <c r="A1157" s="12"/>
      <c r="B1157" s="10"/>
      <c r="C1157" s="15" t="str">
        <f aca="false">IF($B1157="","",IFERROR(INDEX(회원명부!$B$3:$B$502,MATCH($B1157,회원명부!$A$3:$A$502,0)),"미등록회원"))</f>
        <v/>
      </c>
      <c r="D1157" s="13"/>
      <c r="E1157" s="10"/>
      <c r="F1157" s="10"/>
      <c r="G1157" s="10"/>
    </row>
    <row r="1158" customFormat="false" ht="15" hidden="false" customHeight="true" outlineLevel="0" collapsed="false">
      <c r="A1158" s="12"/>
      <c r="B1158" s="10"/>
      <c r="C1158" s="15" t="str">
        <f aca="false">IF($B1158="","",IFERROR(INDEX(회원명부!$B$3:$B$502,MATCH($B1158,회원명부!$A$3:$A$502,0)),"미등록회원"))</f>
        <v/>
      </c>
      <c r="D1158" s="13"/>
      <c r="E1158" s="10"/>
      <c r="F1158" s="10"/>
      <c r="G1158" s="10"/>
    </row>
    <row r="1159" customFormat="false" ht="15" hidden="false" customHeight="true" outlineLevel="0" collapsed="false">
      <c r="A1159" s="12"/>
      <c r="B1159" s="10"/>
      <c r="C1159" s="15" t="str">
        <f aca="false">IF($B1159="","",IFERROR(INDEX(회원명부!$B$3:$B$502,MATCH($B1159,회원명부!$A$3:$A$502,0)),"미등록회원"))</f>
        <v/>
      </c>
      <c r="D1159" s="13"/>
      <c r="E1159" s="10"/>
      <c r="F1159" s="10"/>
      <c r="G1159" s="10"/>
    </row>
    <row r="1160" customFormat="false" ht="15" hidden="false" customHeight="true" outlineLevel="0" collapsed="false">
      <c r="A1160" s="12"/>
      <c r="B1160" s="10"/>
      <c r="C1160" s="15" t="str">
        <f aca="false">IF($B1160="","",IFERROR(INDEX(회원명부!$B$3:$B$502,MATCH($B1160,회원명부!$A$3:$A$502,0)),"미등록회원"))</f>
        <v/>
      </c>
      <c r="D1160" s="13"/>
      <c r="E1160" s="10"/>
      <c r="F1160" s="10"/>
      <c r="G1160" s="10"/>
    </row>
    <row r="1161" customFormat="false" ht="15" hidden="false" customHeight="true" outlineLevel="0" collapsed="false">
      <c r="A1161" s="12"/>
      <c r="B1161" s="10"/>
      <c r="C1161" s="15" t="str">
        <f aca="false">IF($B1161="","",IFERROR(INDEX(회원명부!$B$3:$B$502,MATCH($B1161,회원명부!$A$3:$A$502,0)),"미등록회원"))</f>
        <v/>
      </c>
      <c r="D1161" s="13"/>
      <c r="E1161" s="10"/>
      <c r="F1161" s="10"/>
      <c r="G1161" s="10"/>
    </row>
    <row r="1162" customFormat="false" ht="15" hidden="false" customHeight="true" outlineLevel="0" collapsed="false">
      <c r="A1162" s="12"/>
      <c r="B1162" s="10"/>
      <c r="C1162" s="15" t="str">
        <f aca="false">IF($B1162="","",IFERROR(INDEX(회원명부!$B$3:$B$502,MATCH($B1162,회원명부!$A$3:$A$502,0)),"미등록회원"))</f>
        <v/>
      </c>
      <c r="D1162" s="13"/>
      <c r="E1162" s="10"/>
      <c r="F1162" s="10"/>
      <c r="G1162" s="10"/>
    </row>
    <row r="1163" customFormat="false" ht="15" hidden="false" customHeight="true" outlineLevel="0" collapsed="false">
      <c r="A1163" s="12"/>
      <c r="B1163" s="10"/>
      <c r="C1163" s="15" t="str">
        <f aca="false">IF($B1163="","",IFERROR(INDEX(회원명부!$B$3:$B$502,MATCH($B1163,회원명부!$A$3:$A$502,0)),"미등록회원"))</f>
        <v/>
      </c>
      <c r="D1163" s="13"/>
      <c r="E1163" s="10"/>
      <c r="F1163" s="10"/>
      <c r="G1163" s="10"/>
    </row>
    <row r="1164" customFormat="false" ht="15" hidden="false" customHeight="true" outlineLevel="0" collapsed="false">
      <c r="A1164" s="12"/>
      <c r="B1164" s="10"/>
      <c r="C1164" s="15" t="str">
        <f aca="false">IF($B1164="","",IFERROR(INDEX(회원명부!$B$3:$B$502,MATCH($B1164,회원명부!$A$3:$A$502,0)),"미등록회원"))</f>
        <v/>
      </c>
      <c r="D1164" s="13"/>
      <c r="E1164" s="10"/>
      <c r="F1164" s="10"/>
      <c r="G1164" s="10"/>
    </row>
    <row r="1165" customFormat="false" ht="15" hidden="false" customHeight="true" outlineLevel="0" collapsed="false">
      <c r="A1165" s="12"/>
      <c r="B1165" s="10"/>
      <c r="C1165" s="15" t="str">
        <f aca="false">IF($B1165="","",IFERROR(INDEX(회원명부!$B$3:$B$502,MATCH($B1165,회원명부!$A$3:$A$502,0)),"미등록회원"))</f>
        <v/>
      </c>
      <c r="D1165" s="13"/>
      <c r="E1165" s="10"/>
      <c r="F1165" s="10"/>
      <c r="G1165" s="10"/>
    </row>
    <row r="1166" customFormat="false" ht="15" hidden="false" customHeight="true" outlineLevel="0" collapsed="false">
      <c r="A1166" s="12"/>
      <c r="B1166" s="10"/>
      <c r="C1166" s="15" t="str">
        <f aca="false">IF($B1166="","",IFERROR(INDEX(회원명부!$B$3:$B$502,MATCH($B1166,회원명부!$A$3:$A$502,0)),"미등록회원"))</f>
        <v/>
      </c>
      <c r="D1166" s="13"/>
      <c r="E1166" s="10"/>
      <c r="F1166" s="10"/>
      <c r="G1166" s="10"/>
    </row>
    <row r="1167" customFormat="false" ht="15" hidden="false" customHeight="true" outlineLevel="0" collapsed="false">
      <c r="A1167" s="12"/>
      <c r="B1167" s="10"/>
      <c r="C1167" s="15" t="str">
        <f aca="false">IF($B1167="","",IFERROR(INDEX(회원명부!$B$3:$B$502,MATCH($B1167,회원명부!$A$3:$A$502,0)),"미등록회원"))</f>
        <v/>
      </c>
      <c r="D1167" s="13"/>
      <c r="E1167" s="10"/>
      <c r="F1167" s="10"/>
      <c r="G1167" s="10"/>
    </row>
    <row r="1168" customFormat="false" ht="15" hidden="false" customHeight="true" outlineLevel="0" collapsed="false">
      <c r="A1168" s="12"/>
      <c r="B1168" s="10"/>
      <c r="C1168" s="15" t="str">
        <f aca="false">IF($B1168="","",IFERROR(INDEX(회원명부!$B$3:$B$502,MATCH($B1168,회원명부!$A$3:$A$502,0)),"미등록회원"))</f>
        <v/>
      </c>
      <c r="D1168" s="13"/>
      <c r="E1168" s="10"/>
      <c r="F1168" s="10"/>
      <c r="G1168" s="10"/>
    </row>
    <row r="1169" customFormat="false" ht="15" hidden="false" customHeight="true" outlineLevel="0" collapsed="false">
      <c r="A1169" s="12"/>
      <c r="B1169" s="10"/>
      <c r="C1169" s="15" t="str">
        <f aca="false">IF($B1169="","",IFERROR(INDEX(회원명부!$B$3:$B$502,MATCH($B1169,회원명부!$A$3:$A$502,0)),"미등록회원"))</f>
        <v/>
      </c>
      <c r="D1169" s="13"/>
      <c r="E1169" s="10"/>
      <c r="F1169" s="10"/>
      <c r="G1169" s="10"/>
    </row>
    <row r="1170" customFormat="false" ht="15" hidden="false" customHeight="true" outlineLevel="0" collapsed="false">
      <c r="A1170" s="12"/>
      <c r="B1170" s="10"/>
      <c r="C1170" s="15" t="str">
        <f aca="false">IF($B1170="","",IFERROR(INDEX(회원명부!$B$3:$B$502,MATCH($B1170,회원명부!$A$3:$A$502,0)),"미등록회원"))</f>
        <v/>
      </c>
      <c r="D1170" s="13"/>
      <c r="E1170" s="10"/>
      <c r="F1170" s="10"/>
      <c r="G1170" s="10"/>
    </row>
    <row r="1171" customFormat="false" ht="15" hidden="false" customHeight="true" outlineLevel="0" collapsed="false">
      <c r="A1171" s="12"/>
      <c r="B1171" s="10"/>
      <c r="C1171" s="15" t="str">
        <f aca="false">IF($B1171="","",IFERROR(INDEX(회원명부!$B$3:$B$502,MATCH($B1171,회원명부!$A$3:$A$502,0)),"미등록회원"))</f>
        <v/>
      </c>
      <c r="D1171" s="13"/>
      <c r="E1171" s="10"/>
      <c r="F1171" s="10"/>
      <c r="G1171" s="10"/>
    </row>
    <row r="1172" customFormat="false" ht="15" hidden="false" customHeight="true" outlineLevel="0" collapsed="false">
      <c r="A1172" s="12"/>
      <c r="B1172" s="10"/>
      <c r="C1172" s="15" t="str">
        <f aca="false">IF($B1172="","",IFERROR(INDEX(회원명부!$B$3:$B$502,MATCH($B1172,회원명부!$A$3:$A$502,0)),"미등록회원"))</f>
        <v/>
      </c>
      <c r="D1172" s="13"/>
      <c r="E1172" s="10"/>
      <c r="F1172" s="10"/>
      <c r="G1172" s="10"/>
    </row>
    <row r="1173" customFormat="false" ht="15" hidden="false" customHeight="true" outlineLevel="0" collapsed="false">
      <c r="A1173" s="12"/>
      <c r="B1173" s="10"/>
      <c r="C1173" s="15" t="str">
        <f aca="false">IF($B1173="","",IFERROR(INDEX(회원명부!$B$3:$B$502,MATCH($B1173,회원명부!$A$3:$A$502,0)),"미등록회원"))</f>
        <v/>
      </c>
      <c r="D1173" s="13"/>
      <c r="E1173" s="10"/>
      <c r="F1173" s="10"/>
      <c r="G1173" s="10"/>
    </row>
    <row r="1174" customFormat="false" ht="15" hidden="false" customHeight="true" outlineLevel="0" collapsed="false">
      <c r="A1174" s="12"/>
      <c r="B1174" s="10"/>
      <c r="C1174" s="15" t="str">
        <f aca="false">IF($B1174="","",IFERROR(INDEX(회원명부!$B$3:$B$502,MATCH($B1174,회원명부!$A$3:$A$502,0)),"미등록회원"))</f>
        <v/>
      </c>
      <c r="D1174" s="13"/>
      <c r="E1174" s="10"/>
      <c r="F1174" s="10"/>
      <c r="G1174" s="10"/>
    </row>
    <row r="1175" customFormat="false" ht="15" hidden="false" customHeight="true" outlineLevel="0" collapsed="false">
      <c r="A1175" s="12"/>
      <c r="B1175" s="10"/>
      <c r="C1175" s="15" t="str">
        <f aca="false">IF($B1175="","",IFERROR(INDEX(회원명부!$B$3:$B$502,MATCH($B1175,회원명부!$A$3:$A$502,0)),"미등록회원"))</f>
        <v/>
      </c>
      <c r="D1175" s="13"/>
      <c r="E1175" s="10"/>
      <c r="F1175" s="10"/>
      <c r="G1175" s="10"/>
    </row>
    <row r="1176" customFormat="false" ht="15" hidden="false" customHeight="true" outlineLevel="0" collapsed="false">
      <c r="A1176" s="12"/>
      <c r="B1176" s="10"/>
      <c r="C1176" s="15" t="str">
        <f aca="false">IF($B1176="","",IFERROR(INDEX(회원명부!$B$3:$B$502,MATCH($B1176,회원명부!$A$3:$A$502,0)),"미등록회원"))</f>
        <v/>
      </c>
      <c r="D1176" s="13"/>
      <c r="E1176" s="10"/>
      <c r="F1176" s="10"/>
      <c r="G1176" s="10"/>
    </row>
    <row r="1177" customFormat="false" ht="15" hidden="false" customHeight="true" outlineLevel="0" collapsed="false">
      <c r="A1177" s="12"/>
      <c r="B1177" s="10"/>
      <c r="C1177" s="15" t="str">
        <f aca="false">IF($B1177="","",IFERROR(INDEX(회원명부!$B$3:$B$502,MATCH($B1177,회원명부!$A$3:$A$502,0)),"미등록회원"))</f>
        <v/>
      </c>
      <c r="D1177" s="13"/>
      <c r="E1177" s="10"/>
      <c r="F1177" s="10"/>
      <c r="G1177" s="10"/>
    </row>
    <row r="1178" customFormat="false" ht="15" hidden="false" customHeight="true" outlineLevel="0" collapsed="false">
      <c r="A1178" s="12"/>
      <c r="B1178" s="10"/>
      <c r="C1178" s="15" t="str">
        <f aca="false">IF($B1178="","",IFERROR(INDEX(회원명부!$B$3:$B$502,MATCH($B1178,회원명부!$A$3:$A$502,0)),"미등록회원"))</f>
        <v/>
      </c>
      <c r="D1178" s="13"/>
      <c r="E1178" s="10"/>
      <c r="F1178" s="10"/>
      <c r="G1178" s="10"/>
    </row>
    <row r="1179" customFormat="false" ht="15" hidden="false" customHeight="true" outlineLevel="0" collapsed="false">
      <c r="A1179" s="12"/>
      <c r="B1179" s="10"/>
      <c r="C1179" s="15" t="str">
        <f aca="false">IF($B1179="","",IFERROR(INDEX(회원명부!$B$3:$B$502,MATCH($B1179,회원명부!$A$3:$A$502,0)),"미등록회원"))</f>
        <v/>
      </c>
      <c r="D1179" s="13"/>
      <c r="E1179" s="10"/>
      <c r="F1179" s="10"/>
      <c r="G1179" s="10"/>
    </row>
    <row r="1180" customFormat="false" ht="15" hidden="false" customHeight="true" outlineLevel="0" collapsed="false">
      <c r="A1180" s="12"/>
      <c r="B1180" s="10"/>
      <c r="C1180" s="15" t="str">
        <f aca="false">IF($B1180="","",IFERROR(INDEX(회원명부!$B$3:$B$502,MATCH($B1180,회원명부!$A$3:$A$502,0)),"미등록회원"))</f>
        <v/>
      </c>
      <c r="D1180" s="13"/>
      <c r="E1180" s="10"/>
      <c r="F1180" s="10"/>
      <c r="G1180" s="10"/>
    </row>
    <row r="1181" customFormat="false" ht="15" hidden="false" customHeight="true" outlineLevel="0" collapsed="false">
      <c r="A1181" s="12"/>
      <c r="B1181" s="10"/>
      <c r="C1181" s="15" t="str">
        <f aca="false">IF($B1181="","",IFERROR(INDEX(회원명부!$B$3:$B$502,MATCH($B1181,회원명부!$A$3:$A$502,0)),"미등록회원"))</f>
        <v/>
      </c>
      <c r="D1181" s="13"/>
      <c r="E1181" s="10"/>
      <c r="F1181" s="10"/>
      <c r="G1181" s="10"/>
    </row>
    <row r="1182" customFormat="false" ht="15" hidden="false" customHeight="true" outlineLevel="0" collapsed="false">
      <c r="A1182" s="12"/>
      <c r="B1182" s="10"/>
      <c r="C1182" s="15" t="str">
        <f aca="false">IF($B1182="","",IFERROR(INDEX(회원명부!$B$3:$B$502,MATCH($B1182,회원명부!$A$3:$A$502,0)),"미등록회원"))</f>
        <v/>
      </c>
      <c r="D1182" s="13"/>
      <c r="E1182" s="10"/>
      <c r="F1182" s="10"/>
      <c r="G1182" s="10"/>
    </row>
    <row r="1183" customFormat="false" ht="15" hidden="false" customHeight="true" outlineLevel="0" collapsed="false">
      <c r="A1183" s="12"/>
      <c r="B1183" s="10"/>
      <c r="C1183" s="15" t="str">
        <f aca="false">IF($B1183="","",IFERROR(INDEX(회원명부!$B$3:$B$502,MATCH($B1183,회원명부!$A$3:$A$502,0)),"미등록회원"))</f>
        <v/>
      </c>
      <c r="D1183" s="13"/>
      <c r="E1183" s="10"/>
      <c r="F1183" s="10"/>
      <c r="G1183" s="10"/>
    </row>
    <row r="1184" customFormat="false" ht="15" hidden="false" customHeight="true" outlineLevel="0" collapsed="false">
      <c r="A1184" s="12"/>
      <c r="B1184" s="10"/>
      <c r="C1184" s="15" t="str">
        <f aca="false">IF($B1184="","",IFERROR(INDEX(회원명부!$B$3:$B$502,MATCH($B1184,회원명부!$A$3:$A$502,0)),"미등록회원"))</f>
        <v/>
      </c>
      <c r="D1184" s="13"/>
      <c r="E1184" s="10"/>
      <c r="F1184" s="10"/>
      <c r="G1184" s="10"/>
    </row>
    <row r="1185" customFormat="false" ht="15" hidden="false" customHeight="true" outlineLevel="0" collapsed="false">
      <c r="A1185" s="12"/>
      <c r="B1185" s="10"/>
      <c r="C1185" s="15" t="str">
        <f aca="false">IF($B1185="","",IFERROR(INDEX(회원명부!$B$3:$B$502,MATCH($B1185,회원명부!$A$3:$A$502,0)),"미등록회원"))</f>
        <v/>
      </c>
      <c r="D1185" s="13"/>
      <c r="E1185" s="10"/>
      <c r="F1185" s="10"/>
      <c r="G1185" s="10"/>
    </row>
    <row r="1186" customFormat="false" ht="15" hidden="false" customHeight="true" outlineLevel="0" collapsed="false">
      <c r="A1186" s="12"/>
      <c r="B1186" s="10"/>
      <c r="C1186" s="15" t="str">
        <f aca="false">IF($B1186="","",IFERROR(INDEX(회원명부!$B$3:$B$502,MATCH($B1186,회원명부!$A$3:$A$502,0)),"미등록회원"))</f>
        <v/>
      </c>
      <c r="D1186" s="13"/>
      <c r="E1186" s="10"/>
      <c r="F1186" s="10"/>
      <c r="G1186" s="10"/>
    </row>
    <row r="1187" customFormat="false" ht="15" hidden="false" customHeight="true" outlineLevel="0" collapsed="false">
      <c r="A1187" s="12"/>
      <c r="B1187" s="10"/>
      <c r="C1187" s="15" t="str">
        <f aca="false">IF($B1187="","",IFERROR(INDEX(회원명부!$B$3:$B$502,MATCH($B1187,회원명부!$A$3:$A$502,0)),"미등록회원"))</f>
        <v/>
      </c>
      <c r="D1187" s="13"/>
      <c r="E1187" s="10"/>
      <c r="F1187" s="10"/>
      <c r="G1187" s="10"/>
    </row>
    <row r="1188" customFormat="false" ht="15" hidden="false" customHeight="true" outlineLevel="0" collapsed="false">
      <c r="A1188" s="12"/>
      <c r="B1188" s="10"/>
      <c r="C1188" s="15" t="str">
        <f aca="false">IF($B1188="","",IFERROR(INDEX(회원명부!$B$3:$B$502,MATCH($B1188,회원명부!$A$3:$A$502,0)),"미등록회원"))</f>
        <v/>
      </c>
      <c r="D1188" s="13"/>
      <c r="E1188" s="10"/>
      <c r="F1188" s="10"/>
      <c r="G1188" s="10"/>
    </row>
    <row r="1189" customFormat="false" ht="15" hidden="false" customHeight="true" outlineLevel="0" collapsed="false">
      <c r="A1189" s="12"/>
      <c r="B1189" s="10"/>
      <c r="C1189" s="15" t="str">
        <f aca="false">IF($B1189="","",IFERROR(INDEX(회원명부!$B$3:$B$502,MATCH($B1189,회원명부!$A$3:$A$502,0)),"미등록회원"))</f>
        <v/>
      </c>
      <c r="D1189" s="13"/>
      <c r="E1189" s="10"/>
      <c r="F1189" s="10"/>
      <c r="G1189" s="10"/>
    </row>
    <row r="1190" customFormat="false" ht="15" hidden="false" customHeight="true" outlineLevel="0" collapsed="false">
      <c r="A1190" s="12"/>
      <c r="B1190" s="10"/>
      <c r="C1190" s="15" t="str">
        <f aca="false">IF($B1190="","",IFERROR(INDEX(회원명부!$B$3:$B$502,MATCH($B1190,회원명부!$A$3:$A$502,0)),"미등록회원"))</f>
        <v/>
      </c>
      <c r="D1190" s="13"/>
      <c r="E1190" s="10"/>
      <c r="F1190" s="10"/>
      <c r="G1190" s="10"/>
    </row>
    <row r="1191" customFormat="false" ht="15" hidden="false" customHeight="true" outlineLevel="0" collapsed="false">
      <c r="A1191" s="12"/>
      <c r="B1191" s="10"/>
      <c r="C1191" s="15" t="str">
        <f aca="false">IF($B1191="","",IFERROR(INDEX(회원명부!$B$3:$B$502,MATCH($B1191,회원명부!$A$3:$A$502,0)),"미등록회원"))</f>
        <v/>
      </c>
      <c r="D1191" s="13"/>
      <c r="E1191" s="10"/>
      <c r="F1191" s="10"/>
      <c r="G1191" s="10"/>
    </row>
    <row r="1192" customFormat="false" ht="15" hidden="false" customHeight="true" outlineLevel="0" collapsed="false">
      <c r="A1192" s="12"/>
      <c r="B1192" s="10"/>
      <c r="C1192" s="15" t="str">
        <f aca="false">IF($B1192="","",IFERROR(INDEX(회원명부!$B$3:$B$502,MATCH($B1192,회원명부!$A$3:$A$502,0)),"미등록회원"))</f>
        <v/>
      </c>
      <c r="D1192" s="13"/>
      <c r="E1192" s="10"/>
      <c r="F1192" s="10"/>
      <c r="G1192" s="10"/>
    </row>
    <row r="1193" customFormat="false" ht="15" hidden="false" customHeight="true" outlineLevel="0" collapsed="false">
      <c r="A1193" s="12"/>
      <c r="B1193" s="10"/>
      <c r="C1193" s="15" t="str">
        <f aca="false">IF($B1193="","",IFERROR(INDEX(회원명부!$B$3:$B$502,MATCH($B1193,회원명부!$A$3:$A$502,0)),"미등록회원"))</f>
        <v/>
      </c>
      <c r="D1193" s="13"/>
      <c r="E1193" s="10"/>
      <c r="F1193" s="10"/>
      <c r="G1193" s="10"/>
    </row>
    <row r="1194" customFormat="false" ht="15" hidden="false" customHeight="true" outlineLevel="0" collapsed="false">
      <c r="A1194" s="12"/>
      <c r="B1194" s="10"/>
      <c r="C1194" s="15" t="str">
        <f aca="false">IF($B1194="","",IFERROR(INDEX(회원명부!$B$3:$B$502,MATCH($B1194,회원명부!$A$3:$A$502,0)),"미등록회원"))</f>
        <v/>
      </c>
      <c r="D1194" s="13"/>
      <c r="E1194" s="10"/>
      <c r="F1194" s="10"/>
      <c r="G1194" s="10"/>
    </row>
    <row r="1195" customFormat="false" ht="15" hidden="false" customHeight="true" outlineLevel="0" collapsed="false">
      <c r="A1195" s="12"/>
      <c r="B1195" s="10"/>
      <c r="C1195" s="15" t="str">
        <f aca="false">IF($B1195="","",IFERROR(INDEX(회원명부!$B$3:$B$502,MATCH($B1195,회원명부!$A$3:$A$502,0)),"미등록회원"))</f>
        <v/>
      </c>
      <c r="D1195" s="13"/>
      <c r="E1195" s="10"/>
      <c r="F1195" s="10"/>
      <c r="G1195" s="10"/>
    </row>
    <row r="1196" customFormat="false" ht="15" hidden="false" customHeight="true" outlineLevel="0" collapsed="false">
      <c r="A1196" s="12"/>
      <c r="B1196" s="10"/>
      <c r="C1196" s="15" t="str">
        <f aca="false">IF($B1196="","",IFERROR(INDEX(회원명부!$B$3:$B$502,MATCH($B1196,회원명부!$A$3:$A$502,0)),"미등록회원"))</f>
        <v/>
      </c>
      <c r="D1196" s="13"/>
      <c r="E1196" s="10"/>
      <c r="F1196" s="10"/>
      <c r="G1196" s="10"/>
    </row>
    <row r="1197" customFormat="false" ht="15" hidden="false" customHeight="true" outlineLevel="0" collapsed="false">
      <c r="A1197" s="12"/>
      <c r="B1197" s="10"/>
      <c r="C1197" s="15" t="str">
        <f aca="false">IF($B1197="","",IFERROR(INDEX(회원명부!$B$3:$B$502,MATCH($B1197,회원명부!$A$3:$A$502,0)),"미등록회원"))</f>
        <v/>
      </c>
      <c r="D1197" s="13"/>
      <c r="E1197" s="10"/>
      <c r="F1197" s="10"/>
      <c r="G1197" s="10"/>
    </row>
    <row r="1198" customFormat="false" ht="15" hidden="false" customHeight="true" outlineLevel="0" collapsed="false">
      <c r="A1198" s="12"/>
      <c r="B1198" s="10"/>
      <c r="C1198" s="15" t="str">
        <f aca="false">IF($B1198="","",IFERROR(INDEX(회원명부!$B$3:$B$502,MATCH($B1198,회원명부!$A$3:$A$502,0)),"미등록회원"))</f>
        <v/>
      </c>
      <c r="D1198" s="13"/>
      <c r="E1198" s="10"/>
      <c r="F1198" s="10"/>
      <c r="G1198" s="10"/>
    </row>
    <row r="1199" customFormat="false" ht="15" hidden="false" customHeight="true" outlineLevel="0" collapsed="false">
      <c r="A1199" s="12"/>
      <c r="B1199" s="10"/>
      <c r="C1199" s="15" t="str">
        <f aca="false">IF($B1199="","",IFERROR(INDEX(회원명부!$B$3:$B$502,MATCH($B1199,회원명부!$A$3:$A$502,0)),"미등록회원"))</f>
        <v/>
      </c>
      <c r="D1199" s="13"/>
      <c r="E1199" s="10"/>
      <c r="F1199" s="10"/>
      <c r="G1199" s="10"/>
    </row>
    <row r="1200" customFormat="false" ht="15" hidden="false" customHeight="true" outlineLevel="0" collapsed="false">
      <c r="A1200" s="12"/>
      <c r="B1200" s="10"/>
      <c r="C1200" s="15" t="str">
        <f aca="false">IF($B1200="","",IFERROR(INDEX(회원명부!$B$3:$B$502,MATCH($B1200,회원명부!$A$3:$A$502,0)),"미등록회원"))</f>
        <v/>
      </c>
      <c r="D1200" s="13"/>
      <c r="E1200" s="10"/>
      <c r="F1200" s="10"/>
      <c r="G1200" s="10"/>
    </row>
    <row r="1201" customFormat="false" ht="15" hidden="false" customHeight="true" outlineLevel="0" collapsed="false">
      <c r="A1201" s="12"/>
      <c r="B1201" s="10"/>
      <c r="C1201" s="15" t="str">
        <f aca="false">IF($B1201="","",IFERROR(INDEX(회원명부!$B$3:$B$502,MATCH($B1201,회원명부!$A$3:$A$502,0)),"미등록회원"))</f>
        <v/>
      </c>
      <c r="D1201" s="13"/>
      <c r="E1201" s="10"/>
      <c r="F1201" s="10"/>
      <c r="G1201" s="10"/>
    </row>
    <row r="1202" customFormat="false" ht="15" hidden="false" customHeight="true" outlineLevel="0" collapsed="false">
      <c r="A1202" s="12"/>
      <c r="B1202" s="10"/>
      <c r="C1202" s="15" t="str">
        <f aca="false">IF($B1202="","",IFERROR(INDEX(회원명부!$B$3:$B$502,MATCH($B1202,회원명부!$A$3:$A$502,0)),"미등록회원"))</f>
        <v/>
      </c>
      <c r="D1202" s="13"/>
      <c r="E1202" s="10"/>
      <c r="F1202" s="10"/>
      <c r="G1202" s="10"/>
    </row>
    <row r="1203" customFormat="false" ht="15" hidden="false" customHeight="true" outlineLevel="0" collapsed="false">
      <c r="A1203" s="12"/>
      <c r="B1203" s="10"/>
      <c r="C1203" s="15" t="str">
        <f aca="false">IF($B1203="","",IFERROR(INDEX(회원명부!$B$3:$B$502,MATCH($B1203,회원명부!$A$3:$A$502,0)),"미등록회원"))</f>
        <v/>
      </c>
      <c r="D1203" s="13"/>
      <c r="E1203" s="10"/>
      <c r="F1203" s="10"/>
      <c r="G1203" s="10"/>
    </row>
    <row r="1204" customFormat="false" ht="15" hidden="false" customHeight="true" outlineLevel="0" collapsed="false">
      <c r="A1204" s="12"/>
      <c r="B1204" s="10"/>
      <c r="C1204" s="15" t="str">
        <f aca="false">IF($B1204="","",IFERROR(INDEX(회원명부!$B$3:$B$502,MATCH($B1204,회원명부!$A$3:$A$502,0)),"미등록회원"))</f>
        <v/>
      </c>
      <c r="D1204" s="13"/>
      <c r="E1204" s="10"/>
      <c r="F1204" s="10"/>
      <c r="G1204" s="10"/>
    </row>
    <row r="1205" customFormat="false" ht="15" hidden="false" customHeight="true" outlineLevel="0" collapsed="false">
      <c r="A1205" s="12"/>
      <c r="B1205" s="10"/>
      <c r="C1205" s="15" t="str">
        <f aca="false">IF($B1205="","",IFERROR(INDEX(회원명부!$B$3:$B$502,MATCH($B1205,회원명부!$A$3:$A$502,0)),"미등록회원"))</f>
        <v/>
      </c>
      <c r="D1205" s="13"/>
      <c r="E1205" s="10"/>
      <c r="F1205" s="10"/>
      <c r="G1205" s="10"/>
    </row>
    <row r="1206" customFormat="false" ht="15" hidden="false" customHeight="true" outlineLevel="0" collapsed="false">
      <c r="A1206" s="12"/>
      <c r="B1206" s="10"/>
      <c r="C1206" s="15" t="str">
        <f aca="false">IF($B1206="","",IFERROR(INDEX(회원명부!$B$3:$B$502,MATCH($B1206,회원명부!$A$3:$A$502,0)),"미등록회원"))</f>
        <v/>
      </c>
      <c r="D1206" s="13"/>
      <c r="E1206" s="10"/>
      <c r="F1206" s="10"/>
      <c r="G1206" s="10"/>
    </row>
    <row r="1207" customFormat="false" ht="15" hidden="false" customHeight="true" outlineLevel="0" collapsed="false">
      <c r="A1207" s="12"/>
      <c r="B1207" s="10"/>
      <c r="C1207" s="15" t="str">
        <f aca="false">IF($B1207="","",IFERROR(INDEX(회원명부!$B$3:$B$502,MATCH($B1207,회원명부!$A$3:$A$502,0)),"미등록회원"))</f>
        <v/>
      </c>
      <c r="D1207" s="13"/>
      <c r="E1207" s="10"/>
      <c r="F1207" s="10"/>
      <c r="G1207" s="10"/>
    </row>
    <row r="1208" customFormat="false" ht="15" hidden="false" customHeight="true" outlineLevel="0" collapsed="false">
      <c r="A1208" s="12"/>
      <c r="B1208" s="10"/>
      <c r="C1208" s="15" t="str">
        <f aca="false">IF($B1208="","",IFERROR(INDEX(회원명부!$B$3:$B$502,MATCH($B1208,회원명부!$A$3:$A$502,0)),"미등록회원"))</f>
        <v/>
      </c>
      <c r="D1208" s="13"/>
      <c r="E1208" s="10"/>
      <c r="F1208" s="10"/>
      <c r="G1208" s="10"/>
    </row>
    <row r="1209" customFormat="false" ht="15" hidden="false" customHeight="true" outlineLevel="0" collapsed="false">
      <c r="A1209" s="12"/>
      <c r="B1209" s="10"/>
      <c r="C1209" s="15" t="str">
        <f aca="false">IF($B1209="","",IFERROR(INDEX(회원명부!$B$3:$B$502,MATCH($B1209,회원명부!$A$3:$A$502,0)),"미등록회원"))</f>
        <v/>
      </c>
      <c r="D1209" s="13"/>
      <c r="E1209" s="10"/>
      <c r="F1209" s="10"/>
      <c r="G1209" s="10"/>
    </row>
    <row r="1210" customFormat="false" ht="15" hidden="false" customHeight="true" outlineLevel="0" collapsed="false">
      <c r="A1210" s="12"/>
      <c r="B1210" s="10"/>
      <c r="C1210" s="15" t="str">
        <f aca="false">IF($B1210="","",IFERROR(INDEX(회원명부!$B$3:$B$502,MATCH($B1210,회원명부!$A$3:$A$502,0)),"미등록회원"))</f>
        <v/>
      </c>
      <c r="D1210" s="13"/>
      <c r="E1210" s="10"/>
      <c r="F1210" s="10"/>
      <c r="G1210" s="10"/>
    </row>
    <row r="1211" customFormat="false" ht="15" hidden="false" customHeight="true" outlineLevel="0" collapsed="false">
      <c r="A1211" s="12"/>
      <c r="B1211" s="10"/>
      <c r="C1211" s="15" t="str">
        <f aca="false">IF($B1211="","",IFERROR(INDEX(회원명부!$B$3:$B$502,MATCH($B1211,회원명부!$A$3:$A$502,0)),"미등록회원"))</f>
        <v/>
      </c>
      <c r="D1211" s="13"/>
      <c r="E1211" s="10"/>
      <c r="F1211" s="10"/>
      <c r="G1211" s="10"/>
    </row>
    <row r="1212" customFormat="false" ht="15" hidden="false" customHeight="true" outlineLevel="0" collapsed="false">
      <c r="A1212" s="12"/>
      <c r="B1212" s="10"/>
      <c r="C1212" s="15" t="str">
        <f aca="false">IF($B1212="","",IFERROR(INDEX(회원명부!$B$3:$B$502,MATCH($B1212,회원명부!$A$3:$A$502,0)),"미등록회원"))</f>
        <v/>
      </c>
      <c r="D1212" s="13"/>
      <c r="E1212" s="10"/>
      <c r="F1212" s="10"/>
      <c r="G1212" s="10"/>
    </row>
    <row r="1213" customFormat="false" ht="15" hidden="false" customHeight="true" outlineLevel="0" collapsed="false">
      <c r="A1213" s="12"/>
      <c r="B1213" s="10"/>
      <c r="C1213" s="15" t="str">
        <f aca="false">IF($B1213="","",IFERROR(INDEX(회원명부!$B$3:$B$502,MATCH($B1213,회원명부!$A$3:$A$502,0)),"미등록회원"))</f>
        <v/>
      </c>
      <c r="D1213" s="13"/>
      <c r="E1213" s="10"/>
      <c r="F1213" s="10"/>
      <c r="G1213" s="10"/>
    </row>
    <row r="1214" customFormat="false" ht="15" hidden="false" customHeight="true" outlineLevel="0" collapsed="false">
      <c r="A1214" s="12"/>
      <c r="B1214" s="10"/>
      <c r="C1214" s="15" t="str">
        <f aca="false">IF($B1214="","",IFERROR(INDEX(회원명부!$B$3:$B$502,MATCH($B1214,회원명부!$A$3:$A$502,0)),"미등록회원"))</f>
        <v/>
      </c>
      <c r="D1214" s="13"/>
      <c r="E1214" s="10"/>
      <c r="F1214" s="10"/>
      <c r="G1214" s="10"/>
    </row>
    <row r="1215" customFormat="false" ht="15" hidden="false" customHeight="true" outlineLevel="0" collapsed="false">
      <c r="A1215" s="12"/>
      <c r="B1215" s="10"/>
      <c r="C1215" s="15" t="str">
        <f aca="false">IF($B1215="","",IFERROR(INDEX(회원명부!$B$3:$B$502,MATCH($B1215,회원명부!$A$3:$A$502,0)),"미등록회원"))</f>
        <v/>
      </c>
      <c r="D1215" s="13"/>
      <c r="E1215" s="10"/>
      <c r="F1215" s="10"/>
      <c r="G1215" s="10"/>
    </row>
    <row r="1216" customFormat="false" ht="15" hidden="false" customHeight="true" outlineLevel="0" collapsed="false">
      <c r="A1216" s="12"/>
      <c r="B1216" s="10"/>
      <c r="C1216" s="15" t="str">
        <f aca="false">IF($B1216="","",IFERROR(INDEX(회원명부!$B$3:$B$502,MATCH($B1216,회원명부!$A$3:$A$502,0)),"미등록회원"))</f>
        <v/>
      </c>
      <c r="D1216" s="13"/>
      <c r="E1216" s="10"/>
      <c r="F1216" s="10"/>
      <c r="G1216" s="10"/>
    </row>
    <row r="1217" customFormat="false" ht="15" hidden="false" customHeight="true" outlineLevel="0" collapsed="false">
      <c r="A1217" s="12"/>
      <c r="B1217" s="10"/>
      <c r="C1217" s="15" t="str">
        <f aca="false">IF($B1217="","",IFERROR(INDEX(회원명부!$B$3:$B$502,MATCH($B1217,회원명부!$A$3:$A$502,0)),"미등록회원"))</f>
        <v/>
      </c>
      <c r="D1217" s="13"/>
      <c r="E1217" s="10"/>
      <c r="F1217" s="10"/>
      <c r="G1217" s="10"/>
    </row>
    <row r="1218" customFormat="false" ht="15" hidden="false" customHeight="true" outlineLevel="0" collapsed="false">
      <c r="A1218" s="12"/>
      <c r="B1218" s="10"/>
      <c r="C1218" s="15" t="str">
        <f aca="false">IF($B1218="","",IFERROR(INDEX(회원명부!$B$3:$B$502,MATCH($B1218,회원명부!$A$3:$A$502,0)),"미등록회원"))</f>
        <v/>
      </c>
      <c r="D1218" s="13"/>
      <c r="E1218" s="10"/>
      <c r="F1218" s="10"/>
      <c r="G1218" s="10"/>
    </row>
    <row r="1219" customFormat="false" ht="15" hidden="false" customHeight="true" outlineLevel="0" collapsed="false">
      <c r="A1219" s="12"/>
      <c r="B1219" s="10"/>
      <c r="C1219" s="15" t="str">
        <f aca="false">IF($B1219="","",IFERROR(INDEX(회원명부!$B$3:$B$502,MATCH($B1219,회원명부!$A$3:$A$502,0)),"미등록회원"))</f>
        <v/>
      </c>
      <c r="D1219" s="13"/>
      <c r="E1219" s="10"/>
      <c r="F1219" s="10"/>
      <c r="G1219" s="10"/>
    </row>
    <row r="1220" customFormat="false" ht="15" hidden="false" customHeight="true" outlineLevel="0" collapsed="false">
      <c r="A1220" s="12"/>
      <c r="B1220" s="10"/>
      <c r="C1220" s="15" t="str">
        <f aca="false">IF($B1220="","",IFERROR(INDEX(회원명부!$B$3:$B$502,MATCH($B1220,회원명부!$A$3:$A$502,0)),"미등록회원"))</f>
        <v/>
      </c>
      <c r="D1220" s="13"/>
      <c r="E1220" s="10"/>
      <c r="F1220" s="10"/>
      <c r="G1220" s="10"/>
    </row>
    <row r="1221" customFormat="false" ht="15" hidden="false" customHeight="true" outlineLevel="0" collapsed="false">
      <c r="A1221" s="12"/>
      <c r="B1221" s="10"/>
      <c r="C1221" s="15" t="str">
        <f aca="false">IF($B1221="","",IFERROR(INDEX(회원명부!$B$3:$B$502,MATCH($B1221,회원명부!$A$3:$A$502,0)),"미등록회원"))</f>
        <v/>
      </c>
      <c r="D1221" s="13"/>
      <c r="E1221" s="10"/>
      <c r="F1221" s="10"/>
      <c r="G1221" s="10"/>
    </row>
    <row r="1222" customFormat="false" ht="15" hidden="false" customHeight="true" outlineLevel="0" collapsed="false">
      <c r="A1222" s="12"/>
      <c r="B1222" s="10"/>
      <c r="C1222" s="15" t="str">
        <f aca="false">IF($B1222="","",IFERROR(INDEX(회원명부!$B$3:$B$502,MATCH($B1222,회원명부!$A$3:$A$502,0)),"미등록회원"))</f>
        <v/>
      </c>
      <c r="D1222" s="13"/>
      <c r="E1222" s="10"/>
      <c r="F1222" s="10"/>
      <c r="G1222" s="10"/>
    </row>
    <row r="1223" customFormat="false" ht="15" hidden="false" customHeight="true" outlineLevel="0" collapsed="false">
      <c r="A1223" s="12"/>
      <c r="B1223" s="10"/>
      <c r="C1223" s="15" t="str">
        <f aca="false">IF($B1223="","",IFERROR(INDEX(회원명부!$B$3:$B$502,MATCH($B1223,회원명부!$A$3:$A$502,0)),"미등록회원"))</f>
        <v/>
      </c>
      <c r="D1223" s="13"/>
      <c r="E1223" s="10"/>
      <c r="F1223" s="10"/>
      <c r="G1223" s="10"/>
    </row>
    <row r="1224" customFormat="false" ht="15" hidden="false" customHeight="true" outlineLevel="0" collapsed="false">
      <c r="A1224" s="12"/>
      <c r="B1224" s="10"/>
      <c r="C1224" s="15" t="str">
        <f aca="false">IF($B1224="","",IFERROR(INDEX(회원명부!$B$3:$B$502,MATCH($B1224,회원명부!$A$3:$A$502,0)),"미등록회원"))</f>
        <v/>
      </c>
      <c r="D1224" s="13"/>
      <c r="E1224" s="10"/>
      <c r="F1224" s="10"/>
      <c r="G1224" s="10"/>
    </row>
    <row r="1225" customFormat="false" ht="15" hidden="false" customHeight="true" outlineLevel="0" collapsed="false">
      <c r="A1225" s="12"/>
      <c r="B1225" s="10"/>
      <c r="C1225" s="15" t="str">
        <f aca="false">IF($B1225="","",IFERROR(INDEX(회원명부!$B$3:$B$502,MATCH($B1225,회원명부!$A$3:$A$502,0)),"미등록회원"))</f>
        <v/>
      </c>
      <c r="D1225" s="13"/>
      <c r="E1225" s="10"/>
      <c r="F1225" s="10"/>
      <c r="G1225" s="10"/>
    </row>
    <row r="1226" customFormat="false" ht="15" hidden="false" customHeight="true" outlineLevel="0" collapsed="false">
      <c r="A1226" s="12"/>
      <c r="B1226" s="10"/>
      <c r="C1226" s="15" t="str">
        <f aca="false">IF($B1226="","",IFERROR(INDEX(회원명부!$B$3:$B$502,MATCH($B1226,회원명부!$A$3:$A$502,0)),"미등록회원"))</f>
        <v/>
      </c>
      <c r="D1226" s="13"/>
      <c r="E1226" s="10"/>
      <c r="F1226" s="10"/>
      <c r="G1226" s="10"/>
    </row>
    <row r="1227" customFormat="false" ht="15" hidden="false" customHeight="true" outlineLevel="0" collapsed="false">
      <c r="A1227" s="12"/>
      <c r="B1227" s="10"/>
      <c r="C1227" s="15" t="str">
        <f aca="false">IF($B1227="","",IFERROR(INDEX(회원명부!$B$3:$B$502,MATCH($B1227,회원명부!$A$3:$A$502,0)),"미등록회원"))</f>
        <v/>
      </c>
      <c r="D1227" s="13"/>
      <c r="E1227" s="10"/>
      <c r="F1227" s="10"/>
      <c r="G1227" s="10"/>
    </row>
    <row r="1228" customFormat="false" ht="15" hidden="false" customHeight="true" outlineLevel="0" collapsed="false">
      <c r="A1228" s="12"/>
      <c r="B1228" s="10"/>
      <c r="C1228" s="15" t="str">
        <f aca="false">IF($B1228="","",IFERROR(INDEX(회원명부!$B$3:$B$502,MATCH($B1228,회원명부!$A$3:$A$502,0)),"미등록회원"))</f>
        <v/>
      </c>
      <c r="D1228" s="13"/>
      <c r="E1228" s="10"/>
      <c r="F1228" s="10"/>
      <c r="G1228" s="10"/>
    </row>
    <row r="1229" customFormat="false" ht="15" hidden="false" customHeight="true" outlineLevel="0" collapsed="false">
      <c r="A1229" s="12"/>
      <c r="B1229" s="10"/>
      <c r="C1229" s="15" t="str">
        <f aca="false">IF($B1229="","",IFERROR(INDEX(회원명부!$B$3:$B$502,MATCH($B1229,회원명부!$A$3:$A$502,0)),"미등록회원"))</f>
        <v/>
      </c>
      <c r="D1229" s="13"/>
      <c r="E1229" s="10"/>
      <c r="F1229" s="10"/>
      <c r="G1229" s="10"/>
    </row>
    <row r="1230" customFormat="false" ht="15" hidden="false" customHeight="true" outlineLevel="0" collapsed="false">
      <c r="A1230" s="12"/>
      <c r="B1230" s="10"/>
      <c r="C1230" s="15" t="str">
        <f aca="false">IF($B1230="","",IFERROR(INDEX(회원명부!$B$3:$B$502,MATCH($B1230,회원명부!$A$3:$A$502,0)),"미등록회원"))</f>
        <v/>
      </c>
      <c r="D1230" s="13"/>
      <c r="E1230" s="10"/>
      <c r="F1230" s="10"/>
      <c r="G1230" s="10"/>
    </row>
    <row r="1231" customFormat="false" ht="15" hidden="false" customHeight="true" outlineLevel="0" collapsed="false">
      <c r="A1231" s="12"/>
      <c r="B1231" s="10"/>
      <c r="C1231" s="15" t="str">
        <f aca="false">IF($B1231="","",IFERROR(INDEX(회원명부!$B$3:$B$502,MATCH($B1231,회원명부!$A$3:$A$502,0)),"미등록회원"))</f>
        <v/>
      </c>
      <c r="D1231" s="13"/>
      <c r="E1231" s="10"/>
      <c r="F1231" s="10"/>
      <c r="G1231" s="10"/>
    </row>
    <row r="1232" customFormat="false" ht="15" hidden="false" customHeight="true" outlineLevel="0" collapsed="false">
      <c r="A1232" s="12"/>
      <c r="B1232" s="10"/>
      <c r="C1232" s="15" t="str">
        <f aca="false">IF($B1232="","",IFERROR(INDEX(회원명부!$B$3:$B$502,MATCH($B1232,회원명부!$A$3:$A$502,0)),"미등록회원"))</f>
        <v/>
      </c>
      <c r="D1232" s="13"/>
      <c r="E1232" s="10"/>
      <c r="F1232" s="10"/>
      <c r="G1232" s="10"/>
    </row>
    <row r="1233" customFormat="false" ht="15" hidden="false" customHeight="true" outlineLevel="0" collapsed="false">
      <c r="A1233" s="12"/>
      <c r="B1233" s="10"/>
      <c r="C1233" s="15" t="str">
        <f aca="false">IF($B1233="","",IFERROR(INDEX(회원명부!$B$3:$B$502,MATCH($B1233,회원명부!$A$3:$A$502,0)),"미등록회원"))</f>
        <v/>
      </c>
      <c r="D1233" s="13"/>
      <c r="E1233" s="10"/>
      <c r="F1233" s="10"/>
      <c r="G1233" s="10"/>
    </row>
    <row r="1234" customFormat="false" ht="15" hidden="false" customHeight="true" outlineLevel="0" collapsed="false">
      <c r="A1234" s="12"/>
      <c r="B1234" s="10"/>
      <c r="C1234" s="15" t="str">
        <f aca="false">IF($B1234="","",IFERROR(INDEX(회원명부!$B$3:$B$502,MATCH($B1234,회원명부!$A$3:$A$502,0)),"미등록회원"))</f>
        <v/>
      </c>
      <c r="D1234" s="13"/>
      <c r="E1234" s="10"/>
      <c r="F1234" s="10"/>
      <c r="G1234" s="10"/>
    </row>
    <row r="1235" customFormat="false" ht="15" hidden="false" customHeight="true" outlineLevel="0" collapsed="false">
      <c r="A1235" s="12"/>
      <c r="B1235" s="10"/>
      <c r="C1235" s="15" t="str">
        <f aca="false">IF($B1235="","",IFERROR(INDEX(회원명부!$B$3:$B$502,MATCH($B1235,회원명부!$A$3:$A$502,0)),"미등록회원"))</f>
        <v/>
      </c>
      <c r="D1235" s="13"/>
      <c r="E1235" s="10"/>
      <c r="F1235" s="10"/>
      <c r="G1235" s="10"/>
    </row>
    <row r="1236" customFormat="false" ht="15" hidden="false" customHeight="true" outlineLevel="0" collapsed="false">
      <c r="A1236" s="12"/>
      <c r="B1236" s="10"/>
      <c r="C1236" s="15" t="str">
        <f aca="false">IF($B1236="","",IFERROR(INDEX(회원명부!$B$3:$B$502,MATCH($B1236,회원명부!$A$3:$A$502,0)),"미등록회원"))</f>
        <v/>
      </c>
      <c r="D1236" s="13"/>
      <c r="E1236" s="10"/>
      <c r="F1236" s="10"/>
      <c r="G1236" s="10"/>
    </row>
    <row r="1237" customFormat="false" ht="15" hidden="false" customHeight="true" outlineLevel="0" collapsed="false">
      <c r="A1237" s="12"/>
      <c r="B1237" s="10"/>
      <c r="C1237" s="15" t="str">
        <f aca="false">IF($B1237="","",IFERROR(INDEX(회원명부!$B$3:$B$502,MATCH($B1237,회원명부!$A$3:$A$502,0)),"미등록회원"))</f>
        <v/>
      </c>
      <c r="D1237" s="13"/>
      <c r="E1237" s="10"/>
      <c r="F1237" s="10"/>
      <c r="G1237" s="10"/>
    </row>
    <row r="1238" customFormat="false" ht="15" hidden="false" customHeight="true" outlineLevel="0" collapsed="false">
      <c r="A1238" s="12"/>
      <c r="B1238" s="10"/>
      <c r="C1238" s="15" t="str">
        <f aca="false">IF($B1238="","",IFERROR(INDEX(회원명부!$B$3:$B$502,MATCH($B1238,회원명부!$A$3:$A$502,0)),"미등록회원"))</f>
        <v/>
      </c>
      <c r="D1238" s="13"/>
      <c r="E1238" s="10"/>
      <c r="F1238" s="10"/>
      <c r="G1238" s="10"/>
    </row>
    <row r="1239" customFormat="false" ht="15" hidden="false" customHeight="true" outlineLevel="0" collapsed="false">
      <c r="A1239" s="12"/>
      <c r="B1239" s="10"/>
      <c r="C1239" s="15" t="str">
        <f aca="false">IF($B1239="","",IFERROR(INDEX(회원명부!$B$3:$B$502,MATCH($B1239,회원명부!$A$3:$A$502,0)),"미등록회원"))</f>
        <v/>
      </c>
      <c r="D1239" s="13"/>
      <c r="E1239" s="10"/>
      <c r="F1239" s="10"/>
      <c r="G1239" s="10"/>
    </row>
    <row r="1240" customFormat="false" ht="15" hidden="false" customHeight="true" outlineLevel="0" collapsed="false">
      <c r="A1240" s="12"/>
      <c r="B1240" s="10"/>
      <c r="C1240" s="15" t="str">
        <f aca="false">IF($B1240="","",IFERROR(INDEX(회원명부!$B$3:$B$502,MATCH($B1240,회원명부!$A$3:$A$502,0)),"미등록회원"))</f>
        <v/>
      </c>
      <c r="D1240" s="13"/>
      <c r="E1240" s="10"/>
      <c r="F1240" s="10"/>
      <c r="G1240" s="10"/>
    </row>
    <row r="1241" customFormat="false" ht="15" hidden="false" customHeight="true" outlineLevel="0" collapsed="false">
      <c r="A1241" s="12"/>
      <c r="B1241" s="10"/>
      <c r="C1241" s="15" t="str">
        <f aca="false">IF($B1241="","",IFERROR(INDEX(회원명부!$B$3:$B$502,MATCH($B1241,회원명부!$A$3:$A$502,0)),"미등록회원"))</f>
        <v/>
      </c>
      <c r="D1241" s="13"/>
      <c r="E1241" s="10"/>
      <c r="F1241" s="10"/>
      <c r="G1241" s="10"/>
    </row>
    <row r="1242" customFormat="false" ht="15" hidden="false" customHeight="true" outlineLevel="0" collapsed="false">
      <c r="A1242" s="12"/>
      <c r="B1242" s="10"/>
      <c r="C1242" s="15" t="str">
        <f aca="false">IF($B1242="","",IFERROR(INDEX(회원명부!$B$3:$B$502,MATCH($B1242,회원명부!$A$3:$A$502,0)),"미등록회원"))</f>
        <v/>
      </c>
      <c r="D1242" s="13"/>
      <c r="E1242" s="10"/>
      <c r="F1242" s="10"/>
      <c r="G1242" s="10"/>
    </row>
    <row r="1243" customFormat="false" ht="15" hidden="false" customHeight="true" outlineLevel="0" collapsed="false">
      <c r="A1243" s="12"/>
      <c r="B1243" s="10"/>
      <c r="C1243" s="15" t="str">
        <f aca="false">IF($B1243="","",IFERROR(INDEX(회원명부!$B$3:$B$502,MATCH($B1243,회원명부!$A$3:$A$502,0)),"미등록회원"))</f>
        <v/>
      </c>
      <c r="D1243" s="13"/>
      <c r="E1243" s="10"/>
      <c r="F1243" s="10"/>
      <c r="G1243" s="10"/>
    </row>
    <row r="1244" customFormat="false" ht="15" hidden="false" customHeight="true" outlineLevel="0" collapsed="false">
      <c r="A1244" s="12"/>
      <c r="B1244" s="10"/>
      <c r="C1244" s="15" t="str">
        <f aca="false">IF($B1244="","",IFERROR(INDEX(회원명부!$B$3:$B$502,MATCH($B1244,회원명부!$A$3:$A$502,0)),"미등록회원"))</f>
        <v/>
      </c>
      <c r="D1244" s="13"/>
      <c r="E1244" s="10"/>
      <c r="F1244" s="10"/>
      <c r="G1244" s="10"/>
    </row>
    <row r="1245" customFormat="false" ht="15" hidden="false" customHeight="true" outlineLevel="0" collapsed="false">
      <c r="A1245" s="12"/>
      <c r="B1245" s="10"/>
      <c r="C1245" s="15" t="str">
        <f aca="false">IF($B1245="","",IFERROR(INDEX(회원명부!$B$3:$B$502,MATCH($B1245,회원명부!$A$3:$A$502,0)),"미등록회원"))</f>
        <v/>
      </c>
      <c r="D1245" s="13"/>
      <c r="E1245" s="10"/>
      <c r="F1245" s="10"/>
      <c r="G1245" s="10"/>
    </row>
    <row r="1246" customFormat="false" ht="15" hidden="false" customHeight="true" outlineLevel="0" collapsed="false">
      <c r="A1246" s="12"/>
      <c r="B1246" s="10"/>
      <c r="C1246" s="15" t="str">
        <f aca="false">IF($B1246="","",IFERROR(INDEX(회원명부!$B$3:$B$502,MATCH($B1246,회원명부!$A$3:$A$502,0)),"미등록회원"))</f>
        <v/>
      </c>
      <c r="D1246" s="13"/>
      <c r="E1246" s="10"/>
      <c r="F1246" s="10"/>
      <c r="G1246" s="10"/>
    </row>
    <row r="1247" customFormat="false" ht="15" hidden="false" customHeight="true" outlineLevel="0" collapsed="false">
      <c r="A1247" s="12"/>
      <c r="B1247" s="10"/>
      <c r="C1247" s="15" t="str">
        <f aca="false">IF($B1247="","",IFERROR(INDEX(회원명부!$B$3:$B$502,MATCH($B1247,회원명부!$A$3:$A$502,0)),"미등록회원"))</f>
        <v/>
      </c>
      <c r="D1247" s="13"/>
      <c r="E1247" s="10"/>
      <c r="F1247" s="10"/>
      <c r="G1247" s="10"/>
    </row>
    <row r="1248" customFormat="false" ht="15" hidden="false" customHeight="true" outlineLevel="0" collapsed="false">
      <c r="A1248" s="12"/>
      <c r="B1248" s="10"/>
      <c r="C1248" s="15" t="str">
        <f aca="false">IF($B1248="","",IFERROR(INDEX(회원명부!$B$3:$B$502,MATCH($B1248,회원명부!$A$3:$A$502,0)),"미등록회원"))</f>
        <v/>
      </c>
      <c r="D1248" s="13"/>
      <c r="E1248" s="10"/>
      <c r="F1248" s="10"/>
      <c r="G1248" s="10"/>
    </row>
    <row r="1249" customFormat="false" ht="15" hidden="false" customHeight="true" outlineLevel="0" collapsed="false">
      <c r="A1249" s="12"/>
      <c r="B1249" s="10"/>
      <c r="C1249" s="15" t="str">
        <f aca="false">IF($B1249="","",IFERROR(INDEX(회원명부!$B$3:$B$502,MATCH($B1249,회원명부!$A$3:$A$502,0)),"미등록회원"))</f>
        <v/>
      </c>
      <c r="D1249" s="13"/>
      <c r="E1249" s="10"/>
      <c r="F1249" s="10"/>
      <c r="G1249" s="10"/>
    </row>
    <row r="1250" customFormat="false" ht="15" hidden="false" customHeight="true" outlineLevel="0" collapsed="false">
      <c r="A1250" s="12"/>
      <c r="B1250" s="10"/>
      <c r="C1250" s="15" t="str">
        <f aca="false">IF($B1250="","",IFERROR(INDEX(회원명부!$B$3:$B$502,MATCH($B1250,회원명부!$A$3:$A$502,0)),"미등록회원"))</f>
        <v/>
      </c>
      <c r="D1250" s="13"/>
      <c r="E1250" s="10"/>
      <c r="F1250" s="10"/>
      <c r="G1250" s="10"/>
    </row>
    <row r="1251" customFormat="false" ht="15" hidden="false" customHeight="true" outlineLevel="0" collapsed="false">
      <c r="A1251" s="12"/>
      <c r="B1251" s="10"/>
      <c r="C1251" s="15" t="str">
        <f aca="false">IF($B1251="","",IFERROR(INDEX(회원명부!$B$3:$B$502,MATCH($B1251,회원명부!$A$3:$A$502,0)),"미등록회원"))</f>
        <v/>
      </c>
      <c r="D1251" s="13"/>
      <c r="E1251" s="10"/>
      <c r="F1251" s="10"/>
      <c r="G1251" s="10"/>
    </row>
    <row r="1252" customFormat="false" ht="15" hidden="false" customHeight="true" outlineLevel="0" collapsed="false">
      <c r="A1252" s="12"/>
      <c r="B1252" s="10"/>
      <c r="C1252" s="15" t="str">
        <f aca="false">IF($B1252="","",IFERROR(INDEX(회원명부!$B$3:$B$502,MATCH($B1252,회원명부!$A$3:$A$502,0)),"미등록회원"))</f>
        <v/>
      </c>
      <c r="D1252" s="13"/>
      <c r="E1252" s="10"/>
      <c r="F1252" s="10"/>
      <c r="G1252" s="10"/>
    </row>
    <row r="1253" customFormat="false" ht="15" hidden="false" customHeight="true" outlineLevel="0" collapsed="false">
      <c r="A1253" s="12"/>
      <c r="B1253" s="10"/>
      <c r="C1253" s="15" t="str">
        <f aca="false">IF($B1253="","",IFERROR(INDEX(회원명부!$B$3:$B$502,MATCH($B1253,회원명부!$A$3:$A$502,0)),"미등록회원"))</f>
        <v/>
      </c>
      <c r="D1253" s="13"/>
      <c r="E1253" s="10"/>
      <c r="F1253" s="10"/>
      <c r="G1253" s="10"/>
    </row>
    <row r="1254" customFormat="false" ht="15" hidden="false" customHeight="true" outlineLevel="0" collapsed="false">
      <c r="A1254" s="12"/>
      <c r="B1254" s="10"/>
      <c r="C1254" s="15" t="str">
        <f aca="false">IF($B1254="","",IFERROR(INDEX(회원명부!$B$3:$B$502,MATCH($B1254,회원명부!$A$3:$A$502,0)),"미등록회원"))</f>
        <v/>
      </c>
      <c r="D1254" s="13"/>
      <c r="E1254" s="10"/>
      <c r="F1254" s="10"/>
      <c r="G1254" s="10"/>
    </row>
    <row r="1255" customFormat="false" ht="15" hidden="false" customHeight="true" outlineLevel="0" collapsed="false">
      <c r="A1255" s="12"/>
      <c r="B1255" s="10"/>
      <c r="C1255" s="15" t="str">
        <f aca="false">IF($B1255="","",IFERROR(INDEX(회원명부!$B$3:$B$502,MATCH($B1255,회원명부!$A$3:$A$502,0)),"미등록회원"))</f>
        <v/>
      </c>
      <c r="D1255" s="13"/>
      <c r="E1255" s="10"/>
      <c r="F1255" s="10"/>
      <c r="G1255" s="10"/>
    </row>
    <row r="1256" customFormat="false" ht="15" hidden="false" customHeight="true" outlineLevel="0" collapsed="false">
      <c r="A1256" s="12"/>
      <c r="B1256" s="10"/>
      <c r="C1256" s="15" t="str">
        <f aca="false">IF($B1256="","",IFERROR(INDEX(회원명부!$B$3:$B$502,MATCH($B1256,회원명부!$A$3:$A$502,0)),"미등록회원"))</f>
        <v/>
      </c>
      <c r="D1256" s="13"/>
      <c r="E1256" s="10"/>
      <c r="F1256" s="10"/>
      <c r="G1256" s="10"/>
    </row>
    <row r="1257" customFormat="false" ht="15" hidden="false" customHeight="true" outlineLevel="0" collapsed="false">
      <c r="A1257" s="12"/>
      <c r="B1257" s="10"/>
      <c r="C1257" s="15" t="str">
        <f aca="false">IF($B1257="","",IFERROR(INDEX(회원명부!$B$3:$B$502,MATCH($B1257,회원명부!$A$3:$A$502,0)),"미등록회원"))</f>
        <v/>
      </c>
      <c r="D1257" s="13"/>
      <c r="E1257" s="10"/>
      <c r="F1257" s="10"/>
      <c r="G1257" s="10"/>
    </row>
    <row r="1258" customFormat="false" ht="15" hidden="false" customHeight="true" outlineLevel="0" collapsed="false">
      <c r="A1258" s="12"/>
      <c r="B1258" s="10"/>
      <c r="C1258" s="15" t="str">
        <f aca="false">IF($B1258="","",IFERROR(INDEX(회원명부!$B$3:$B$502,MATCH($B1258,회원명부!$A$3:$A$502,0)),"미등록회원"))</f>
        <v/>
      </c>
      <c r="D1258" s="13"/>
      <c r="E1258" s="10"/>
      <c r="F1258" s="10"/>
      <c r="G1258" s="10"/>
    </row>
    <row r="1259" customFormat="false" ht="15" hidden="false" customHeight="true" outlineLevel="0" collapsed="false">
      <c r="A1259" s="12"/>
      <c r="B1259" s="10"/>
      <c r="C1259" s="15" t="str">
        <f aca="false">IF($B1259="","",IFERROR(INDEX(회원명부!$B$3:$B$502,MATCH($B1259,회원명부!$A$3:$A$502,0)),"미등록회원"))</f>
        <v/>
      </c>
      <c r="D1259" s="13"/>
      <c r="E1259" s="10"/>
      <c r="F1259" s="10"/>
      <c r="G1259" s="10"/>
    </row>
    <row r="1260" customFormat="false" ht="15" hidden="false" customHeight="true" outlineLevel="0" collapsed="false">
      <c r="A1260" s="12"/>
      <c r="B1260" s="10"/>
      <c r="C1260" s="15" t="str">
        <f aca="false">IF($B1260="","",IFERROR(INDEX(회원명부!$B$3:$B$502,MATCH($B1260,회원명부!$A$3:$A$502,0)),"미등록회원"))</f>
        <v/>
      </c>
      <c r="D1260" s="13"/>
      <c r="E1260" s="10"/>
      <c r="F1260" s="10"/>
      <c r="G1260" s="10"/>
    </row>
    <row r="1261" customFormat="false" ht="15" hidden="false" customHeight="true" outlineLevel="0" collapsed="false">
      <c r="A1261" s="12"/>
      <c r="B1261" s="10"/>
      <c r="C1261" s="15" t="str">
        <f aca="false">IF($B1261="","",IFERROR(INDEX(회원명부!$B$3:$B$502,MATCH($B1261,회원명부!$A$3:$A$502,0)),"미등록회원"))</f>
        <v/>
      </c>
      <c r="D1261" s="13"/>
      <c r="E1261" s="10"/>
      <c r="F1261" s="10"/>
      <c r="G1261" s="10"/>
    </row>
    <row r="1262" customFormat="false" ht="15" hidden="false" customHeight="true" outlineLevel="0" collapsed="false">
      <c r="A1262" s="12"/>
      <c r="B1262" s="10"/>
      <c r="C1262" s="15" t="str">
        <f aca="false">IF($B1262="","",IFERROR(INDEX(회원명부!$B$3:$B$502,MATCH($B1262,회원명부!$A$3:$A$502,0)),"미등록회원"))</f>
        <v/>
      </c>
      <c r="D1262" s="13"/>
      <c r="E1262" s="10"/>
      <c r="F1262" s="10"/>
      <c r="G1262" s="10"/>
    </row>
    <row r="1263" customFormat="false" ht="15" hidden="false" customHeight="true" outlineLevel="0" collapsed="false">
      <c r="A1263" s="12"/>
      <c r="B1263" s="10"/>
      <c r="C1263" s="15" t="str">
        <f aca="false">IF($B1263="","",IFERROR(INDEX(회원명부!$B$3:$B$502,MATCH($B1263,회원명부!$A$3:$A$502,0)),"미등록회원"))</f>
        <v/>
      </c>
      <c r="D1263" s="13"/>
      <c r="E1263" s="10"/>
      <c r="F1263" s="10"/>
      <c r="G1263" s="10"/>
    </row>
    <row r="1264" customFormat="false" ht="15" hidden="false" customHeight="true" outlineLevel="0" collapsed="false">
      <c r="A1264" s="12"/>
      <c r="B1264" s="10"/>
      <c r="C1264" s="15" t="str">
        <f aca="false">IF($B1264="","",IFERROR(INDEX(회원명부!$B$3:$B$502,MATCH($B1264,회원명부!$A$3:$A$502,0)),"미등록회원"))</f>
        <v/>
      </c>
      <c r="D1264" s="13"/>
      <c r="E1264" s="10"/>
      <c r="F1264" s="10"/>
      <c r="G1264" s="10"/>
    </row>
    <row r="1265" customFormat="false" ht="15" hidden="false" customHeight="true" outlineLevel="0" collapsed="false">
      <c r="A1265" s="12"/>
      <c r="B1265" s="10"/>
      <c r="C1265" s="15" t="str">
        <f aca="false">IF($B1265="","",IFERROR(INDEX(회원명부!$B$3:$B$502,MATCH($B1265,회원명부!$A$3:$A$502,0)),"미등록회원"))</f>
        <v/>
      </c>
      <c r="D1265" s="13"/>
      <c r="E1265" s="10"/>
      <c r="F1265" s="10"/>
      <c r="G1265" s="10"/>
    </row>
    <row r="1266" customFormat="false" ht="15" hidden="false" customHeight="true" outlineLevel="0" collapsed="false">
      <c r="A1266" s="12"/>
      <c r="B1266" s="10"/>
      <c r="C1266" s="15" t="str">
        <f aca="false">IF($B1266="","",IFERROR(INDEX(회원명부!$B$3:$B$502,MATCH($B1266,회원명부!$A$3:$A$502,0)),"미등록회원"))</f>
        <v/>
      </c>
      <c r="D1266" s="13"/>
      <c r="E1266" s="10"/>
      <c r="F1266" s="10"/>
      <c r="G1266" s="10"/>
    </row>
    <row r="1267" customFormat="false" ht="15" hidden="false" customHeight="true" outlineLevel="0" collapsed="false">
      <c r="A1267" s="12"/>
      <c r="B1267" s="10"/>
      <c r="C1267" s="15" t="str">
        <f aca="false">IF($B1267="","",IFERROR(INDEX(회원명부!$B$3:$B$502,MATCH($B1267,회원명부!$A$3:$A$502,0)),"미등록회원"))</f>
        <v/>
      </c>
      <c r="D1267" s="13"/>
      <c r="E1267" s="10"/>
      <c r="F1267" s="10"/>
      <c r="G1267" s="10"/>
    </row>
    <row r="1268" customFormat="false" ht="15" hidden="false" customHeight="true" outlineLevel="0" collapsed="false">
      <c r="A1268" s="12"/>
      <c r="B1268" s="10"/>
      <c r="C1268" s="15" t="str">
        <f aca="false">IF($B1268="","",IFERROR(INDEX(회원명부!$B$3:$B$502,MATCH($B1268,회원명부!$A$3:$A$502,0)),"미등록회원"))</f>
        <v/>
      </c>
      <c r="D1268" s="13"/>
      <c r="E1268" s="10"/>
      <c r="F1268" s="10"/>
      <c r="G1268" s="10"/>
    </row>
    <row r="1269" customFormat="false" ht="15" hidden="false" customHeight="true" outlineLevel="0" collapsed="false">
      <c r="A1269" s="12"/>
      <c r="B1269" s="10"/>
      <c r="C1269" s="15" t="str">
        <f aca="false">IF($B1269="","",IFERROR(INDEX(회원명부!$B$3:$B$502,MATCH($B1269,회원명부!$A$3:$A$502,0)),"미등록회원"))</f>
        <v/>
      </c>
      <c r="D1269" s="13"/>
      <c r="E1269" s="10"/>
      <c r="F1269" s="10"/>
      <c r="G1269" s="10"/>
    </row>
    <row r="1270" customFormat="false" ht="15" hidden="false" customHeight="true" outlineLevel="0" collapsed="false">
      <c r="A1270" s="12"/>
      <c r="B1270" s="10"/>
      <c r="C1270" s="15" t="str">
        <f aca="false">IF($B1270="","",IFERROR(INDEX(회원명부!$B$3:$B$502,MATCH($B1270,회원명부!$A$3:$A$502,0)),"미등록회원"))</f>
        <v/>
      </c>
      <c r="D1270" s="13"/>
      <c r="E1270" s="10"/>
      <c r="F1270" s="10"/>
      <c r="G1270" s="10"/>
    </row>
    <row r="1271" customFormat="false" ht="15" hidden="false" customHeight="true" outlineLevel="0" collapsed="false">
      <c r="A1271" s="12"/>
      <c r="B1271" s="10"/>
      <c r="C1271" s="15" t="str">
        <f aca="false">IF($B1271="","",IFERROR(INDEX(회원명부!$B$3:$B$502,MATCH($B1271,회원명부!$A$3:$A$502,0)),"미등록회원"))</f>
        <v/>
      </c>
      <c r="D1271" s="13"/>
      <c r="E1271" s="10"/>
      <c r="F1271" s="10"/>
      <c r="G1271" s="10"/>
    </row>
    <row r="1272" customFormat="false" ht="15" hidden="false" customHeight="true" outlineLevel="0" collapsed="false">
      <c r="A1272" s="12"/>
      <c r="B1272" s="10"/>
      <c r="C1272" s="15" t="str">
        <f aca="false">IF($B1272="","",IFERROR(INDEX(회원명부!$B$3:$B$502,MATCH($B1272,회원명부!$A$3:$A$502,0)),"미등록회원"))</f>
        <v/>
      </c>
      <c r="D1272" s="13"/>
      <c r="E1272" s="10"/>
      <c r="F1272" s="10"/>
      <c r="G1272" s="10"/>
    </row>
    <row r="1273" customFormat="false" ht="15" hidden="false" customHeight="true" outlineLevel="0" collapsed="false">
      <c r="A1273" s="12"/>
      <c r="B1273" s="10"/>
      <c r="C1273" s="15" t="str">
        <f aca="false">IF($B1273="","",IFERROR(INDEX(회원명부!$B$3:$B$502,MATCH($B1273,회원명부!$A$3:$A$502,0)),"미등록회원"))</f>
        <v/>
      </c>
      <c r="D1273" s="13"/>
      <c r="E1273" s="10"/>
      <c r="F1273" s="10"/>
      <c r="G1273" s="10"/>
    </row>
    <row r="1274" customFormat="false" ht="15" hidden="false" customHeight="true" outlineLevel="0" collapsed="false">
      <c r="A1274" s="12"/>
      <c r="B1274" s="10"/>
      <c r="C1274" s="15" t="str">
        <f aca="false">IF($B1274="","",IFERROR(INDEX(회원명부!$B$3:$B$502,MATCH($B1274,회원명부!$A$3:$A$502,0)),"미등록회원"))</f>
        <v/>
      </c>
      <c r="D1274" s="13"/>
      <c r="E1274" s="10"/>
      <c r="F1274" s="10"/>
      <c r="G1274" s="10"/>
    </row>
    <row r="1275" customFormat="false" ht="15" hidden="false" customHeight="true" outlineLevel="0" collapsed="false">
      <c r="A1275" s="12"/>
      <c r="B1275" s="10"/>
      <c r="C1275" s="15" t="str">
        <f aca="false">IF($B1275="","",IFERROR(INDEX(회원명부!$B$3:$B$502,MATCH($B1275,회원명부!$A$3:$A$502,0)),"미등록회원"))</f>
        <v/>
      </c>
      <c r="D1275" s="13"/>
      <c r="E1275" s="10"/>
      <c r="F1275" s="10"/>
      <c r="G1275" s="10"/>
    </row>
    <row r="1276" customFormat="false" ht="15" hidden="false" customHeight="true" outlineLevel="0" collapsed="false">
      <c r="A1276" s="12"/>
      <c r="B1276" s="10"/>
      <c r="C1276" s="15" t="str">
        <f aca="false">IF($B1276="","",IFERROR(INDEX(회원명부!$B$3:$B$502,MATCH($B1276,회원명부!$A$3:$A$502,0)),"미등록회원"))</f>
        <v/>
      </c>
      <c r="D1276" s="13"/>
      <c r="E1276" s="10"/>
      <c r="F1276" s="10"/>
      <c r="G1276" s="10"/>
    </row>
    <row r="1277" customFormat="false" ht="15" hidden="false" customHeight="true" outlineLevel="0" collapsed="false">
      <c r="A1277" s="12"/>
      <c r="B1277" s="10"/>
      <c r="C1277" s="15" t="str">
        <f aca="false">IF($B1277="","",IFERROR(INDEX(회원명부!$B$3:$B$502,MATCH($B1277,회원명부!$A$3:$A$502,0)),"미등록회원"))</f>
        <v/>
      </c>
      <c r="D1277" s="13"/>
      <c r="E1277" s="10"/>
      <c r="F1277" s="10"/>
      <c r="G1277" s="10"/>
    </row>
    <row r="1278" customFormat="false" ht="15" hidden="false" customHeight="true" outlineLevel="0" collapsed="false">
      <c r="A1278" s="12"/>
      <c r="B1278" s="10"/>
      <c r="C1278" s="15" t="str">
        <f aca="false">IF($B1278="","",IFERROR(INDEX(회원명부!$B$3:$B$502,MATCH($B1278,회원명부!$A$3:$A$502,0)),"미등록회원"))</f>
        <v/>
      </c>
      <c r="D1278" s="13"/>
      <c r="E1278" s="10"/>
      <c r="F1278" s="10"/>
      <c r="G1278" s="10"/>
    </row>
    <row r="1279" customFormat="false" ht="15" hidden="false" customHeight="true" outlineLevel="0" collapsed="false">
      <c r="A1279" s="12"/>
      <c r="B1279" s="10"/>
      <c r="C1279" s="15" t="str">
        <f aca="false">IF($B1279="","",IFERROR(INDEX(회원명부!$B$3:$B$502,MATCH($B1279,회원명부!$A$3:$A$502,0)),"미등록회원"))</f>
        <v/>
      </c>
      <c r="D1279" s="13"/>
      <c r="E1279" s="10"/>
      <c r="F1279" s="10"/>
      <c r="G1279" s="10"/>
    </row>
    <row r="1280" customFormat="false" ht="15" hidden="false" customHeight="true" outlineLevel="0" collapsed="false">
      <c r="A1280" s="12"/>
      <c r="B1280" s="10"/>
      <c r="C1280" s="15" t="str">
        <f aca="false">IF($B1280="","",IFERROR(INDEX(회원명부!$B$3:$B$502,MATCH($B1280,회원명부!$A$3:$A$502,0)),"미등록회원"))</f>
        <v/>
      </c>
      <c r="D1280" s="13"/>
      <c r="E1280" s="10"/>
      <c r="F1280" s="10"/>
      <c r="G1280" s="10"/>
    </row>
    <row r="1281" customFormat="false" ht="15" hidden="false" customHeight="true" outlineLevel="0" collapsed="false">
      <c r="A1281" s="12"/>
      <c r="B1281" s="10"/>
      <c r="C1281" s="15" t="str">
        <f aca="false">IF($B1281="","",IFERROR(INDEX(회원명부!$B$3:$B$502,MATCH($B1281,회원명부!$A$3:$A$502,0)),"미등록회원"))</f>
        <v/>
      </c>
      <c r="D1281" s="13"/>
      <c r="E1281" s="10"/>
      <c r="F1281" s="10"/>
      <c r="G1281" s="10"/>
    </row>
    <row r="1282" customFormat="false" ht="15" hidden="false" customHeight="true" outlineLevel="0" collapsed="false">
      <c r="A1282" s="12"/>
      <c r="B1282" s="10"/>
      <c r="C1282" s="15" t="str">
        <f aca="false">IF($B1282="","",IFERROR(INDEX(회원명부!$B$3:$B$502,MATCH($B1282,회원명부!$A$3:$A$502,0)),"미등록회원"))</f>
        <v/>
      </c>
      <c r="D1282" s="13"/>
      <c r="E1282" s="10"/>
      <c r="F1282" s="10"/>
      <c r="G1282" s="10"/>
    </row>
    <row r="1283" customFormat="false" ht="15" hidden="false" customHeight="true" outlineLevel="0" collapsed="false">
      <c r="A1283" s="12"/>
      <c r="B1283" s="10"/>
      <c r="C1283" s="15" t="str">
        <f aca="false">IF($B1283="","",IFERROR(INDEX(회원명부!$B$3:$B$502,MATCH($B1283,회원명부!$A$3:$A$502,0)),"미등록회원"))</f>
        <v/>
      </c>
      <c r="D1283" s="13"/>
      <c r="E1283" s="10"/>
      <c r="F1283" s="10"/>
      <c r="G1283" s="10"/>
    </row>
    <row r="1284" customFormat="false" ht="15" hidden="false" customHeight="true" outlineLevel="0" collapsed="false">
      <c r="A1284" s="12"/>
      <c r="B1284" s="10"/>
      <c r="C1284" s="15" t="str">
        <f aca="false">IF($B1284="","",IFERROR(INDEX(회원명부!$B$3:$B$502,MATCH($B1284,회원명부!$A$3:$A$502,0)),"미등록회원"))</f>
        <v/>
      </c>
      <c r="D1284" s="13"/>
      <c r="E1284" s="10"/>
      <c r="F1284" s="10"/>
      <c r="G1284" s="10"/>
    </row>
    <row r="1285" customFormat="false" ht="15" hidden="false" customHeight="true" outlineLevel="0" collapsed="false">
      <c r="A1285" s="12"/>
      <c r="B1285" s="10"/>
      <c r="C1285" s="15" t="str">
        <f aca="false">IF($B1285="","",IFERROR(INDEX(회원명부!$B$3:$B$502,MATCH($B1285,회원명부!$A$3:$A$502,0)),"미등록회원"))</f>
        <v/>
      </c>
      <c r="D1285" s="13"/>
      <c r="E1285" s="10"/>
      <c r="F1285" s="10"/>
      <c r="G1285" s="10"/>
    </row>
    <row r="1286" customFormat="false" ht="15" hidden="false" customHeight="true" outlineLevel="0" collapsed="false">
      <c r="A1286" s="12"/>
      <c r="B1286" s="10"/>
      <c r="C1286" s="15" t="str">
        <f aca="false">IF($B1286="","",IFERROR(INDEX(회원명부!$B$3:$B$502,MATCH($B1286,회원명부!$A$3:$A$502,0)),"미등록회원"))</f>
        <v/>
      </c>
      <c r="D1286" s="13"/>
      <c r="E1286" s="10"/>
      <c r="F1286" s="10"/>
      <c r="G1286" s="10"/>
    </row>
    <row r="1287" customFormat="false" ht="15" hidden="false" customHeight="true" outlineLevel="0" collapsed="false">
      <c r="A1287" s="12"/>
      <c r="B1287" s="10"/>
      <c r="C1287" s="15" t="str">
        <f aca="false">IF($B1287="","",IFERROR(INDEX(회원명부!$B$3:$B$502,MATCH($B1287,회원명부!$A$3:$A$502,0)),"미등록회원"))</f>
        <v/>
      </c>
      <c r="D1287" s="13"/>
      <c r="E1287" s="10"/>
      <c r="F1287" s="10"/>
      <c r="G1287" s="10"/>
    </row>
    <row r="1288" customFormat="false" ht="15" hidden="false" customHeight="true" outlineLevel="0" collapsed="false">
      <c r="A1288" s="12"/>
      <c r="B1288" s="10"/>
      <c r="C1288" s="15" t="str">
        <f aca="false">IF($B1288="","",IFERROR(INDEX(회원명부!$B$3:$B$502,MATCH($B1288,회원명부!$A$3:$A$502,0)),"미등록회원"))</f>
        <v/>
      </c>
      <c r="D1288" s="13"/>
      <c r="E1288" s="10"/>
      <c r="F1288" s="10"/>
      <c r="G1288" s="10"/>
    </row>
    <row r="1289" customFormat="false" ht="15" hidden="false" customHeight="true" outlineLevel="0" collapsed="false">
      <c r="A1289" s="12"/>
      <c r="B1289" s="10"/>
      <c r="C1289" s="15" t="str">
        <f aca="false">IF($B1289="","",IFERROR(INDEX(회원명부!$B$3:$B$502,MATCH($B1289,회원명부!$A$3:$A$502,0)),"미등록회원"))</f>
        <v/>
      </c>
      <c r="D1289" s="13"/>
      <c r="E1289" s="10"/>
      <c r="F1289" s="10"/>
      <c r="G1289" s="10"/>
    </row>
    <row r="1290" customFormat="false" ht="15" hidden="false" customHeight="true" outlineLevel="0" collapsed="false">
      <c r="A1290" s="12"/>
      <c r="B1290" s="10"/>
      <c r="C1290" s="15" t="str">
        <f aca="false">IF($B1290="","",IFERROR(INDEX(회원명부!$B$3:$B$502,MATCH($B1290,회원명부!$A$3:$A$502,0)),"미등록회원"))</f>
        <v/>
      </c>
      <c r="D1290" s="13"/>
      <c r="E1290" s="10"/>
      <c r="F1290" s="10"/>
      <c r="G1290" s="10"/>
    </row>
    <row r="1291" customFormat="false" ht="15" hidden="false" customHeight="true" outlineLevel="0" collapsed="false">
      <c r="A1291" s="12"/>
      <c r="B1291" s="10"/>
      <c r="C1291" s="15" t="str">
        <f aca="false">IF($B1291="","",IFERROR(INDEX(회원명부!$B$3:$B$502,MATCH($B1291,회원명부!$A$3:$A$502,0)),"미등록회원"))</f>
        <v/>
      </c>
      <c r="D1291" s="13"/>
      <c r="E1291" s="10"/>
      <c r="F1291" s="10"/>
      <c r="G1291" s="10"/>
    </row>
    <row r="1292" customFormat="false" ht="15" hidden="false" customHeight="true" outlineLevel="0" collapsed="false">
      <c r="A1292" s="12"/>
      <c r="B1292" s="10"/>
      <c r="C1292" s="15" t="str">
        <f aca="false">IF($B1292="","",IFERROR(INDEX(회원명부!$B$3:$B$502,MATCH($B1292,회원명부!$A$3:$A$502,0)),"미등록회원"))</f>
        <v/>
      </c>
      <c r="D1292" s="13"/>
      <c r="E1292" s="10"/>
      <c r="F1292" s="10"/>
      <c r="G1292" s="10"/>
    </row>
    <row r="1293" customFormat="false" ht="15" hidden="false" customHeight="true" outlineLevel="0" collapsed="false">
      <c r="A1293" s="12"/>
      <c r="B1293" s="10"/>
      <c r="C1293" s="15" t="str">
        <f aca="false">IF($B1293="","",IFERROR(INDEX(회원명부!$B$3:$B$502,MATCH($B1293,회원명부!$A$3:$A$502,0)),"미등록회원"))</f>
        <v/>
      </c>
      <c r="D1293" s="13"/>
      <c r="E1293" s="10"/>
      <c r="F1293" s="10"/>
      <c r="G1293" s="10"/>
    </row>
    <row r="1294" customFormat="false" ht="15" hidden="false" customHeight="true" outlineLevel="0" collapsed="false">
      <c r="A1294" s="12"/>
      <c r="B1294" s="10"/>
      <c r="C1294" s="15" t="str">
        <f aca="false">IF($B1294="","",IFERROR(INDEX(회원명부!$B$3:$B$502,MATCH($B1294,회원명부!$A$3:$A$502,0)),"미등록회원"))</f>
        <v/>
      </c>
      <c r="D1294" s="13"/>
      <c r="E1294" s="10"/>
      <c r="F1294" s="10"/>
      <c r="G1294" s="10"/>
    </row>
    <row r="1295" customFormat="false" ht="15" hidden="false" customHeight="true" outlineLevel="0" collapsed="false">
      <c r="A1295" s="12"/>
      <c r="B1295" s="10"/>
      <c r="C1295" s="15" t="str">
        <f aca="false">IF($B1295="","",IFERROR(INDEX(회원명부!$B$3:$B$502,MATCH($B1295,회원명부!$A$3:$A$502,0)),"미등록회원"))</f>
        <v/>
      </c>
      <c r="D1295" s="13"/>
      <c r="E1295" s="10"/>
      <c r="F1295" s="10"/>
      <c r="G1295" s="10"/>
    </row>
    <row r="1296" customFormat="false" ht="15" hidden="false" customHeight="true" outlineLevel="0" collapsed="false">
      <c r="A1296" s="12"/>
      <c r="B1296" s="10"/>
      <c r="C1296" s="15" t="str">
        <f aca="false">IF($B1296="","",IFERROR(INDEX(회원명부!$B$3:$B$502,MATCH($B1296,회원명부!$A$3:$A$502,0)),"미등록회원"))</f>
        <v/>
      </c>
      <c r="D1296" s="13"/>
      <c r="E1296" s="10"/>
      <c r="F1296" s="10"/>
      <c r="G1296" s="10"/>
    </row>
    <row r="1297" customFormat="false" ht="15" hidden="false" customHeight="true" outlineLevel="0" collapsed="false">
      <c r="A1297" s="12"/>
      <c r="B1297" s="10"/>
      <c r="C1297" s="15" t="str">
        <f aca="false">IF($B1297="","",IFERROR(INDEX(회원명부!$B$3:$B$502,MATCH($B1297,회원명부!$A$3:$A$502,0)),"미등록회원"))</f>
        <v/>
      </c>
      <c r="D1297" s="13"/>
      <c r="E1297" s="10"/>
      <c r="F1297" s="10"/>
      <c r="G1297" s="10"/>
    </row>
    <row r="1298" customFormat="false" ht="15" hidden="false" customHeight="true" outlineLevel="0" collapsed="false">
      <c r="A1298" s="12"/>
      <c r="B1298" s="10"/>
      <c r="C1298" s="15" t="str">
        <f aca="false">IF($B1298="","",IFERROR(INDEX(회원명부!$B$3:$B$502,MATCH($B1298,회원명부!$A$3:$A$502,0)),"미등록회원"))</f>
        <v/>
      </c>
      <c r="D1298" s="13"/>
      <c r="E1298" s="10"/>
      <c r="F1298" s="10"/>
      <c r="G1298" s="10"/>
    </row>
    <row r="1299" customFormat="false" ht="15" hidden="false" customHeight="true" outlineLevel="0" collapsed="false">
      <c r="A1299" s="12"/>
      <c r="B1299" s="10"/>
      <c r="C1299" s="15" t="str">
        <f aca="false">IF($B1299="","",IFERROR(INDEX(회원명부!$B$3:$B$502,MATCH($B1299,회원명부!$A$3:$A$502,0)),"미등록회원"))</f>
        <v/>
      </c>
      <c r="D1299" s="13"/>
      <c r="E1299" s="10"/>
      <c r="F1299" s="10"/>
      <c r="G1299" s="10"/>
    </row>
    <row r="1300" customFormat="false" ht="15" hidden="false" customHeight="true" outlineLevel="0" collapsed="false">
      <c r="A1300" s="12"/>
      <c r="B1300" s="10"/>
      <c r="C1300" s="15" t="str">
        <f aca="false">IF($B1300="","",IFERROR(INDEX(회원명부!$B$3:$B$502,MATCH($B1300,회원명부!$A$3:$A$502,0)),"미등록회원"))</f>
        <v/>
      </c>
      <c r="D1300" s="13"/>
      <c r="E1300" s="10"/>
      <c r="F1300" s="10"/>
      <c r="G1300" s="10"/>
    </row>
    <row r="1301" customFormat="false" ht="15" hidden="false" customHeight="true" outlineLevel="0" collapsed="false">
      <c r="A1301" s="12"/>
      <c r="B1301" s="10"/>
      <c r="C1301" s="15" t="str">
        <f aca="false">IF($B1301="","",IFERROR(INDEX(회원명부!$B$3:$B$502,MATCH($B1301,회원명부!$A$3:$A$502,0)),"미등록회원"))</f>
        <v/>
      </c>
      <c r="D1301" s="13"/>
      <c r="E1301" s="10"/>
      <c r="F1301" s="10"/>
      <c r="G1301" s="10"/>
    </row>
    <row r="1302" customFormat="false" ht="15" hidden="false" customHeight="true" outlineLevel="0" collapsed="false">
      <c r="A1302" s="12"/>
      <c r="B1302" s="10"/>
      <c r="C1302" s="15" t="str">
        <f aca="false">IF($B1302="","",IFERROR(INDEX(회원명부!$B$3:$B$502,MATCH($B1302,회원명부!$A$3:$A$502,0)),"미등록회원"))</f>
        <v/>
      </c>
      <c r="D1302" s="13"/>
      <c r="E1302" s="10"/>
      <c r="F1302" s="10"/>
      <c r="G1302" s="10"/>
    </row>
    <row r="1303" customFormat="false" ht="15" hidden="false" customHeight="true" outlineLevel="0" collapsed="false">
      <c r="A1303" s="12"/>
      <c r="B1303" s="10"/>
      <c r="C1303" s="15" t="str">
        <f aca="false">IF($B1303="","",IFERROR(INDEX(회원명부!$B$3:$B$502,MATCH($B1303,회원명부!$A$3:$A$502,0)),"미등록회원"))</f>
        <v/>
      </c>
      <c r="D1303" s="13"/>
      <c r="E1303" s="10"/>
      <c r="F1303" s="10"/>
      <c r="G1303" s="10"/>
    </row>
    <row r="1304" customFormat="false" ht="15" hidden="false" customHeight="true" outlineLevel="0" collapsed="false">
      <c r="A1304" s="12"/>
      <c r="B1304" s="10"/>
      <c r="C1304" s="15" t="str">
        <f aca="false">IF($B1304="","",IFERROR(INDEX(회원명부!$B$3:$B$502,MATCH($B1304,회원명부!$A$3:$A$502,0)),"미등록회원"))</f>
        <v/>
      </c>
      <c r="D1304" s="13"/>
      <c r="E1304" s="10"/>
      <c r="F1304" s="10"/>
      <c r="G1304" s="10"/>
    </row>
    <row r="1305" customFormat="false" ht="15" hidden="false" customHeight="true" outlineLevel="0" collapsed="false">
      <c r="A1305" s="12"/>
      <c r="B1305" s="10"/>
      <c r="C1305" s="15" t="str">
        <f aca="false">IF($B1305="","",IFERROR(INDEX(회원명부!$B$3:$B$502,MATCH($B1305,회원명부!$A$3:$A$502,0)),"미등록회원"))</f>
        <v/>
      </c>
      <c r="D1305" s="13"/>
      <c r="E1305" s="10"/>
      <c r="F1305" s="10"/>
      <c r="G1305" s="10"/>
    </row>
    <row r="1306" customFormat="false" ht="15" hidden="false" customHeight="true" outlineLevel="0" collapsed="false">
      <c r="A1306" s="12"/>
      <c r="B1306" s="10"/>
      <c r="C1306" s="15" t="str">
        <f aca="false">IF($B1306="","",IFERROR(INDEX(회원명부!$B$3:$B$502,MATCH($B1306,회원명부!$A$3:$A$502,0)),"미등록회원"))</f>
        <v/>
      </c>
      <c r="D1306" s="13"/>
      <c r="E1306" s="10"/>
      <c r="F1306" s="10"/>
      <c r="G1306" s="10"/>
    </row>
    <row r="1307" customFormat="false" ht="15" hidden="false" customHeight="true" outlineLevel="0" collapsed="false">
      <c r="A1307" s="12"/>
      <c r="B1307" s="10"/>
      <c r="C1307" s="15" t="str">
        <f aca="false">IF($B1307="","",IFERROR(INDEX(회원명부!$B$3:$B$502,MATCH($B1307,회원명부!$A$3:$A$502,0)),"미등록회원"))</f>
        <v/>
      </c>
      <c r="D1307" s="13"/>
      <c r="E1307" s="10"/>
      <c r="F1307" s="10"/>
      <c r="G1307" s="10"/>
    </row>
    <row r="1308" customFormat="false" ht="15" hidden="false" customHeight="true" outlineLevel="0" collapsed="false">
      <c r="A1308" s="12"/>
      <c r="B1308" s="10"/>
      <c r="C1308" s="15" t="str">
        <f aca="false">IF($B1308="","",IFERROR(INDEX(회원명부!$B$3:$B$502,MATCH($B1308,회원명부!$A$3:$A$502,0)),"미등록회원"))</f>
        <v/>
      </c>
      <c r="D1308" s="13"/>
      <c r="E1308" s="10"/>
      <c r="F1308" s="10"/>
      <c r="G1308" s="10"/>
    </row>
    <row r="1309" customFormat="false" ht="15" hidden="false" customHeight="true" outlineLevel="0" collapsed="false">
      <c r="A1309" s="12"/>
      <c r="B1309" s="10"/>
      <c r="C1309" s="15" t="str">
        <f aca="false">IF($B1309="","",IFERROR(INDEX(회원명부!$B$3:$B$502,MATCH($B1309,회원명부!$A$3:$A$502,0)),"미등록회원"))</f>
        <v/>
      </c>
      <c r="D1309" s="13"/>
      <c r="E1309" s="10"/>
      <c r="F1309" s="10"/>
      <c r="G1309" s="10"/>
    </row>
    <row r="1310" customFormat="false" ht="15" hidden="false" customHeight="true" outlineLevel="0" collapsed="false">
      <c r="A1310" s="12"/>
      <c r="B1310" s="10"/>
      <c r="C1310" s="15" t="str">
        <f aca="false">IF($B1310="","",IFERROR(INDEX(회원명부!$B$3:$B$502,MATCH($B1310,회원명부!$A$3:$A$502,0)),"미등록회원"))</f>
        <v/>
      </c>
      <c r="D1310" s="13"/>
      <c r="E1310" s="10"/>
      <c r="F1310" s="10"/>
      <c r="G1310" s="10"/>
    </row>
    <row r="1311" customFormat="false" ht="15" hidden="false" customHeight="true" outlineLevel="0" collapsed="false">
      <c r="A1311" s="12"/>
      <c r="B1311" s="10"/>
      <c r="C1311" s="15" t="str">
        <f aca="false">IF($B1311="","",IFERROR(INDEX(회원명부!$B$3:$B$502,MATCH($B1311,회원명부!$A$3:$A$502,0)),"미등록회원"))</f>
        <v/>
      </c>
      <c r="D1311" s="13"/>
      <c r="E1311" s="10"/>
      <c r="F1311" s="10"/>
      <c r="G1311" s="10"/>
    </row>
    <row r="1312" customFormat="false" ht="15" hidden="false" customHeight="true" outlineLevel="0" collapsed="false">
      <c r="A1312" s="12"/>
      <c r="B1312" s="10"/>
      <c r="C1312" s="15" t="str">
        <f aca="false">IF($B1312="","",IFERROR(INDEX(회원명부!$B$3:$B$502,MATCH($B1312,회원명부!$A$3:$A$502,0)),"미등록회원"))</f>
        <v/>
      </c>
      <c r="D1312" s="13"/>
      <c r="E1312" s="10"/>
      <c r="F1312" s="10"/>
      <c r="G1312" s="10"/>
    </row>
    <row r="1313" customFormat="false" ht="15" hidden="false" customHeight="true" outlineLevel="0" collapsed="false">
      <c r="A1313" s="12"/>
      <c r="B1313" s="10"/>
      <c r="C1313" s="15" t="str">
        <f aca="false">IF($B1313="","",IFERROR(INDEX(회원명부!$B$3:$B$502,MATCH($B1313,회원명부!$A$3:$A$502,0)),"미등록회원"))</f>
        <v/>
      </c>
      <c r="D1313" s="13"/>
      <c r="E1313" s="10"/>
      <c r="F1313" s="10"/>
      <c r="G1313" s="10"/>
    </row>
    <row r="1314" customFormat="false" ht="15" hidden="false" customHeight="true" outlineLevel="0" collapsed="false">
      <c r="A1314" s="12"/>
      <c r="B1314" s="10"/>
      <c r="C1314" s="15" t="str">
        <f aca="false">IF($B1314="","",IFERROR(INDEX(회원명부!$B$3:$B$502,MATCH($B1314,회원명부!$A$3:$A$502,0)),"미등록회원"))</f>
        <v/>
      </c>
      <c r="D1314" s="13"/>
      <c r="E1314" s="10"/>
      <c r="F1314" s="10"/>
      <c r="G1314" s="10"/>
    </row>
    <row r="1315" customFormat="false" ht="15" hidden="false" customHeight="true" outlineLevel="0" collapsed="false">
      <c r="A1315" s="12"/>
      <c r="B1315" s="10"/>
      <c r="C1315" s="15" t="str">
        <f aca="false">IF($B1315="","",IFERROR(INDEX(회원명부!$B$3:$B$502,MATCH($B1315,회원명부!$A$3:$A$502,0)),"미등록회원"))</f>
        <v/>
      </c>
      <c r="D1315" s="13"/>
      <c r="E1315" s="10"/>
      <c r="F1315" s="10"/>
      <c r="G1315" s="10"/>
    </row>
    <row r="1316" customFormat="false" ht="15" hidden="false" customHeight="true" outlineLevel="0" collapsed="false">
      <c r="A1316" s="12"/>
      <c r="B1316" s="10"/>
      <c r="C1316" s="15" t="str">
        <f aca="false">IF($B1316="","",IFERROR(INDEX(회원명부!$B$3:$B$502,MATCH($B1316,회원명부!$A$3:$A$502,0)),"미등록회원"))</f>
        <v/>
      </c>
      <c r="D1316" s="13"/>
      <c r="E1316" s="10"/>
      <c r="F1316" s="10"/>
      <c r="G1316" s="10"/>
    </row>
    <row r="1317" customFormat="false" ht="15" hidden="false" customHeight="true" outlineLevel="0" collapsed="false">
      <c r="A1317" s="12"/>
      <c r="B1317" s="10"/>
      <c r="C1317" s="15" t="str">
        <f aca="false">IF($B1317="","",IFERROR(INDEX(회원명부!$B$3:$B$502,MATCH($B1317,회원명부!$A$3:$A$502,0)),"미등록회원"))</f>
        <v/>
      </c>
      <c r="D1317" s="13"/>
      <c r="E1317" s="10"/>
      <c r="F1317" s="10"/>
      <c r="G1317" s="10"/>
    </row>
    <row r="1318" customFormat="false" ht="15" hidden="false" customHeight="true" outlineLevel="0" collapsed="false">
      <c r="A1318" s="12"/>
      <c r="B1318" s="10"/>
      <c r="C1318" s="15" t="str">
        <f aca="false">IF($B1318="","",IFERROR(INDEX(회원명부!$B$3:$B$502,MATCH($B1318,회원명부!$A$3:$A$502,0)),"미등록회원"))</f>
        <v/>
      </c>
      <c r="D1318" s="13"/>
      <c r="E1318" s="10"/>
      <c r="F1318" s="10"/>
      <c r="G1318" s="10"/>
    </row>
    <row r="1319" customFormat="false" ht="15" hidden="false" customHeight="true" outlineLevel="0" collapsed="false">
      <c r="A1319" s="12"/>
      <c r="B1319" s="10"/>
      <c r="C1319" s="15" t="str">
        <f aca="false">IF($B1319="","",IFERROR(INDEX(회원명부!$B$3:$B$502,MATCH($B1319,회원명부!$A$3:$A$502,0)),"미등록회원"))</f>
        <v/>
      </c>
      <c r="D1319" s="13"/>
      <c r="E1319" s="10"/>
      <c r="F1319" s="10"/>
      <c r="G1319" s="10"/>
    </row>
    <row r="1320" customFormat="false" ht="15" hidden="false" customHeight="true" outlineLevel="0" collapsed="false">
      <c r="A1320" s="12"/>
      <c r="B1320" s="10"/>
      <c r="C1320" s="15" t="str">
        <f aca="false">IF($B1320="","",IFERROR(INDEX(회원명부!$B$3:$B$502,MATCH($B1320,회원명부!$A$3:$A$502,0)),"미등록회원"))</f>
        <v/>
      </c>
      <c r="D1320" s="13"/>
      <c r="E1320" s="10"/>
      <c r="F1320" s="10"/>
      <c r="G1320" s="10"/>
    </row>
    <row r="1321" customFormat="false" ht="15" hidden="false" customHeight="true" outlineLevel="0" collapsed="false">
      <c r="A1321" s="12"/>
      <c r="B1321" s="10"/>
      <c r="C1321" s="15" t="str">
        <f aca="false">IF($B1321="","",IFERROR(INDEX(회원명부!$B$3:$B$502,MATCH($B1321,회원명부!$A$3:$A$502,0)),"미등록회원"))</f>
        <v/>
      </c>
      <c r="D1321" s="13"/>
      <c r="E1321" s="10"/>
      <c r="F1321" s="10"/>
      <c r="G1321" s="10"/>
    </row>
    <row r="1322" customFormat="false" ht="15" hidden="false" customHeight="true" outlineLevel="0" collapsed="false">
      <c r="A1322" s="12"/>
      <c r="B1322" s="10"/>
      <c r="C1322" s="15" t="str">
        <f aca="false">IF($B1322="","",IFERROR(INDEX(회원명부!$B$3:$B$502,MATCH($B1322,회원명부!$A$3:$A$502,0)),"미등록회원"))</f>
        <v/>
      </c>
      <c r="D1322" s="13"/>
      <c r="E1322" s="10"/>
      <c r="F1322" s="10"/>
      <c r="G1322" s="10"/>
    </row>
    <row r="1323" customFormat="false" ht="15" hidden="false" customHeight="true" outlineLevel="0" collapsed="false">
      <c r="A1323" s="12"/>
      <c r="B1323" s="10"/>
      <c r="C1323" s="15" t="str">
        <f aca="false">IF($B1323="","",IFERROR(INDEX(회원명부!$B$3:$B$502,MATCH($B1323,회원명부!$A$3:$A$502,0)),"미등록회원"))</f>
        <v/>
      </c>
      <c r="D1323" s="13"/>
      <c r="E1323" s="10"/>
      <c r="F1323" s="10"/>
      <c r="G1323" s="10"/>
    </row>
    <row r="1324" customFormat="false" ht="15" hidden="false" customHeight="true" outlineLevel="0" collapsed="false">
      <c r="A1324" s="12"/>
      <c r="B1324" s="10"/>
      <c r="C1324" s="15" t="str">
        <f aca="false">IF($B1324="","",IFERROR(INDEX(회원명부!$B$3:$B$502,MATCH($B1324,회원명부!$A$3:$A$502,0)),"미등록회원"))</f>
        <v/>
      </c>
      <c r="D1324" s="13"/>
      <c r="E1324" s="10"/>
      <c r="F1324" s="10"/>
      <c r="G1324" s="10"/>
    </row>
    <row r="1325" customFormat="false" ht="15" hidden="false" customHeight="true" outlineLevel="0" collapsed="false">
      <c r="A1325" s="12"/>
      <c r="B1325" s="10"/>
      <c r="C1325" s="15" t="str">
        <f aca="false">IF($B1325="","",IFERROR(INDEX(회원명부!$B$3:$B$502,MATCH($B1325,회원명부!$A$3:$A$502,0)),"미등록회원"))</f>
        <v/>
      </c>
      <c r="D1325" s="13"/>
      <c r="E1325" s="10"/>
      <c r="F1325" s="10"/>
      <c r="G1325" s="10"/>
    </row>
    <row r="1326" customFormat="false" ht="15" hidden="false" customHeight="true" outlineLevel="0" collapsed="false">
      <c r="A1326" s="12"/>
      <c r="B1326" s="10"/>
      <c r="C1326" s="15" t="str">
        <f aca="false">IF($B1326="","",IFERROR(INDEX(회원명부!$B$3:$B$502,MATCH($B1326,회원명부!$A$3:$A$502,0)),"미등록회원"))</f>
        <v/>
      </c>
      <c r="D1326" s="13"/>
      <c r="E1326" s="10"/>
      <c r="F1326" s="10"/>
      <c r="G1326" s="10"/>
    </row>
    <row r="1327" customFormat="false" ht="15" hidden="false" customHeight="true" outlineLevel="0" collapsed="false">
      <c r="A1327" s="12"/>
      <c r="B1327" s="10"/>
      <c r="C1327" s="15" t="str">
        <f aca="false">IF($B1327="","",IFERROR(INDEX(회원명부!$B$3:$B$502,MATCH($B1327,회원명부!$A$3:$A$502,0)),"미등록회원"))</f>
        <v/>
      </c>
      <c r="D1327" s="13"/>
      <c r="E1327" s="10"/>
      <c r="F1327" s="10"/>
      <c r="G1327" s="10"/>
    </row>
    <row r="1328" customFormat="false" ht="15" hidden="false" customHeight="true" outlineLevel="0" collapsed="false">
      <c r="A1328" s="12"/>
      <c r="B1328" s="10"/>
      <c r="C1328" s="15" t="str">
        <f aca="false">IF($B1328="","",IFERROR(INDEX(회원명부!$B$3:$B$502,MATCH($B1328,회원명부!$A$3:$A$502,0)),"미등록회원"))</f>
        <v/>
      </c>
      <c r="D1328" s="13"/>
      <c r="E1328" s="10"/>
      <c r="F1328" s="10"/>
      <c r="G1328" s="10"/>
    </row>
    <row r="1329" customFormat="false" ht="15" hidden="false" customHeight="true" outlineLevel="0" collapsed="false">
      <c r="A1329" s="12"/>
      <c r="B1329" s="10"/>
      <c r="C1329" s="15" t="str">
        <f aca="false">IF($B1329="","",IFERROR(INDEX(회원명부!$B$3:$B$502,MATCH($B1329,회원명부!$A$3:$A$502,0)),"미등록회원"))</f>
        <v/>
      </c>
      <c r="D1329" s="13"/>
      <c r="E1329" s="10"/>
      <c r="F1329" s="10"/>
      <c r="G1329" s="10"/>
    </row>
    <row r="1330" customFormat="false" ht="15" hidden="false" customHeight="true" outlineLevel="0" collapsed="false">
      <c r="A1330" s="12"/>
      <c r="B1330" s="10"/>
      <c r="C1330" s="15" t="str">
        <f aca="false">IF($B1330="","",IFERROR(INDEX(회원명부!$B$3:$B$502,MATCH($B1330,회원명부!$A$3:$A$502,0)),"미등록회원"))</f>
        <v/>
      </c>
      <c r="D1330" s="13"/>
      <c r="E1330" s="10"/>
      <c r="F1330" s="10"/>
      <c r="G1330" s="10"/>
    </row>
    <row r="1331" customFormat="false" ht="15" hidden="false" customHeight="true" outlineLevel="0" collapsed="false">
      <c r="A1331" s="12"/>
      <c r="B1331" s="10"/>
      <c r="C1331" s="15" t="str">
        <f aca="false">IF($B1331="","",IFERROR(INDEX(회원명부!$B$3:$B$502,MATCH($B1331,회원명부!$A$3:$A$502,0)),"미등록회원"))</f>
        <v/>
      </c>
      <c r="D1331" s="13"/>
      <c r="E1331" s="10"/>
      <c r="F1331" s="10"/>
      <c r="G1331" s="10"/>
    </row>
    <row r="1332" customFormat="false" ht="15" hidden="false" customHeight="true" outlineLevel="0" collapsed="false">
      <c r="A1332" s="12"/>
      <c r="B1332" s="10"/>
      <c r="C1332" s="15" t="str">
        <f aca="false">IF($B1332="","",IFERROR(INDEX(회원명부!$B$3:$B$502,MATCH($B1332,회원명부!$A$3:$A$502,0)),"미등록회원"))</f>
        <v/>
      </c>
      <c r="D1332" s="13"/>
      <c r="E1332" s="10"/>
      <c r="F1332" s="10"/>
      <c r="G1332" s="10"/>
    </row>
    <row r="1333" customFormat="false" ht="15" hidden="false" customHeight="true" outlineLevel="0" collapsed="false">
      <c r="A1333" s="12"/>
      <c r="B1333" s="10"/>
      <c r="C1333" s="15" t="str">
        <f aca="false">IF($B1333="","",IFERROR(INDEX(회원명부!$B$3:$B$502,MATCH($B1333,회원명부!$A$3:$A$502,0)),"미등록회원"))</f>
        <v/>
      </c>
      <c r="D1333" s="13"/>
      <c r="E1333" s="10"/>
      <c r="F1333" s="10"/>
      <c r="G1333" s="10"/>
    </row>
    <row r="1334" customFormat="false" ht="15" hidden="false" customHeight="true" outlineLevel="0" collapsed="false">
      <c r="A1334" s="12"/>
      <c r="B1334" s="10"/>
      <c r="C1334" s="15" t="str">
        <f aca="false">IF($B1334="","",IFERROR(INDEX(회원명부!$B$3:$B$502,MATCH($B1334,회원명부!$A$3:$A$502,0)),"미등록회원"))</f>
        <v/>
      </c>
      <c r="D1334" s="13"/>
      <c r="E1334" s="10"/>
      <c r="F1334" s="10"/>
      <c r="G1334" s="10"/>
    </row>
    <row r="1335" customFormat="false" ht="15" hidden="false" customHeight="true" outlineLevel="0" collapsed="false">
      <c r="A1335" s="12"/>
      <c r="B1335" s="10"/>
      <c r="C1335" s="15" t="str">
        <f aca="false">IF($B1335="","",IFERROR(INDEX(회원명부!$B$3:$B$502,MATCH($B1335,회원명부!$A$3:$A$502,0)),"미등록회원"))</f>
        <v/>
      </c>
      <c r="D1335" s="13"/>
      <c r="E1335" s="10"/>
      <c r="F1335" s="10"/>
      <c r="G1335" s="10"/>
    </row>
    <row r="1336" customFormat="false" ht="15" hidden="false" customHeight="true" outlineLevel="0" collapsed="false">
      <c r="A1336" s="12"/>
      <c r="B1336" s="10"/>
      <c r="C1336" s="15" t="str">
        <f aca="false">IF($B1336="","",IFERROR(INDEX(회원명부!$B$3:$B$502,MATCH($B1336,회원명부!$A$3:$A$502,0)),"미등록회원"))</f>
        <v/>
      </c>
      <c r="D1336" s="13"/>
      <c r="E1336" s="10"/>
      <c r="F1336" s="10"/>
      <c r="G1336" s="10"/>
    </row>
    <row r="1337" customFormat="false" ht="15" hidden="false" customHeight="true" outlineLevel="0" collapsed="false">
      <c r="A1337" s="12"/>
      <c r="B1337" s="10"/>
      <c r="C1337" s="15" t="str">
        <f aca="false">IF($B1337="","",IFERROR(INDEX(회원명부!$B$3:$B$502,MATCH($B1337,회원명부!$A$3:$A$502,0)),"미등록회원"))</f>
        <v/>
      </c>
      <c r="D1337" s="13"/>
      <c r="E1337" s="10"/>
      <c r="F1337" s="10"/>
      <c r="G1337" s="10"/>
    </row>
    <row r="1338" customFormat="false" ht="15" hidden="false" customHeight="true" outlineLevel="0" collapsed="false">
      <c r="A1338" s="12"/>
      <c r="B1338" s="10"/>
      <c r="C1338" s="15" t="str">
        <f aca="false">IF($B1338="","",IFERROR(INDEX(회원명부!$B$3:$B$502,MATCH($B1338,회원명부!$A$3:$A$502,0)),"미등록회원"))</f>
        <v/>
      </c>
      <c r="D1338" s="13"/>
      <c r="E1338" s="10"/>
      <c r="F1338" s="10"/>
      <c r="G1338" s="10"/>
    </row>
    <row r="1339" customFormat="false" ht="15" hidden="false" customHeight="true" outlineLevel="0" collapsed="false">
      <c r="A1339" s="12"/>
      <c r="B1339" s="10"/>
      <c r="C1339" s="15" t="str">
        <f aca="false">IF($B1339="","",IFERROR(INDEX(회원명부!$B$3:$B$502,MATCH($B1339,회원명부!$A$3:$A$502,0)),"미등록회원"))</f>
        <v/>
      </c>
      <c r="D1339" s="13"/>
      <c r="E1339" s="10"/>
      <c r="F1339" s="10"/>
      <c r="G1339" s="10"/>
    </row>
    <row r="1340" customFormat="false" ht="15" hidden="false" customHeight="true" outlineLevel="0" collapsed="false">
      <c r="A1340" s="12"/>
      <c r="B1340" s="10"/>
      <c r="C1340" s="15" t="str">
        <f aca="false">IF($B1340="","",IFERROR(INDEX(회원명부!$B$3:$B$502,MATCH($B1340,회원명부!$A$3:$A$502,0)),"미등록회원"))</f>
        <v/>
      </c>
      <c r="D1340" s="13"/>
      <c r="E1340" s="10"/>
      <c r="F1340" s="10"/>
      <c r="G1340" s="10"/>
    </row>
    <row r="1341" customFormat="false" ht="15" hidden="false" customHeight="true" outlineLevel="0" collapsed="false">
      <c r="A1341" s="12"/>
      <c r="B1341" s="10"/>
      <c r="C1341" s="15" t="str">
        <f aca="false">IF($B1341="","",IFERROR(INDEX(회원명부!$B$3:$B$502,MATCH($B1341,회원명부!$A$3:$A$502,0)),"미등록회원"))</f>
        <v/>
      </c>
      <c r="D1341" s="13"/>
      <c r="E1341" s="10"/>
      <c r="F1341" s="10"/>
      <c r="G1341" s="10"/>
    </row>
    <row r="1342" customFormat="false" ht="15" hidden="false" customHeight="true" outlineLevel="0" collapsed="false">
      <c r="A1342" s="12"/>
      <c r="B1342" s="10"/>
      <c r="C1342" s="15" t="str">
        <f aca="false">IF($B1342="","",IFERROR(INDEX(회원명부!$B$3:$B$502,MATCH($B1342,회원명부!$A$3:$A$502,0)),"미등록회원"))</f>
        <v/>
      </c>
      <c r="D1342" s="13"/>
      <c r="E1342" s="10"/>
      <c r="F1342" s="10"/>
      <c r="G1342" s="10"/>
    </row>
    <row r="1343" customFormat="false" ht="15" hidden="false" customHeight="true" outlineLevel="0" collapsed="false">
      <c r="A1343" s="12"/>
      <c r="B1343" s="10"/>
      <c r="C1343" s="15" t="str">
        <f aca="false">IF($B1343="","",IFERROR(INDEX(회원명부!$B$3:$B$502,MATCH($B1343,회원명부!$A$3:$A$502,0)),"미등록회원"))</f>
        <v/>
      </c>
      <c r="D1343" s="13"/>
      <c r="E1343" s="10"/>
      <c r="F1343" s="10"/>
      <c r="G1343" s="10"/>
    </row>
    <row r="1344" customFormat="false" ht="15" hidden="false" customHeight="true" outlineLevel="0" collapsed="false">
      <c r="A1344" s="12"/>
      <c r="B1344" s="10"/>
      <c r="C1344" s="15" t="str">
        <f aca="false">IF($B1344="","",IFERROR(INDEX(회원명부!$B$3:$B$502,MATCH($B1344,회원명부!$A$3:$A$502,0)),"미등록회원"))</f>
        <v/>
      </c>
      <c r="D1344" s="13"/>
      <c r="E1344" s="10"/>
      <c r="F1344" s="10"/>
      <c r="G1344" s="10"/>
    </row>
    <row r="1345" customFormat="false" ht="15" hidden="false" customHeight="true" outlineLevel="0" collapsed="false">
      <c r="A1345" s="12"/>
      <c r="B1345" s="10"/>
      <c r="C1345" s="15" t="str">
        <f aca="false">IF($B1345="","",IFERROR(INDEX(회원명부!$B$3:$B$502,MATCH($B1345,회원명부!$A$3:$A$502,0)),"미등록회원"))</f>
        <v/>
      </c>
      <c r="D1345" s="13"/>
      <c r="E1345" s="10"/>
      <c r="F1345" s="10"/>
      <c r="G1345" s="10"/>
    </row>
    <row r="1346" customFormat="false" ht="15" hidden="false" customHeight="true" outlineLevel="0" collapsed="false">
      <c r="A1346" s="12"/>
      <c r="B1346" s="10"/>
      <c r="C1346" s="15" t="str">
        <f aca="false">IF($B1346="","",IFERROR(INDEX(회원명부!$B$3:$B$502,MATCH($B1346,회원명부!$A$3:$A$502,0)),"미등록회원"))</f>
        <v/>
      </c>
      <c r="D1346" s="13"/>
      <c r="E1346" s="10"/>
      <c r="F1346" s="10"/>
      <c r="G1346" s="10"/>
    </row>
    <row r="1347" customFormat="false" ht="15" hidden="false" customHeight="true" outlineLevel="0" collapsed="false">
      <c r="A1347" s="12"/>
      <c r="B1347" s="10"/>
      <c r="C1347" s="15" t="str">
        <f aca="false">IF($B1347="","",IFERROR(INDEX(회원명부!$B$3:$B$502,MATCH($B1347,회원명부!$A$3:$A$502,0)),"미등록회원"))</f>
        <v/>
      </c>
      <c r="D1347" s="13"/>
      <c r="E1347" s="10"/>
      <c r="F1347" s="10"/>
      <c r="G1347" s="10"/>
    </row>
    <row r="1348" customFormat="false" ht="15" hidden="false" customHeight="true" outlineLevel="0" collapsed="false">
      <c r="A1348" s="12"/>
      <c r="B1348" s="10"/>
      <c r="C1348" s="15" t="str">
        <f aca="false">IF($B1348="","",IFERROR(INDEX(회원명부!$B$3:$B$502,MATCH($B1348,회원명부!$A$3:$A$502,0)),"미등록회원"))</f>
        <v/>
      </c>
      <c r="D1348" s="13"/>
      <c r="E1348" s="10"/>
      <c r="F1348" s="10"/>
      <c r="G1348" s="10"/>
    </row>
    <row r="1349" customFormat="false" ht="15" hidden="false" customHeight="true" outlineLevel="0" collapsed="false">
      <c r="A1349" s="12"/>
      <c r="B1349" s="10"/>
      <c r="C1349" s="15" t="str">
        <f aca="false">IF($B1349="","",IFERROR(INDEX(회원명부!$B$3:$B$502,MATCH($B1349,회원명부!$A$3:$A$502,0)),"미등록회원"))</f>
        <v/>
      </c>
      <c r="D1349" s="13"/>
      <c r="E1349" s="10"/>
      <c r="F1349" s="10"/>
      <c r="G1349" s="10"/>
    </row>
    <row r="1350" customFormat="false" ht="15" hidden="false" customHeight="true" outlineLevel="0" collapsed="false">
      <c r="A1350" s="12"/>
      <c r="B1350" s="10"/>
      <c r="C1350" s="15" t="str">
        <f aca="false">IF($B1350="","",IFERROR(INDEX(회원명부!$B$3:$B$502,MATCH($B1350,회원명부!$A$3:$A$502,0)),"미등록회원"))</f>
        <v/>
      </c>
      <c r="D1350" s="13"/>
      <c r="E1350" s="10"/>
      <c r="F1350" s="10"/>
      <c r="G1350" s="10"/>
    </row>
    <row r="1351" customFormat="false" ht="15" hidden="false" customHeight="true" outlineLevel="0" collapsed="false">
      <c r="A1351" s="12"/>
      <c r="B1351" s="10"/>
      <c r="C1351" s="15" t="str">
        <f aca="false">IF($B1351="","",IFERROR(INDEX(회원명부!$B$3:$B$502,MATCH($B1351,회원명부!$A$3:$A$502,0)),"미등록회원"))</f>
        <v/>
      </c>
      <c r="D1351" s="13"/>
      <c r="E1351" s="10"/>
      <c r="F1351" s="10"/>
      <c r="G1351" s="10"/>
    </row>
    <row r="1352" customFormat="false" ht="15" hidden="false" customHeight="true" outlineLevel="0" collapsed="false">
      <c r="A1352" s="12"/>
      <c r="B1352" s="10"/>
      <c r="C1352" s="15" t="str">
        <f aca="false">IF($B1352="","",IFERROR(INDEX(회원명부!$B$3:$B$502,MATCH($B1352,회원명부!$A$3:$A$502,0)),"미등록회원"))</f>
        <v/>
      </c>
      <c r="D1352" s="13"/>
      <c r="E1352" s="10"/>
      <c r="F1352" s="10"/>
      <c r="G1352" s="10"/>
    </row>
    <row r="1353" customFormat="false" ht="15" hidden="false" customHeight="true" outlineLevel="0" collapsed="false">
      <c r="A1353" s="12"/>
      <c r="B1353" s="10"/>
      <c r="C1353" s="15" t="str">
        <f aca="false">IF($B1353="","",IFERROR(INDEX(회원명부!$B$3:$B$502,MATCH($B1353,회원명부!$A$3:$A$502,0)),"미등록회원"))</f>
        <v/>
      </c>
      <c r="D1353" s="13"/>
      <c r="E1353" s="10"/>
      <c r="F1353" s="10"/>
      <c r="G1353" s="10"/>
    </row>
    <row r="1354" customFormat="false" ht="15" hidden="false" customHeight="true" outlineLevel="0" collapsed="false">
      <c r="A1354" s="12"/>
      <c r="B1354" s="10"/>
      <c r="C1354" s="15" t="str">
        <f aca="false">IF($B1354="","",IFERROR(INDEX(회원명부!$B$3:$B$502,MATCH($B1354,회원명부!$A$3:$A$502,0)),"미등록회원"))</f>
        <v/>
      </c>
      <c r="D1354" s="13"/>
      <c r="E1354" s="10"/>
      <c r="F1354" s="10"/>
      <c r="G1354" s="10"/>
    </row>
    <row r="1355" customFormat="false" ht="15" hidden="false" customHeight="true" outlineLevel="0" collapsed="false">
      <c r="A1355" s="12"/>
      <c r="B1355" s="10"/>
      <c r="C1355" s="15" t="str">
        <f aca="false">IF($B1355="","",IFERROR(INDEX(회원명부!$B$3:$B$502,MATCH($B1355,회원명부!$A$3:$A$502,0)),"미등록회원"))</f>
        <v/>
      </c>
      <c r="D1355" s="13"/>
      <c r="E1355" s="10"/>
      <c r="F1355" s="10"/>
      <c r="G1355" s="10"/>
    </row>
    <row r="1356" customFormat="false" ht="15" hidden="false" customHeight="true" outlineLevel="0" collapsed="false">
      <c r="A1356" s="12"/>
      <c r="B1356" s="10"/>
      <c r="C1356" s="15" t="str">
        <f aca="false">IF($B1356="","",IFERROR(INDEX(회원명부!$B$3:$B$502,MATCH($B1356,회원명부!$A$3:$A$502,0)),"미등록회원"))</f>
        <v/>
      </c>
      <c r="D1356" s="13"/>
      <c r="E1356" s="10"/>
      <c r="F1356" s="10"/>
      <c r="G1356" s="10"/>
    </row>
    <row r="1357" customFormat="false" ht="15" hidden="false" customHeight="true" outlineLevel="0" collapsed="false">
      <c r="A1357" s="12"/>
      <c r="B1357" s="10"/>
      <c r="C1357" s="15" t="str">
        <f aca="false">IF($B1357="","",IFERROR(INDEX(회원명부!$B$3:$B$502,MATCH($B1357,회원명부!$A$3:$A$502,0)),"미등록회원"))</f>
        <v/>
      </c>
      <c r="D1357" s="13"/>
      <c r="E1357" s="10"/>
      <c r="F1357" s="10"/>
      <c r="G1357" s="10"/>
    </row>
    <row r="1358" customFormat="false" ht="15" hidden="false" customHeight="true" outlineLevel="0" collapsed="false">
      <c r="A1358" s="12"/>
      <c r="B1358" s="10"/>
      <c r="C1358" s="15" t="str">
        <f aca="false">IF($B1358="","",IFERROR(INDEX(회원명부!$B$3:$B$502,MATCH($B1358,회원명부!$A$3:$A$502,0)),"미등록회원"))</f>
        <v/>
      </c>
      <c r="D1358" s="13"/>
      <c r="E1358" s="10"/>
      <c r="F1358" s="10"/>
      <c r="G1358" s="10"/>
    </row>
    <row r="1359" customFormat="false" ht="15" hidden="false" customHeight="true" outlineLevel="0" collapsed="false">
      <c r="A1359" s="12"/>
      <c r="B1359" s="10"/>
      <c r="C1359" s="15" t="str">
        <f aca="false">IF($B1359="","",IFERROR(INDEX(회원명부!$B$3:$B$502,MATCH($B1359,회원명부!$A$3:$A$502,0)),"미등록회원"))</f>
        <v/>
      </c>
      <c r="D1359" s="13"/>
      <c r="E1359" s="10"/>
      <c r="F1359" s="10"/>
      <c r="G1359" s="10"/>
    </row>
    <row r="1360" customFormat="false" ht="15" hidden="false" customHeight="true" outlineLevel="0" collapsed="false">
      <c r="A1360" s="12"/>
      <c r="B1360" s="10"/>
      <c r="C1360" s="15" t="str">
        <f aca="false">IF($B1360="","",IFERROR(INDEX(회원명부!$B$3:$B$502,MATCH($B1360,회원명부!$A$3:$A$502,0)),"미등록회원"))</f>
        <v/>
      </c>
      <c r="D1360" s="13"/>
      <c r="E1360" s="10"/>
      <c r="F1360" s="10"/>
      <c r="G1360" s="10"/>
    </row>
    <row r="1361" customFormat="false" ht="15" hidden="false" customHeight="true" outlineLevel="0" collapsed="false">
      <c r="A1361" s="12"/>
      <c r="B1361" s="10"/>
      <c r="C1361" s="15" t="str">
        <f aca="false">IF($B1361="","",IFERROR(INDEX(회원명부!$B$3:$B$502,MATCH($B1361,회원명부!$A$3:$A$502,0)),"미등록회원"))</f>
        <v/>
      </c>
      <c r="D1361" s="13"/>
      <c r="E1361" s="10"/>
      <c r="F1361" s="10"/>
      <c r="G1361" s="10"/>
    </row>
    <row r="1362" customFormat="false" ht="15" hidden="false" customHeight="true" outlineLevel="0" collapsed="false">
      <c r="A1362" s="12"/>
      <c r="B1362" s="10"/>
      <c r="C1362" s="15" t="str">
        <f aca="false">IF($B1362="","",IFERROR(INDEX(회원명부!$B$3:$B$502,MATCH($B1362,회원명부!$A$3:$A$502,0)),"미등록회원"))</f>
        <v/>
      </c>
      <c r="D1362" s="13"/>
      <c r="E1362" s="10"/>
      <c r="F1362" s="10"/>
      <c r="G1362" s="10"/>
    </row>
    <row r="1363" customFormat="false" ht="15" hidden="false" customHeight="true" outlineLevel="0" collapsed="false">
      <c r="A1363" s="12"/>
      <c r="B1363" s="10"/>
      <c r="C1363" s="15" t="str">
        <f aca="false">IF($B1363="","",IFERROR(INDEX(회원명부!$B$3:$B$502,MATCH($B1363,회원명부!$A$3:$A$502,0)),"미등록회원"))</f>
        <v/>
      </c>
      <c r="D1363" s="13"/>
      <c r="E1363" s="10"/>
      <c r="F1363" s="10"/>
      <c r="G1363" s="10"/>
    </row>
    <row r="1364" customFormat="false" ht="15" hidden="false" customHeight="true" outlineLevel="0" collapsed="false">
      <c r="A1364" s="12"/>
      <c r="B1364" s="10"/>
      <c r="C1364" s="15" t="str">
        <f aca="false">IF($B1364="","",IFERROR(INDEX(회원명부!$B$3:$B$502,MATCH($B1364,회원명부!$A$3:$A$502,0)),"미등록회원"))</f>
        <v/>
      </c>
      <c r="D1364" s="13"/>
      <c r="E1364" s="10"/>
      <c r="F1364" s="10"/>
      <c r="G1364" s="10"/>
    </row>
    <row r="1365" customFormat="false" ht="15" hidden="false" customHeight="true" outlineLevel="0" collapsed="false">
      <c r="A1365" s="12"/>
      <c r="B1365" s="10"/>
      <c r="C1365" s="15" t="str">
        <f aca="false">IF($B1365="","",IFERROR(INDEX(회원명부!$B$3:$B$502,MATCH($B1365,회원명부!$A$3:$A$502,0)),"미등록회원"))</f>
        <v/>
      </c>
      <c r="D1365" s="13"/>
      <c r="E1365" s="10"/>
      <c r="F1365" s="10"/>
      <c r="G1365" s="10"/>
    </row>
    <row r="1366" customFormat="false" ht="15" hidden="false" customHeight="true" outlineLevel="0" collapsed="false">
      <c r="A1366" s="12"/>
      <c r="B1366" s="10"/>
      <c r="C1366" s="15" t="str">
        <f aca="false">IF($B1366="","",IFERROR(INDEX(회원명부!$B$3:$B$502,MATCH($B1366,회원명부!$A$3:$A$502,0)),"미등록회원"))</f>
        <v/>
      </c>
      <c r="D1366" s="13"/>
      <c r="E1366" s="10"/>
      <c r="F1366" s="10"/>
      <c r="G1366" s="10"/>
    </row>
    <row r="1367" customFormat="false" ht="15" hidden="false" customHeight="true" outlineLevel="0" collapsed="false">
      <c r="A1367" s="12"/>
      <c r="B1367" s="10"/>
      <c r="C1367" s="15" t="str">
        <f aca="false">IF($B1367="","",IFERROR(INDEX(회원명부!$B$3:$B$502,MATCH($B1367,회원명부!$A$3:$A$502,0)),"미등록회원"))</f>
        <v/>
      </c>
      <c r="D1367" s="13"/>
      <c r="E1367" s="10"/>
      <c r="F1367" s="10"/>
      <c r="G1367" s="10"/>
    </row>
    <row r="1368" customFormat="false" ht="15" hidden="false" customHeight="true" outlineLevel="0" collapsed="false">
      <c r="A1368" s="12"/>
      <c r="B1368" s="10"/>
      <c r="C1368" s="15" t="str">
        <f aca="false">IF($B1368="","",IFERROR(INDEX(회원명부!$B$3:$B$502,MATCH($B1368,회원명부!$A$3:$A$502,0)),"미등록회원"))</f>
        <v/>
      </c>
      <c r="D1368" s="13"/>
      <c r="E1368" s="10"/>
      <c r="F1368" s="10"/>
      <c r="G1368" s="10"/>
    </row>
    <row r="1369" customFormat="false" ht="15" hidden="false" customHeight="true" outlineLevel="0" collapsed="false">
      <c r="A1369" s="12"/>
      <c r="B1369" s="10"/>
      <c r="C1369" s="15" t="str">
        <f aca="false">IF($B1369="","",IFERROR(INDEX(회원명부!$B$3:$B$502,MATCH($B1369,회원명부!$A$3:$A$502,0)),"미등록회원"))</f>
        <v/>
      </c>
      <c r="D1369" s="13"/>
      <c r="E1369" s="10"/>
      <c r="F1369" s="10"/>
      <c r="G1369" s="10"/>
    </row>
    <row r="1370" customFormat="false" ht="15" hidden="false" customHeight="true" outlineLevel="0" collapsed="false">
      <c r="A1370" s="12"/>
      <c r="B1370" s="10"/>
      <c r="C1370" s="15" t="str">
        <f aca="false">IF($B1370="","",IFERROR(INDEX(회원명부!$B$3:$B$502,MATCH($B1370,회원명부!$A$3:$A$502,0)),"미등록회원"))</f>
        <v/>
      </c>
      <c r="D1370" s="13"/>
      <c r="E1370" s="10"/>
      <c r="F1370" s="10"/>
      <c r="G1370" s="10"/>
    </row>
    <row r="1371" customFormat="false" ht="15" hidden="false" customHeight="true" outlineLevel="0" collapsed="false">
      <c r="A1371" s="12"/>
      <c r="B1371" s="10"/>
      <c r="C1371" s="15" t="str">
        <f aca="false">IF($B1371="","",IFERROR(INDEX(회원명부!$B$3:$B$502,MATCH($B1371,회원명부!$A$3:$A$502,0)),"미등록회원"))</f>
        <v/>
      </c>
      <c r="D1371" s="13"/>
      <c r="E1371" s="10"/>
      <c r="F1371" s="10"/>
      <c r="G1371" s="10"/>
    </row>
    <row r="1372" customFormat="false" ht="15" hidden="false" customHeight="true" outlineLevel="0" collapsed="false">
      <c r="A1372" s="12"/>
      <c r="B1372" s="10"/>
      <c r="C1372" s="15" t="str">
        <f aca="false">IF($B1372="","",IFERROR(INDEX(회원명부!$B$3:$B$502,MATCH($B1372,회원명부!$A$3:$A$502,0)),"미등록회원"))</f>
        <v/>
      </c>
      <c r="D1372" s="13"/>
      <c r="E1372" s="10"/>
      <c r="F1372" s="10"/>
      <c r="G1372" s="10"/>
    </row>
    <row r="1373" customFormat="false" ht="15" hidden="false" customHeight="true" outlineLevel="0" collapsed="false">
      <c r="A1373" s="12"/>
      <c r="B1373" s="10"/>
      <c r="C1373" s="15" t="str">
        <f aca="false">IF($B1373="","",IFERROR(INDEX(회원명부!$B$3:$B$502,MATCH($B1373,회원명부!$A$3:$A$502,0)),"미등록회원"))</f>
        <v/>
      </c>
      <c r="D1373" s="13"/>
      <c r="E1373" s="10"/>
      <c r="F1373" s="10"/>
      <c r="G1373" s="10"/>
    </row>
    <row r="1374" customFormat="false" ht="15" hidden="false" customHeight="true" outlineLevel="0" collapsed="false">
      <c r="A1374" s="12"/>
      <c r="B1374" s="10"/>
      <c r="C1374" s="15" t="str">
        <f aca="false">IF($B1374="","",IFERROR(INDEX(회원명부!$B$3:$B$502,MATCH($B1374,회원명부!$A$3:$A$502,0)),"미등록회원"))</f>
        <v/>
      </c>
      <c r="D1374" s="13"/>
      <c r="E1374" s="10"/>
      <c r="F1374" s="10"/>
      <c r="G1374" s="10"/>
    </row>
    <row r="1375" customFormat="false" ht="15" hidden="false" customHeight="true" outlineLevel="0" collapsed="false">
      <c r="A1375" s="12"/>
      <c r="B1375" s="10"/>
      <c r="C1375" s="15" t="str">
        <f aca="false">IF($B1375="","",IFERROR(INDEX(회원명부!$B$3:$B$502,MATCH($B1375,회원명부!$A$3:$A$502,0)),"미등록회원"))</f>
        <v/>
      </c>
      <c r="D1375" s="13"/>
      <c r="E1375" s="10"/>
      <c r="F1375" s="10"/>
      <c r="G1375" s="10"/>
    </row>
    <row r="1376" customFormat="false" ht="15" hidden="false" customHeight="true" outlineLevel="0" collapsed="false">
      <c r="A1376" s="12"/>
      <c r="B1376" s="10"/>
      <c r="C1376" s="15" t="str">
        <f aca="false">IF($B1376="","",IFERROR(INDEX(회원명부!$B$3:$B$502,MATCH($B1376,회원명부!$A$3:$A$502,0)),"미등록회원"))</f>
        <v/>
      </c>
      <c r="D1376" s="13"/>
      <c r="E1376" s="10"/>
      <c r="F1376" s="10"/>
      <c r="G1376" s="10"/>
    </row>
    <row r="1377" customFormat="false" ht="15" hidden="false" customHeight="true" outlineLevel="0" collapsed="false">
      <c r="A1377" s="12"/>
      <c r="B1377" s="10"/>
      <c r="C1377" s="15" t="str">
        <f aca="false">IF($B1377="","",IFERROR(INDEX(회원명부!$B$3:$B$502,MATCH($B1377,회원명부!$A$3:$A$502,0)),"미등록회원"))</f>
        <v/>
      </c>
      <c r="D1377" s="13"/>
      <c r="E1377" s="10"/>
      <c r="F1377" s="10"/>
      <c r="G1377" s="10"/>
    </row>
    <row r="1378" customFormat="false" ht="15" hidden="false" customHeight="true" outlineLevel="0" collapsed="false">
      <c r="A1378" s="12"/>
      <c r="B1378" s="10"/>
      <c r="C1378" s="15" t="str">
        <f aca="false">IF($B1378="","",IFERROR(INDEX(회원명부!$B$3:$B$502,MATCH($B1378,회원명부!$A$3:$A$502,0)),"미등록회원"))</f>
        <v/>
      </c>
      <c r="D1378" s="13"/>
      <c r="E1378" s="10"/>
      <c r="F1378" s="10"/>
      <c r="G1378" s="10"/>
    </row>
    <row r="1379" customFormat="false" ht="15" hidden="false" customHeight="true" outlineLevel="0" collapsed="false">
      <c r="A1379" s="12"/>
      <c r="B1379" s="10"/>
      <c r="C1379" s="15" t="str">
        <f aca="false">IF($B1379="","",IFERROR(INDEX(회원명부!$B$3:$B$502,MATCH($B1379,회원명부!$A$3:$A$502,0)),"미등록회원"))</f>
        <v/>
      </c>
      <c r="D1379" s="13"/>
      <c r="E1379" s="10"/>
      <c r="F1379" s="10"/>
      <c r="G1379" s="10"/>
    </row>
    <row r="1380" customFormat="false" ht="15" hidden="false" customHeight="true" outlineLevel="0" collapsed="false">
      <c r="A1380" s="12"/>
      <c r="B1380" s="10"/>
      <c r="C1380" s="15" t="str">
        <f aca="false">IF($B1380="","",IFERROR(INDEX(회원명부!$B$3:$B$502,MATCH($B1380,회원명부!$A$3:$A$502,0)),"미등록회원"))</f>
        <v/>
      </c>
      <c r="D1380" s="13"/>
      <c r="E1380" s="10"/>
      <c r="F1380" s="10"/>
      <c r="G1380" s="10"/>
    </row>
    <row r="1381" customFormat="false" ht="15" hidden="false" customHeight="true" outlineLevel="0" collapsed="false">
      <c r="A1381" s="12"/>
      <c r="B1381" s="10"/>
      <c r="C1381" s="15" t="str">
        <f aca="false">IF($B1381="","",IFERROR(INDEX(회원명부!$B$3:$B$502,MATCH($B1381,회원명부!$A$3:$A$502,0)),"미등록회원"))</f>
        <v/>
      </c>
      <c r="D1381" s="13"/>
      <c r="E1381" s="10"/>
      <c r="F1381" s="10"/>
      <c r="G1381" s="10"/>
    </row>
    <row r="1382" customFormat="false" ht="15" hidden="false" customHeight="true" outlineLevel="0" collapsed="false">
      <c r="A1382" s="12"/>
      <c r="B1382" s="10"/>
      <c r="C1382" s="15" t="str">
        <f aca="false">IF($B1382="","",IFERROR(INDEX(회원명부!$B$3:$B$502,MATCH($B1382,회원명부!$A$3:$A$502,0)),"미등록회원"))</f>
        <v/>
      </c>
      <c r="D1382" s="13"/>
      <c r="E1382" s="10"/>
      <c r="F1382" s="10"/>
      <c r="G1382" s="10"/>
    </row>
    <row r="1383" customFormat="false" ht="15" hidden="false" customHeight="true" outlineLevel="0" collapsed="false">
      <c r="A1383" s="12"/>
      <c r="B1383" s="10"/>
      <c r="C1383" s="15" t="str">
        <f aca="false">IF($B1383="","",IFERROR(INDEX(회원명부!$B$3:$B$502,MATCH($B1383,회원명부!$A$3:$A$502,0)),"미등록회원"))</f>
        <v/>
      </c>
      <c r="D1383" s="13"/>
      <c r="E1383" s="10"/>
      <c r="F1383" s="10"/>
      <c r="G1383" s="10"/>
    </row>
    <row r="1384" customFormat="false" ht="15" hidden="false" customHeight="true" outlineLevel="0" collapsed="false">
      <c r="A1384" s="12"/>
      <c r="B1384" s="10"/>
      <c r="C1384" s="15" t="str">
        <f aca="false">IF($B1384="","",IFERROR(INDEX(회원명부!$B$3:$B$502,MATCH($B1384,회원명부!$A$3:$A$502,0)),"미등록회원"))</f>
        <v/>
      </c>
      <c r="D1384" s="13"/>
      <c r="E1384" s="10"/>
      <c r="F1384" s="10"/>
      <c r="G1384" s="10"/>
    </row>
    <row r="1385" customFormat="false" ht="15" hidden="false" customHeight="true" outlineLevel="0" collapsed="false">
      <c r="A1385" s="12"/>
      <c r="B1385" s="10"/>
      <c r="C1385" s="15" t="str">
        <f aca="false">IF($B1385="","",IFERROR(INDEX(회원명부!$B$3:$B$502,MATCH($B1385,회원명부!$A$3:$A$502,0)),"미등록회원"))</f>
        <v/>
      </c>
      <c r="D1385" s="13"/>
      <c r="E1385" s="10"/>
      <c r="F1385" s="10"/>
      <c r="G1385" s="10"/>
    </row>
    <row r="1386" customFormat="false" ht="15" hidden="false" customHeight="true" outlineLevel="0" collapsed="false">
      <c r="A1386" s="12"/>
      <c r="B1386" s="10"/>
      <c r="C1386" s="15" t="str">
        <f aca="false">IF($B1386="","",IFERROR(INDEX(회원명부!$B$3:$B$502,MATCH($B1386,회원명부!$A$3:$A$502,0)),"미등록회원"))</f>
        <v/>
      </c>
      <c r="D1386" s="13"/>
      <c r="E1386" s="10"/>
      <c r="F1386" s="10"/>
      <c r="G1386" s="10"/>
    </row>
    <row r="1387" customFormat="false" ht="15" hidden="false" customHeight="true" outlineLevel="0" collapsed="false">
      <c r="A1387" s="12"/>
      <c r="B1387" s="10"/>
      <c r="C1387" s="15" t="str">
        <f aca="false">IF($B1387="","",IFERROR(INDEX(회원명부!$B$3:$B$502,MATCH($B1387,회원명부!$A$3:$A$502,0)),"미등록회원"))</f>
        <v/>
      </c>
      <c r="D1387" s="13"/>
      <c r="E1387" s="10"/>
      <c r="F1387" s="10"/>
      <c r="G1387" s="10"/>
    </row>
    <row r="1388" customFormat="false" ht="15" hidden="false" customHeight="true" outlineLevel="0" collapsed="false">
      <c r="A1388" s="12"/>
      <c r="B1388" s="10"/>
      <c r="C1388" s="15" t="str">
        <f aca="false">IF($B1388="","",IFERROR(INDEX(회원명부!$B$3:$B$502,MATCH($B1388,회원명부!$A$3:$A$502,0)),"미등록회원"))</f>
        <v/>
      </c>
      <c r="D1388" s="13"/>
      <c r="E1388" s="10"/>
      <c r="F1388" s="10"/>
      <c r="G1388" s="10"/>
    </row>
    <row r="1389" customFormat="false" ht="15" hidden="false" customHeight="true" outlineLevel="0" collapsed="false">
      <c r="A1389" s="12"/>
      <c r="B1389" s="10"/>
      <c r="C1389" s="15" t="str">
        <f aca="false">IF($B1389="","",IFERROR(INDEX(회원명부!$B$3:$B$502,MATCH($B1389,회원명부!$A$3:$A$502,0)),"미등록회원"))</f>
        <v/>
      </c>
      <c r="D1389" s="13"/>
      <c r="E1389" s="10"/>
      <c r="F1389" s="10"/>
      <c r="G1389" s="10"/>
    </row>
    <row r="1390" customFormat="false" ht="15" hidden="false" customHeight="true" outlineLevel="0" collapsed="false">
      <c r="A1390" s="12"/>
      <c r="B1390" s="10"/>
      <c r="C1390" s="15" t="str">
        <f aca="false">IF($B1390="","",IFERROR(INDEX(회원명부!$B$3:$B$502,MATCH($B1390,회원명부!$A$3:$A$502,0)),"미등록회원"))</f>
        <v/>
      </c>
      <c r="D1390" s="13"/>
      <c r="E1390" s="10"/>
      <c r="F1390" s="10"/>
      <c r="G1390" s="10"/>
    </row>
    <row r="1391" customFormat="false" ht="15" hidden="false" customHeight="true" outlineLevel="0" collapsed="false">
      <c r="A1391" s="12"/>
      <c r="B1391" s="10"/>
      <c r="C1391" s="15" t="str">
        <f aca="false">IF($B1391="","",IFERROR(INDEX(회원명부!$B$3:$B$502,MATCH($B1391,회원명부!$A$3:$A$502,0)),"미등록회원"))</f>
        <v/>
      </c>
      <c r="D1391" s="13"/>
      <c r="E1391" s="10"/>
      <c r="F1391" s="10"/>
      <c r="G1391" s="10"/>
    </row>
    <row r="1392" customFormat="false" ht="15" hidden="false" customHeight="true" outlineLevel="0" collapsed="false">
      <c r="A1392" s="12"/>
      <c r="B1392" s="10"/>
      <c r="C1392" s="15" t="str">
        <f aca="false">IF($B1392="","",IFERROR(INDEX(회원명부!$B$3:$B$502,MATCH($B1392,회원명부!$A$3:$A$502,0)),"미등록회원"))</f>
        <v/>
      </c>
      <c r="D1392" s="13"/>
      <c r="E1392" s="10"/>
      <c r="F1392" s="10"/>
      <c r="G1392" s="10"/>
    </row>
    <row r="1393" customFormat="false" ht="15" hidden="false" customHeight="true" outlineLevel="0" collapsed="false">
      <c r="A1393" s="12"/>
      <c r="B1393" s="10"/>
      <c r="C1393" s="15" t="str">
        <f aca="false">IF($B1393="","",IFERROR(INDEX(회원명부!$B$3:$B$502,MATCH($B1393,회원명부!$A$3:$A$502,0)),"미등록회원"))</f>
        <v/>
      </c>
      <c r="D1393" s="13"/>
      <c r="E1393" s="10"/>
      <c r="F1393" s="10"/>
      <c r="G1393" s="10"/>
    </row>
    <row r="1394" customFormat="false" ht="15" hidden="false" customHeight="true" outlineLevel="0" collapsed="false">
      <c r="A1394" s="12"/>
      <c r="B1394" s="10"/>
      <c r="C1394" s="15" t="str">
        <f aca="false">IF($B1394="","",IFERROR(INDEX(회원명부!$B$3:$B$502,MATCH($B1394,회원명부!$A$3:$A$502,0)),"미등록회원"))</f>
        <v/>
      </c>
      <c r="D1394" s="13"/>
      <c r="E1394" s="10"/>
      <c r="F1394" s="10"/>
      <c r="G1394" s="10"/>
    </row>
    <row r="1395" customFormat="false" ht="15" hidden="false" customHeight="true" outlineLevel="0" collapsed="false">
      <c r="A1395" s="12"/>
      <c r="B1395" s="10"/>
      <c r="C1395" s="15" t="str">
        <f aca="false">IF($B1395="","",IFERROR(INDEX(회원명부!$B$3:$B$502,MATCH($B1395,회원명부!$A$3:$A$502,0)),"미등록회원"))</f>
        <v/>
      </c>
      <c r="D1395" s="13"/>
      <c r="E1395" s="10"/>
      <c r="F1395" s="10"/>
      <c r="G1395" s="10"/>
    </row>
    <row r="1396" customFormat="false" ht="15" hidden="false" customHeight="true" outlineLevel="0" collapsed="false">
      <c r="A1396" s="12"/>
      <c r="B1396" s="10"/>
      <c r="C1396" s="15" t="str">
        <f aca="false">IF($B1396="","",IFERROR(INDEX(회원명부!$B$3:$B$502,MATCH($B1396,회원명부!$A$3:$A$502,0)),"미등록회원"))</f>
        <v/>
      </c>
      <c r="D1396" s="13"/>
      <c r="E1396" s="10"/>
      <c r="F1396" s="10"/>
      <c r="G1396" s="10"/>
    </row>
    <row r="1397" customFormat="false" ht="15" hidden="false" customHeight="true" outlineLevel="0" collapsed="false">
      <c r="A1397" s="12"/>
      <c r="B1397" s="10"/>
      <c r="C1397" s="15" t="str">
        <f aca="false">IF($B1397="","",IFERROR(INDEX(회원명부!$B$3:$B$502,MATCH($B1397,회원명부!$A$3:$A$502,0)),"미등록회원"))</f>
        <v/>
      </c>
      <c r="D1397" s="13"/>
      <c r="E1397" s="10"/>
      <c r="F1397" s="10"/>
      <c r="G1397" s="10"/>
    </row>
    <row r="1398" customFormat="false" ht="15" hidden="false" customHeight="true" outlineLevel="0" collapsed="false">
      <c r="A1398" s="12"/>
      <c r="B1398" s="10"/>
      <c r="C1398" s="15" t="str">
        <f aca="false">IF($B1398="","",IFERROR(INDEX(회원명부!$B$3:$B$502,MATCH($B1398,회원명부!$A$3:$A$502,0)),"미등록회원"))</f>
        <v/>
      </c>
      <c r="D1398" s="13"/>
      <c r="E1398" s="10"/>
      <c r="F1398" s="10"/>
      <c r="G1398" s="10"/>
    </row>
    <row r="1399" customFormat="false" ht="15" hidden="false" customHeight="true" outlineLevel="0" collapsed="false">
      <c r="A1399" s="12"/>
      <c r="B1399" s="10"/>
      <c r="C1399" s="15" t="str">
        <f aca="false">IF($B1399="","",IFERROR(INDEX(회원명부!$B$3:$B$502,MATCH($B1399,회원명부!$A$3:$A$502,0)),"미등록회원"))</f>
        <v/>
      </c>
      <c r="D1399" s="13"/>
      <c r="E1399" s="10"/>
      <c r="F1399" s="10"/>
      <c r="G1399" s="10"/>
    </row>
    <row r="1400" customFormat="false" ht="15" hidden="false" customHeight="true" outlineLevel="0" collapsed="false">
      <c r="A1400" s="12"/>
      <c r="B1400" s="10"/>
      <c r="C1400" s="15" t="str">
        <f aca="false">IF($B1400="","",IFERROR(INDEX(회원명부!$B$3:$B$502,MATCH($B1400,회원명부!$A$3:$A$502,0)),"미등록회원"))</f>
        <v/>
      </c>
      <c r="D1400" s="13"/>
      <c r="E1400" s="10"/>
      <c r="F1400" s="10"/>
      <c r="G1400" s="10"/>
    </row>
    <row r="1401" customFormat="false" ht="15" hidden="false" customHeight="true" outlineLevel="0" collapsed="false">
      <c r="A1401" s="12"/>
      <c r="B1401" s="10"/>
      <c r="C1401" s="15" t="str">
        <f aca="false">IF($B1401="","",IFERROR(INDEX(회원명부!$B$3:$B$502,MATCH($B1401,회원명부!$A$3:$A$502,0)),"미등록회원"))</f>
        <v/>
      </c>
      <c r="D1401" s="13"/>
      <c r="E1401" s="10"/>
      <c r="F1401" s="10"/>
      <c r="G1401" s="10"/>
    </row>
    <row r="1402" customFormat="false" ht="15" hidden="false" customHeight="true" outlineLevel="0" collapsed="false">
      <c r="A1402" s="12"/>
      <c r="B1402" s="10"/>
      <c r="C1402" s="15" t="str">
        <f aca="false">IF($B1402="","",IFERROR(INDEX(회원명부!$B$3:$B$502,MATCH($B1402,회원명부!$A$3:$A$502,0)),"미등록회원"))</f>
        <v/>
      </c>
      <c r="D1402" s="13"/>
      <c r="E1402" s="10"/>
      <c r="F1402" s="10"/>
      <c r="G1402" s="10"/>
    </row>
    <row r="1403" customFormat="false" ht="15" hidden="false" customHeight="true" outlineLevel="0" collapsed="false">
      <c r="A1403" s="12"/>
      <c r="B1403" s="10"/>
      <c r="C1403" s="15" t="str">
        <f aca="false">IF($B1403="","",IFERROR(INDEX(회원명부!$B$3:$B$502,MATCH($B1403,회원명부!$A$3:$A$502,0)),"미등록회원"))</f>
        <v/>
      </c>
      <c r="D1403" s="13"/>
      <c r="E1403" s="10"/>
      <c r="F1403" s="10"/>
      <c r="G1403" s="10"/>
    </row>
    <row r="1404" customFormat="false" ht="15" hidden="false" customHeight="true" outlineLevel="0" collapsed="false">
      <c r="A1404" s="12"/>
      <c r="B1404" s="10"/>
      <c r="C1404" s="15" t="str">
        <f aca="false">IF($B1404="","",IFERROR(INDEX(회원명부!$B$3:$B$502,MATCH($B1404,회원명부!$A$3:$A$502,0)),"미등록회원"))</f>
        <v/>
      </c>
      <c r="D1404" s="13"/>
      <c r="E1404" s="10"/>
      <c r="F1404" s="10"/>
      <c r="G1404" s="10"/>
    </row>
    <row r="1405" customFormat="false" ht="15" hidden="false" customHeight="true" outlineLevel="0" collapsed="false">
      <c r="A1405" s="12"/>
      <c r="B1405" s="10"/>
      <c r="C1405" s="15" t="str">
        <f aca="false">IF($B1405="","",IFERROR(INDEX(회원명부!$B$3:$B$502,MATCH($B1405,회원명부!$A$3:$A$502,0)),"미등록회원"))</f>
        <v/>
      </c>
      <c r="D1405" s="13"/>
      <c r="E1405" s="10"/>
      <c r="F1405" s="10"/>
      <c r="G1405" s="10"/>
    </row>
    <row r="1406" customFormat="false" ht="15" hidden="false" customHeight="true" outlineLevel="0" collapsed="false">
      <c r="A1406" s="12"/>
      <c r="B1406" s="10"/>
      <c r="C1406" s="15" t="str">
        <f aca="false">IF($B1406="","",IFERROR(INDEX(회원명부!$B$3:$B$502,MATCH($B1406,회원명부!$A$3:$A$502,0)),"미등록회원"))</f>
        <v/>
      </c>
      <c r="D1406" s="13"/>
      <c r="E1406" s="10"/>
      <c r="F1406" s="10"/>
      <c r="G1406" s="10"/>
    </row>
    <row r="1407" customFormat="false" ht="15" hidden="false" customHeight="true" outlineLevel="0" collapsed="false">
      <c r="A1407" s="12"/>
      <c r="B1407" s="10"/>
      <c r="C1407" s="15" t="str">
        <f aca="false">IF($B1407="","",IFERROR(INDEX(회원명부!$B$3:$B$502,MATCH($B1407,회원명부!$A$3:$A$502,0)),"미등록회원"))</f>
        <v/>
      </c>
      <c r="D1407" s="13"/>
      <c r="E1407" s="10"/>
      <c r="F1407" s="10"/>
      <c r="G1407" s="10"/>
    </row>
    <row r="1408" customFormat="false" ht="15" hidden="false" customHeight="true" outlineLevel="0" collapsed="false">
      <c r="A1408" s="12"/>
      <c r="B1408" s="10"/>
      <c r="C1408" s="15" t="str">
        <f aca="false">IF($B1408="","",IFERROR(INDEX(회원명부!$B$3:$B$502,MATCH($B1408,회원명부!$A$3:$A$502,0)),"미등록회원"))</f>
        <v/>
      </c>
      <c r="D1408" s="13"/>
      <c r="E1408" s="10"/>
      <c r="F1408" s="10"/>
      <c r="G1408" s="10"/>
    </row>
    <row r="1409" customFormat="false" ht="15" hidden="false" customHeight="true" outlineLevel="0" collapsed="false">
      <c r="A1409" s="12"/>
      <c r="B1409" s="10"/>
      <c r="C1409" s="15" t="str">
        <f aca="false">IF($B1409="","",IFERROR(INDEX(회원명부!$B$3:$B$502,MATCH($B1409,회원명부!$A$3:$A$502,0)),"미등록회원"))</f>
        <v/>
      </c>
      <c r="D1409" s="13"/>
      <c r="E1409" s="10"/>
      <c r="F1409" s="10"/>
      <c r="G1409" s="10"/>
    </row>
    <row r="1410" customFormat="false" ht="15" hidden="false" customHeight="true" outlineLevel="0" collapsed="false">
      <c r="A1410" s="12"/>
      <c r="B1410" s="10"/>
      <c r="C1410" s="15" t="str">
        <f aca="false">IF($B1410="","",IFERROR(INDEX(회원명부!$B$3:$B$502,MATCH($B1410,회원명부!$A$3:$A$502,0)),"미등록회원"))</f>
        <v/>
      </c>
      <c r="D1410" s="13"/>
      <c r="E1410" s="10"/>
      <c r="F1410" s="10"/>
      <c r="G1410" s="10"/>
    </row>
    <row r="1411" customFormat="false" ht="15" hidden="false" customHeight="true" outlineLevel="0" collapsed="false">
      <c r="A1411" s="12"/>
      <c r="B1411" s="10"/>
      <c r="C1411" s="15" t="str">
        <f aca="false">IF($B1411="","",IFERROR(INDEX(회원명부!$B$3:$B$502,MATCH($B1411,회원명부!$A$3:$A$502,0)),"미등록회원"))</f>
        <v/>
      </c>
      <c r="D1411" s="13"/>
      <c r="E1411" s="10"/>
      <c r="F1411" s="10"/>
      <c r="G1411" s="10"/>
    </row>
    <row r="1412" customFormat="false" ht="15" hidden="false" customHeight="true" outlineLevel="0" collapsed="false">
      <c r="A1412" s="12"/>
      <c r="B1412" s="10"/>
      <c r="C1412" s="15" t="str">
        <f aca="false">IF($B1412="","",IFERROR(INDEX(회원명부!$B$3:$B$502,MATCH($B1412,회원명부!$A$3:$A$502,0)),"미등록회원"))</f>
        <v/>
      </c>
      <c r="D1412" s="13"/>
      <c r="E1412" s="10"/>
      <c r="F1412" s="10"/>
      <c r="G1412" s="10"/>
    </row>
    <row r="1413" customFormat="false" ht="15" hidden="false" customHeight="true" outlineLevel="0" collapsed="false">
      <c r="A1413" s="12"/>
      <c r="B1413" s="10"/>
      <c r="C1413" s="15" t="str">
        <f aca="false">IF($B1413="","",IFERROR(INDEX(회원명부!$B$3:$B$502,MATCH($B1413,회원명부!$A$3:$A$502,0)),"미등록회원"))</f>
        <v/>
      </c>
      <c r="D1413" s="13"/>
      <c r="E1413" s="10"/>
      <c r="F1413" s="10"/>
      <c r="G1413" s="10"/>
    </row>
    <row r="1414" customFormat="false" ht="15" hidden="false" customHeight="true" outlineLevel="0" collapsed="false">
      <c r="A1414" s="12"/>
      <c r="B1414" s="10"/>
      <c r="C1414" s="15" t="str">
        <f aca="false">IF($B1414="","",IFERROR(INDEX(회원명부!$B$3:$B$502,MATCH($B1414,회원명부!$A$3:$A$502,0)),"미등록회원"))</f>
        <v/>
      </c>
      <c r="D1414" s="13"/>
      <c r="E1414" s="10"/>
      <c r="F1414" s="10"/>
      <c r="G1414" s="10"/>
    </row>
    <row r="1415" customFormat="false" ht="15" hidden="false" customHeight="true" outlineLevel="0" collapsed="false">
      <c r="A1415" s="12"/>
      <c r="B1415" s="10"/>
      <c r="C1415" s="15" t="str">
        <f aca="false">IF($B1415="","",IFERROR(INDEX(회원명부!$B$3:$B$502,MATCH($B1415,회원명부!$A$3:$A$502,0)),"미등록회원"))</f>
        <v/>
      </c>
      <c r="D1415" s="13"/>
      <c r="E1415" s="10"/>
      <c r="F1415" s="10"/>
      <c r="G1415" s="10"/>
    </row>
    <row r="1416" customFormat="false" ht="15" hidden="false" customHeight="true" outlineLevel="0" collapsed="false">
      <c r="A1416" s="12"/>
      <c r="B1416" s="10"/>
      <c r="C1416" s="15" t="str">
        <f aca="false">IF($B1416="","",IFERROR(INDEX(회원명부!$B$3:$B$502,MATCH($B1416,회원명부!$A$3:$A$502,0)),"미등록회원"))</f>
        <v/>
      </c>
      <c r="D1416" s="13"/>
      <c r="E1416" s="10"/>
      <c r="F1416" s="10"/>
      <c r="G1416" s="10"/>
    </row>
    <row r="1417" customFormat="false" ht="15" hidden="false" customHeight="true" outlineLevel="0" collapsed="false">
      <c r="A1417" s="12"/>
      <c r="B1417" s="10"/>
      <c r="C1417" s="15" t="str">
        <f aca="false">IF($B1417="","",IFERROR(INDEX(회원명부!$B$3:$B$502,MATCH($B1417,회원명부!$A$3:$A$502,0)),"미등록회원"))</f>
        <v/>
      </c>
      <c r="D1417" s="13"/>
      <c r="E1417" s="10"/>
      <c r="F1417" s="10"/>
      <c r="G1417" s="10"/>
    </row>
    <row r="1418" customFormat="false" ht="15" hidden="false" customHeight="true" outlineLevel="0" collapsed="false">
      <c r="A1418" s="12"/>
      <c r="B1418" s="10"/>
      <c r="C1418" s="15" t="str">
        <f aca="false">IF($B1418="","",IFERROR(INDEX(회원명부!$B$3:$B$502,MATCH($B1418,회원명부!$A$3:$A$502,0)),"미등록회원"))</f>
        <v/>
      </c>
      <c r="D1418" s="13"/>
      <c r="E1418" s="10"/>
      <c r="F1418" s="10"/>
      <c r="G1418" s="10"/>
    </row>
    <row r="1419" customFormat="false" ht="15" hidden="false" customHeight="true" outlineLevel="0" collapsed="false">
      <c r="A1419" s="12"/>
      <c r="B1419" s="10"/>
      <c r="C1419" s="15" t="str">
        <f aca="false">IF($B1419="","",IFERROR(INDEX(회원명부!$B$3:$B$502,MATCH($B1419,회원명부!$A$3:$A$502,0)),"미등록회원"))</f>
        <v/>
      </c>
      <c r="D1419" s="13"/>
      <c r="E1419" s="10"/>
      <c r="F1419" s="10"/>
      <c r="G1419" s="10"/>
    </row>
    <row r="1420" customFormat="false" ht="15" hidden="false" customHeight="true" outlineLevel="0" collapsed="false">
      <c r="A1420" s="12"/>
      <c r="B1420" s="10"/>
      <c r="C1420" s="15" t="str">
        <f aca="false">IF($B1420="","",IFERROR(INDEX(회원명부!$B$3:$B$502,MATCH($B1420,회원명부!$A$3:$A$502,0)),"미등록회원"))</f>
        <v/>
      </c>
      <c r="D1420" s="13"/>
      <c r="E1420" s="10"/>
      <c r="F1420" s="10"/>
      <c r="G1420" s="10"/>
    </row>
    <row r="1421" customFormat="false" ht="15" hidden="false" customHeight="true" outlineLevel="0" collapsed="false">
      <c r="A1421" s="12"/>
      <c r="B1421" s="10"/>
      <c r="C1421" s="15" t="str">
        <f aca="false">IF($B1421="","",IFERROR(INDEX(회원명부!$B$3:$B$502,MATCH($B1421,회원명부!$A$3:$A$502,0)),"미등록회원"))</f>
        <v/>
      </c>
      <c r="D1421" s="13"/>
      <c r="E1421" s="10"/>
      <c r="F1421" s="10"/>
      <c r="G1421" s="10"/>
    </row>
    <row r="1422" customFormat="false" ht="15" hidden="false" customHeight="true" outlineLevel="0" collapsed="false">
      <c r="A1422" s="12"/>
      <c r="B1422" s="10"/>
      <c r="C1422" s="15" t="str">
        <f aca="false">IF($B1422="","",IFERROR(INDEX(회원명부!$B$3:$B$502,MATCH($B1422,회원명부!$A$3:$A$502,0)),"미등록회원"))</f>
        <v/>
      </c>
      <c r="D1422" s="13"/>
      <c r="E1422" s="10"/>
      <c r="F1422" s="10"/>
      <c r="G1422" s="10"/>
    </row>
    <row r="1423" customFormat="false" ht="15" hidden="false" customHeight="true" outlineLevel="0" collapsed="false">
      <c r="A1423" s="12"/>
      <c r="B1423" s="10"/>
      <c r="C1423" s="15" t="str">
        <f aca="false">IF($B1423="","",IFERROR(INDEX(회원명부!$B$3:$B$502,MATCH($B1423,회원명부!$A$3:$A$502,0)),"미등록회원"))</f>
        <v/>
      </c>
      <c r="D1423" s="13"/>
      <c r="E1423" s="10"/>
      <c r="F1423" s="10"/>
      <c r="G1423" s="10"/>
    </row>
    <row r="1424" customFormat="false" ht="15" hidden="false" customHeight="true" outlineLevel="0" collapsed="false">
      <c r="A1424" s="12"/>
      <c r="B1424" s="10"/>
      <c r="C1424" s="15" t="str">
        <f aca="false">IF($B1424="","",IFERROR(INDEX(회원명부!$B$3:$B$502,MATCH($B1424,회원명부!$A$3:$A$502,0)),"미등록회원"))</f>
        <v/>
      </c>
      <c r="D1424" s="13"/>
      <c r="E1424" s="10"/>
      <c r="F1424" s="10"/>
      <c r="G1424" s="10"/>
    </row>
    <row r="1425" customFormat="false" ht="15" hidden="false" customHeight="true" outlineLevel="0" collapsed="false">
      <c r="A1425" s="12"/>
      <c r="B1425" s="10"/>
      <c r="C1425" s="15" t="str">
        <f aca="false">IF($B1425="","",IFERROR(INDEX(회원명부!$B$3:$B$502,MATCH($B1425,회원명부!$A$3:$A$502,0)),"미등록회원"))</f>
        <v/>
      </c>
      <c r="D1425" s="13"/>
      <c r="E1425" s="10"/>
      <c r="F1425" s="10"/>
      <c r="G1425" s="10"/>
    </row>
    <row r="1426" customFormat="false" ht="15" hidden="false" customHeight="true" outlineLevel="0" collapsed="false">
      <c r="A1426" s="12"/>
      <c r="B1426" s="10"/>
      <c r="C1426" s="15" t="str">
        <f aca="false">IF($B1426="","",IFERROR(INDEX(회원명부!$B$3:$B$502,MATCH($B1426,회원명부!$A$3:$A$502,0)),"미등록회원"))</f>
        <v/>
      </c>
      <c r="D1426" s="13"/>
      <c r="E1426" s="10"/>
      <c r="F1426" s="10"/>
      <c r="G1426" s="10"/>
    </row>
    <row r="1427" customFormat="false" ht="15" hidden="false" customHeight="true" outlineLevel="0" collapsed="false">
      <c r="A1427" s="12"/>
      <c r="B1427" s="10"/>
      <c r="C1427" s="15" t="str">
        <f aca="false">IF($B1427="","",IFERROR(INDEX(회원명부!$B$3:$B$502,MATCH($B1427,회원명부!$A$3:$A$502,0)),"미등록회원"))</f>
        <v/>
      </c>
      <c r="D1427" s="13"/>
      <c r="E1427" s="10"/>
      <c r="F1427" s="10"/>
      <c r="G1427" s="10"/>
    </row>
    <row r="1428" customFormat="false" ht="15" hidden="false" customHeight="true" outlineLevel="0" collapsed="false">
      <c r="A1428" s="12"/>
      <c r="B1428" s="10"/>
      <c r="C1428" s="15" t="str">
        <f aca="false">IF($B1428="","",IFERROR(INDEX(회원명부!$B$3:$B$502,MATCH($B1428,회원명부!$A$3:$A$502,0)),"미등록회원"))</f>
        <v/>
      </c>
      <c r="D1428" s="13"/>
      <c r="E1428" s="10"/>
      <c r="F1428" s="10"/>
      <c r="G1428" s="10"/>
    </row>
    <row r="1429" customFormat="false" ht="15" hidden="false" customHeight="true" outlineLevel="0" collapsed="false">
      <c r="A1429" s="12"/>
      <c r="B1429" s="10"/>
      <c r="C1429" s="15" t="str">
        <f aca="false">IF($B1429="","",IFERROR(INDEX(회원명부!$B$3:$B$502,MATCH($B1429,회원명부!$A$3:$A$502,0)),"미등록회원"))</f>
        <v/>
      </c>
      <c r="D1429" s="13"/>
      <c r="E1429" s="10"/>
      <c r="F1429" s="10"/>
      <c r="G1429" s="10"/>
    </row>
    <row r="1430" customFormat="false" ht="15" hidden="false" customHeight="true" outlineLevel="0" collapsed="false">
      <c r="A1430" s="12"/>
      <c r="B1430" s="10"/>
      <c r="C1430" s="15" t="str">
        <f aca="false">IF($B1430="","",IFERROR(INDEX(회원명부!$B$3:$B$502,MATCH($B1430,회원명부!$A$3:$A$502,0)),"미등록회원"))</f>
        <v/>
      </c>
      <c r="D1430" s="13"/>
      <c r="E1430" s="10"/>
      <c r="F1430" s="10"/>
      <c r="G1430" s="10"/>
    </row>
    <row r="1431" customFormat="false" ht="15" hidden="false" customHeight="true" outlineLevel="0" collapsed="false">
      <c r="A1431" s="12"/>
      <c r="B1431" s="10"/>
      <c r="C1431" s="15" t="str">
        <f aca="false">IF($B1431="","",IFERROR(INDEX(회원명부!$B$3:$B$502,MATCH($B1431,회원명부!$A$3:$A$502,0)),"미등록회원"))</f>
        <v/>
      </c>
      <c r="D1431" s="13"/>
      <c r="E1431" s="10"/>
      <c r="F1431" s="10"/>
      <c r="G1431" s="10"/>
    </row>
    <row r="1432" customFormat="false" ht="15" hidden="false" customHeight="true" outlineLevel="0" collapsed="false">
      <c r="A1432" s="12"/>
      <c r="B1432" s="10"/>
      <c r="C1432" s="15" t="str">
        <f aca="false">IF($B1432="","",IFERROR(INDEX(회원명부!$B$3:$B$502,MATCH($B1432,회원명부!$A$3:$A$502,0)),"미등록회원"))</f>
        <v/>
      </c>
      <c r="D1432" s="13"/>
      <c r="E1432" s="10"/>
      <c r="F1432" s="10"/>
      <c r="G1432" s="10"/>
    </row>
    <row r="1433" customFormat="false" ht="15" hidden="false" customHeight="true" outlineLevel="0" collapsed="false">
      <c r="A1433" s="12"/>
      <c r="B1433" s="10"/>
      <c r="C1433" s="15" t="str">
        <f aca="false">IF($B1433="","",IFERROR(INDEX(회원명부!$B$3:$B$502,MATCH($B1433,회원명부!$A$3:$A$502,0)),"미등록회원"))</f>
        <v/>
      </c>
      <c r="D1433" s="13"/>
      <c r="E1433" s="10"/>
      <c r="F1433" s="10"/>
      <c r="G1433" s="10"/>
    </row>
    <row r="1434" customFormat="false" ht="15" hidden="false" customHeight="true" outlineLevel="0" collapsed="false">
      <c r="A1434" s="12"/>
      <c r="B1434" s="10"/>
      <c r="C1434" s="15" t="str">
        <f aca="false">IF($B1434="","",IFERROR(INDEX(회원명부!$B$3:$B$502,MATCH($B1434,회원명부!$A$3:$A$502,0)),"미등록회원"))</f>
        <v/>
      </c>
      <c r="D1434" s="13"/>
      <c r="E1434" s="10"/>
      <c r="F1434" s="10"/>
      <c r="G1434" s="10"/>
    </row>
    <row r="1435" customFormat="false" ht="15" hidden="false" customHeight="true" outlineLevel="0" collapsed="false">
      <c r="A1435" s="12"/>
      <c r="B1435" s="10"/>
      <c r="C1435" s="15" t="str">
        <f aca="false">IF($B1435="","",IFERROR(INDEX(회원명부!$B$3:$B$502,MATCH($B1435,회원명부!$A$3:$A$502,0)),"미등록회원"))</f>
        <v/>
      </c>
      <c r="D1435" s="13"/>
      <c r="E1435" s="10"/>
      <c r="F1435" s="10"/>
      <c r="G1435" s="10"/>
    </row>
    <row r="1436" customFormat="false" ht="15" hidden="false" customHeight="true" outlineLevel="0" collapsed="false">
      <c r="A1436" s="12"/>
      <c r="B1436" s="10"/>
      <c r="C1436" s="15" t="str">
        <f aca="false">IF($B1436="","",IFERROR(INDEX(회원명부!$B$3:$B$502,MATCH($B1436,회원명부!$A$3:$A$502,0)),"미등록회원"))</f>
        <v/>
      </c>
      <c r="D1436" s="13"/>
      <c r="E1436" s="10"/>
      <c r="F1436" s="10"/>
      <c r="G1436" s="10"/>
    </row>
    <row r="1437" customFormat="false" ht="15" hidden="false" customHeight="true" outlineLevel="0" collapsed="false">
      <c r="A1437" s="12"/>
      <c r="B1437" s="10"/>
      <c r="C1437" s="15" t="str">
        <f aca="false">IF($B1437="","",IFERROR(INDEX(회원명부!$B$3:$B$502,MATCH($B1437,회원명부!$A$3:$A$502,0)),"미등록회원"))</f>
        <v/>
      </c>
      <c r="D1437" s="13"/>
      <c r="E1437" s="10"/>
      <c r="F1437" s="10"/>
      <c r="G1437" s="10"/>
    </row>
    <row r="1438" customFormat="false" ht="15" hidden="false" customHeight="true" outlineLevel="0" collapsed="false">
      <c r="A1438" s="12"/>
      <c r="B1438" s="10"/>
      <c r="C1438" s="15" t="str">
        <f aca="false">IF($B1438="","",IFERROR(INDEX(회원명부!$B$3:$B$502,MATCH($B1438,회원명부!$A$3:$A$502,0)),"미등록회원"))</f>
        <v/>
      </c>
      <c r="D1438" s="13"/>
      <c r="E1438" s="10"/>
      <c r="F1438" s="10"/>
      <c r="G1438" s="10"/>
    </row>
    <row r="1439" customFormat="false" ht="15" hidden="false" customHeight="true" outlineLevel="0" collapsed="false">
      <c r="A1439" s="12"/>
      <c r="B1439" s="10"/>
      <c r="C1439" s="15" t="str">
        <f aca="false">IF($B1439="","",IFERROR(INDEX(회원명부!$B$3:$B$502,MATCH($B1439,회원명부!$A$3:$A$502,0)),"미등록회원"))</f>
        <v/>
      </c>
      <c r="D1439" s="13"/>
      <c r="E1439" s="10"/>
      <c r="F1439" s="10"/>
      <c r="G1439" s="10"/>
    </row>
    <row r="1440" customFormat="false" ht="15" hidden="false" customHeight="true" outlineLevel="0" collapsed="false">
      <c r="A1440" s="12"/>
      <c r="B1440" s="10"/>
      <c r="C1440" s="15" t="str">
        <f aca="false">IF($B1440="","",IFERROR(INDEX(회원명부!$B$3:$B$502,MATCH($B1440,회원명부!$A$3:$A$502,0)),"미등록회원"))</f>
        <v/>
      </c>
      <c r="D1440" s="13"/>
      <c r="E1440" s="10"/>
      <c r="F1440" s="10"/>
      <c r="G1440" s="10"/>
    </row>
    <row r="1441" customFormat="false" ht="15" hidden="false" customHeight="true" outlineLevel="0" collapsed="false">
      <c r="A1441" s="12"/>
      <c r="B1441" s="10"/>
      <c r="C1441" s="15" t="str">
        <f aca="false">IF($B1441="","",IFERROR(INDEX(회원명부!$B$3:$B$502,MATCH($B1441,회원명부!$A$3:$A$502,0)),"미등록회원"))</f>
        <v/>
      </c>
      <c r="D1441" s="13"/>
      <c r="E1441" s="10"/>
      <c r="F1441" s="10"/>
      <c r="G1441" s="10"/>
    </row>
    <row r="1442" customFormat="false" ht="15" hidden="false" customHeight="true" outlineLevel="0" collapsed="false">
      <c r="A1442" s="12"/>
      <c r="B1442" s="10"/>
      <c r="C1442" s="15" t="str">
        <f aca="false">IF($B1442="","",IFERROR(INDEX(회원명부!$B$3:$B$502,MATCH($B1442,회원명부!$A$3:$A$502,0)),"미등록회원"))</f>
        <v/>
      </c>
      <c r="D1442" s="13"/>
      <c r="E1442" s="10"/>
      <c r="F1442" s="10"/>
      <c r="G1442" s="10"/>
    </row>
    <row r="1443" customFormat="false" ht="15" hidden="false" customHeight="true" outlineLevel="0" collapsed="false">
      <c r="A1443" s="12"/>
      <c r="B1443" s="10"/>
      <c r="C1443" s="15" t="str">
        <f aca="false">IF($B1443="","",IFERROR(INDEX(회원명부!$B$3:$B$502,MATCH($B1443,회원명부!$A$3:$A$502,0)),"미등록회원"))</f>
        <v/>
      </c>
      <c r="D1443" s="13"/>
      <c r="E1443" s="10"/>
      <c r="F1443" s="10"/>
      <c r="G1443" s="10"/>
    </row>
    <row r="1444" customFormat="false" ht="15" hidden="false" customHeight="true" outlineLevel="0" collapsed="false">
      <c r="A1444" s="12"/>
      <c r="B1444" s="10"/>
      <c r="C1444" s="15" t="str">
        <f aca="false">IF($B1444="","",IFERROR(INDEX(회원명부!$B$3:$B$502,MATCH($B1444,회원명부!$A$3:$A$502,0)),"미등록회원"))</f>
        <v/>
      </c>
      <c r="D1444" s="13"/>
      <c r="E1444" s="10"/>
      <c r="F1444" s="10"/>
      <c r="G1444" s="10"/>
    </row>
    <row r="1445" customFormat="false" ht="15" hidden="false" customHeight="true" outlineLevel="0" collapsed="false">
      <c r="A1445" s="12"/>
      <c r="B1445" s="10"/>
      <c r="C1445" s="15" t="str">
        <f aca="false">IF($B1445="","",IFERROR(INDEX(회원명부!$B$3:$B$502,MATCH($B1445,회원명부!$A$3:$A$502,0)),"미등록회원"))</f>
        <v/>
      </c>
      <c r="D1445" s="13"/>
      <c r="E1445" s="10"/>
      <c r="F1445" s="10"/>
      <c r="G1445" s="10"/>
    </row>
    <row r="1446" customFormat="false" ht="15" hidden="false" customHeight="true" outlineLevel="0" collapsed="false">
      <c r="A1446" s="12"/>
      <c r="B1446" s="10"/>
      <c r="C1446" s="15" t="str">
        <f aca="false">IF($B1446="","",IFERROR(INDEX(회원명부!$B$3:$B$502,MATCH($B1446,회원명부!$A$3:$A$502,0)),"미등록회원"))</f>
        <v/>
      </c>
      <c r="D1446" s="13"/>
      <c r="E1446" s="10"/>
      <c r="F1446" s="10"/>
      <c r="G1446" s="10"/>
    </row>
    <row r="1447" customFormat="false" ht="15" hidden="false" customHeight="true" outlineLevel="0" collapsed="false">
      <c r="A1447" s="12"/>
      <c r="B1447" s="10"/>
      <c r="C1447" s="15" t="str">
        <f aca="false">IF($B1447="","",IFERROR(INDEX(회원명부!$B$3:$B$502,MATCH($B1447,회원명부!$A$3:$A$502,0)),"미등록회원"))</f>
        <v/>
      </c>
      <c r="D1447" s="13"/>
      <c r="E1447" s="10"/>
      <c r="F1447" s="10"/>
      <c r="G1447" s="10"/>
    </row>
    <row r="1448" customFormat="false" ht="15" hidden="false" customHeight="true" outlineLevel="0" collapsed="false">
      <c r="A1448" s="12"/>
      <c r="B1448" s="10"/>
      <c r="C1448" s="15" t="str">
        <f aca="false">IF($B1448="","",IFERROR(INDEX(회원명부!$B$3:$B$502,MATCH($B1448,회원명부!$A$3:$A$502,0)),"미등록회원"))</f>
        <v/>
      </c>
      <c r="D1448" s="13"/>
      <c r="E1448" s="10"/>
      <c r="F1448" s="10"/>
      <c r="G1448" s="10"/>
    </row>
    <row r="1449" customFormat="false" ht="15" hidden="false" customHeight="true" outlineLevel="0" collapsed="false">
      <c r="A1449" s="12"/>
      <c r="B1449" s="10"/>
      <c r="C1449" s="15" t="str">
        <f aca="false">IF($B1449="","",IFERROR(INDEX(회원명부!$B$3:$B$502,MATCH($B1449,회원명부!$A$3:$A$502,0)),"미등록회원"))</f>
        <v/>
      </c>
      <c r="D1449" s="13"/>
      <c r="E1449" s="10"/>
      <c r="F1449" s="10"/>
      <c r="G1449" s="10"/>
    </row>
    <row r="1450" customFormat="false" ht="15" hidden="false" customHeight="true" outlineLevel="0" collapsed="false">
      <c r="A1450" s="12"/>
      <c r="B1450" s="10"/>
      <c r="C1450" s="15" t="str">
        <f aca="false">IF($B1450="","",IFERROR(INDEX(회원명부!$B$3:$B$502,MATCH($B1450,회원명부!$A$3:$A$502,0)),"미등록회원"))</f>
        <v/>
      </c>
      <c r="D1450" s="13"/>
      <c r="E1450" s="10"/>
      <c r="F1450" s="10"/>
      <c r="G1450" s="10"/>
    </row>
    <row r="1451" customFormat="false" ht="15" hidden="false" customHeight="true" outlineLevel="0" collapsed="false">
      <c r="A1451" s="12"/>
      <c r="B1451" s="10"/>
      <c r="C1451" s="15" t="str">
        <f aca="false">IF($B1451="","",IFERROR(INDEX(회원명부!$B$3:$B$502,MATCH($B1451,회원명부!$A$3:$A$502,0)),"미등록회원"))</f>
        <v/>
      </c>
      <c r="D1451" s="13"/>
      <c r="E1451" s="10"/>
      <c r="F1451" s="10"/>
      <c r="G1451" s="10"/>
    </row>
    <row r="1452" customFormat="false" ht="15" hidden="false" customHeight="true" outlineLevel="0" collapsed="false">
      <c r="A1452" s="12"/>
      <c r="B1452" s="10"/>
      <c r="C1452" s="15" t="str">
        <f aca="false">IF($B1452="","",IFERROR(INDEX(회원명부!$B$3:$B$502,MATCH($B1452,회원명부!$A$3:$A$502,0)),"미등록회원"))</f>
        <v/>
      </c>
      <c r="D1452" s="13"/>
      <c r="E1452" s="10"/>
      <c r="F1452" s="10"/>
      <c r="G1452" s="10"/>
    </row>
    <row r="1453" customFormat="false" ht="15" hidden="false" customHeight="true" outlineLevel="0" collapsed="false">
      <c r="A1453" s="12"/>
      <c r="B1453" s="10"/>
      <c r="C1453" s="15" t="str">
        <f aca="false">IF($B1453="","",IFERROR(INDEX(회원명부!$B$3:$B$502,MATCH($B1453,회원명부!$A$3:$A$502,0)),"미등록회원"))</f>
        <v/>
      </c>
      <c r="D1453" s="13"/>
      <c r="E1453" s="10"/>
      <c r="F1453" s="10"/>
      <c r="G1453" s="10"/>
    </row>
    <row r="1454" customFormat="false" ht="15" hidden="false" customHeight="true" outlineLevel="0" collapsed="false">
      <c r="A1454" s="12"/>
      <c r="B1454" s="10"/>
      <c r="C1454" s="15" t="str">
        <f aca="false">IF($B1454="","",IFERROR(INDEX(회원명부!$B$3:$B$502,MATCH($B1454,회원명부!$A$3:$A$502,0)),"미등록회원"))</f>
        <v/>
      </c>
      <c r="D1454" s="13"/>
      <c r="E1454" s="10"/>
      <c r="F1454" s="10"/>
      <c r="G1454" s="10"/>
    </row>
    <row r="1455" customFormat="false" ht="15" hidden="false" customHeight="true" outlineLevel="0" collapsed="false">
      <c r="A1455" s="12"/>
      <c r="B1455" s="10"/>
      <c r="C1455" s="15" t="str">
        <f aca="false">IF($B1455="","",IFERROR(INDEX(회원명부!$B$3:$B$502,MATCH($B1455,회원명부!$A$3:$A$502,0)),"미등록회원"))</f>
        <v/>
      </c>
      <c r="D1455" s="13"/>
      <c r="E1455" s="10"/>
      <c r="F1455" s="10"/>
      <c r="G1455" s="10"/>
    </row>
    <row r="1456" customFormat="false" ht="15" hidden="false" customHeight="true" outlineLevel="0" collapsed="false">
      <c r="A1456" s="12"/>
      <c r="B1456" s="10"/>
      <c r="C1456" s="15" t="str">
        <f aca="false">IF($B1456="","",IFERROR(INDEX(회원명부!$B$3:$B$502,MATCH($B1456,회원명부!$A$3:$A$502,0)),"미등록회원"))</f>
        <v/>
      </c>
      <c r="D1456" s="13"/>
      <c r="E1456" s="10"/>
      <c r="F1456" s="10"/>
      <c r="G1456" s="10"/>
    </row>
    <row r="1457" customFormat="false" ht="15" hidden="false" customHeight="true" outlineLevel="0" collapsed="false">
      <c r="A1457" s="12"/>
      <c r="B1457" s="10"/>
      <c r="C1457" s="15" t="str">
        <f aca="false">IF($B1457="","",IFERROR(INDEX(회원명부!$B$3:$B$502,MATCH($B1457,회원명부!$A$3:$A$502,0)),"미등록회원"))</f>
        <v/>
      </c>
      <c r="D1457" s="13"/>
      <c r="E1457" s="10"/>
      <c r="F1457" s="10"/>
      <c r="G1457" s="10"/>
    </row>
    <row r="1458" customFormat="false" ht="15" hidden="false" customHeight="true" outlineLevel="0" collapsed="false">
      <c r="A1458" s="12"/>
      <c r="B1458" s="10"/>
      <c r="C1458" s="15" t="str">
        <f aca="false">IF($B1458="","",IFERROR(INDEX(회원명부!$B$3:$B$502,MATCH($B1458,회원명부!$A$3:$A$502,0)),"미등록회원"))</f>
        <v/>
      </c>
      <c r="D1458" s="13"/>
      <c r="E1458" s="10"/>
      <c r="F1458" s="10"/>
      <c r="G1458" s="10"/>
    </row>
    <row r="1459" customFormat="false" ht="15" hidden="false" customHeight="true" outlineLevel="0" collapsed="false">
      <c r="A1459" s="12"/>
      <c r="B1459" s="10"/>
      <c r="C1459" s="15" t="str">
        <f aca="false">IF($B1459="","",IFERROR(INDEX(회원명부!$B$3:$B$502,MATCH($B1459,회원명부!$A$3:$A$502,0)),"미등록회원"))</f>
        <v/>
      </c>
      <c r="D1459" s="13"/>
      <c r="E1459" s="10"/>
      <c r="F1459" s="10"/>
      <c r="G1459" s="10"/>
    </row>
    <row r="1460" customFormat="false" ht="15" hidden="false" customHeight="true" outlineLevel="0" collapsed="false">
      <c r="A1460" s="12"/>
      <c r="B1460" s="10"/>
      <c r="C1460" s="15" t="str">
        <f aca="false">IF($B1460="","",IFERROR(INDEX(회원명부!$B$3:$B$502,MATCH($B1460,회원명부!$A$3:$A$502,0)),"미등록회원"))</f>
        <v/>
      </c>
      <c r="D1460" s="13"/>
      <c r="E1460" s="10"/>
      <c r="F1460" s="10"/>
      <c r="G1460" s="10"/>
    </row>
    <row r="1461" customFormat="false" ht="15" hidden="false" customHeight="true" outlineLevel="0" collapsed="false">
      <c r="A1461" s="12"/>
      <c r="B1461" s="10"/>
      <c r="C1461" s="15" t="str">
        <f aca="false">IF($B1461="","",IFERROR(INDEX(회원명부!$B$3:$B$502,MATCH($B1461,회원명부!$A$3:$A$502,0)),"미등록회원"))</f>
        <v/>
      </c>
      <c r="D1461" s="13"/>
      <c r="E1461" s="10"/>
      <c r="F1461" s="10"/>
      <c r="G1461" s="10"/>
    </row>
    <row r="1462" customFormat="false" ht="15" hidden="false" customHeight="true" outlineLevel="0" collapsed="false">
      <c r="A1462" s="12"/>
      <c r="B1462" s="10"/>
      <c r="C1462" s="15" t="str">
        <f aca="false">IF($B1462="","",IFERROR(INDEX(회원명부!$B$3:$B$502,MATCH($B1462,회원명부!$A$3:$A$502,0)),"미등록회원"))</f>
        <v/>
      </c>
      <c r="D1462" s="13"/>
      <c r="E1462" s="10"/>
      <c r="F1462" s="10"/>
      <c r="G1462" s="10"/>
    </row>
    <row r="1463" customFormat="false" ht="15" hidden="false" customHeight="true" outlineLevel="0" collapsed="false">
      <c r="A1463" s="12"/>
      <c r="B1463" s="10"/>
      <c r="C1463" s="15" t="str">
        <f aca="false">IF($B1463="","",IFERROR(INDEX(회원명부!$B$3:$B$502,MATCH($B1463,회원명부!$A$3:$A$502,0)),"미등록회원"))</f>
        <v/>
      </c>
      <c r="D1463" s="13"/>
      <c r="E1463" s="10"/>
      <c r="F1463" s="10"/>
      <c r="G1463" s="10"/>
    </row>
    <row r="1464" customFormat="false" ht="15" hidden="false" customHeight="true" outlineLevel="0" collapsed="false">
      <c r="A1464" s="12"/>
      <c r="B1464" s="10"/>
      <c r="C1464" s="15" t="str">
        <f aca="false">IF($B1464="","",IFERROR(INDEX(회원명부!$B$3:$B$502,MATCH($B1464,회원명부!$A$3:$A$502,0)),"미등록회원"))</f>
        <v/>
      </c>
      <c r="D1464" s="13"/>
      <c r="E1464" s="10"/>
      <c r="F1464" s="10"/>
      <c r="G1464" s="10"/>
    </row>
    <row r="1465" customFormat="false" ht="15" hidden="false" customHeight="true" outlineLevel="0" collapsed="false">
      <c r="A1465" s="12"/>
      <c r="B1465" s="10"/>
      <c r="C1465" s="15" t="str">
        <f aca="false">IF($B1465="","",IFERROR(INDEX(회원명부!$B$3:$B$502,MATCH($B1465,회원명부!$A$3:$A$502,0)),"미등록회원"))</f>
        <v/>
      </c>
      <c r="D1465" s="13"/>
      <c r="E1465" s="10"/>
      <c r="F1465" s="10"/>
      <c r="G1465" s="10"/>
    </row>
    <row r="1466" customFormat="false" ht="15" hidden="false" customHeight="true" outlineLevel="0" collapsed="false">
      <c r="A1466" s="12"/>
      <c r="B1466" s="10"/>
      <c r="C1466" s="15" t="str">
        <f aca="false">IF($B1466="","",IFERROR(INDEX(회원명부!$B$3:$B$502,MATCH($B1466,회원명부!$A$3:$A$502,0)),"미등록회원"))</f>
        <v/>
      </c>
      <c r="D1466" s="13"/>
      <c r="E1466" s="10"/>
      <c r="F1466" s="10"/>
      <c r="G1466" s="10"/>
    </row>
    <row r="1467" customFormat="false" ht="15" hidden="false" customHeight="true" outlineLevel="0" collapsed="false">
      <c r="A1467" s="12"/>
      <c r="B1467" s="10"/>
      <c r="C1467" s="15" t="str">
        <f aca="false">IF($B1467="","",IFERROR(INDEX(회원명부!$B$3:$B$502,MATCH($B1467,회원명부!$A$3:$A$502,0)),"미등록회원"))</f>
        <v/>
      </c>
      <c r="D1467" s="13"/>
      <c r="E1467" s="10"/>
      <c r="F1467" s="10"/>
      <c r="G1467" s="10"/>
    </row>
    <row r="1468" customFormat="false" ht="15" hidden="false" customHeight="true" outlineLevel="0" collapsed="false">
      <c r="A1468" s="12"/>
      <c r="B1468" s="10"/>
      <c r="C1468" s="15" t="str">
        <f aca="false">IF($B1468="","",IFERROR(INDEX(회원명부!$B$3:$B$502,MATCH($B1468,회원명부!$A$3:$A$502,0)),"미등록회원"))</f>
        <v/>
      </c>
      <c r="D1468" s="13"/>
      <c r="E1468" s="10"/>
      <c r="F1468" s="10"/>
      <c r="G1468" s="10"/>
    </row>
    <row r="1469" customFormat="false" ht="15" hidden="false" customHeight="true" outlineLevel="0" collapsed="false">
      <c r="A1469" s="12"/>
      <c r="B1469" s="10"/>
      <c r="C1469" s="15" t="str">
        <f aca="false">IF($B1469="","",IFERROR(INDEX(회원명부!$B$3:$B$502,MATCH($B1469,회원명부!$A$3:$A$502,0)),"미등록회원"))</f>
        <v/>
      </c>
      <c r="D1469" s="13"/>
      <c r="E1469" s="10"/>
      <c r="F1469" s="10"/>
      <c r="G1469" s="10"/>
    </row>
    <row r="1470" customFormat="false" ht="15" hidden="false" customHeight="true" outlineLevel="0" collapsed="false">
      <c r="A1470" s="12"/>
      <c r="B1470" s="10"/>
      <c r="C1470" s="15" t="str">
        <f aca="false">IF($B1470="","",IFERROR(INDEX(회원명부!$B$3:$B$502,MATCH($B1470,회원명부!$A$3:$A$502,0)),"미등록회원"))</f>
        <v/>
      </c>
      <c r="D1470" s="13"/>
      <c r="E1470" s="10"/>
      <c r="F1470" s="10"/>
      <c r="G1470" s="10"/>
    </row>
    <row r="1471" customFormat="false" ht="15" hidden="false" customHeight="true" outlineLevel="0" collapsed="false">
      <c r="A1471" s="12"/>
      <c r="B1471" s="10"/>
      <c r="C1471" s="15" t="str">
        <f aca="false">IF($B1471="","",IFERROR(INDEX(회원명부!$B$3:$B$502,MATCH($B1471,회원명부!$A$3:$A$502,0)),"미등록회원"))</f>
        <v/>
      </c>
      <c r="D1471" s="13"/>
      <c r="E1471" s="10"/>
      <c r="F1471" s="10"/>
      <c r="G1471" s="10"/>
    </row>
    <row r="1472" customFormat="false" ht="15" hidden="false" customHeight="true" outlineLevel="0" collapsed="false">
      <c r="A1472" s="12"/>
      <c r="B1472" s="10"/>
      <c r="C1472" s="15" t="str">
        <f aca="false">IF($B1472="","",IFERROR(INDEX(회원명부!$B$3:$B$502,MATCH($B1472,회원명부!$A$3:$A$502,0)),"미등록회원"))</f>
        <v/>
      </c>
      <c r="D1472" s="13"/>
      <c r="E1472" s="10"/>
      <c r="F1472" s="10"/>
      <c r="G1472" s="10"/>
    </row>
    <row r="1473" customFormat="false" ht="15" hidden="false" customHeight="true" outlineLevel="0" collapsed="false">
      <c r="A1473" s="12"/>
      <c r="B1473" s="10"/>
      <c r="C1473" s="15" t="str">
        <f aca="false">IF($B1473="","",IFERROR(INDEX(회원명부!$B$3:$B$502,MATCH($B1473,회원명부!$A$3:$A$502,0)),"미등록회원"))</f>
        <v/>
      </c>
      <c r="D1473" s="13"/>
      <c r="E1473" s="10"/>
      <c r="F1473" s="10"/>
      <c r="G1473" s="10"/>
    </row>
    <row r="1474" customFormat="false" ht="15" hidden="false" customHeight="true" outlineLevel="0" collapsed="false">
      <c r="A1474" s="12"/>
      <c r="B1474" s="10"/>
      <c r="C1474" s="15" t="str">
        <f aca="false">IF($B1474="","",IFERROR(INDEX(회원명부!$B$3:$B$502,MATCH($B1474,회원명부!$A$3:$A$502,0)),"미등록회원"))</f>
        <v/>
      </c>
      <c r="D1474" s="13"/>
      <c r="E1474" s="10"/>
      <c r="F1474" s="10"/>
      <c r="G1474" s="10"/>
    </row>
    <row r="1475" customFormat="false" ht="15" hidden="false" customHeight="true" outlineLevel="0" collapsed="false">
      <c r="A1475" s="12"/>
      <c r="B1475" s="10"/>
      <c r="C1475" s="15" t="str">
        <f aca="false">IF($B1475="","",IFERROR(INDEX(회원명부!$B$3:$B$502,MATCH($B1475,회원명부!$A$3:$A$502,0)),"미등록회원"))</f>
        <v/>
      </c>
      <c r="D1475" s="13"/>
      <c r="E1475" s="10"/>
      <c r="F1475" s="10"/>
      <c r="G1475" s="10"/>
    </row>
    <row r="1476" customFormat="false" ht="15" hidden="false" customHeight="true" outlineLevel="0" collapsed="false">
      <c r="A1476" s="12"/>
      <c r="B1476" s="10"/>
      <c r="C1476" s="15" t="str">
        <f aca="false">IF($B1476="","",IFERROR(INDEX(회원명부!$B$3:$B$502,MATCH($B1476,회원명부!$A$3:$A$502,0)),"미등록회원"))</f>
        <v/>
      </c>
      <c r="D1476" s="13"/>
      <c r="E1476" s="10"/>
      <c r="F1476" s="10"/>
      <c r="G1476" s="10"/>
    </row>
    <row r="1477" customFormat="false" ht="15" hidden="false" customHeight="true" outlineLevel="0" collapsed="false">
      <c r="A1477" s="12"/>
      <c r="B1477" s="10"/>
      <c r="C1477" s="15" t="str">
        <f aca="false">IF($B1477="","",IFERROR(INDEX(회원명부!$B$3:$B$502,MATCH($B1477,회원명부!$A$3:$A$502,0)),"미등록회원"))</f>
        <v/>
      </c>
      <c r="D1477" s="13"/>
      <c r="E1477" s="10"/>
      <c r="F1477" s="10"/>
      <c r="G1477" s="10"/>
    </row>
    <row r="1478" customFormat="false" ht="15" hidden="false" customHeight="true" outlineLevel="0" collapsed="false">
      <c r="A1478" s="12"/>
      <c r="B1478" s="10"/>
      <c r="C1478" s="15" t="str">
        <f aca="false">IF($B1478="","",IFERROR(INDEX(회원명부!$B$3:$B$502,MATCH($B1478,회원명부!$A$3:$A$502,0)),"미등록회원"))</f>
        <v/>
      </c>
      <c r="D1478" s="13"/>
      <c r="E1478" s="10"/>
      <c r="F1478" s="10"/>
      <c r="G1478" s="10"/>
    </row>
    <row r="1479" customFormat="false" ht="15" hidden="false" customHeight="true" outlineLevel="0" collapsed="false">
      <c r="A1479" s="12"/>
      <c r="B1479" s="10"/>
      <c r="C1479" s="15" t="str">
        <f aca="false">IF($B1479="","",IFERROR(INDEX(회원명부!$B$3:$B$502,MATCH($B1479,회원명부!$A$3:$A$502,0)),"미등록회원"))</f>
        <v/>
      </c>
      <c r="D1479" s="13"/>
      <c r="E1479" s="10"/>
      <c r="F1479" s="10"/>
      <c r="G1479" s="10"/>
    </row>
    <row r="1480" customFormat="false" ht="15" hidden="false" customHeight="true" outlineLevel="0" collapsed="false">
      <c r="A1480" s="12"/>
      <c r="B1480" s="10"/>
      <c r="C1480" s="15" t="str">
        <f aca="false">IF($B1480="","",IFERROR(INDEX(회원명부!$B$3:$B$502,MATCH($B1480,회원명부!$A$3:$A$502,0)),"미등록회원"))</f>
        <v/>
      </c>
      <c r="D1480" s="13"/>
      <c r="E1480" s="10"/>
      <c r="F1480" s="10"/>
      <c r="G1480" s="10"/>
    </row>
    <row r="1481" customFormat="false" ht="15" hidden="false" customHeight="true" outlineLevel="0" collapsed="false">
      <c r="A1481" s="12"/>
      <c r="B1481" s="10"/>
      <c r="C1481" s="15" t="str">
        <f aca="false">IF($B1481="","",IFERROR(INDEX(회원명부!$B$3:$B$502,MATCH($B1481,회원명부!$A$3:$A$502,0)),"미등록회원"))</f>
        <v/>
      </c>
      <c r="D1481" s="13"/>
      <c r="E1481" s="10"/>
      <c r="F1481" s="10"/>
      <c r="G1481" s="10"/>
    </row>
    <row r="1482" customFormat="false" ht="15" hidden="false" customHeight="true" outlineLevel="0" collapsed="false">
      <c r="A1482" s="12"/>
      <c r="B1482" s="10"/>
      <c r="C1482" s="15" t="str">
        <f aca="false">IF($B1482="","",IFERROR(INDEX(회원명부!$B$3:$B$502,MATCH($B1482,회원명부!$A$3:$A$502,0)),"미등록회원"))</f>
        <v/>
      </c>
      <c r="D1482" s="13"/>
      <c r="E1482" s="10"/>
      <c r="F1482" s="10"/>
      <c r="G1482" s="10"/>
    </row>
    <row r="1483" customFormat="false" ht="15" hidden="false" customHeight="true" outlineLevel="0" collapsed="false">
      <c r="A1483" s="12"/>
      <c r="B1483" s="10"/>
      <c r="C1483" s="15" t="str">
        <f aca="false">IF($B1483="","",IFERROR(INDEX(회원명부!$B$3:$B$502,MATCH($B1483,회원명부!$A$3:$A$502,0)),"미등록회원"))</f>
        <v/>
      </c>
      <c r="D1483" s="13"/>
      <c r="E1483" s="10"/>
      <c r="F1483" s="10"/>
      <c r="G1483" s="10"/>
    </row>
    <row r="1484" customFormat="false" ht="15" hidden="false" customHeight="true" outlineLevel="0" collapsed="false">
      <c r="A1484" s="12"/>
      <c r="B1484" s="10"/>
      <c r="C1484" s="15" t="str">
        <f aca="false">IF($B1484="","",IFERROR(INDEX(회원명부!$B$3:$B$502,MATCH($B1484,회원명부!$A$3:$A$502,0)),"미등록회원"))</f>
        <v/>
      </c>
      <c r="D1484" s="13"/>
      <c r="E1484" s="10"/>
      <c r="F1484" s="10"/>
      <c r="G1484" s="10"/>
    </row>
    <row r="1485" customFormat="false" ht="15" hidden="false" customHeight="true" outlineLevel="0" collapsed="false">
      <c r="A1485" s="12"/>
      <c r="B1485" s="10"/>
      <c r="C1485" s="15" t="str">
        <f aca="false">IF($B1485="","",IFERROR(INDEX(회원명부!$B$3:$B$502,MATCH($B1485,회원명부!$A$3:$A$502,0)),"미등록회원"))</f>
        <v/>
      </c>
      <c r="D1485" s="13"/>
      <c r="E1485" s="10"/>
      <c r="F1485" s="10"/>
      <c r="G1485" s="10"/>
    </row>
    <row r="1486" customFormat="false" ht="15" hidden="false" customHeight="true" outlineLevel="0" collapsed="false">
      <c r="A1486" s="12"/>
      <c r="B1486" s="10"/>
      <c r="C1486" s="15" t="str">
        <f aca="false">IF($B1486="","",IFERROR(INDEX(회원명부!$B$3:$B$502,MATCH($B1486,회원명부!$A$3:$A$502,0)),"미등록회원"))</f>
        <v/>
      </c>
      <c r="D1486" s="13"/>
      <c r="E1486" s="10"/>
      <c r="F1486" s="10"/>
      <c r="G1486" s="10"/>
    </row>
    <row r="1487" customFormat="false" ht="15" hidden="false" customHeight="true" outlineLevel="0" collapsed="false">
      <c r="A1487" s="12"/>
      <c r="B1487" s="10"/>
      <c r="C1487" s="15" t="str">
        <f aca="false">IF($B1487="","",IFERROR(INDEX(회원명부!$B$3:$B$502,MATCH($B1487,회원명부!$A$3:$A$502,0)),"미등록회원"))</f>
        <v/>
      </c>
      <c r="D1487" s="13"/>
      <c r="E1487" s="10"/>
      <c r="F1487" s="10"/>
      <c r="G1487" s="10"/>
    </row>
    <row r="1488" customFormat="false" ht="15" hidden="false" customHeight="true" outlineLevel="0" collapsed="false">
      <c r="A1488" s="12"/>
      <c r="B1488" s="10"/>
      <c r="C1488" s="15" t="str">
        <f aca="false">IF($B1488="","",IFERROR(INDEX(회원명부!$B$3:$B$502,MATCH($B1488,회원명부!$A$3:$A$502,0)),"미등록회원"))</f>
        <v/>
      </c>
      <c r="D1488" s="13"/>
      <c r="E1488" s="10"/>
      <c r="F1488" s="10"/>
      <c r="G1488" s="10"/>
    </row>
    <row r="1489" customFormat="false" ht="15" hidden="false" customHeight="true" outlineLevel="0" collapsed="false">
      <c r="A1489" s="12"/>
      <c r="B1489" s="10"/>
      <c r="C1489" s="15" t="str">
        <f aca="false">IF($B1489="","",IFERROR(INDEX(회원명부!$B$3:$B$502,MATCH($B1489,회원명부!$A$3:$A$502,0)),"미등록회원"))</f>
        <v/>
      </c>
      <c r="D1489" s="13"/>
      <c r="E1489" s="10"/>
      <c r="F1489" s="10"/>
      <c r="G1489" s="10"/>
    </row>
    <row r="1490" customFormat="false" ht="15" hidden="false" customHeight="true" outlineLevel="0" collapsed="false">
      <c r="A1490" s="12"/>
      <c r="B1490" s="10"/>
      <c r="C1490" s="15" t="str">
        <f aca="false">IF($B1490="","",IFERROR(INDEX(회원명부!$B$3:$B$502,MATCH($B1490,회원명부!$A$3:$A$502,0)),"미등록회원"))</f>
        <v/>
      </c>
      <c r="D1490" s="13"/>
      <c r="E1490" s="10"/>
      <c r="F1490" s="10"/>
      <c r="G1490" s="10"/>
    </row>
    <row r="1491" customFormat="false" ht="15" hidden="false" customHeight="true" outlineLevel="0" collapsed="false">
      <c r="A1491" s="12"/>
      <c r="B1491" s="10"/>
      <c r="C1491" s="15" t="str">
        <f aca="false">IF($B1491="","",IFERROR(INDEX(회원명부!$B$3:$B$502,MATCH($B1491,회원명부!$A$3:$A$502,0)),"미등록회원"))</f>
        <v/>
      </c>
      <c r="D1491" s="13"/>
      <c r="E1491" s="10"/>
      <c r="F1491" s="10"/>
      <c r="G1491" s="10"/>
    </row>
    <row r="1492" customFormat="false" ht="15" hidden="false" customHeight="true" outlineLevel="0" collapsed="false">
      <c r="A1492" s="12"/>
      <c r="B1492" s="10"/>
      <c r="C1492" s="15" t="str">
        <f aca="false">IF($B1492="","",IFERROR(INDEX(회원명부!$B$3:$B$502,MATCH($B1492,회원명부!$A$3:$A$502,0)),"미등록회원"))</f>
        <v/>
      </c>
      <c r="D1492" s="13"/>
      <c r="E1492" s="10"/>
      <c r="F1492" s="10"/>
      <c r="G1492" s="10"/>
    </row>
    <row r="1493" customFormat="false" ht="15" hidden="false" customHeight="true" outlineLevel="0" collapsed="false">
      <c r="A1493" s="12"/>
      <c r="B1493" s="10"/>
      <c r="C1493" s="15" t="str">
        <f aca="false">IF($B1493="","",IFERROR(INDEX(회원명부!$B$3:$B$502,MATCH($B1493,회원명부!$A$3:$A$502,0)),"미등록회원"))</f>
        <v/>
      </c>
      <c r="D1493" s="13"/>
      <c r="E1493" s="10"/>
      <c r="F1493" s="10"/>
      <c r="G1493" s="10"/>
    </row>
    <row r="1494" customFormat="false" ht="15" hidden="false" customHeight="true" outlineLevel="0" collapsed="false">
      <c r="A1494" s="12"/>
      <c r="B1494" s="10"/>
      <c r="C1494" s="15" t="str">
        <f aca="false">IF($B1494="","",IFERROR(INDEX(회원명부!$B$3:$B$502,MATCH($B1494,회원명부!$A$3:$A$502,0)),"미등록회원"))</f>
        <v/>
      </c>
      <c r="D1494" s="13"/>
      <c r="E1494" s="10"/>
      <c r="F1494" s="10"/>
      <c r="G1494" s="10"/>
    </row>
    <row r="1495" customFormat="false" ht="15" hidden="false" customHeight="true" outlineLevel="0" collapsed="false">
      <c r="A1495" s="12"/>
      <c r="B1495" s="10"/>
      <c r="C1495" s="15" t="str">
        <f aca="false">IF($B1495="","",IFERROR(INDEX(회원명부!$B$3:$B$502,MATCH($B1495,회원명부!$A$3:$A$502,0)),"미등록회원"))</f>
        <v/>
      </c>
      <c r="D1495" s="13"/>
      <c r="E1495" s="10"/>
      <c r="F1495" s="10"/>
      <c r="G1495" s="10"/>
    </row>
    <row r="1496" customFormat="false" ht="15" hidden="false" customHeight="true" outlineLevel="0" collapsed="false">
      <c r="A1496" s="12"/>
      <c r="B1496" s="10"/>
      <c r="C1496" s="15" t="str">
        <f aca="false">IF($B1496="","",IFERROR(INDEX(회원명부!$B$3:$B$502,MATCH($B1496,회원명부!$A$3:$A$502,0)),"미등록회원"))</f>
        <v/>
      </c>
      <c r="D1496" s="13"/>
      <c r="E1496" s="10"/>
      <c r="F1496" s="10"/>
      <c r="G1496" s="10"/>
    </row>
    <row r="1497" customFormat="false" ht="15" hidden="false" customHeight="true" outlineLevel="0" collapsed="false">
      <c r="A1497" s="12"/>
      <c r="B1497" s="10"/>
      <c r="C1497" s="15" t="str">
        <f aca="false">IF($B1497="","",IFERROR(INDEX(회원명부!$B$3:$B$502,MATCH($B1497,회원명부!$A$3:$A$502,0)),"미등록회원"))</f>
        <v/>
      </c>
      <c r="D1497" s="13"/>
      <c r="E1497" s="10"/>
      <c r="F1497" s="10"/>
      <c r="G1497" s="10"/>
    </row>
    <row r="1498" customFormat="false" ht="15" hidden="false" customHeight="true" outlineLevel="0" collapsed="false">
      <c r="A1498" s="12"/>
      <c r="B1498" s="10"/>
      <c r="C1498" s="15" t="str">
        <f aca="false">IF($B1498="","",IFERROR(INDEX(회원명부!$B$3:$B$502,MATCH($B1498,회원명부!$A$3:$A$502,0)),"미등록회원"))</f>
        <v/>
      </c>
      <c r="D1498" s="13"/>
      <c r="E1498" s="10"/>
      <c r="F1498" s="10"/>
      <c r="G1498" s="10"/>
    </row>
    <row r="1499" customFormat="false" ht="15" hidden="false" customHeight="true" outlineLevel="0" collapsed="false">
      <c r="A1499" s="12"/>
      <c r="B1499" s="10"/>
      <c r="C1499" s="15" t="str">
        <f aca="false">IF($B1499="","",IFERROR(INDEX(회원명부!$B$3:$B$502,MATCH($B1499,회원명부!$A$3:$A$502,0)),"미등록회원"))</f>
        <v/>
      </c>
      <c r="D1499" s="13"/>
      <c r="E1499" s="10"/>
      <c r="F1499" s="10"/>
      <c r="G1499" s="10"/>
    </row>
    <row r="1500" customFormat="false" ht="15" hidden="false" customHeight="true" outlineLevel="0" collapsed="false">
      <c r="A1500" s="12"/>
      <c r="B1500" s="10"/>
      <c r="C1500" s="15" t="str">
        <f aca="false">IF($B1500="","",IFERROR(INDEX(회원명부!$B$3:$B$502,MATCH($B1500,회원명부!$A$3:$A$502,0)),"미등록회원"))</f>
        <v/>
      </c>
      <c r="D1500" s="13"/>
      <c r="E1500" s="10"/>
      <c r="F1500" s="10"/>
      <c r="G1500" s="10"/>
    </row>
    <row r="1501" customFormat="false" ht="15" hidden="false" customHeight="true" outlineLevel="0" collapsed="false">
      <c r="A1501" s="12"/>
      <c r="B1501" s="10"/>
      <c r="C1501" s="15" t="str">
        <f aca="false">IF($B1501="","",IFERROR(INDEX(회원명부!$B$3:$B$502,MATCH($B1501,회원명부!$A$3:$A$502,0)),"미등록회원"))</f>
        <v/>
      </c>
      <c r="D1501" s="13"/>
      <c r="E1501" s="10"/>
      <c r="F1501" s="10"/>
      <c r="G1501" s="10"/>
    </row>
    <row r="1502" customFormat="false" ht="15" hidden="false" customHeight="true" outlineLevel="0" collapsed="false">
      <c r="A1502" s="12"/>
      <c r="B1502" s="10"/>
      <c r="C1502" s="15" t="str">
        <f aca="false">IF($B1502="","",IFERROR(INDEX(회원명부!$B$3:$B$502,MATCH($B1502,회원명부!$A$3:$A$502,0)),"미등록회원"))</f>
        <v/>
      </c>
      <c r="D1502" s="13"/>
      <c r="E1502" s="10"/>
      <c r="F1502" s="10"/>
      <c r="G1502" s="10"/>
    </row>
    <row r="1503" customFormat="false" ht="15" hidden="false" customHeight="true" outlineLevel="0" collapsed="false">
      <c r="A1503" s="12"/>
      <c r="B1503" s="10"/>
      <c r="C1503" s="15" t="str">
        <f aca="false">IF($B1503="","",IFERROR(INDEX(회원명부!$B$3:$B$502,MATCH($B1503,회원명부!$A$3:$A$502,0)),"미등록회원"))</f>
        <v/>
      </c>
      <c r="D1503" s="13"/>
      <c r="E1503" s="10"/>
      <c r="F1503" s="10"/>
      <c r="G1503" s="10"/>
    </row>
    <row r="1504" customFormat="false" ht="15" hidden="false" customHeight="true" outlineLevel="0" collapsed="false">
      <c r="A1504" s="12"/>
      <c r="B1504" s="10"/>
      <c r="C1504" s="15" t="str">
        <f aca="false">IF($B1504="","",IFERROR(INDEX(회원명부!$B$3:$B$502,MATCH($B1504,회원명부!$A$3:$A$502,0)),"미등록회원"))</f>
        <v/>
      </c>
      <c r="D1504" s="13"/>
      <c r="E1504" s="10"/>
      <c r="F1504" s="10"/>
      <c r="G1504" s="10"/>
    </row>
    <row r="1505" customFormat="false" ht="15" hidden="false" customHeight="true" outlineLevel="0" collapsed="false">
      <c r="A1505" s="12"/>
      <c r="B1505" s="10"/>
      <c r="C1505" s="15" t="str">
        <f aca="false">IF($B1505="","",IFERROR(INDEX(회원명부!$B$3:$B$502,MATCH($B1505,회원명부!$A$3:$A$502,0)),"미등록회원"))</f>
        <v/>
      </c>
      <c r="D1505" s="13"/>
      <c r="E1505" s="10"/>
      <c r="F1505" s="10"/>
      <c r="G1505" s="10"/>
    </row>
    <row r="1506" customFormat="false" ht="15" hidden="false" customHeight="true" outlineLevel="0" collapsed="false">
      <c r="A1506" s="12"/>
      <c r="B1506" s="10"/>
      <c r="C1506" s="15" t="str">
        <f aca="false">IF($B1506="","",IFERROR(INDEX(회원명부!$B$3:$B$502,MATCH($B1506,회원명부!$A$3:$A$502,0)),"미등록회원"))</f>
        <v/>
      </c>
      <c r="D1506" s="13"/>
      <c r="E1506" s="10"/>
      <c r="F1506" s="10"/>
      <c r="G1506" s="10"/>
    </row>
    <row r="1507" customFormat="false" ht="15" hidden="false" customHeight="true" outlineLevel="0" collapsed="false">
      <c r="A1507" s="12"/>
      <c r="B1507" s="10"/>
      <c r="C1507" s="15" t="str">
        <f aca="false">IF($B1507="","",IFERROR(INDEX(회원명부!$B$3:$B$502,MATCH($B1507,회원명부!$A$3:$A$502,0)),"미등록회원"))</f>
        <v/>
      </c>
      <c r="D1507" s="13"/>
      <c r="E1507" s="10"/>
      <c r="F1507" s="10"/>
      <c r="G1507" s="10"/>
    </row>
    <row r="1508" customFormat="false" ht="15" hidden="false" customHeight="true" outlineLevel="0" collapsed="false">
      <c r="A1508" s="12"/>
      <c r="B1508" s="10"/>
      <c r="C1508" s="15" t="str">
        <f aca="false">IF($B1508="","",IFERROR(INDEX(회원명부!$B$3:$B$502,MATCH($B1508,회원명부!$A$3:$A$502,0)),"미등록회원"))</f>
        <v/>
      </c>
      <c r="D1508" s="13"/>
      <c r="E1508" s="10"/>
      <c r="F1508" s="10"/>
      <c r="G1508" s="10"/>
    </row>
    <row r="1509" customFormat="false" ht="15" hidden="false" customHeight="true" outlineLevel="0" collapsed="false">
      <c r="A1509" s="12"/>
      <c r="B1509" s="10"/>
      <c r="C1509" s="15" t="str">
        <f aca="false">IF($B1509="","",IFERROR(INDEX(회원명부!$B$3:$B$502,MATCH($B1509,회원명부!$A$3:$A$502,0)),"미등록회원"))</f>
        <v/>
      </c>
      <c r="D1509" s="13"/>
      <c r="E1509" s="10"/>
      <c r="F1509" s="10"/>
      <c r="G1509" s="10"/>
    </row>
    <row r="1510" customFormat="false" ht="15" hidden="false" customHeight="true" outlineLevel="0" collapsed="false">
      <c r="A1510" s="12"/>
      <c r="B1510" s="10"/>
      <c r="C1510" s="15" t="str">
        <f aca="false">IF($B1510="","",IFERROR(INDEX(회원명부!$B$3:$B$502,MATCH($B1510,회원명부!$A$3:$A$502,0)),"미등록회원"))</f>
        <v/>
      </c>
      <c r="D1510" s="13"/>
      <c r="E1510" s="10"/>
      <c r="F1510" s="10"/>
      <c r="G1510" s="10"/>
    </row>
    <row r="1511" customFormat="false" ht="15" hidden="false" customHeight="true" outlineLevel="0" collapsed="false">
      <c r="A1511" s="12"/>
      <c r="B1511" s="10"/>
      <c r="C1511" s="15" t="str">
        <f aca="false">IF($B1511="","",IFERROR(INDEX(회원명부!$B$3:$B$502,MATCH($B1511,회원명부!$A$3:$A$502,0)),"미등록회원"))</f>
        <v/>
      </c>
      <c r="D1511" s="13"/>
      <c r="E1511" s="10"/>
      <c r="F1511" s="10"/>
      <c r="G1511" s="10"/>
    </row>
    <row r="1512" customFormat="false" ht="15" hidden="false" customHeight="true" outlineLevel="0" collapsed="false">
      <c r="A1512" s="12"/>
      <c r="B1512" s="10"/>
      <c r="C1512" s="15" t="str">
        <f aca="false">IF($B1512="","",IFERROR(INDEX(회원명부!$B$3:$B$502,MATCH($B1512,회원명부!$A$3:$A$502,0)),"미등록회원"))</f>
        <v/>
      </c>
      <c r="D1512" s="13"/>
      <c r="E1512" s="10"/>
      <c r="F1512" s="10"/>
      <c r="G1512" s="10"/>
    </row>
    <row r="1513" customFormat="false" ht="15" hidden="false" customHeight="true" outlineLevel="0" collapsed="false">
      <c r="A1513" s="12"/>
      <c r="B1513" s="10"/>
      <c r="C1513" s="15" t="str">
        <f aca="false">IF($B1513="","",IFERROR(INDEX(회원명부!$B$3:$B$502,MATCH($B1513,회원명부!$A$3:$A$502,0)),"미등록회원"))</f>
        <v/>
      </c>
      <c r="D1513" s="13"/>
      <c r="E1513" s="10"/>
      <c r="F1513" s="10"/>
      <c r="G1513" s="10"/>
    </row>
    <row r="1514" customFormat="false" ht="15" hidden="false" customHeight="true" outlineLevel="0" collapsed="false">
      <c r="A1514" s="12"/>
      <c r="B1514" s="10"/>
      <c r="C1514" s="15" t="str">
        <f aca="false">IF($B1514="","",IFERROR(INDEX(회원명부!$B$3:$B$502,MATCH($B1514,회원명부!$A$3:$A$502,0)),"미등록회원"))</f>
        <v/>
      </c>
      <c r="D1514" s="13"/>
      <c r="E1514" s="10"/>
      <c r="F1514" s="10"/>
      <c r="G1514" s="10"/>
    </row>
    <row r="1515" customFormat="false" ht="15" hidden="false" customHeight="true" outlineLevel="0" collapsed="false">
      <c r="A1515" s="12"/>
      <c r="B1515" s="10"/>
      <c r="C1515" s="15" t="str">
        <f aca="false">IF($B1515="","",IFERROR(INDEX(회원명부!$B$3:$B$502,MATCH($B1515,회원명부!$A$3:$A$502,0)),"미등록회원"))</f>
        <v/>
      </c>
      <c r="D1515" s="13"/>
      <c r="E1515" s="10"/>
      <c r="F1515" s="10"/>
      <c r="G1515" s="10"/>
    </row>
    <row r="1516" customFormat="false" ht="15" hidden="false" customHeight="true" outlineLevel="0" collapsed="false">
      <c r="A1516" s="12"/>
      <c r="B1516" s="10"/>
      <c r="C1516" s="15" t="str">
        <f aca="false">IF($B1516="","",IFERROR(INDEX(회원명부!$B$3:$B$502,MATCH($B1516,회원명부!$A$3:$A$502,0)),"미등록회원"))</f>
        <v/>
      </c>
      <c r="D1516" s="13"/>
      <c r="E1516" s="10"/>
      <c r="F1516" s="10"/>
      <c r="G1516" s="10"/>
    </row>
    <row r="1517" customFormat="false" ht="15" hidden="false" customHeight="true" outlineLevel="0" collapsed="false">
      <c r="A1517" s="12"/>
      <c r="B1517" s="10"/>
      <c r="C1517" s="15" t="str">
        <f aca="false">IF($B1517="","",IFERROR(INDEX(회원명부!$B$3:$B$502,MATCH($B1517,회원명부!$A$3:$A$502,0)),"미등록회원"))</f>
        <v/>
      </c>
      <c r="D1517" s="13"/>
      <c r="E1517" s="10"/>
      <c r="F1517" s="10"/>
      <c r="G1517" s="10"/>
    </row>
    <row r="1518" customFormat="false" ht="15" hidden="false" customHeight="true" outlineLevel="0" collapsed="false">
      <c r="A1518" s="12"/>
      <c r="B1518" s="10"/>
      <c r="C1518" s="15" t="str">
        <f aca="false">IF($B1518="","",IFERROR(INDEX(회원명부!$B$3:$B$502,MATCH($B1518,회원명부!$A$3:$A$502,0)),"미등록회원"))</f>
        <v/>
      </c>
      <c r="D1518" s="13"/>
      <c r="E1518" s="10"/>
      <c r="F1518" s="10"/>
      <c r="G1518" s="10"/>
    </row>
    <row r="1519" customFormat="false" ht="15" hidden="false" customHeight="true" outlineLevel="0" collapsed="false">
      <c r="A1519" s="12"/>
      <c r="B1519" s="10"/>
      <c r="C1519" s="15" t="str">
        <f aca="false">IF($B1519="","",IFERROR(INDEX(회원명부!$B$3:$B$502,MATCH($B1519,회원명부!$A$3:$A$502,0)),"미등록회원"))</f>
        <v/>
      </c>
      <c r="D1519" s="13"/>
      <c r="E1519" s="10"/>
      <c r="F1519" s="10"/>
      <c r="G1519" s="10"/>
    </row>
    <row r="1520" customFormat="false" ht="15" hidden="false" customHeight="true" outlineLevel="0" collapsed="false">
      <c r="A1520" s="12"/>
      <c r="B1520" s="10"/>
      <c r="C1520" s="15" t="str">
        <f aca="false">IF($B1520="","",IFERROR(INDEX(회원명부!$B$3:$B$502,MATCH($B1520,회원명부!$A$3:$A$502,0)),"미등록회원"))</f>
        <v/>
      </c>
      <c r="D1520" s="13"/>
      <c r="E1520" s="10"/>
      <c r="F1520" s="10"/>
      <c r="G1520" s="10"/>
    </row>
    <row r="1521" customFormat="false" ht="15" hidden="false" customHeight="true" outlineLevel="0" collapsed="false">
      <c r="A1521" s="12"/>
      <c r="B1521" s="10"/>
      <c r="C1521" s="15" t="str">
        <f aca="false">IF($B1521="","",IFERROR(INDEX(회원명부!$B$3:$B$502,MATCH($B1521,회원명부!$A$3:$A$502,0)),"미등록회원"))</f>
        <v/>
      </c>
      <c r="D1521" s="13"/>
      <c r="E1521" s="10"/>
      <c r="F1521" s="10"/>
      <c r="G1521" s="10"/>
    </row>
    <row r="1522" customFormat="false" ht="15" hidden="false" customHeight="true" outlineLevel="0" collapsed="false">
      <c r="A1522" s="12"/>
      <c r="B1522" s="10"/>
      <c r="C1522" s="15" t="str">
        <f aca="false">IF($B1522="","",IFERROR(INDEX(회원명부!$B$3:$B$502,MATCH($B1522,회원명부!$A$3:$A$502,0)),"미등록회원"))</f>
        <v/>
      </c>
      <c r="D1522" s="13"/>
      <c r="E1522" s="10"/>
      <c r="F1522" s="10"/>
      <c r="G1522" s="10"/>
    </row>
    <row r="1523" customFormat="false" ht="15" hidden="false" customHeight="true" outlineLevel="0" collapsed="false">
      <c r="A1523" s="12"/>
      <c r="B1523" s="10"/>
      <c r="C1523" s="15" t="str">
        <f aca="false">IF($B1523="","",IFERROR(INDEX(회원명부!$B$3:$B$502,MATCH($B1523,회원명부!$A$3:$A$502,0)),"미등록회원"))</f>
        <v/>
      </c>
      <c r="D1523" s="13"/>
      <c r="E1523" s="10"/>
      <c r="F1523" s="10"/>
      <c r="G1523" s="10"/>
    </row>
    <row r="1524" customFormat="false" ht="15" hidden="false" customHeight="true" outlineLevel="0" collapsed="false">
      <c r="A1524" s="12"/>
      <c r="B1524" s="10"/>
      <c r="C1524" s="15" t="str">
        <f aca="false">IF($B1524="","",IFERROR(INDEX(회원명부!$B$3:$B$502,MATCH($B1524,회원명부!$A$3:$A$502,0)),"미등록회원"))</f>
        <v/>
      </c>
      <c r="D1524" s="13"/>
      <c r="E1524" s="10"/>
      <c r="F1524" s="10"/>
      <c r="G1524" s="10"/>
    </row>
    <row r="1525" customFormat="false" ht="15" hidden="false" customHeight="true" outlineLevel="0" collapsed="false">
      <c r="A1525" s="12"/>
      <c r="B1525" s="10"/>
      <c r="C1525" s="15" t="str">
        <f aca="false">IF($B1525="","",IFERROR(INDEX(회원명부!$B$3:$B$502,MATCH($B1525,회원명부!$A$3:$A$502,0)),"미등록회원"))</f>
        <v/>
      </c>
      <c r="D1525" s="13"/>
      <c r="E1525" s="10"/>
      <c r="F1525" s="10"/>
      <c r="G1525" s="10"/>
    </row>
    <row r="1526" customFormat="false" ht="15" hidden="false" customHeight="true" outlineLevel="0" collapsed="false">
      <c r="A1526" s="12"/>
      <c r="B1526" s="10"/>
      <c r="C1526" s="15" t="str">
        <f aca="false">IF($B1526="","",IFERROR(INDEX(회원명부!$B$3:$B$502,MATCH($B1526,회원명부!$A$3:$A$502,0)),"미등록회원"))</f>
        <v/>
      </c>
      <c r="D1526" s="13"/>
      <c r="E1526" s="10"/>
      <c r="F1526" s="10"/>
      <c r="G1526" s="10"/>
    </row>
    <row r="1527" customFormat="false" ht="15" hidden="false" customHeight="true" outlineLevel="0" collapsed="false">
      <c r="A1527" s="12"/>
      <c r="B1527" s="10"/>
      <c r="C1527" s="15" t="str">
        <f aca="false">IF($B1527="","",IFERROR(INDEX(회원명부!$B$3:$B$502,MATCH($B1527,회원명부!$A$3:$A$502,0)),"미등록회원"))</f>
        <v/>
      </c>
      <c r="D1527" s="13"/>
      <c r="E1527" s="10"/>
      <c r="F1527" s="10"/>
      <c r="G1527" s="10"/>
    </row>
    <row r="1528" customFormat="false" ht="15" hidden="false" customHeight="true" outlineLevel="0" collapsed="false">
      <c r="A1528" s="12"/>
      <c r="B1528" s="10"/>
      <c r="C1528" s="15" t="str">
        <f aca="false">IF($B1528="","",IFERROR(INDEX(회원명부!$B$3:$B$502,MATCH($B1528,회원명부!$A$3:$A$502,0)),"미등록회원"))</f>
        <v/>
      </c>
      <c r="D1528" s="13"/>
      <c r="E1528" s="10"/>
      <c r="F1528" s="10"/>
      <c r="G1528" s="10"/>
    </row>
    <row r="1529" customFormat="false" ht="15" hidden="false" customHeight="true" outlineLevel="0" collapsed="false">
      <c r="A1529" s="12"/>
      <c r="B1529" s="10"/>
      <c r="C1529" s="15" t="str">
        <f aca="false">IF($B1529="","",IFERROR(INDEX(회원명부!$B$3:$B$502,MATCH($B1529,회원명부!$A$3:$A$502,0)),"미등록회원"))</f>
        <v/>
      </c>
      <c r="D1529" s="13"/>
      <c r="E1529" s="10"/>
      <c r="F1529" s="10"/>
      <c r="G1529" s="10"/>
    </row>
    <row r="1530" customFormat="false" ht="15" hidden="false" customHeight="true" outlineLevel="0" collapsed="false">
      <c r="A1530" s="12"/>
      <c r="B1530" s="10"/>
      <c r="C1530" s="15" t="str">
        <f aca="false">IF($B1530="","",IFERROR(INDEX(회원명부!$B$3:$B$502,MATCH($B1530,회원명부!$A$3:$A$502,0)),"미등록회원"))</f>
        <v/>
      </c>
      <c r="D1530" s="13"/>
      <c r="E1530" s="10"/>
      <c r="F1530" s="10"/>
      <c r="G1530" s="10"/>
    </row>
    <row r="1531" customFormat="false" ht="15" hidden="false" customHeight="true" outlineLevel="0" collapsed="false">
      <c r="A1531" s="12"/>
      <c r="B1531" s="10"/>
      <c r="C1531" s="15" t="str">
        <f aca="false">IF($B1531="","",IFERROR(INDEX(회원명부!$B$3:$B$502,MATCH($B1531,회원명부!$A$3:$A$502,0)),"미등록회원"))</f>
        <v/>
      </c>
      <c r="D1531" s="13"/>
      <c r="E1531" s="10"/>
      <c r="F1531" s="10"/>
      <c r="G1531" s="10"/>
    </row>
    <row r="1532" customFormat="false" ht="15" hidden="false" customHeight="true" outlineLevel="0" collapsed="false">
      <c r="A1532" s="12"/>
      <c r="B1532" s="10"/>
      <c r="C1532" s="15" t="str">
        <f aca="false">IF($B1532="","",IFERROR(INDEX(회원명부!$B$3:$B$502,MATCH($B1532,회원명부!$A$3:$A$502,0)),"미등록회원"))</f>
        <v/>
      </c>
      <c r="D1532" s="13"/>
      <c r="E1532" s="10"/>
      <c r="F1532" s="10"/>
      <c r="G1532" s="10"/>
    </row>
    <row r="1533" customFormat="false" ht="15" hidden="false" customHeight="true" outlineLevel="0" collapsed="false">
      <c r="A1533" s="12"/>
      <c r="B1533" s="10"/>
      <c r="C1533" s="15" t="str">
        <f aca="false">IF($B1533="","",IFERROR(INDEX(회원명부!$B$3:$B$502,MATCH($B1533,회원명부!$A$3:$A$502,0)),"미등록회원"))</f>
        <v/>
      </c>
      <c r="D1533" s="13"/>
      <c r="E1533" s="10"/>
      <c r="F1533" s="10"/>
      <c r="G1533" s="10"/>
    </row>
    <row r="1534" customFormat="false" ht="15" hidden="false" customHeight="true" outlineLevel="0" collapsed="false">
      <c r="A1534" s="12"/>
      <c r="B1534" s="10"/>
      <c r="C1534" s="15" t="str">
        <f aca="false">IF($B1534="","",IFERROR(INDEX(회원명부!$B$3:$B$502,MATCH($B1534,회원명부!$A$3:$A$502,0)),"미등록회원"))</f>
        <v/>
      </c>
      <c r="D1534" s="13"/>
      <c r="E1534" s="10"/>
      <c r="F1534" s="10"/>
      <c r="G1534" s="10"/>
    </row>
    <row r="1535" customFormat="false" ht="15" hidden="false" customHeight="true" outlineLevel="0" collapsed="false">
      <c r="A1535" s="12"/>
      <c r="B1535" s="10"/>
      <c r="C1535" s="15" t="str">
        <f aca="false">IF($B1535="","",IFERROR(INDEX(회원명부!$B$3:$B$502,MATCH($B1535,회원명부!$A$3:$A$502,0)),"미등록회원"))</f>
        <v/>
      </c>
      <c r="D1535" s="13"/>
      <c r="E1535" s="10"/>
      <c r="F1535" s="10"/>
      <c r="G1535" s="10"/>
    </row>
    <row r="1536" customFormat="false" ht="15" hidden="false" customHeight="true" outlineLevel="0" collapsed="false">
      <c r="A1536" s="12"/>
      <c r="B1536" s="10"/>
      <c r="C1536" s="15" t="str">
        <f aca="false">IF($B1536="","",IFERROR(INDEX(회원명부!$B$3:$B$502,MATCH($B1536,회원명부!$A$3:$A$502,0)),"미등록회원"))</f>
        <v/>
      </c>
      <c r="D1536" s="13"/>
      <c r="E1536" s="10"/>
      <c r="F1536" s="10"/>
      <c r="G1536" s="10"/>
    </row>
    <row r="1537" customFormat="false" ht="15" hidden="false" customHeight="true" outlineLevel="0" collapsed="false">
      <c r="A1537" s="12"/>
      <c r="B1537" s="10"/>
      <c r="C1537" s="15" t="str">
        <f aca="false">IF($B1537="","",IFERROR(INDEX(회원명부!$B$3:$B$502,MATCH($B1537,회원명부!$A$3:$A$502,0)),"미등록회원"))</f>
        <v/>
      </c>
      <c r="D1537" s="13"/>
      <c r="E1537" s="10"/>
      <c r="F1537" s="10"/>
      <c r="G1537" s="10"/>
    </row>
    <row r="1538" customFormat="false" ht="15" hidden="false" customHeight="true" outlineLevel="0" collapsed="false">
      <c r="A1538" s="12"/>
      <c r="B1538" s="10"/>
      <c r="C1538" s="15" t="str">
        <f aca="false">IF($B1538="","",IFERROR(INDEX(회원명부!$B$3:$B$502,MATCH($B1538,회원명부!$A$3:$A$502,0)),"미등록회원"))</f>
        <v/>
      </c>
      <c r="D1538" s="13"/>
      <c r="E1538" s="10"/>
      <c r="F1538" s="10"/>
      <c r="G1538" s="10"/>
    </row>
    <row r="1539" customFormat="false" ht="15" hidden="false" customHeight="true" outlineLevel="0" collapsed="false">
      <c r="A1539" s="12"/>
      <c r="B1539" s="10"/>
      <c r="C1539" s="15" t="str">
        <f aca="false">IF($B1539="","",IFERROR(INDEX(회원명부!$B$3:$B$502,MATCH($B1539,회원명부!$A$3:$A$502,0)),"미등록회원"))</f>
        <v/>
      </c>
      <c r="D1539" s="13"/>
      <c r="E1539" s="10"/>
      <c r="F1539" s="10"/>
      <c r="G1539" s="10"/>
    </row>
    <row r="1540" customFormat="false" ht="15" hidden="false" customHeight="true" outlineLevel="0" collapsed="false">
      <c r="A1540" s="12"/>
      <c r="B1540" s="10"/>
      <c r="C1540" s="15" t="str">
        <f aca="false">IF($B1540="","",IFERROR(INDEX(회원명부!$B$3:$B$502,MATCH($B1540,회원명부!$A$3:$A$502,0)),"미등록회원"))</f>
        <v/>
      </c>
      <c r="D1540" s="13"/>
      <c r="E1540" s="10"/>
      <c r="F1540" s="10"/>
      <c r="G1540" s="10"/>
    </row>
    <row r="1541" customFormat="false" ht="15" hidden="false" customHeight="true" outlineLevel="0" collapsed="false">
      <c r="A1541" s="12"/>
      <c r="B1541" s="10"/>
      <c r="C1541" s="15" t="str">
        <f aca="false">IF($B1541="","",IFERROR(INDEX(회원명부!$B$3:$B$502,MATCH($B1541,회원명부!$A$3:$A$502,0)),"미등록회원"))</f>
        <v/>
      </c>
      <c r="D1541" s="13"/>
      <c r="E1541" s="10"/>
      <c r="F1541" s="10"/>
      <c r="G1541" s="10"/>
    </row>
    <row r="1542" customFormat="false" ht="15" hidden="false" customHeight="true" outlineLevel="0" collapsed="false">
      <c r="A1542" s="12"/>
      <c r="B1542" s="10"/>
      <c r="C1542" s="15" t="str">
        <f aca="false">IF($B1542="","",IFERROR(INDEX(회원명부!$B$3:$B$502,MATCH($B1542,회원명부!$A$3:$A$502,0)),"미등록회원"))</f>
        <v/>
      </c>
      <c r="D1542" s="13"/>
      <c r="E1542" s="10"/>
      <c r="F1542" s="10"/>
      <c r="G1542" s="10"/>
    </row>
    <row r="1543" customFormat="false" ht="15" hidden="false" customHeight="true" outlineLevel="0" collapsed="false">
      <c r="A1543" s="12"/>
      <c r="B1543" s="10"/>
      <c r="C1543" s="15" t="str">
        <f aca="false">IF($B1543="","",IFERROR(INDEX(회원명부!$B$3:$B$502,MATCH($B1543,회원명부!$A$3:$A$502,0)),"미등록회원"))</f>
        <v/>
      </c>
      <c r="D1543" s="13"/>
      <c r="E1543" s="10"/>
      <c r="F1543" s="10"/>
      <c r="G1543" s="10"/>
    </row>
    <row r="1544" customFormat="false" ht="15" hidden="false" customHeight="true" outlineLevel="0" collapsed="false">
      <c r="A1544" s="12"/>
      <c r="B1544" s="10"/>
      <c r="C1544" s="15" t="str">
        <f aca="false">IF($B1544="","",IFERROR(INDEX(회원명부!$B$3:$B$502,MATCH($B1544,회원명부!$A$3:$A$502,0)),"미등록회원"))</f>
        <v/>
      </c>
      <c r="D1544" s="13"/>
      <c r="E1544" s="10"/>
      <c r="F1544" s="10"/>
      <c r="G1544" s="10"/>
    </row>
    <row r="1545" customFormat="false" ht="15" hidden="false" customHeight="true" outlineLevel="0" collapsed="false">
      <c r="A1545" s="12"/>
      <c r="B1545" s="10"/>
      <c r="C1545" s="15" t="str">
        <f aca="false">IF($B1545="","",IFERROR(INDEX(회원명부!$B$3:$B$502,MATCH($B1545,회원명부!$A$3:$A$502,0)),"미등록회원"))</f>
        <v/>
      </c>
      <c r="D1545" s="13"/>
      <c r="E1545" s="10"/>
      <c r="F1545" s="10"/>
      <c r="G1545" s="10"/>
    </row>
    <row r="1546" customFormat="false" ht="15" hidden="false" customHeight="true" outlineLevel="0" collapsed="false">
      <c r="A1546" s="12"/>
      <c r="B1546" s="10"/>
      <c r="C1546" s="15" t="str">
        <f aca="false">IF($B1546="","",IFERROR(INDEX(회원명부!$B$3:$B$502,MATCH($B1546,회원명부!$A$3:$A$502,0)),"미등록회원"))</f>
        <v/>
      </c>
      <c r="D1546" s="13"/>
      <c r="E1546" s="10"/>
      <c r="F1546" s="10"/>
      <c r="G1546" s="10"/>
    </row>
    <row r="1547" customFormat="false" ht="15" hidden="false" customHeight="true" outlineLevel="0" collapsed="false">
      <c r="A1547" s="12"/>
      <c r="B1547" s="10"/>
      <c r="C1547" s="15" t="str">
        <f aca="false">IF($B1547="","",IFERROR(INDEX(회원명부!$B$3:$B$502,MATCH($B1547,회원명부!$A$3:$A$502,0)),"미등록회원"))</f>
        <v/>
      </c>
      <c r="D1547" s="13"/>
      <c r="E1547" s="10"/>
      <c r="F1547" s="10"/>
      <c r="G1547" s="10"/>
    </row>
    <row r="1548" customFormat="false" ht="15" hidden="false" customHeight="true" outlineLevel="0" collapsed="false">
      <c r="A1548" s="12"/>
      <c r="B1548" s="10"/>
      <c r="C1548" s="15" t="str">
        <f aca="false">IF($B1548="","",IFERROR(INDEX(회원명부!$B$3:$B$502,MATCH($B1548,회원명부!$A$3:$A$502,0)),"미등록회원"))</f>
        <v/>
      </c>
      <c r="D1548" s="13"/>
      <c r="E1548" s="10"/>
      <c r="F1548" s="10"/>
      <c r="G1548" s="10"/>
    </row>
    <row r="1549" customFormat="false" ht="15" hidden="false" customHeight="true" outlineLevel="0" collapsed="false">
      <c r="A1549" s="12"/>
      <c r="B1549" s="10"/>
      <c r="C1549" s="15" t="str">
        <f aca="false">IF($B1549="","",IFERROR(INDEX(회원명부!$B$3:$B$502,MATCH($B1549,회원명부!$A$3:$A$502,0)),"미등록회원"))</f>
        <v/>
      </c>
      <c r="D1549" s="13"/>
      <c r="E1549" s="10"/>
      <c r="F1549" s="10"/>
      <c r="G1549" s="10"/>
    </row>
    <row r="1550" customFormat="false" ht="15" hidden="false" customHeight="true" outlineLevel="0" collapsed="false">
      <c r="A1550" s="12"/>
      <c r="B1550" s="10"/>
      <c r="C1550" s="15" t="str">
        <f aca="false">IF($B1550="","",IFERROR(INDEX(회원명부!$B$3:$B$502,MATCH($B1550,회원명부!$A$3:$A$502,0)),"미등록회원"))</f>
        <v/>
      </c>
      <c r="D1550" s="13"/>
      <c r="E1550" s="10"/>
      <c r="F1550" s="10"/>
      <c r="G1550" s="10"/>
    </row>
    <row r="1551" customFormat="false" ht="15" hidden="false" customHeight="true" outlineLevel="0" collapsed="false">
      <c r="A1551" s="12"/>
      <c r="B1551" s="10"/>
      <c r="C1551" s="15" t="str">
        <f aca="false">IF($B1551="","",IFERROR(INDEX(회원명부!$B$3:$B$502,MATCH($B1551,회원명부!$A$3:$A$502,0)),"미등록회원"))</f>
        <v/>
      </c>
      <c r="D1551" s="13"/>
      <c r="E1551" s="10"/>
      <c r="F1551" s="10"/>
      <c r="G1551" s="10"/>
    </row>
    <row r="1552" customFormat="false" ht="15" hidden="false" customHeight="true" outlineLevel="0" collapsed="false">
      <c r="A1552" s="12"/>
      <c r="B1552" s="10"/>
      <c r="C1552" s="15" t="str">
        <f aca="false">IF($B1552="","",IFERROR(INDEX(회원명부!$B$3:$B$502,MATCH($B1552,회원명부!$A$3:$A$502,0)),"미등록회원"))</f>
        <v/>
      </c>
      <c r="D1552" s="13"/>
      <c r="E1552" s="10"/>
      <c r="F1552" s="10"/>
      <c r="G1552" s="10"/>
    </row>
    <row r="1553" customFormat="false" ht="15" hidden="false" customHeight="true" outlineLevel="0" collapsed="false">
      <c r="A1553" s="12"/>
      <c r="B1553" s="10"/>
      <c r="C1553" s="15" t="str">
        <f aca="false">IF($B1553="","",IFERROR(INDEX(회원명부!$B$3:$B$502,MATCH($B1553,회원명부!$A$3:$A$502,0)),"미등록회원"))</f>
        <v/>
      </c>
      <c r="D1553" s="13"/>
      <c r="E1553" s="10"/>
      <c r="F1553" s="10"/>
      <c r="G1553" s="10"/>
    </row>
    <row r="1554" customFormat="false" ht="15" hidden="false" customHeight="true" outlineLevel="0" collapsed="false">
      <c r="A1554" s="12"/>
      <c r="B1554" s="10"/>
      <c r="C1554" s="15" t="str">
        <f aca="false">IF($B1554="","",IFERROR(INDEX(회원명부!$B$3:$B$502,MATCH($B1554,회원명부!$A$3:$A$502,0)),"미등록회원"))</f>
        <v/>
      </c>
      <c r="D1554" s="13"/>
      <c r="E1554" s="10"/>
      <c r="F1554" s="10"/>
      <c r="G1554" s="10"/>
    </row>
    <row r="1555" customFormat="false" ht="15" hidden="false" customHeight="true" outlineLevel="0" collapsed="false">
      <c r="A1555" s="12"/>
      <c r="B1555" s="10"/>
      <c r="C1555" s="15" t="str">
        <f aca="false">IF($B1555="","",IFERROR(INDEX(회원명부!$B$3:$B$502,MATCH($B1555,회원명부!$A$3:$A$502,0)),"미등록회원"))</f>
        <v/>
      </c>
      <c r="D1555" s="13"/>
      <c r="E1555" s="10"/>
      <c r="F1555" s="10"/>
      <c r="G1555" s="10"/>
    </row>
    <row r="1556" customFormat="false" ht="15" hidden="false" customHeight="true" outlineLevel="0" collapsed="false">
      <c r="A1556" s="12"/>
      <c r="B1556" s="10"/>
      <c r="C1556" s="15" t="str">
        <f aca="false">IF($B1556="","",IFERROR(INDEX(회원명부!$B$3:$B$502,MATCH($B1556,회원명부!$A$3:$A$502,0)),"미등록회원"))</f>
        <v/>
      </c>
      <c r="D1556" s="13"/>
      <c r="E1556" s="10"/>
      <c r="F1556" s="10"/>
      <c r="G1556" s="10"/>
    </row>
    <row r="1557" customFormat="false" ht="15" hidden="false" customHeight="true" outlineLevel="0" collapsed="false">
      <c r="A1557" s="12"/>
      <c r="B1557" s="10"/>
      <c r="C1557" s="15" t="str">
        <f aca="false">IF($B1557="","",IFERROR(INDEX(회원명부!$B$3:$B$502,MATCH($B1557,회원명부!$A$3:$A$502,0)),"미등록회원"))</f>
        <v/>
      </c>
      <c r="D1557" s="13"/>
      <c r="E1557" s="10"/>
      <c r="F1557" s="10"/>
      <c r="G1557" s="10"/>
    </row>
    <row r="1558" customFormat="false" ht="15" hidden="false" customHeight="true" outlineLevel="0" collapsed="false">
      <c r="A1558" s="12"/>
      <c r="B1558" s="10"/>
      <c r="C1558" s="15" t="str">
        <f aca="false">IF($B1558="","",IFERROR(INDEX(회원명부!$B$3:$B$502,MATCH($B1558,회원명부!$A$3:$A$502,0)),"미등록회원"))</f>
        <v/>
      </c>
      <c r="D1558" s="13"/>
      <c r="E1558" s="10"/>
      <c r="F1558" s="10"/>
      <c r="G1558" s="10"/>
    </row>
    <row r="1559" customFormat="false" ht="15" hidden="false" customHeight="true" outlineLevel="0" collapsed="false">
      <c r="A1559" s="12"/>
      <c r="B1559" s="10"/>
      <c r="C1559" s="15" t="str">
        <f aca="false">IF($B1559="","",IFERROR(INDEX(회원명부!$B$3:$B$502,MATCH($B1559,회원명부!$A$3:$A$502,0)),"미등록회원"))</f>
        <v/>
      </c>
      <c r="D1559" s="13"/>
      <c r="E1559" s="10"/>
      <c r="F1559" s="10"/>
      <c r="G1559" s="10"/>
    </row>
    <row r="1560" customFormat="false" ht="15" hidden="false" customHeight="true" outlineLevel="0" collapsed="false">
      <c r="A1560" s="12"/>
      <c r="B1560" s="10"/>
      <c r="C1560" s="15" t="str">
        <f aca="false">IF($B1560="","",IFERROR(INDEX(회원명부!$B$3:$B$502,MATCH($B1560,회원명부!$A$3:$A$502,0)),"미등록회원"))</f>
        <v/>
      </c>
      <c r="D1560" s="13"/>
      <c r="E1560" s="10"/>
      <c r="F1560" s="10"/>
      <c r="G1560" s="10"/>
    </row>
    <row r="1561" customFormat="false" ht="15" hidden="false" customHeight="true" outlineLevel="0" collapsed="false">
      <c r="A1561" s="12"/>
      <c r="B1561" s="10"/>
      <c r="C1561" s="15" t="str">
        <f aca="false">IF($B1561="","",IFERROR(INDEX(회원명부!$B$3:$B$502,MATCH($B1561,회원명부!$A$3:$A$502,0)),"미등록회원"))</f>
        <v/>
      </c>
      <c r="D1561" s="13"/>
      <c r="E1561" s="10"/>
      <c r="F1561" s="10"/>
      <c r="G1561" s="10"/>
    </row>
    <row r="1562" customFormat="false" ht="15" hidden="false" customHeight="true" outlineLevel="0" collapsed="false">
      <c r="A1562" s="12"/>
      <c r="B1562" s="10"/>
      <c r="C1562" s="15" t="str">
        <f aca="false">IF($B1562="","",IFERROR(INDEX(회원명부!$B$3:$B$502,MATCH($B1562,회원명부!$A$3:$A$502,0)),"미등록회원"))</f>
        <v/>
      </c>
      <c r="D1562" s="13"/>
      <c r="E1562" s="10"/>
      <c r="F1562" s="10"/>
      <c r="G1562" s="10"/>
    </row>
    <row r="1563" customFormat="false" ht="15" hidden="false" customHeight="true" outlineLevel="0" collapsed="false">
      <c r="A1563" s="12"/>
      <c r="B1563" s="10"/>
      <c r="C1563" s="15" t="str">
        <f aca="false">IF($B1563="","",IFERROR(INDEX(회원명부!$B$3:$B$502,MATCH($B1563,회원명부!$A$3:$A$502,0)),"미등록회원"))</f>
        <v/>
      </c>
      <c r="D1563" s="13"/>
      <c r="E1563" s="10"/>
      <c r="F1563" s="10"/>
      <c r="G1563" s="10"/>
    </row>
    <row r="1564" customFormat="false" ht="15" hidden="false" customHeight="true" outlineLevel="0" collapsed="false">
      <c r="A1564" s="12"/>
      <c r="B1564" s="10"/>
      <c r="C1564" s="15" t="str">
        <f aca="false">IF($B1564="","",IFERROR(INDEX(회원명부!$B$3:$B$502,MATCH($B1564,회원명부!$A$3:$A$502,0)),"미등록회원"))</f>
        <v/>
      </c>
      <c r="D1564" s="13"/>
      <c r="E1564" s="10"/>
      <c r="F1564" s="10"/>
      <c r="G1564" s="10"/>
    </row>
    <row r="1565" customFormat="false" ht="15" hidden="false" customHeight="true" outlineLevel="0" collapsed="false">
      <c r="A1565" s="12"/>
      <c r="B1565" s="10"/>
      <c r="C1565" s="15" t="str">
        <f aca="false">IF($B1565="","",IFERROR(INDEX(회원명부!$B$3:$B$502,MATCH($B1565,회원명부!$A$3:$A$502,0)),"미등록회원"))</f>
        <v/>
      </c>
      <c r="D1565" s="13"/>
      <c r="E1565" s="10"/>
      <c r="F1565" s="10"/>
      <c r="G1565" s="10"/>
    </row>
    <row r="1566" customFormat="false" ht="15" hidden="false" customHeight="true" outlineLevel="0" collapsed="false">
      <c r="A1566" s="12"/>
      <c r="B1566" s="10"/>
      <c r="C1566" s="15" t="str">
        <f aca="false">IF($B1566="","",IFERROR(INDEX(회원명부!$B$3:$B$502,MATCH($B1566,회원명부!$A$3:$A$502,0)),"미등록회원"))</f>
        <v/>
      </c>
      <c r="D1566" s="13"/>
      <c r="E1566" s="10"/>
      <c r="F1566" s="10"/>
      <c r="G1566" s="10"/>
    </row>
    <row r="1567" customFormat="false" ht="15" hidden="false" customHeight="true" outlineLevel="0" collapsed="false">
      <c r="A1567" s="12"/>
      <c r="B1567" s="10"/>
      <c r="C1567" s="15" t="str">
        <f aca="false">IF($B1567="","",IFERROR(INDEX(회원명부!$B$3:$B$502,MATCH($B1567,회원명부!$A$3:$A$502,0)),"미등록회원"))</f>
        <v/>
      </c>
      <c r="D1567" s="13"/>
      <c r="E1567" s="10"/>
      <c r="F1567" s="10"/>
      <c r="G1567" s="10"/>
    </row>
    <row r="1568" customFormat="false" ht="15" hidden="false" customHeight="true" outlineLevel="0" collapsed="false">
      <c r="A1568" s="12"/>
      <c r="B1568" s="10"/>
      <c r="C1568" s="15" t="str">
        <f aca="false">IF($B1568="","",IFERROR(INDEX(회원명부!$B$3:$B$502,MATCH($B1568,회원명부!$A$3:$A$502,0)),"미등록회원"))</f>
        <v/>
      </c>
      <c r="D1568" s="13"/>
      <c r="E1568" s="10"/>
      <c r="F1568" s="10"/>
      <c r="G1568" s="10"/>
    </row>
    <row r="1569" customFormat="false" ht="15" hidden="false" customHeight="true" outlineLevel="0" collapsed="false">
      <c r="A1569" s="12"/>
      <c r="B1569" s="10"/>
      <c r="C1569" s="15" t="str">
        <f aca="false">IF($B1569="","",IFERROR(INDEX(회원명부!$B$3:$B$502,MATCH($B1569,회원명부!$A$3:$A$502,0)),"미등록회원"))</f>
        <v/>
      </c>
      <c r="D1569" s="13"/>
      <c r="E1569" s="10"/>
      <c r="F1569" s="10"/>
      <c r="G1569" s="10"/>
    </row>
    <row r="1570" customFormat="false" ht="15" hidden="false" customHeight="true" outlineLevel="0" collapsed="false">
      <c r="A1570" s="12"/>
      <c r="B1570" s="10"/>
      <c r="C1570" s="15" t="str">
        <f aca="false">IF($B1570="","",IFERROR(INDEX(회원명부!$B$3:$B$502,MATCH($B1570,회원명부!$A$3:$A$502,0)),"미등록회원"))</f>
        <v/>
      </c>
      <c r="D1570" s="13"/>
      <c r="E1570" s="10"/>
      <c r="F1570" s="10"/>
      <c r="G1570" s="10"/>
    </row>
    <row r="1571" customFormat="false" ht="15" hidden="false" customHeight="true" outlineLevel="0" collapsed="false">
      <c r="A1571" s="12"/>
      <c r="B1571" s="10"/>
      <c r="C1571" s="15" t="str">
        <f aca="false">IF($B1571="","",IFERROR(INDEX(회원명부!$B$3:$B$502,MATCH($B1571,회원명부!$A$3:$A$502,0)),"미등록회원"))</f>
        <v/>
      </c>
      <c r="D1571" s="13"/>
      <c r="E1571" s="10"/>
      <c r="F1571" s="10"/>
      <c r="G1571" s="10"/>
    </row>
    <row r="1572" customFormat="false" ht="15" hidden="false" customHeight="true" outlineLevel="0" collapsed="false">
      <c r="A1572" s="12"/>
      <c r="B1572" s="10"/>
      <c r="C1572" s="15" t="str">
        <f aca="false">IF($B1572="","",IFERROR(INDEX(회원명부!$B$3:$B$502,MATCH($B1572,회원명부!$A$3:$A$502,0)),"미등록회원"))</f>
        <v/>
      </c>
      <c r="D1572" s="13"/>
      <c r="E1572" s="10"/>
      <c r="F1572" s="10"/>
      <c r="G1572" s="10"/>
    </row>
    <row r="1573" customFormat="false" ht="15" hidden="false" customHeight="true" outlineLevel="0" collapsed="false">
      <c r="A1573" s="12"/>
      <c r="B1573" s="10"/>
      <c r="C1573" s="15" t="str">
        <f aca="false">IF($B1573="","",IFERROR(INDEX(회원명부!$B$3:$B$502,MATCH($B1573,회원명부!$A$3:$A$502,0)),"미등록회원"))</f>
        <v/>
      </c>
      <c r="D1573" s="13"/>
      <c r="E1573" s="10"/>
      <c r="F1573" s="10"/>
      <c r="G1573" s="10"/>
    </row>
    <row r="1574" customFormat="false" ht="15" hidden="false" customHeight="true" outlineLevel="0" collapsed="false">
      <c r="A1574" s="12"/>
      <c r="B1574" s="10"/>
      <c r="C1574" s="15" t="str">
        <f aca="false">IF($B1574="","",IFERROR(INDEX(회원명부!$B$3:$B$502,MATCH($B1574,회원명부!$A$3:$A$502,0)),"미등록회원"))</f>
        <v/>
      </c>
      <c r="D1574" s="13"/>
      <c r="E1574" s="10"/>
      <c r="F1574" s="10"/>
      <c r="G1574" s="10"/>
    </row>
    <row r="1575" customFormat="false" ht="15" hidden="false" customHeight="true" outlineLevel="0" collapsed="false">
      <c r="A1575" s="12"/>
      <c r="B1575" s="10"/>
      <c r="C1575" s="15" t="str">
        <f aca="false">IF($B1575="","",IFERROR(INDEX(회원명부!$B$3:$B$502,MATCH($B1575,회원명부!$A$3:$A$502,0)),"미등록회원"))</f>
        <v/>
      </c>
      <c r="D1575" s="13"/>
      <c r="E1575" s="10"/>
      <c r="F1575" s="10"/>
      <c r="G1575" s="10"/>
    </row>
    <row r="1576" customFormat="false" ht="15" hidden="false" customHeight="true" outlineLevel="0" collapsed="false">
      <c r="A1576" s="12"/>
      <c r="B1576" s="10"/>
      <c r="C1576" s="15" t="str">
        <f aca="false">IF($B1576="","",IFERROR(INDEX(회원명부!$B$3:$B$502,MATCH($B1576,회원명부!$A$3:$A$502,0)),"미등록회원"))</f>
        <v/>
      </c>
      <c r="D1576" s="13"/>
      <c r="E1576" s="10"/>
      <c r="F1576" s="10"/>
      <c r="G1576" s="10"/>
    </row>
    <row r="1577" customFormat="false" ht="15" hidden="false" customHeight="true" outlineLevel="0" collapsed="false">
      <c r="A1577" s="12"/>
      <c r="B1577" s="10"/>
      <c r="C1577" s="15" t="str">
        <f aca="false">IF($B1577="","",IFERROR(INDEX(회원명부!$B$3:$B$502,MATCH($B1577,회원명부!$A$3:$A$502,0)),"미등록회원"))</f>
        <v/>
      </c>
      <c r="D1577" s="13"/>
      <c r="E1577" s="10"/>
      <c r="F1577" s="10"/>
      <c r="G1577" s="10"/>
    </row>
    <row r="1578" customFormat="false" ht="15" hidden="false" customHeight="true" outlineLevel="0" collapsed="false">
      <c r="A1578" s="12"/>
      <c r="B1578" s="10"/>
      <c r="C1578" s="15" t="str">
        <f aca="false">IF($B1578="","",IFERROR(INDEX(회원명부!$B$3:$B$502,MATCH($B1578,회원명부!$A$3:$A$502,0)),"미등록회원"))</f>
        <v/>
      </c>
      <c r="D1578" s="13"/>
      <c r="E1578" s="10"/>
      <c r="F1578" s="10"/>
      <c r="G1578" s="10"/>
    </row>
    <row r="1579" customFormat="false" ht="15" hidden="false" customHeight="true" outlineLevel="0" collapsed="false">
      <c r="A1579" s="12"/>
      <c r="B1579" s="10"/>
      <c r="C1579" s="15" t="str">
        <f aca="false">IF($B1579="","",IFERROR(INDEX(회원명부!$B$3:$B$502,MATCH($B1579,회원명부!$A$3:$A$502,0)),"미등록회원"))</f>
        <v/>
      </c>
      <c r="D1579" s="13"/>
      <c r="E1579" s="10"/>
      <c r="F1579" s="10"/>
      <c r="G1579" s="10"/>
    </row>
    <row r="1580" customFormat="false" ht="15" hidden="false" customHeight="true" outlineLevel="0" collapsed="false">
      <c r="A1580" s="12"/>
      <c r="B1580" s="10"/>
      <c r="C1580" s="15" t="str">
        <f aca="false">IF($B1580="","",IFERROR(INDEX(회원명부!$B$3:$B$502,MATCH($B1580,회원명부!$A$3:$A$502,0)),"미등록회원"))</f>
        <v/>
      </c>
      <c r="D1580" s="13"/>
      <c r="E1580" s="10"/>
      <c r="F1580" s="10"/>
      <c r="G1580" s="10"/>
    </row>
    <row r="1581" customFormat="false" ht="15" hidden="false" customHeight="true" outlineLevel="0" collapsed="false">
      <c r="A1581" s="12"/>
      <c r="B1581" s="10"/>
      <c r="C1581" s="15" t="str">
        <f aca="false">IF($B1581="","",IFERROR(INDEX(회원명부!$B$3:$B$502,MATCH($B1581,회원명부!$A$3:$A$502,0)),"미등록회원"))</f>
        <v/>
      </c>
      <c r="D1581" s="13"/>
      <c r="E1581" s="10"/>
      <c r="F1581" s="10"/>
      <c r="G1581" s="10"/>
    </row>
    <row r="1582" customFormat="false" ht="15" hidden="false" customHeight="true" outlineLevel="0" collapsed="false">
      <c r="A1582" s="12"/>
      <c r="B1582" s="10"/>
      <c r="C1582" s="15" t="str">
        <f aca="false">IF($B1582="","",IFERROR(INDEX(회원명부!$B$3:$B$502,MATCH($B1582,회원명부!$A$3:$A$502,0)),"미등록회원"))</f>
        <v/>
      </c>
      <c r="D1582" s="13"/>
      <c r="E1582" s="10"/>
      <c r="F1582" s="10"/>
      <c r="G1582" s="10"/>
    </row>
    <row r="1583" customFormat="false" ht="15" hidden="false" customHeight="true" outlineLevel="0" collapsed="false">
      <c r="A1583" s="12"/>
      <c r="B1583" s="10"/>
      <c r="C1583" s="15" t="str">
        <f aca="false">IF($B1583="","",IFERROR(INDEX(회원명부!$B$3:$B$502,MATCH($B1583,회원명부!$A$3:$A$502,0)),"미등록회원"))</f>
        <v/>
      </c>
      <c r="D1583" s="13"/>
      <c r="E1583" s="10"/>
      <c r="F1583" s="10"/>
      <c r="G1583" s="10"/>
    </row>
    <row r="1584" customFormat="false" ht="15" hidden="false" customHeight="true" outlineLevel="0" collapsed="false">
      <c r="A1584" s="12"/>
      <c r="B1584" s="10"/>
      <c r="C1584" s="15" t="str">
        <f aca="false">IF($B1584="","",IFERROR(INDEX(회원명부!$B$3:$B$502,MATCH($B1584,회원명부!$A$3:$A$502,0)),"미등록회원"))</f>
        <v/>
      </c>
      <c r="D1584" s="13"/>
      <c r="E1584" s="10"/>
      <c r="F1584" s="10"/>
      <c r="G1584" s="10"/>
    </row>
    <row r="1585" customFormat="false" ht="15" hidden="false" customHeight="true" outlineLevel="0" collapsed="false">
      <c r="A1585" s="12"/>
      <c r="B1585" s="10"/>
      <c r="C1585" s="15" t="str">
        <f aca="false">IF($B1585="","",IFERROR(INDEX(회원명부!$B$3:$B$502,MATCH($B1585,회원명부!$A$3:$A$502,0)),"미등록회원"))</f>
        <v/>
      </c>
      <c r="D1585" s="13"/>
      <c r="E1585" s="10"/>
      <c r="F1585" s="10"/>
      <c r="G1585" s="10"/>
    </row>
    <row r="1586" customFormat="false" ht="15" hidden="false" customHeight="true" outlineLevel="0" collapsed="false">
      <c r="A1586" s="12"/>
      <c r="B1586" s="10"/>
      <c r="C1586" s="15" t="str">
        <f aca="false">IF($B1586="","",IFERROR(INDEX(회원명부!$B$3:$B$502,MATCH($B1586,회원명부!$A$3:$A$502,0)),"미등록회원"))</f>
        <v/>
      </c>
      <c r="D1586" s="13"/>
      <c r="E1586" s="10"/>
      <c r="F1586" s="10"/>
      <c r="G1586" s="10"/>
    </row>
    <row r="1587" customFormat="false" ht="15" hidden="false" customHeight="true" outlineLevel="0" collapsed="false">
      <c r="A1587" s="12"/>
      <c r="B1587" s="10"/>
      <c r="C1587" s="15" t="str">
        <f aca="false">IF($B1587="","",IFERROR(INDEX(회원명부!$B$3:$B$502,MATCH($B1587,회원명부!$A$3:$A$502,0)),"미등록회원"))</f>
        <v/>
      </c>
      <c r="D1587" s="13"/>
      <c r="E1587" s="10"/>
      <c r="F1587" s="10"/>
      <c r="G1587" s="10"/>
    </row>
    <row r="1588" customFormat="false" ht="15" hidden="false" customHeight="true" outlineLevel="0" collapsed="false">
      <c r="A1588" s="12"/>
      <c r="B1588" s="10"/>
      <c r="C1588" s="15" t="str">
        <f aca="false">IF($B1588="","",IFERROR(INDEX(회원명부!$B$3:$B$502,MATCH($B1588,회원명부!$A$3:$A$502,0)),"미등록회원"))</f>
        <v/>
      </c>
      <c r="D1588" s="13"/>
      <c r="E1588" s="10"/>
      <c r="F1588" s="10"/>
      <c r="G1588" s="10"/>
    </row>
    <row r="1589" customFormat="false" ht="15" hidden="false" customHeight="true" outlineLevel="0" collapsed="false">
      <c r="A1589" s="12"/>
      <c r="B1589" s="10"/>
      <c r="C1589" s="15" t="str">
        <f aca="false">IF($B1589="","",IFERROR(INDEX(회원명부!$B$3:$B$502,MATCH($B1589,회원명부!$A$3:$A$502,0)),"미등록회원"))</f>
        <v/>
      </c>
      <c r="D1589" s="13"/>
      <c r="E1589" s="10"/>
      <c r="F1589" s="10"/>
      <c r="G1589" s="10"/>
    </row>
    <row r="1590" customFormat="false" ht="15" hidden="false" customHeight="true" outlineLevel="0" collapsed="false">
      <c r="A1590" s="12"/>
      <c r="B1590" s="10"/>
      <c r="C1590" s="15" t="str">
        <f aca="false">IF($B1590="","",IFERROR(INDEX(회원명부!$B$3:$B$502,MATCH($B1590,회원명부!$A$3:$A$502,0)),"미등록회원"))</f>
        <v/>
      </c>
      <c r="D1590" s="13"/>
      <c r="E1590" s="10"/>
      <c r="F1590" s="10"/>
      <c r="G1590" s="10"/>
    </row>
    <row r="1591" customFormat="false" ht="15" hidden="false" customHeight="true" outlineLevel="0" collapsed="false">
      <c r="A1591" s="12"/>
      <c r="B1591" s="10"/>
      <c r="C1591" s="15" t="str">
        <f aca="false">IF($B1591="","",IFERROR(INDEX(회원명부!$B$3:$B$502,MATCH($B1591,회원명부!$A$3:$A$502,0)),"미등록회원"))</f>
        <v/>
      </c>
      <c r="D1591" s="13"/>
      <c r="E1591" s="10"/>
      <c r="F1591" s="10"/>
      <c r="G1591" s="10"/>
    </row>
    <row r="1592" customFormat="false" ht="15" hidden="false" customHeight="true" outlineLevel="0" collapsed="false">
      <c r="A1592" s="12"/>
      <c r="B1592" s="10"/>
      <c r="C1592" s="15" t="str">
        <f aca="false">IF($B1592="","",IFERROR(INDEX(회원명부!$B$3:$B$502,MATCH($B1592,회원명부!$A$3:$A$502,0)),"미등록회원"))</f>
        <v/>
      </c>
      <c r="D1592" s="13"/>
      <c r="E1592" s="10"/>
      <c r="F1592" s="10"/>
      <c r="G1592" s="10"/>
    </row>
    <row r="1593" customFormat="false" ht="15" hidden="false" customHeight="true" outlineLevel="0" collapsed="false">
      <c r="A1593" s="12"/>
      <c r="B1593" s="10"/>
      <c r="C1593" s="15" t="str">
        <f aca="false">IF($B1593="","",IFERROR(INDEX(회원명부!$B$3:$B$502,MATCH($B1593,회원명부!$A$3:$A$502,0)),"미등록회원"))</f>
        <v/>
      </c>
      <c r="D1593" s="13"/>
      <c r="E1593" s="10"/>
      <c r="F1593" s="10"/>
      <c r="G1593" s="10"/>
    </row>
    <row r="1594" customFormat="false" ht="15" hidden="false" customHeight="true" outlineLevel="0" collapsed="false">
      <c r="A1594" s="12"/>
      <c r="B1594" s="10"/>
      <c r="C1594" s="15" t="str">
        <f aca="false">IF($B1594="","",IFERROR(INDEX(회원명부!$B$3:$B$502,MATCH($B1594,회원명부!$A$3:$A$502,0)),"미등록회원"))</f>
        <v/>
      </c>
      <c r="D1594" s="13"/>
      <c r="E1594" s="10"/>
      <c r="F1594" s="10"/>
      <c r="G1594" s="10"/>
    </row>
    <row r="1595" customFormat="false" ht="15" hidden="false" customHeight="true" outlineLevel="0" collapsed="false">
      <c r="A1595" s="12"/>
      <c r="B1595" s="10"/>
      <c r="C1595" s="15" t="str">
        <f aca="false">IF($B1595="","",IFERROR(INDEX(회원명부!$B$3:$B$502,MATCH($B1595,회원명부!$A$3:$A$502,0)),"미등록회원"))</f>
        <v/>
      </c>
      <c r="D1595" s="13"/>
      <c r="E1595" s="10"/>
      <c r="F1595" s="10"/>
      <c r="G1595" s="10"/>
    </row>
    <row r="1596" customFormat="false" ht="15" hidden="false" customHeight="true" outlineLevel="0" collapsed="false">
      <c r="A1596" s="12"/>
      <c r="B1596" s="10"/>
      <c r="C1596" s="15" t="str">
        <f aca="false">IF($B1596="","",IFERROR(INDEX(회원명부!$B$3:$B$502,MATCH($B1596,회원명부!$A$3:$A$502,0)),"미등록회원"))</f>
        <v/>
      </c>
      <c r="D1596" s="13"/>
      <c r="E1596" s="10"/>
      <c r="F1596" s="10"/>
      <c r="G1596" s="10"/>
    </row>
    <row r="1597" customFormat="false" ht="15" hidden="false" customHeight="true" outlineLevel="0" collapsed="false">
      <c r="A1597" s="12"/>
      <c r="B1597" s="10"/>
      <c r="C1597" s="15" t="str">
        <f aca="false">IF($B1597="","",IFERROR(INDEX(회원명부!$B$3:$B$502,MATCH($B1597,회원명부!$A$3:$A$502,0)),"미등록회원"))</f>
        <v/>
      </c>
      <c r="D1597" s="13"/>
      <c r="E1597" s="10"/>
      <c r="F1597" s="10"/>
      <c r="G1597" s="10"/>
    </row>
    <row r="1598" customFormat="false" ht="15" hidden="false" customHeight="true" outlineLevel="0" collapsed="false">
      <c r="A1598" s="12"/>
      <c r="B1598" s="10"/>
      <c r="C1598" s="15" t="str">
        <f aca="false">IF($B1598="","",IFERROR(INDEX(회원명부!$B$3:$B$502,MATCH($B1598,회원명부!$A$3:$A$502,0)),"미등록회원"))</f>
        <v/>
      </c>
      <c r="D1598" s="13"/>
      <c r="E1598" s="10"/>
      <c r="F1598" s="10"/>
      <c r="G1598" s="10"/>
    </row>
    <row r="1599" customFormat="false" ht="15" hidden="false" customHeight="true" outlineLevel="0" collapsed="false">
      <c r="A1599" s="12"/>
      <c r="B1599" s="10"/>
      <c r="C1599" s="15" t="str">
        <f aca="false">IF($B1599="","",IFERROR(INDEX(회원명부!$B$3:$B$502,MATCH($B1599,회원명부!$A$3:$A$502,0)),"미등록회원"))</f>
        <v/>
      </c>
      <c r="D1599" s="13"/>
      <c r="E1599" s="10"/>
      <c r="F1599" s="10"/>
      <c r="G1599" s="10"/>
    </row>
    <row r="1600" customFormat="false" ht="15" hidden="false" customHeight="true" outlineLevel="0" collapsed="false">
      <c r="A1600" s="12"/>
      <c r="B1600" s="10"/>
      <c r="C1600" s="15" t="str">
        <f aca="false">IF($B1600="","",IFERROR(INDEX(회원명부!$B$3:$B$502,MATCH($B1600,회원명부!$A$3:$A$502,0)),"미등록회원"))</f>
        <v/>
      </c>
      <c r="D1600" s="13"/>
      <c r="E1600" s="10"/>
      <c r="F1600" s="10"/>
      <c r="G1600" s="10"/>
    </row>
    <row r="1601" customFormat="false" ht="15" hidden="false" customHeight="true" outlineLevel="0" collapsed="false">
      <c r="A1601" s="12"/>
      <c r="B1601" s="10"/>
      <c r="C1601" s="15" t="str">
        <f aca="false">IF($B1601="","",IFERROR(INDEX(회원명부!$B$3:$B$502,MATCH($B1601,회원명부!$A$3:$A$502,0)),"미등록회원"))</f>
        <v/>
      </c>
      <c r="D1601" s="13"/>
      <c r="E1601" s="10"/>
      <c r="F1601" s="10"/>
      <c r="G1601" s="10"/>
    </row>
    <row r="1602" customFormat="false" ht="15" hidden="false" customHeight="true" outlineLevel="0" collapsed="false">
      <c r="A1602" s="12"/>
      <c r="B1602" s="10"/>
      <c r="C1602" s="15" t="str">
        <f aca="false">IF($B1602="","",IFERROR(INDEX(회원명부!$B$3:$B$502,MATCH($B1602,회원명부!$A$3:$A$502,0)),"미등록회원"))</f>
        <v/>
      </c>
      <c r="D1602" s="13"/>
      <c r="E1602" s="10"/>
      <c r="F1602" s="10"/>
      <c r="G1602" s="10"/>
    </row>
    <row r="1603" customFormat="false" ht="15" hidden="false" customHeight="true" outlineLevel="0" collapsed="false">
      <c r="A1603" s="12"/>
      <c r="B1603" s="10"/>
      <c r="C1603" s="15" t="str">
        <f aca="false">IF($B1603="","",IFERROR(INDEX(회원명부!$B$3:$B$502,MATCH($B1603,회원명부!$A$3:$A$502,0)),"미등록회원"))</f>
        <v/>
      </c>
      <c r="D1603" s="13"/>
      <c r="E1603" s="10"/>
      <c r="F1603" s="10"/>
      <c r="G1603" s="10"/>
    </row>
    <row r="1604" customFormat="false" ht="15" hidden="false" customHeight="true" outlineLevel="0" collapsed="false">
      <c r="A1604" s="12"/>
      <c r="B1604" s="10"/>
      <c r="C1604" s="15" t="str">
        <f aca="false">IF($B1604="","",IFERROR(INDEX(회원명부!$B$3:$B$502,MATCH($B1604,회원명부!$A$3:$A$502,0)),"미등록회원"))</f>
        <v/>
      </c>
      <c r="D1604" s="13"/>
      <c r="E1604" s="10"/>
      <c r="F1604" s="10"/>
      <c r="G1604" s="10"/>
    </row>
    <row r="1605" customFormat="false" ht="15" hidden="false" customHeight="true" outlineLevel="0" collapsed="false">
      <c r="A1605" s="12"/>
      <c r="B1605" s="10"/>
      <c r="C1605" s="15" t="str">
        <f aca="false">IF($B1605="","",IFERROR(INDEX(회원명부!$B$3:$B$502,MATCH($B1605,회원명부!$A$3:$A$502,0)),"미등록회원"))</f>
        <v/>
      </c>
      <c r="D1605" s="13"/>
      <c r="E1605" s="10"/>
      <c r="F1605" s="10"/>
      <c r="G1605" s="10"/>
    </row>
    <row r="1606" customFormat="false" ht="15" hidden="false" customHeight="true" outlineLevel="0" collapsed="false">
      <c r="A1606" s="12"/>
      <c r="B1606" s="10"/>
      <c r="C1606" s="15" t="str">
        <f aca="false">IF($B1606="","",IFERROR(INDEX(회원명부!$B$3:$B$502,MATCH($B1606,회원명부!$A$3:$A$502,0)),"미등록회원"))</f>
        <v/>
      </c>
      <c r="D1606" s="13"/>
      <c r="E1606" s="10"/>
      <c r="F1606" s="10"/>
      <c r="G1606" s="10"/>
    </row>
    <row r="1607" customFormat="false" ht="15" hidden="false" customHeight="true" outlineLevel="0" collapsed="false">
      <c r="A1607" s="12"/>
      <c r="B1607" s="10"/>
      <c r="C1607" s="15" t="str">
        <f aca="false">IF($B1607="","",IFERROR(INDEX(회원명부!$B$3:$B$502,MATCH($B1607,회원명부!$A$3:$A$502,0)),"미등록회원"))</f>
        <v/>
      </c>
      <c r="D1607" s="13"/>
      <c r="E1607" s="10"/>
      <c r="F1607" s="10"/>
      <c r="G1607" s="10"/>
    </row>
    <row r="1608" customFormat="false" ht="15" hidden="false" customHeight="true" outlineLevel="0" collapsed="false">
      <c r="A1608" s="12"/>
      <c r="B1608" s="10"/>
      <c r="C1608" s="15" t="str">
        <f aca="false">IF($B1608="","",IFERROR(INDEX(회원명부!$B$3:$B$502,MATCH($B1608,회원명부!$A$3:$A$502,0)),"미등록회원"))</f>
        <v/>
      </c>
      <c r="D1608" s="13"/>
      <c r="E1608" s="10"/>
      <c r="F1608" s="10"/>
      <c r="G1608" s="10"/>
    </row>
    <row r="1609" customFormat="false" ht="15" hidden="false" customHeight="true" outlineLevel="0" collapsed="false">
      <c r="A1609" s="12"/>
      <c r="B1609" s="10"/>
      <c r="C1609" s="15" t="str">
        <f aca="false">IF($B1609="","",IFERROR(INDEX(회원명부!$B$3:$B$502,MATCH($B1609,회원명부!$A$3:$A$502,0)),"미등록회원"))</f>
        <v/>
      </c>
      <c r="D1609" s="13"/>
      <c r="E1609" s="10"/>
      <c r="F1609" s="10"/>
      <c r="G1609" s="10"/>
    </row>
    <row r="1610" customFormat="false" ht="15" hidden="false" customHeight="true" outlineLevel="0" collapsed="false">
      <c r="A1610" s="12"/>
      <c r="B1610" s="10"/>
      <c r="C1610" s="15" t="str">
        <f aca="false">IF($B1610="","",IFERROR(INDEX(회원명부!$B$3:$B$502,MATCH($B1610,회원명부!$A$3:$A$502,0)),"미등록회원"))</f>
        <v/>
      </c>
      <c r="D1610" s="13"/>
      <c r="E1610" s="10"/>
      <c r="F1610" s="10"/>
      <c r="G1610" s="10"/>
    </row>
    <row r="1611" customFormat="false" ht="15" hidden="false" customHeight="true" outlineLevel="0" collapsed="false">
      <c r="A1611" s="12"/>
      <c r="B1611" s="10"/>
      <c r="C1611" s="15" t="str">
        <f aca="false">IF($B1611="","",IFERROR(INDEX(회원명부!$B$3:$B$502,MATCH($B1611,회원명부!$A$3:$A$502,0)),"미등록회원"))</f>
        <v/>
      </c>
      <c r="D1611" s="13"/>
      <c r="E1611" s="10"/>
      <c r="F1611" s="10"/>
      <c r="G1611" s="10"/>
    </row>
    <row r="1612" customFormat="false" ht="15" hidden="false" customHeight="true" outlineLevel="0" collapsed="false">
      <c r="A1612" s="12"/>
      <c r="B1612" s="10"/>
      <c r="C1612" s="15" t="str">
        <f aca="false">IF($B1612="","",IFERROR(INDEX(회원명부!$B$3:$B$502,MATCH($B1612,회원명부!$A$3:$A$502,0)),"미등록회원"))</f>
        <v/>
      </c>
      <c r="D1612" s="13"/>
      <c r="E1612" s="10"/>
      <c r="F1612" s="10"/>
      <c r="G1612" s="10"/>
    </row>
    <row r="1613" customFormat="false" ht="15" hidden="false" customHeight="true" outlineLevel="0" collapsed="false">
      <c r="A1613" s="12"/>
      <c r="B1613" s="10"/>
      <c r="C1613" s="15" t="str">
        <f aca="false">IF($B1613="","",IFERROR(INDEX(회원명부!$B$3:$B$502,MATCH($B1613,회원명부!$A$3:$A$502,0)),"미등록회원"))</f>
        <v/>
      </c>
      <c r="D1613" s="13"/>
      <c r="E1613" s="10"/>
      <c r="F1613" s="10"/>
      <c r="G1613" s="10"/>
    </row>
    <row r="1614" customFormat="false" ht="15" hidden="false" customHeight="true" outlineLevel="0" collapsed="false">
      <c r="A1614" s="12"/>
      <c r="B1614" s="10"/>
      <c r="C1614" s="15" t="str">
        <f aca="false">IF($B1614="","",IFERROR(INDEX(회원명부!$B$3:$B$502,MATCH($B1614,회원명부!$A$3:$A$502,0)),"미등록회원"))</f>
        <v/>
      </c>
      <c r="D1614" s="13"/>
      <c r="E1614" s="10"/>
      <c r="F1614" s="10"/>
      <c r="G1614" s="10"/>
    </row>
    <row r="1615" customFormat="false" ht="15" hidden="false" customHeight="true" outlineLevel="0" collapsed="false">
      <c r="A1615" s="12"/>
      <c r="B1615" s="10"/>
      <c r="C1615" s="15" t="str">
        <f aca="false">IF($B1615="","",IFERROR(INDEX(회원명부!$B$3:$B$502,MATCH($B1615,회원명부!$A$3:$A$502,0)),"미등록회원"))</f>
        <v/>
      </c>
      <c r="D1615" s="13"/>
      <c r="E1615" s="10"/>
      <c r="F1615" s="10"/>
      <c r="G1615" s="10"/>
    </row>
    <row r="1616" customFormat="false" ht="15" hidden="false" customHeight="true" outlineLevel="0" collapsed="false">
      <c r="A1616" s="12"/>
      <c r="B1616" s="10"/>
      <c r="C1616" s="15" t="str">
        <f aca="false">IF($B1616="","",IFERROR(INDEX(회원명부!$B$3:$B$502,MATCH($B1616,회원명부!$A$3:$A$502,0)),"미등록회원"))</f>
        <v/>
      </c>
      <c r="D1616" s="13"/>
      <c r="E1616" s="10"/>
      <c r="F1616" s="10"/>
      <c r="G1616" s="10"/>
    </row>
    <row r="1617" customFormat="false" ht="15" hidden="false" customHeight="true" outlineLevel="0" collapsed="false">
      <c r="A1617" s="12"/>
      <c r="B1617" s="10"/>
      <c r="C1617" s="15" t="str">
        <f aca="false">IF($B1617="","",IFERROR(INDEX(회원명부!$B$3:$B$502,MATCH($B1617,회원명부!$A$3:$A$502,0)),"미등록회원"))</f>
        <v/>
      </c>
      <c r="D1617" s="13"/>
      <c r="E1617" s="10"/>
      <c r="F1617" s="10"/>
      <c r="G1617" s="10"/>
    </row>
    <row r="1618" customFormat="false" ht="15" hidden="false" customHeight="true" outlineLevel="0" collapsed="false">
      <c r="A1618" s="12"/>
      <c r="B1618" s="10"/>
      <c r="C1618" s="15" t="str">
        <f aca="false">IF($B1618="","",IFERROR(INDEX(회원명부!$B$3:$B$502,MATCH($B1618,회원명부!$A$3:$A$502,0)),"미등록회원"))</f>
        <v/>
      </c>
      <c r="D1618" s="13"/>
      <c r="E1618" s="10"/>
      <c r="F1618" s="10"/>
      <c r="G1618" s="10"/>
    </row>
    <row r="1619" customFormat="false" ht="15" hidden="false" customHeight="true" outlineLevel="0" collapsed="false">
      <c r="A1619" s="12"/>
      <c r="B1619" s="10"/>
      <c r="C1619" s="15" t="str">
        <f aca="false">IF($B1619="","",IFERROR(INDEX(회원명부!$B$3:$B$502,MATCH($B1619,회원명부!$A$3:$A$502,0)),"미등록회원"))</f>
        <v/>
      </c>
      <c r="D1619" s="13"/>
      <c r="E1619" s="10"/>
      <c r="F1619" s="10"/>
      <c r="G1619" s="10"/>
    </row>
    <row r="1620" customFormat="false" ht="15" hidden="false" customHeight="true" outlineLevel="0" collapsed="false">
      <c r="A1620" s="12"/>
      <c r="B1620" s="10"/>
      <c r="C1620" s="15" t="str">
        <f aca="false">IF($B1620="","",IFERROR(INDEX(회원명부!$B$3:$B$502,MATCH($B1620,회원명부!$A$3:$A$502,0)),"미등록회원"))</f>
        <v/>
      </c>
      <c r="D1620" s="13"/>
      <c r="E1620" s="10"/>
      <c r="F1620" s="10"/>
      <c r="G1620" s="10"/>
    </row>
    <row r="1621" customFormat="false" ht="15" hidden="false" customHeight="true" outlineLevel="0" collapsed="false">
      <c r="A1621" s="12"/>
      <c r="B1621" s="10"/>
      <c r="C1621" s="15" t="str">
        <f aca="false">IF($B1621="","",IFERROR(INDEX(회원명부!$B$3:$B$502,MATCH($B1621,회원명부!$A$3:$A$502,0)),"미등록회원"))</f>
        <v/>
      </c>
      <c r="D1621" s="13"/>
      <c r="E1621" s="10"/>
      <c r="F1621" s="10"/>
      <c r="G1621" s="10"/>
    </row>
    <row r="1622" customFormat="false" ht="15" hidden="false" customHeight="true" outlineLevel="0" collapsed="false">
      <c r="A1622" s="12"/>
      <c r="B1622" s="10"/>
      <c r="C1622" s="15" t="str">
        <f aca="false">IF($B1622="","",IFERROR(INDEX(회원명부!$B$3:$B$502,MATCH($B1622,회원명부!$A$3:$A$502,0)),"미등록회원"))</f>
        <v/>
      </c>
      <c r="D1622" s="13"/>
      <c r="E1622" s="10"/>
      <c r="F1622" s="10"/>
      <c r="G1622" s="10"/>
    </row>
    <row r="1623" customFormat="false" ht="15" hidden="false" customHeight="true" outlineLevel="0" collapsed="false">
      <c r="A1623" s="12"/>
      <c r="B1623" s="10"/>
      <c r="C1623" s="15" t="str">
        <f aca="false">IF($B1623="","",IFERROR(INDEX(회원명부!$B$3:$B$502,MATCH($B1623,회원명부!$A$3:$A$502,0)),"미등록회원"))</f>
        <v/>
      </c>
      <c r="D1623" s="13"/>
      <c r="E1623" s="10"/>
      <c r="F1623" s="10"/>
      <c r="G1623" s="10"/>
    </row>
    <row r="1624" customFormat="false" ht="15" hidden="false" customHeight="true" outlineLevel="0" collapsed="false">
      <c r="A1624" s="12"/>
      <c r="B1624" s="10"/>
      <c r="C1624" s="15" t="str">
        <f aca="false">IF($B1624="","",IFERROR(INDEX(회원명부!$B$3:$B$502,MATCH($B1624,회원명부!$A$3:$A$502,0)),"미등록회원"))</f>
        <v/>
      </c>
      <c r="D1624" s="13"/>
      <c r="E1624" s="10"/>
      <c r="F1624" s="10"/>
      <c r="G1624" s="10"/>
    </row>
    <row r="1625" customFormat="false" ht="15" hidden="false" customHeight="true" outlineLevel="0" collapsed="false">
      <c r="A1625" s="12"/>
      <c r="B1625" s="10"/>
      <c r="C1625" s="15" t="str">
        <f aca="false">IF($B1625="","",IFERROR(INDEX(회원명부!$B$3:$B$502,MATCH($B1625,회원명부!$A$3:$A$502,0)),"미등록회원"))</f>
        <v/>
      </c>
      <c r="D1625" s="13"/>
      <c r="E1625" s="10"/>
      <c r="F1625" s="10"/>
      <c r="G1625" s="10"/>
    </row>
    <row r="1626" customFormat="false" ht="15" hidden="false" customHeight="true" outlineLevel="0" collapsed="false">
      <c r="A1626" s="12"/>
      <c r="B1626" s="10"/>
      <c r="C1626" s="15" t="str">
        <f aca="false">IF($B1626="","",IFERROR(INDEX(회원명부!$B$3:$B$502,MATCH($B1626,회원명부!$A$3:$A$502,0)),"미등록회원"))</f>
        <v/>
      </c>
      <c r="D1626" s="13"/>
      <c r="E1626" s="10"/>
      <c r="F1626" s="10"/>
      <c r="G1626" s="10"/>
    </row>
    <row r="1627" customFormat="false" ht="15" hidden="false" customHeight="true" outlineLevel="0" collapsed="false">
      <c r="A1627" s="12"/>
      <c r="B1627" s="10"/>
      <c r="C1627" s="15" t="str">
        <f aca="false">IF($B1627="","",IFERROR(INDEX(회원명부!$B$3:$B$502,MATCH($B1627,회원명부!$A$3:$A$502,0)),"미등록회원"))</f>
        <v/>
      </c>
      <c r="D1627" s="13"/>
      <c r="E1627" s="10"/>
      <c r="F1627" s="10"/>
      <c r="G1627" s="10"/>
    </row>
    <row r="1628" customFormat="false" ht="15" hidden="false" customHeight="true" outlineLevel="0" collapsed="false">
      <c r="A1628" s="12"/>
      <c r="B1628" s="10"/>
      <c r="C1628" s="15" t="str">
        <f aca="false">IF($B1628="","",IFERROR(INDEX(회원명부!$B$3:$B$502,MATCH($B1628,회원명부!$A$3:$A$502,0)),"미등록회원"))</f>
        <v/>
      </c>
      <c r="D1628" s="13"/>
      <c r="E1628" s="10"/>
      <c r="F1628" s="10"/>
      <c r="G1628" s="10"/>
    </row>
    <row r="1629" customFormat="false" ht="15" hidden="false" customHeight="true" outlineLevel="0" collapsed="false">
      <c r="A1629" s="12"/>
      <c r="B1629" s="10"/>
      <c r="C1629" s="15" t="str">
        <f aca="false">IF($B1629="","",IFERROR(INDEX(회원명부!$B$3:$B$502,MATCH($B1629,회원명부!$A$3:$A$502,0)),"미등록회원"))</f>
        <v/>
      </c>
      <c r="D1629" s="13"/>
      <c r="E1629" s="10"/>
      <c r="F1629" s="10"/>
      <c r="G1629" s="10"/>
    </row>
    <row r="1630" customFormat="false" ht="15" hidden="false" customHeight="true" outlineLevel="0" collapsed="false">
      <c r="A1630" s="12"/>
      <c r="B1630" s="10"/>
      <c r="C1630" s="15" t="str">
        <f aca="false">IF($B1630="","",IFERROR(INDEX(회원명부!$B$3:$B$502,MATCH($B1630,회원명부!$A$3:$A$502,0)),"미등록회원"))</f>
        <v/>
      </c>
      <c r="D1630" s="13"/>
      <c r="E1630" s="10"/>
      <c r="F1630" s="10"/>
      <c r="G1630" s="10"/>
    </row>
    <row r="1631" customFormat="false" ht="15" hidden="false" customHeight="true" outlineLevel="0" collapsed="false">
      <c r="A1631" s="12"/>
      <c r="B1631" s="10"/>
      <c r="C1631" s="15" t="str">
        <f aca="false">IF($B1631="","",IFERROR(INDEX(회원명부!$B$3:$B$502,MATCH($B1631,회원명부!$A$3:$A$502,0)),"미등록회원"))</f>
        <v/>
      </c>
      <c r="D1631" s="13"/>
      <c r="E1631" s="10"/>
      <c r="F1631" s="10"/>
      <c r="G1631" s="10"/>
    </row>
    <row r="1632" customFormat="false" ht="15" hidden="false" customHeight="true" outlineLevel="0" collapsed="false">
      <c r="A1632" s="12"/>
      <c r="B1632" s="10"/>
      <c r="C1632" s="15" t="str">
        <f aca="false">IF($B1632="","",IFERROR(INDEX(회원명부!$B$3:$B$502,MATCH($B1632,회원명부!$A$3:$A$502,0)),"미등록회원"))</f>
        <v/>
      </c>
      <c r="D1632" s="13"/>
      <c r="E1632" s="10"/>
      <c r="F1632" s="10"/>
      <c r="G1632" s="10"/>
    </row>
    <row r="1633" customFormat="false" ht="15" hidden="false" customHeight="true" outlineLevel="0" collapsed="false">
      <c r="A1633" s="12"/>
      <c r="B1633" s="10"/>
      <c r="C1633" s="15" t="str">
        <f aca="false">IF($B1633="","",IFERROR(INDEX(회원명부!$B$3:$B$502,MATCH($B1633,회원명부!$A$3:$A$502,0)),"미등록회원"))</f>
        <v/>
      </c>
      <c r="D1633" s="13"/>
      <c r="E1633" s="10"/>
      <c r="F1633" s="10"/>
      <c r="G1633" s="10"/>
    </row>
    <row r="1634" customFormat="false" ht="15" hidden="false" customHeight="true" outlineLevel="0" collapsed="false">
      <c r="A1634" s="12"/>
      <c r="B1634" s="10"/>
      <c r="C1634" s="15" t="str">
        <f aca="false">IF($B1634="","",IFERROR(INDEX(회원명부!$B$3:$B$502,MATCH($B1634,회원명부!$A$3:$A$502,0)),"미등록회원"))</f>
        <v/>
      </c>
      <c r="D1634" s="13"/>
      <c r="E1634" s="10"/>
      <c r="F1634" s="10"/>
      <c r="G1634" s="10"/>
    </row>
    <row r="1635" customFormat="false" ht="15" hidden="false" customHeight="true" outlineLevel="0" collapsed="false">
      <c r="A1635" s="12"/>
      <c r="B1635" s="10"/>
      <c r="C1635" s="15" t="str">
        <f aca="false">IF($B1635="","",IFERROR(INDEX(회원명부!$B$3:$B$502,MATCH($B1635,회원명부!$A$3:$A$502,0)),"미등록회원"))</f>
        <v/>
      </c>
      <c r="D1635" s="13"/>
      <c r="E1635" s="10"/>
      <c r="F1635" s="10"/>
      <c r="G1635" s="10"/>
    </row>
    <row r="1636" customFormat="false" ht="15" hidden="false" customHeight="true" outlineLevel="0" collapsed="false">
      <c r="A1636" s="12"/>
      <c r="B1636" s="10"/>
      <c r="C1636" s="15" t="str">
        <f aca="false">IF($B1636="","",IFERROR(INDEX(회원명부!$B$3:$B$502,MATCH($B1636,회원명부!$A$3:$A$502,0)),"미등록회원"))</f>
        <v/>
      </c>
      <c r="D1636" s="13"/>
      <c r="E1636" s="10"/>
      <c r="F1636" s="10"/>
      <c r="G1636" s="10"/>
    </row>
    <row r="1637" customFormat="false" ht="15" hidden="false" customHeight="true" outlineLevel="0" collapsed="false">
      <c r="A1637" s="12"/>
      <c r="B1637" s="10"/>
      <c r="C1637" s="15" t="str">
        <f aca="false">IF($B1637="","",IFERROR(INDEX(회원명부!$B$3:$B$502,MATCH($B1637,회원명부!$A$3:$A$502,0)),"미등록회원"))</f>
        <v/>
      </c>
      <c r="D1637" s="13"/>
      <c r="E1637" s="10"/>
      <c r="F1637" s="10"/>
      <c r="G1637" s="10"/>
    </row>
    <row r="1638" customFormat="false" ht="15" hidden="false" customHeight="true" outlineLevel="0" collapsed="false">
      <c r="A1638" s="12"/>
      <c r="B1638" s="10"/>
      <c r="C1638" s="15" t="str">
        <f aca="false">IF($B1638="","",IFERROR(INDEX(회원명부!$B$3:$B$502,MATCH($B1638,회원명부!$A$3:$A$502,0)),"미등록회원"))</f>
        <v/>
      </c>
      <c r="D1638" s="13"/>
      <c r="E1638" s="10"/>
      <c r="F1638" s="10"/>
      <c r="G1638" s="10"/>
    </row>
    <row r="1639" customFormat="false" ht="15" hidden="false" customHeight="true" outlineLevel="0" collapsed="false">
      <c r="A1639" s="12"/>
      <c r="B1639" s="10"/>
      <c r="C1639" s="15" t="str">
        <f aca="false">IF($B1639="","",IFERROR(INDEX(회원명부!$B$3:$B$502,MATCH($B1639,회원명부!$A$3:$A$502,0)),"미등록회원"))</f>
        <v/>
      </c>
      <c r="D1639" s="13"/>
      <c r="E1639" s="10"/>
      <c r="F1639" s="10"/>
      <c r="G1639" s="10"/>
    </row>
    <row r="1640" customFormat="false" ht="15" hidden="false" customHeight="true" outlineLevel="0" collapsed="false">
      <c r="A1640" s="12"/>
      <c r="B1640" s="10"/>
      <c r="C1640" s="15" t="str">
        <f aca="false">IF($B1640="","",IFERROR(INDEX(회원명부!$B$3:$B$502,MATCH($B1640,회원명부!$A$3:$A$502,0)),"미등록회원"))</f>
        <v/>
      </c>
      <c r="D1640" s="13"/>
      <c r="E1640" s="10"/>
      <c r="F1640" s="10"/>
      <c r="G1640" s="10"/>
    </row>
    <row r="1641" customFormat="false" ht="15" hidden="false" customHeight="true" outlineLevel="0" collapsed="false">
      <c r="A1641" s="12"/>
      <c r="B1641" s="10"/>
      <c r="C1641" s="15" t="str">
        <f aca="false">IF($B1641="","",IFERROR(INDEX(회원명부!$B$3:$B$502,MATCH($B1641,회원명부!$A$3:$A$502,0)),"미등록회원"))</f>
        <v/>
      </c>
      <c r="D1641" s="13"/>
      <c r="E1641" s="10"/>
      <c r="F1641" s="10"/>
      <c r="G1641" s="10"/>
    </row>
    <row r="1642" customFormat="false" ht="15" hidden="false" customHeight="true" outlineLevel="0" collapsed="false">
      <c r="A1642" s="12"/>
      <c r="B1642" s="10"/>
      <c r="C1642" s="15" t="str">
        <f aca="false">IF($B1642="","",IFERROR(INDEX(회원명부!$B$3:$B$502,MATCH($B1642,회원명부!$A$3:$A$502,0)),"미등록회원"))</f>
        <v/>
      </c>
      <c r="D1642" s="13"/>
      <c r="E1642" s="10"/>
      <c r="F1642" s="10"/>
      <c r="G1642" s="10"/>
    </row>
    <row r="1643" customFormat="false" ht="15" hidden="false" customHeight="true" outlineLevel="0" collapsed="false">
      <c r="A1643" s="12"/>
      <c r="B1643" s="10"/>
      <c r="C1643" s="15" t="str">
        <f aca="false">IF($B1643="","",IFERROR(INDEX(회원명부!$B$3:$B$502,MATCH($B1643,회원명부!$A$3:$A$502,0)),"미등록회원"))</f>
        <v/>
      </c>
      <c r="D1643" s="13"/>
      <c r="E1643" s="10"/>
      <c r="F1643" s="10"/>
      <c r="G1643" s="10"/>
    </row>
    <row r="1644" customFormat="false" ht="15" hidden="false" customHeight="true" outlineLevel="0" collapsed="false">
      <c r="A1644" s="12"/>
      <c r="B1644" s="10"/>
      <c r="C1644" s="15" t="str">
        <f aca="false">IF($B1644="","",IFERROR(INDEX(회원명부!$B$3:$B$502,MATCH($B1644,회원명부!$A$3:$A$502,0)),"미등록회원"))</f>
        <v/>
      </c>
      <c r="D1644" s="13"/>
      <c r="E1644" s="10"/>
      <c r="F1644" s="10"/>
      <c r="G1644" s="10"/>
    </row>
    <row r="1645" customFormat="false" ht="15" hidden="false" customHeight="true" outlineLevel="0" collapsed="false">
      <c r="A1645" s="12"/>
      <c r="B1645" s="10"/>
      <c r="C1645" s="15" t="str">
        <f aca="false">IF($B1645="","",IFERROR(INDEX(회원명부!$B$3:$B$502,MATCH($B1645,회원명부!$A$3:$A$502,0)),"미등록회원"))</f>
        <v/>
      </c>
      <c r="D1645" s="13"/>
      <c r="E1645" s="10"/>
      <c r="F1645" s="10"/>
      <c r="G1645" s="10"/>
    </row>
    <row r="1646" customFormat="false" ht="15" hidden="false" customHeight="true" outlineLevel="0" collapsed="false">
      <c r="A1646" s="12"/>
      <c r="B1646" s="10"/>
      <c r="C1646" s="15" t="str">
        <f aca="false">IF($B1646="","",IFERROR(INDEX(회원명부!$B$3:$B$502,MATCH($B1646,회원명부!$A$3:$A$502,0)),"미등록회원"))</f>
        <v/>
      </c>
      <c r="D1646" s="13"/>
      <c r="E1646" s="10"/>
      <c r="F1646" s="10"/>
      <c r="G1646" s="10"/>
    </row>
    <row r="1647" customFormat="false" ht="15" hidden="false" customHeight="true" outlineLevel="0" collapsed="false">
      <c r="A1647" s="12"/>
      <c r="B1647" s="10"/>
      <c r="C1647" s="15" t="str">
        <f aca="false">IF($B1647="","",IFERROR(INDEX(회원명부!$B$3:$B$502,MATCH($B1647,회원명부!$A$3:$A$502,0)),"미등록회원"))</f>
        <v/>
      </c>
      <c r="D1647" s="13"/>
      <c r="E1647" s="10"/>
      <c r="F1647" s="10"/>
      <c r="G1647" s="10"/>
    </row>
    <row r="1648" customFormat="false" ht="15" hidden="false" customHeight="true" outlineLevel="0" collapsed="false">
      <c r="A1648" s="12"/>
      <c r="B1648" s="10"/>
      <c r="C1648" s="15" t="str">
        <f aca="false">IF($B1648="","",IFERROR(INDEX(회원명부!$B$3:$B$502,MATCH($B1648,회원명부!$A$3:$A$502,0)),"미등록회원"))</f>
        <v/>
      </c>
      <c r="D1648" s="13"/>
      <c r="E1648" s="10"/>
      <c r="F1648" s="10"/>
      <c r="G1648" s="10"/>
    </row>
    <row r="1649" customFormat="false" ht="15" hidden="false" customHeight="true" outlineLevel="0" collapsed="false">
      <c r="A1649" s="12"/>
      <c r="B1649" s="10"/>
      <c r="C1649" s="15" t="str">
        <f aca="false">IF($B1649="","",IFERROR(INDEX(회원명부!$B$3:$B$502,MATCH($B1649,회원명부!$A$3:$A$502,0)),"미등록회원"))</f>
        <v/>
      </c>
      <c r="D1649" s="13"/>
      <c r="E1649" s="10"/>
      <c r="F1649" s="10"/>
      <c r="G1649" s="10"/>
    </row>
    <row r="1650" customFormat="false" ht="15" hidden="false" customHeight="true" outlineLevel="0" collapsed="false">
      <c r="A1650" s="12"/>
      <c r="B1650" s="10"/>
      <c r="C1650" s="15" t="str">
        <f aca="false">IF($B1650="","",IFERROR(INDEX(회원명부!$B$3:$B$502,MATCH($B1650,회원명부!$A$3:$A$502,0)),"미등록회원"))</f>
        <v/>
      </c>
      <c r="D1650" s="13"/>
      <c r="E1650" s="10"/>
      <c r="F1650" s="10"/>
      <c r="G1650" s="10"/>
    </row>
    <row r="1651" customFormat="false" ht="15" hidden="false" customHeight="true" outlineLevel="0" collapsed="false">
      <c r="A1651" s="12"/>
      <c r="B1651" s="10"/>
      <c r="C1651" s="15" t="str">
        <f aca="false">IF($B1651="","",IFERROR(INDEX(회원명부!$B$3:$B$502,MATCH($B1651,회원명부!$A$3:$A$502,0)),"미등록회원"))</f>
        <v/>
      </c>
      <c r="D1651" s="13"/>
      <c r="E1651" s="10"/>
      <c r="F1651" s="10"/>
      <c r="G1651" s="10"/>
    </row>
    <row r="1652" customFormat="false" ht="15" hidden="false" customHeight="true" outlineLevel="0" collapsed="false">
      <c r="A1652" s="12"/>
      <c r="B1652" s="10"/>
      <c r="C1652" s="15" t="str">
        <f aca="false">IF($B1652="","",IFERROR(INDEX(회원명부!$B$3:$B$502,MATCH($B1652,회원명부!$A$3:$A$502,0)),"미등록회원"))</f>
        <v/>
      </c>
      <c r="D1652" s="13"/>
      <c r="E1652" s="10"/>
      <c r="F1652" s="10"/>
      <c r="G1652" s="10"/>
    </row>
    <row r="1653" customFormat="false" ht="15" hidden="false" customHeight="true" outlineLevel="0" collapsed="false">
      <c r="A1653" s="12"/>
      <c r="B1653" s="10"/>
      <c r="C1653" s="15" t="str">
        <f aca="false">IF($B1653="","",IFERROR(INDEX(회원명부!$B$3:$B$502,MATCH($B1653,회원명부!$A$3:$A$502,0)),"미등록회원"))</f>
        <v/>
      </c>
      <c r="D1653" s="13"/>
      <c r="E1653" s="10"/>
      <c r="F1653" s="10"/>
      <c r="G1653" s="10"/>
    </row>
    <row r="1654" customFormat="false" ht="15" hidden="false" customHeight="true" outlineLevel="0" collapsed="false">
      <c r="A1654" s="12"/>
      <c r="B1654" s="10"/>
      <c r="C1654" s="15" t="str">
        <f aca="false">IF($B1654="","",IFERROR(INDEX(회원명부!$B$3:$B$502,MATCH($B1654,회원명부!$A$3:$A$502,0)),"미등록회원"))</f>
        <v/>
      </c>
      <c r="D1654" s="13"/>
      <c r="E1654" s="10"/>
      <c r="F1654" s="10"/>
      <c r="G1654" s="10"/>
    </row>
    <row r="1655" customFormat="false" ht="15" hidden="false" customHeight="true" outlineLevel="0" collapsed="false">
      <c r="A1655" s="12"/>
      <c r="B1655" s="10"/>
      <c r="C1655" s="15" t="str">
        <f aca="false">IF($B1655="","",IFERROR(INDEX(회원명부!$B$3:$B$502,MATCH($B1655,회원명부!$A$3:$A$502,0)),"미등록회원"))</f>
        <v/>
      </c>
      <c r="D1655" s="13"/>
      <c r="E1655" s="10"/>
      <c r="F1655" s="10"/>
      <c r="G1655" s="10"/>
    </row>
    <row r="1656" customFormat="false" ht="15" hidden="false" customHeight="true" outlineLevel="0" collapsed="false">
      <c r="A1656" s="12"/>
      <c r="B1656" s="10"/>
      <c r="C1656" s="15" t="str">
        <f aca="false">IF($B1656="","",IFERROR(INDEX(회원명부!$B$3:$B$502,MATCH($B1656,회원명부!$A$3:$A$502,0)),"미등록회원"))</f>
        <v/>
      </c>
      <c r="D1656" s="13"/>
      <c r="E1656" s="10"/>
      <c r="F1656" s="10"/>
      <c r="G1656" s="10"/>
    </row>
    <row r="1657" customFormat="false" ht="15" hidden="false" customHeight="true" outlineLevel="0" collapsed="false">
      <c r="A1657" s="12"/>
      <c r="B1657" s="10"/>
      <c r="C1657" s="15" t="str">
        <f aca="false">IF($B1657="","",IFERROR(INDEX(회원명부!$B$3:$B$502,MATCH($B1657,회원명부!$A$3:$A$502,0)),"미등록회원"))</f>
        <v/>
      </c>
      <c r="D1657" s="13"/>
      <c r="E1657" s="10"/>
      <c r="F1657" s="10"/>
      <c r="G1657" s="10"/>
    </row>
    <row r="1658" customFormat="false" ht="15" hidden="false" customHeight="true" outlineLevel="0" collapsed="false">
      <c r="A1658" s="12"/>
      <c r="B1658" s="10"/>
      <c r="C1658" s="15" t="str">
        <f aca="false">IF($B1658="","",IFERROR(INDEX(회원명부!$B$3:$B$502,MATCH($B1658,회원명부!$A$3:$A$502,0)),"미등록회원"))</f>
        <v/>
      </c>
      <c r="D1658" s="13"/>
      <c r="E1658" s="10"/>
      <c r="F1658" s="10"/>
      <c r="G1658" s="10"/>
    </row>
    <row r="1659" customFormat="false" ht="15" hidden="false" customHeight="true" outlineLevel="0" collapsed="false">
      <c r="A1659" s="12"/>
      <c r="B1659" s="10"/>
      <c r="C1659" s="15" t="str">
        <f aca="false">IF($B1659="","",IFERROR(INDEX(회원명부!$B$3:$B$502,MATCH($B1659,회원명부!$A$3:$A$502,0)),"미등록회원"))</f>
        <v/>
      </c>
      <c r="D1659" s="13"/>
      <c r="E1659" s="10"/>
      <c r="F1659" s="10"/>
      <c r="G1659" s="10"/>
    </row>
    <row r="1660" customFormat="false" ht="15" hidden="false" customHeight="true" outlineLevel="0" collapsed="false">
      <c r="A1660" s="12"/>
      <c r="B1660" s="10"/>
      <c r="C1660" s="15" t="str">
        <f aca="false">IF($B1660="","",IFERROR(INDEX(회원명부!$B$3:$B$502,MATCH($B1660,회원명부!$A$3:$A$502,0)),"미등록회원"))</f>
        <v/>
      </c>
      <c r="D1660" s="13"/>
      <c r="E1660" s="10"/>
      <c r="F1660" s="10"/>
      <c r="G1660" s="10"/>
    </row>
    <row r="1661" customFormat="false" ht="15" hidden="false" customHeight="true" outlineLevel="0" collapsed="false">
      <c r="A1661" s="12"/>
      <c r="B1661" s="10"/>
      <c r="C1661" s="15" t="str">
        <f aca="false">IF($B1661="","",IFERROR(INDEX(회원명부!$B$3:$B$502,MATCH($B1661,회원명부!$A$3:$A$502,0)),"미등록회원"))</f>
        <v/>
      </c>
      <c r="D1661" s="13"/>
      <c r="E1661" s="10"/>
      <c r="F1661" s="10"/>
      <c r="G1661" s="10"/>
    </row>
    <row r="1662" customFormat="false" ht="15" hidden="false" customHeight="true" outlineLevel="0" collapsed="false">
      <c r="A1662" s="12"/>
      <c r="B1662" s="10"/>
      <c r="C1662" s="15" t="str">
        <f aca="false">IF($B1662="","",IFERROR(INDEX(회원명부!$B$3:$B$502,MATCH($B1662,회원명부!$A$3:$A$502,0)),"미등록회원"))</f>
        <v/>
      </c>
      <c r="D1662" s="13"/>
      <c r="E1662" s="10"/>
      <c r="F1662" s="10"/>
      <c r="G1662" s="10"/>
    </row>
    <row r="1663" customFormat="false" ht="15" hidden="false" customHeight="true" outlineLevel="0" collapsed="false">
      <c r="A1663" s="12"/>
      <c r="B1663" s="10"/>
      <c r="C1663" s="15" t="str">
        <f aca="false">IF($B1663="","",IFERROR(INDEX(회원명부!$B$3:$B$502,MATCH($B1663,회원명부!$A$3:$A$502,0)),"미등록회원"))</f>
        <v/>
      </c>
      <c r="D1663" s="13"/>
      <c r="E1663" s="10"/>
      <c r="F1663" s="10"/>
      <c r="G1663" s="10"/>
    </row>
    <row r="1664" customFormat="false" ht="15" hidden="false" customHeight="true" outlineLevel="0" collapsed="false">
      <c r="A1664" s="12"/>
      <c r="B1664" s="10"/>
      <c r="C1664" s="15" t="str">
        <f aca="false">IF($B1664="","",IFERROR(INDEX(회원명부!$B$3:$B$502,MATCH($B1664,회원명부!$A$3:$A$502,0)),"미등록회원"))</f>
        <v/>
      </c>
      <c r="D1664" s="13"/>
      <c r="E1664" s="10"/>
      <c r="F1664" s="10"/>
      <c r="G1664" s="10"/>
    </row>
    <row r="1665" customFormat="false" ht="15" hidden="false" customHeight="true" outlineLevel="0" collapsed="false">
      <c r="A1665" s="12"/>
      <c r="B1665" s="10"/>
      <c r="C1665" s="15" t="str">
        <f aca="false">IF($B1665="","",IFERROR(INDEX(회원명부!$B$3:$B$502,MATCH($B1665,회원명부!$A$3:$A$502,0)),"미등록회원"))</f>
        <v/>
      </c>
      <c r="D1665" s="13"/>
      <c r="E1665" s="10"/>
      <c r="F1665" s="10"/>
      <c r="G1665" s="10"/>
    </row>
    <row r="1666" customFormat="false" ht="15" hidden="false" customHeight="true" outlineLevel="0" collapsed="false">
      <c r="A1666" s="12"/>
      <c r="B1666" s="10"/>
      <c r="C1666" s="15" t="str">
        <f aca="false">IF($B1666="","",IFERROR(INDEX(회원명부!$B$3:$B$502,MATCH($B1666,회원명부!$A$3:$A$502,0)),"미등록회원"))</f>
        <v/>
      </c>
      <c r="D1666" s="13"/>
      <c r="E1666" s="10"/>
      <c r="F1666" s="10"/>
      <c r="G1666" s="10"/>
    </row>
    <row r="1667" customFormat="false" ht="15" hidden="false" customHeight="true" outlineLevel="0" collapsed="false">
      <c r="A1667" s="12"/>
      <c r="B1667" s="10"/>
      <c r="C1667" s="15" t="str">
        <f aca="false">IF($B1667="","",IFERROR(INDEX(회원명부!$B$3:$B$502,MATCH($B1667,회원명부!$A$3:$A$502,0)),"미등록회원"))</f>
        <v/>
      </c>
      <c r="D1667" s="13"/>
      <c r="E1667" s="10"/>
      <c r="F1667" s="10"/>
      <c r="G1667" s="10"/>
    </row>
    <row r="1668" customFormat="false" ht="15" hidden="false" customHeight="true" outlineLevel="0" collapsed="false">
      <c r="A1668" s="12"/>
      <c r="B1668" s="10"/>
      <c r="C1668" s="15" t="str">
        <f aca="false">IF($B1668="","",IFERROR(INDEX(회원명부!$B$3:$B$502,MATCH($B1668,회원명부!$A$3:$A$502,0)),"미등록회원"))</f>
        <v/>
      </c>
      <c r="D1668" s="13"/>
      <c r="E1668" s="10"/>
      <c r="F1668" s="10"/>
      <c r="G1668" s="10"/>
    </row>
    <row r="1669" customFormat="false" ht="15" hidden="false" customHeight="true" outlineLevel="0" collapsed="false">
      <c r="A1669" s="12"/>
      <c r="B1669" s="10"/>
      <c r="C1669" s="15" t="str">
        <f aca="false">IF($B1669="","",IFERROR(INDEX(회원명부!$B$3:$B$502,MATCH($B1669,회원명부!$A$3:$A$502,0)),"미등록회원"))</f>
        <v/>
      </c>
      <c r="D1669" s="13"/>
      <c r="E1669" s="10"/>
      <c r="F1669" s="10"/>
      <c r="G1669" s="10"/>
    </row>
    <row r="1670" customFormat="false" ht="15" hidden="false" customHeight="true" outlineLevel="0" collapsed="false">
      <c r="A1670" s="12"/>
      <c r="B1670" s="10"/>
      <c r="C1670" s="15" t="str">
        <f aca="false">IF($B1670="","",IFERROR(INDEX(회원명부!$B$3:$B$502,MATCH($B1670,회원명부!$A$3:$A$502,0)),"미등록회원"))</f>
        <v/>
      </c>
      <c r="D1670" s="13"/>
      <c r="E1670" s="10"/>
      <c r="F1670" s="10"/>
      <c r="G1670" s="10"/>
    </row>
    <row r="1671" customFormat="false" ht="15" hidden="false" customHeight="true" outlineLevel="0" collapsed="false">
      <c r="A1671" s="12"/>
      <c r="B1671" s="10"/>
      <c r="C1671" s="15" t="str">
        <f aca="false">IF($B1671="","",IFERROR(INDEX(회원명부!$B$3:$B$502,MATCH($B1671,회원명부!$A$3:$A$502,0)),"미등록회원"))</f>
        <v/>
      </c>
      <c r="D1671" s="13"/>
      <c r="E1671" s="10"/>
      <c r="F1671" s="10"/>
      <c r="G1671" s="10"/>
    </row>
    <row r="1672" customFormat="false" ht="15" hidden="false" customHeight="true" outlineLevel="0" collapsed="false">
      <c r="A1672" s="12"/>
      <c r="B1672" s="10"/>
      <c r="C1672" s="15" t="str">
        <f aca="false">IF($B1672="","",IFERROR(INDEX(회원명부!$B$3:$B$502,MATCH($B1672,회원명부!$A$3:$A$502,0)),"미등록회원"))</f>
        <v/>
      </c>
      <c r="D1672" s="13"/>
      <c r="E1672" s="10"/>
      <c r="F1672" s="10"/>
      <c r="G1672" s="10"/>
    </row>
    <row r="1673" customFormat="false" ht="15" hidden="false" customHeight="true" outlineLevel="0" collapsed="false">
      <c r="A1673" s="12"/>
      <c r="B1673" s="10"/>
      <c r="C1673" s="15" t="str">
        <f aca="false">IF($B1673="","",IFERROR(INDEX(회원명부!$B$3:$B$502,MATCH($B1673,회원명부!$A$3:$A$502,0)),"미등록회원"))</f>
        <v/>
      </c>
      <c r="D1673" s="13"/>
      <c r="E1673" s="10"/>
      <c r="F1673" s="10"/>
      <c r="G1673" s="10"/>
    </row>
    <row r="1674" customFormat="false" ht="15" hidden="false" customHeight="true" outlineLevel="0" collapsed="false">
      <c r="A1674" s="12"/>
      <c r="B1674" s="10"/>
      <c r="C1674" s="15" t="str">
        <f aca="false">IF($B1674="","",IFERROR(INDEX(회원명부!$B$3:$B$502,MATCH($B1674,회원명부!$A$3:$A$502,0)),"미등록회원"))</f>
        <v/>
      </c>
      <c r="D1674" s="13"/>
      <c r="E1674" s="10"/>
      <c r="F1674" s="10"/>
      <c r="G1674" s="10"/>
    </row>
    <row r="1675" customFormat="false" ht="15" hidden="false" customHeight="true" outlineLevel="0" collapsed="false">
      <c r="A1675" s="12"/>
      <c r="B1675" s="10"/>
      <c r="C1675" s="15" t="str">
        <f aca="false">IF($B1675="","",IFERROR(INDEX(회원명부!$B$3:$B$502,MATCH($B1675,회원명부!$A$3:$A$502,0)),"미등록회원"))</f>
        <v/>
      </c>
      <c r="D1675" s="13"/>
      <c r="E1675" s="10"/>
      <c r="F1675" s="10"/>
      <c r="G1675" s="10"/>
    </row>
    <row r="1676" customFormat="false" ht="15" hidden="false" customHeight="true" outlineLevel="0" collapsed="false">
      <c r="A1676" s="12"/>
      <c r="B1676" s="10"/>
      <c r="C1676" s="15" t="str">
        <f aca="false">IF($B1676="","",IFERROR(INDEX(회원명부!$B$3:$B$502,MATCH($B1676,회원명부!$A$3:$A$502,0)),"미등록회원"))</f>
        <v/>
      </c>
      <c r="D1676" s="13"/>
      <c r="E1676" s="10"/>
      <c r="F1676" s="10"/>
      <c r="G1676" s="10"/>
    </row>
    <row r="1677" customFormat="false" ht="15" hidden="false" customHeight="true" outlineLevel="0" collapsed="false">
      <c r="A1677" s="12"/>
      <c r="B1677" s="10"/>
      <c r="C1677" s="15" t="str">
        <f aca="false">IF($B1677="","",IFERROR(INDEX(회원명부!$B$3:$B$502,MATCH($B1677,회원명부!$A$3:$A$502,0)),"미등록회원"))</f>
        <v/>
      </c>
      <c r="D1677" s="13"/>
      <c r="E1677" s="10"/>
      <c r="F1677" s="10"/>
      <c r="G1677" s="10"/>
    </row>
    <row r="1678" customFormat="false" ht="15" hidden="false" customHeight="true" outlineLevel="0" collapsed="false">
      <c r="A1678" s="12"/>
      <c r="B1678" s="10"/>
      <c r="C1678" s="15" t="str">
        <f aca="false">IF($B1678="","",IFERROR(INDEX(회원명부!$B$3:$B$502,MATCH($B1678,회원명부!$A$3:$A$502,0)),"미등록회원"))</f>
        <v/>
      </c>
      <c r="D1678" s="13"/>
      <c r="E1678" s="10"/>
      <c r="F1678" s="10"/>
      <c r="G1678" s="10"/>
    </row>
    <row r="1679" customFormat="false" ht="15" hidden="false" customHeight="true" outlineLevel="0" collapsed="false">
      <c r="A1679" s="12"/>
      <c r="B1679" s="10"/>
      <c r="C1679" s="15" t="str">
        <f aca="false">IF($B1679="","",IFERROR(INDEX(회원명부!$B$3:$B$502,MATCH($B1679,회원명부!$A$3:$A$502,0)),"미등록회원"))</f>
        <v/>
      </c>
      <c r="D1679" s="13"/>
      <c r="E1679" s="10"/>
      <c r="F1679" s="10"/>
      <c r="G1679" s="10"/>
    </row>
    <row r="1680" customFormat="false" ht="15" hidden="false" customHeight="true" outlineLevel="0" collapsed="false">
      <c r="A1680" s="12"/>
      <c r="B1680" s="10"/>
      <c r="C1680" s="15" t="str">
        <f aca="false">IF($B1680="","",IFERROR(INDEX(회원명부!$B$3:$B$502,MATCH($B1680,회원명부!$A$3:$A$502,0)),"미등록회원"))</f>
        <v/>
      </c>
      <c r="D1680" s="13"/>
      <c r="E1680" s="10"/>
      <c r="F1680" s="10"/>
      <c r="G1680" s="10"/>
    </row>
    <row r="1681" customFormat="false" ht="15" hidden="false" customHeight="true" outlineLevel="0" collapsed="false">
      <c r="A1681" s="12"/>
      <c r="B1681" s="10"/>
      <c r="C1681" s="15" t="str">
        <f aca="false">IF($B1681="","",IFERROR(INDEX(회원명부!$B$3:$B$502,MATCH($B1681,회원명부!$A$3:$A$502,0)),"미등록회원"))</f>
        <v/>
      </c>
      <c r="D1681" s="13"/>
      <c r="E1681" s="10"/>
      <c r="F1681" s="10"/>
      <c r="G1681" s="10"/>
    </row>
    <row r="1682" customFormat="false" ht="15" hidden="false" customHeight="true" outlineLevel="0" collapsed="false">
      <c r="A1682" s="12"/>
      <c r="B1682" s="10"/>
      <c r="C1682" s="15" t="str">
        <f aca="false">IF($B1682="","",IFERROR(INDEX(회원명부!$B$3:$B$502,MATCH($B1682,회원명부!$A$3:$A$502,0)),"미등록회원"))</f>
        <v/>
      </c>
      <c r="D1682" s="13"/>
      <c r="E1682" s="10"/>
      <c r="F1682" s="10"/>
      <c r="G1682" s="10"/>
    </row>
    <row r="1683" customFormat="false" ht="15" hidden="false" customHeight="true" outlineLevel="0" collapsed="false">
      <c r="A1683" s="12"/>
      <c r="B1683" s="10"/>
      <c r="C1683" s="15" t="str">
        <f aca="false">IF($B1683="","",IFERROR(INDEX(회원명부!$B$3:$B$502,MATCH($B1683,회원명부!$A$3:$A$502,0)),"미등록회원"))</f>
        <v/>
      </c>
      <c r="D1683" s="13"/>
      <c r="E1683" s="10"/>
      <c r="F1683" s="10"/>
      <c r="G1683" s="10"/>
    </row>
    <row r="1684" customFormat="false" ht="15" hidden="false" customHeight="true" outlineLevel="0" collapsed="false">
      <c r="A1684" s="12"/>
      <c r="B1684" s="10"/>
      <c r="C1684" s="15" t="str">
        <f aca="false">IF($B1684="","",IFERROR(INDEX(회원명부!$B$3:$B$502,MATCH($B1684,회원명부!$A$3:$A$502,0)),"미등록회원"))</f>
        <v/>
      </c>
      <c r="D1684" s="13"/>
      <c r="E1684" s="10"/>
      <c r="F1684" s="10"/>
      <c r="G1684" s="10"/>
    </row>
    <row r="1685" customFormat="false" ht="15" hidden="false" customHeight="true" outlineLevel="0" collapsed="false">
      <c r="A1685" s="12"/>
      <c r="B1685" s="10"/>
      <c r="C1685" s="15" t="str">
        <f aca="false">IF($B1685="","",IFERROR(INDEX(회원명부!$B$3:$B$502,MATCH($B1685,회원명부!$A$3:$A$502,0)),"미등록회원"))</f>
        <v/>
      </c>
      <c r="D1685" s="13"/>
      <c r="E1685" s="10"/>
      <c r="F1685" s="10"/>
      <c r="G1685" s="10"/>
    </row>
    <row r="1686" customFormat="false" ht="15" hidden="false" customHeight="true" outlineLevel="0" collapsed="false">
      <c r="A1686" s="12"/>
      <c r="B1686" s="10"/>
      <c r="C1686" s="15" t="str">
        <f aca="false">IF($B1686="","",IFERROR(INDEX(회원명부!$B$3:$B$502,MATCH($B1686,회원명부!$A$3:$A$502,0)),"미등록회원"))</f>
        <v/>
      </c>
      <c r="D1686" s="13"/>
      <c r="E1686" s="10"/>
      <c r="F1686" s="10"/>
      <c r="G1686" s="10"/>
    </row>
    <row r="1687" customFormat="false" ht="15" hidden="false" customHeight="true" outlineLevel="0" collapsed="false">
      <c r="A1687" s="12"/>
      <c r="B1687" s="10"/>
      <c r="C1687" s="15" t="str">
        <f aca="false">IF($B1687="","",IFERROR(INDEX(회원명부!$B$3:$B$502,MATCH($B1687,회원명부!$A$3:$A$502,0)),"미등록회원"))</f>
        <v/>
      </c>
      <c r="D1687" s="13"/>
      <c r="E1687" s="10"/>
      <c r="F1687" s="10"/>
      <c r="G1687" s="10"/>
    </row>
    <row r="1688" customFormat="false" ht="15" hidden="false" customHeight="true" outlineLevel="0" collapsed="false">
      <c r="A1688" s="12"/>
      <c r="B1688" s="10"/>
      <c r="C1688" s="15" t="str">
        <f aca="false">IF($B1688="","",IFERROR(INDEX(회원명부!$B$3:$B$502,MATCH($B1688,회원명부!$A$3:$A$502,0)),"미등록회원"))</f>
        <v/>
      </c>
      <c r="D1688" s="13"/>
      <c r="E1688" s="10"/>
      <c r="F1688" s="10"/>
      <c r="G1688" s="10"/>
    </row>
    <row r="1689" customFormat="false" ht="15" hidden="false" customHeight="true" outlineLevel="0" collapsed="false">
      <c r="A1689" s="12"/>
      <c r="B1689" s="10"/>
      <c r="C1689" s="15" t="str">
        <f aca="false">IF($B1689="","",IFERROR(INDEX(회원명부!$B$3:$B$502,MATCH($B1689,회원명부!$A$3:$A$502,0)),"미등록회원"))</f>
        <v/>
      </c>
      <c r="D1689" s="13"/>
      <c r="E1689" s="10"/>
      <c r="F1689" s="10"/>
      <c r="G1689" s="10"/>
    </row>
    <row r="1690" customFormat="false" ht="15" hidden="false" customHeight="true" outlineLevel="0" collapsed="false">
      <c r="A1690" s="12"/>
      <c r="B1690" s="10"/>
      <c r="C1690" s="15" t="str">
        <f aca="false">IF($B1690="","",IFERROR(INDEX(회원명부!$B$3:$B$502,MATCH($B1690,회원명부!$A$3:$A$502,0)),"미등록회원"))</f>
        <v/>
      </c>
      <c r="D1690" s="13"/>
      <c r="E1690" s="10"/>
      <c r="F1690" s="10"/>
      <c r="G1690" s="10"/>
    </row>
    <row r="1691" customFormat="false" ht="15" hidden="false" customHeight="true" outlineLevel="0" collapsed="false">
      <c r="A1691" s="12"/>
      <c r="B1691" s="10"/>
      <c r="C1691" s="15" t="str">
        <f aca="false">IF($B1691="","",IFERROR(INDEX(회원명부!$B$3:$B$502,MATCH($B1691,회원명부!$A$3:$A$502,0)),"미등록회원"))</f>
        <v/>
      </c>
      <c r="D1691" s="13"/>
      <c r="E1691" s="10"/>
      <c r="F1691" s="10"/>
      <c r="G1691" s="10"/>
    </row>
    <row r="1692" customFormat="false" ht="15" hidden="false" customHeight="true" outlineLevel="0" collapsed="false">
      <c r="A1692" s="12"/>
      <c r="B1692" s="10"/>
      <c r="C1692" s="15" t="str">
        <f aca="false">IF($B1692="","",IFERROR(INDEX(회원명부!$B$3:$B$502,MATCH($B1692,회원명부!$A$3:$A$502,0)),"미등록회원"))</f>
        <v/>
      </c>
      <c r="D1692" s="13"/>
      <c r="E1692" s="10"/>
      <c r="F1692" s="10"/>
      <c r="G1692" s="10"/>
    </row>
    <row r="1693" customFormat="false" ht="15" hidden="false" customHeight="true" outlineLevel="0" collapsed="false">
      <c r="A1693" s="12"/>
      <c r="B1693" s="10"/>
      <c r="C1693" s="15" t="str">
        <f aca="false">IF($B1693="","",IFERROR(INDEX(회원명부!$B$3:$B$502,MATCH($B1693,회원명부!$A$3:$A$502,0)),"미등록회원"))</f>
        <v/>
      </c>
      <c r="D1693" s="13"/>
      <c r="E1693" s="10"/>
      <c r="F1693" s="10"/>
      <c r="G1693" s="10"/>
    </row>
    <row r="1694" customFormat="false" ht="15" hidden="false" customHeight="true" outlineLevel="0" collapsed="false">
      <c r="A1694" s="12"/>
      <c r="B1694" s="10"/>
      <c r="C1694" s="15" t="str">
        <f aca="false">IF($B1694="","",IFERROR(INDEX(회원명부!$B$3:$B$502,MATCH($B1694,회원명부!$A$3:$A$502,0)),"미등록회원"))</f>
        <v/>
      </c>
      <c r="D1694" s="13"/>
      <c r="E1694" s="10"/>
      <c r="F1694" s="10"/>
      <c r="G1694" s="10"/>
    </row>
    <row r="1695" customFormat="false" ht="15" hidden="false" customHeight="true" outlineLevel="0" collapsed="false">
      <c r="A1695" s="12"/>
      <c r="B1695" s="10"/>
      <c r="C1695" s="15" t="str">
        <f aca="false">IF($B1695="","",IFERROR(INDEX(회원명부!$B$3:$B$502,MATCH($B1695,회원명부!$A$3:$A$502,0)),"미등록회원"))</f>
        <v/>
      </c>
      <c r="D1695" s="13"/>
      <c r="E1695" s="10"/>
      <c r="F1695" s="10"/>
      <c r="G1695" s="10"/>
    </row>
    <row r="1696" customFormat="false" ht="15" hidden="false" customHeight="true" outlineLevel="0" collapsed="false">
      <c r="A1696" s="12"/>
      <c r="B1696" s="10"/>
      <c r="C1696" s="15" t="str">
        <f aca="false">IF($B1696="","",IFERROR(INDEX(회원명부!$B$3:$B$502,MATCH($B1696,회원명부!$A$3:$A$502,0)),"미등록회원"))</f>
        <v/>
      </c>
      <c r="D1696" s="13"/>
      <c r="E1696" s="10"/>
      <c r="F1696" s="10"/>
      <c r="G1696" s="10"/>
    </row>
    <row r="1697" customFormat="false" ht="15" hidden="false" customHeight="true" outlineLevel="0" collapsed="false">
      <c r="A1697" s="12"/>
      <c r="B1697" s="10"/>
      <c r="C1697" s="15" t="str">
        <f aca="false">IF($B1697="","",IFERROR(INDEX(회원명부!$B$3:$B$502,MATCH($B1697,회원명부!$A$3:$A$502,0)),"미등록회원"))</f>
        <v/>
      </c>
      <c r="D1697" s="13"/>
      <c r="E1697" s="10"/>
      <c r="F1697" s="10"/>
      <c r="G1697" s="10"/>
    </row>
    <row r="1698" customFormat="false" ht="15" hidden="false" customHeight="true" outlineLevel="0" collapsed="false">
      <c r="A1698" s="12"/>
      <c r="B1698" s="10"/>
      <c r="C1698" s="15" t="str">
        <f aca="false">IF($B1698="","",IFERROR(INDEX(회원명부!$B$3:$B$502,MATCH($B1698,회원명부!$A$3:$A$502,0)),"미등록회원"))</f>
        <v/>
      </c>
      <c r="D1698" s="13"/>
      <c r="E1698" s="10"/>
      <c r="F1698" s="10"/>
      <c r="G1698" s="10"/>
    </row>
    <row r="1699" customFormat="false" ht="15" hidden="false" customHeight="true" outlineLevel="0" collapsed="false">
      <c r="A1699" s="12"/>
      <c r="B1699" s="10"/>
      <c r="C1699" s="15" t="str">
        <f aca="false">IF($B1699="","",IFERROR(INDEX(회원명부!$B$3:$B$502,MATCH($B1699,회원명부!$A$3:$A$502,0)),"미등록회원"))</f>
        <v/>
      </c>
      <c r="D1699" s="13"/>
      <c r="E1699" s="10"/>
      <c r="F1699" s="10"/>
      <c r="G1699" s="10"/>
    </row>
    <row r="1700" customFormat="false" ht="15" hidden="false" customHeight="true" outlineLevel="0" collapsed="false">
      <c r="A1700" s="12"/>
      <c r="B1700" s="10"/>
      <c r="C1700" s="15" t="str">
        <f aca="false">IF($B1700="","",IFERROR(INDEX(회원명부!$B$3:$B$502,MATCH($B1700,회원명부!$A$3:$A$502,0)),"미등록회원"))</f>
        <v/>
      </c>
      <c r="D1700" s="13"/>
      <c r="E1700" s="10"/>
      <c r="F1700" s="10"/>
      <c r="G1700" s="10"/>
    </row>
    <row r="1701" customFormat="false" ht="15" hidden="false" customHeight="true" outlineLevel="0" collapsed="false">
      <c r="A1701" s="12"/>
      <c r="B1701" s="10"/>
      <c r="C1701" s="15" t="str">
        <f aca="false">IF($B1701="","",IFERROR(INDEX(회원명부!$B$3:$B$502,MATCH($B1701,회원명부!$A$3:$A$502,0)),"미등록회원"))</f>
        <v/>
      </c>
      <c r="D1701" s="13"/>
      <c r="E1701" s="10"/>
      <c r="F1701" s="10"/>
      <c r="G1701" s="10"/>
    </row>
    <row r="1702" customFormat="false" ht="15" hidden="false" customHeight="true" outlineLevel="0" collapsed="false">
      <c r="A1702" s="12"/>
      <c r="B1702" s="10"/>
      <c r="C1702" s="15" t="str">
        <f aca="false">IF($B1702="","",IFERROR(INDEX(회원명부!$B$3:$B$502,MATCH($B1702,회원명부!$A$3:$A$502,0)),"미등록회원"))</f>
        <v/>
      </c>
      <c r="D1702" s="13"/>
      <c r="E1702" s="10"/>
      <c r="F1702" s="10"/>
      <c r="G1702" s="10"/>
    </row>
    <row r="1703" customFormat="false" ht="15" hidden="false" customHeight="true" outlineLevel="0" collapsed="false">
      <c r="A1703" s="12"/>
      <c r="B1703" s="10"/>
      <c r="C1703" s="15" t="str">
        <f aca="false">IF($B1703="","",IFERROR(INDEX(회원명부!$B$3:$B$502,MATCH($B1703,회원명부!$A$3:$A$502,0)),"미등록회원"))</f>
        <v/>
      </c>
      <c r="D1703" s="13"/>
      <c r="E1703" s="10"/>
      <c r="F1703" s="10"/>
      <c r="G1703" s="10"/>
    </row>
    <row r="1704" customFormat="false" ht="15" hidden="false" customHeight="true" outlineLevel="0" collapsed="false">
      <c r="A1704" s="12"/>
      <c r="B1704" s="10"/>
      <c r="C1704" s="15" t="str">
        <f aca="false">IF($B1704="","",IFERROR(INDEX(회원명부!$B$3:$B$502,MATCH($B1704,회원명부!$A$3:$A$502,0)),"미등록회원"))</f>
        <v/>
      </c>
      <c r="D1704" s="13"/>
      <c r="E1704" s="10"/>
      <c r="F1704" s="10"/>
      <c r="G1704" s="10"/>
    </row>
    <row r="1705" customFormat="false" ht="15" hidden="false" customHeight="true" outlineLevel="0" collapsed="false">
      <c r="A1705" s="12"/>
      <c r="B1705" s="10"/>
      <c r="C1705" s="15" t="str">
        <f aca="false">IF($B1705="","",IFERROR(INDEX(회원명부!$B$3:$B$502,MATCH($B1705,회원명부!$A$3:$A$502,0)),"미등록회원"))</f>
        <v/>
      </c>
      <c r="D1705" s="13"/>
      <c r="E1705" s="10"/>
      <c r="F1705" s="10"/>
      <c r="G1705" s="10"/>
    </row>
    <row r="1706" customFormat="false" ht="15" hidden="false" customHeight="true" outlineLevel="0" collapsed="false">
      <c r="A1706" s="12"/>
      <c r="B1706" s="10"/>
      <c r="C1706" s="15" t="str">
        <f aca="false">IF($B1706="","",IFERROR(INDEX(회원명부!$B$3:$B$502,MATCH($B1706,회원명부!$A$3:$A$502,0)),"미등록회원"))</f>
        <v/>
      </c>
      <c r="D1706" s="13"/>
      <c r="E1706" s="10"/>
      <c r="F1706" s="10"/>
      <c r="G1706" s="10"/>
    </row>
    <row r="1707" customFormat="false" ht="15" hidden="false" customHeight="true" outlineLevel="0" collapsed="false">
      <c r="A1707" s="12"/>
      <c r="B1707" s="10"/>
      <c r="C1707" s="15" t="str">
        <f aca="false">IF($B1707="","",IFERROR(INDEX(회원명부!$B$3:$B$502,MATCH($B1707,회원명부!$A$3:$A$502,0)),"미등록회원"))</f>
        <v/>
      </c>
      <c r="D1707" s="13"/>
      <c r="E1707" s="10"/>
      <c r="F1707" s="10"/>
      <c r="G1707" s="10"/>
    </row>
    <row r="1708" customFormat="false" ht="15" hidden="false" customHeight="true" outlineLevel="0" collapsed="false">
      <c r="A1708" s="12"/>
      <c r="B1708" s="10"/>
      <c r="C1708" s="15" t="str">
        <f aca="false">IF($B1708="","",IFERROR(INDEX(회원명부!$B$3:$B$502,MATCH($B1708,회원명부!$A$3:$A$502,0)),"미등록회원"))</f>
        <v/>
      </c>
      <c r="D1708" s="13"/>
      <c r="E1708" s="10"/>
      <c r="F1708" s="10"/>
      <c r="G1708" s="10"/>
    </row>
    <row r="1709" customFormat="false" ht="15" hidden="false" customHeight="true" outlineLevel="0" collapsed="false">
      <c r="A1709" s="12"/>
      <c r="B1709" s="10"/>
      <c r="C1709" s="15" t="str">
        <f aca="false">IF($B1709="","",IFERROR(INDEX(회원명부!$B$3:$B$502,MATCH($B1709,회원명부!$A$3:$A$502,0)),"미등록회원"))</f>
        <v/>
      </c>
      <c r="D1709" s="13"/>
      <c r="E1709" s="10"/>
      <c r="F1709" s="10"/>
      <c r="G1709" s="10"/>
    </row>
    <row r="1710" customFormat="false" ht="15" hidden="false" customHeight="true" outlineLevel="0" collapsed="false">
      <c r="A1710" s="12"/>
      <c r="B1710" s="10"/>
      <c r="C1710" s="15" t="str">
        <f aca="false">IF($B1710="","",IFERROR(INDEX(회원명부!$B$3:$B$502,MATCH($B1710,회원명부!$A$3:$A$502,0)),"미등록회원"))</f>
        <v/>
      </c>
      <c r="D1710" s="13"/>
      <c r="E1710" s="10"/>
      <c r="F1710" s="10"/>
      <c r="G1710" s="10"/>
    </row>
    <row r="1711" customFormat="false" ht="15" hidden="false" customHeight="true" outlineLevel="0" collapsed="false">
      <c r="A1711" s="12"/>
      <c r="B1711" s="10"/>
      <c r="C1711" s="15" t="str">
        <f aca="false">IF($B1711="","",IFERROR(INDEX(회원명부!$B$3:$B$502,MATCH($B1711,회원명부!$A$3:$A$502,0)),"미등록회원"))</f>
        <v/>
      </c>
      <c r="D1711" s="13"/>
      <c r="E1711" s="10"/>
      <c r="F1711" s="10"/>
      <c r="G1711" s="10"/>
    </row>
    <row r="1712" customFormat="false" ht="15" hidden="false" customHeight="true" outlineLevel="0" collapsed="false">
      <c r="A1712" s="12"/>
      <c r="B1712" s="10"/>
      <c r="C1712" s="15" t="str">
        <f aca="false">IF($B1712="","",IFERROR(INDEX(회원명부!$B$3:$B$502,MATCH($B1712,회원명부!$A$3:$A$502,0)),"미등록회원"))</f>
        <v/>
      </c>
      <c r="D1712" s="13"/>
      <c r="E1712" s="10"/>
      <c r="F1712" s="10"/>
      <c r="G1712" s="10"/>
    </row>
    <row r="1713" customFormat="false" ht="15" hidden="false" customHeight="true" outlineLevel="0" collapsed="false">
      <c r="A1713" s="12"/>
      <c r="B1713" s="10"/>
      <c r="C1713" s="15" t="str">
        <f aca="false">IF($B1713="","",IFERROR(INDEX(회원명부!$B$3:$B$502,MATCH($B1713,회원명부!$A$3:$A$502,0)),"미등록회원"))</f>
        <v/>
      </c>
      <c r="D1713" s="13"/>
      <c r="E1713" s="10"/>
      <c r="F1713" s="10"/>
      <c r="G1713" s="10"/>
    </row>
    <row r="1714" customFormat="false" ht="15" hidden="false" customHeight="true" outlineLevel="0" collapsed="false">
      <c r="A1714" s="12"/>
      <c r="B1714" s="10"/>
      <c r="C1714" s="15" t="str">
        <f aca="false">IF($B1714="","",IFERROR(INDEX(회원명부!$B$3:$B$502,MATCH($B1714,회원명부!$A$3:$A$502,0)),"미등록회원"))</f>
        <v/>
      </c>
      <c r="D1714" s="13"/>
      <c r="E1714" s="10"/>
      <c r="F1714" s="10"/>
      <c r="G1714" s="10"/>
    </row>
    <row r="1715" customFormat="false" ht="15" hidden="false" customHeight="true" outlineLevel="0" collapsed="false">
      <c r="A1715" s="12"/>
      <c r="B1715" s="10"/>
      <c r="C1715" s="15" t="str">
        <f aca="false">IF($B1715="","",IFERROR(INDEX(회원명부!$B$3:$B$502,MATCH($B1715,회원명부!$A$3:$A$502,0)),"미등록회원"))</f>
        <v/>
      </c>
      <c r="D1715" s="13"/>
      <c r="E1715" s="10"/>
      <c r="F1715" s="10"/>
      <c r="G1715" s="10"/>
    </row>
    <row r="1716" customFormat="false" ht="15" hidden="false" customHeight="true" outlineLevel="0" collapsed="false">
      <c r="A1716" s="12"/>
      <c r="B1716" s="10"/>
      <c r="C1716" s="15" t="str">
        <f aca="false">IF($B1716="","",IFERROR(INDEX(회원명부!$B$3:$B$502,MATCH($B1716,회원명부!$A$3:$A$502,0)),"미등록회원"))</f>
        <v/>
      </c>
      <c r="D1716" s="13"/>
      <c r="E1716" s="10"/>
      <c r="F1716" s="10"/>
      <c r="G1716" s="10"/>
    </row>
    <row r="1717" customFormat="false" ht="15" hidden="false" customHeight="true" outlineLevel="0" collapsed="false">
      <c r="A1717" s="12"/>
      <c r="B1717" s="10"/>
      <c r="C1717" s="15" t="str">
        <f aca="false">IF($B1717="","",IFERROR(INDEX(회원명부!$B$3:$B$502,MATCH($B1717,회원명부!$A$3:$A$502,0)),"미등록회원"))</f>
        <v/>
      </c>
      <c r="D1717" s="13"/>
      <c r="E1717" s="10"/>
      <c r="F1717" s="10"/>
      <c r="G1717" s="10"/>
    </row>
    <row r="1718" customFormat="false" ht="15" hidden="false" customHeight="true" outlineLevel="0" collapsed="false">
      <c r="A1718" s="12"/>
      <c r="B1718" s="10"/>
      <c r="C1718" s="15" t="str">
        <f aca="false">IF($B1718="","",IFERROR(INDEX(회원명부!$B$3:$B$502,MATCH($B1718,회원명부!$A$3:$A$502,0)),"미등록회원"))</f>
        <v/>
      </c>
      <c r="D1718" s="13"/>
      <c r="E1718" s="10"/>
      <c r="F1718" s="10"/>
      <c r="G1718" s="10"/>
    </row>
    <row r="1719" customFormat="false" ht="15" hidden="false" customHeight="true" outlineLevel="0" collapsed="false">
      <c r="A1719" s="12"/>
      <c r="B1719" s="10"/>
      <c r="C1719" s="15" t="str">
        <f aca="false">IF($B1719="","",IFERROR(INDEX(회원명부!$B$3:$B$502,MATCH($B1719,회원명부!$A$3:$A$502,0)),"미등록회원"))</f>
        <v/>
      </c>
      <c r="D1719" s="13"/>
      <c r="E1719" s="10"/>
      <c r="F1719" s="10"/>
      <c r="G1719" s="10"/>
    </row>
    <row r="1720" customFormat="false" ht="15" hidden="false" customHeight="true" outlineLevel="0" collapsed="false">
      <c r="A1720" s="12"/>
      <c r="B1720" s="10"/>
      <c r="C1720" s="15" t="str">
        <f aca="false">IF($B1720="","",IFERROR(INDEX(회원명부!$B$3:$B$502,MATCH($B1720,회원명부!$A$3:$A$502,0)),"미등록회원"))</f>
        <v/>
      </c>
      <c r="D1720" s="13"/>
      <c r="E1720" s="10"/>
      <c r="F1720" s="10"/>
      <c r="G1720" s="10"/>
    </row>
    <row r="1721" customFormat="false" ht="15" hidden="false" customHeight="true" outlineLevel="0" collapsed="false">
      <c r="A1721" s="12"/>
      <c r="B1721" s="10"/>
      <c r="C1721" s="15" t="str">
        <f aca="false">IF($B1721="","",IFERROR(INDEX(회원명부!$B$3:$B$502,MATCH($B1721,회원명부!$A$3:$A$502,0)),"미등록회원"))</f>
        <v/>
      </c>
      <c r="D1721" s="13"/>
      <c r="E1721" s="10"/>
      <c r="F1721" s="10"/>
      <c r="G1721" s="10"/>
    </row>
    <row r="1722" customFormat="false" ht="15" hidden="false" customHeight="true" outlineLevel="0" collapsed="false">
      <c r="A1722" s="12"/>
      <c r="B1722" s="10"/>
      <c r="C1722" s="15" t="str">
        <f aca="false">IF($B1722="","",IFERROR(INDEX(회원명부!$B$3:$B$502,MATCH($B1722,회원명부!$A$3:$A$502,0)),"미등록회원"))</f>
        <v/>
      </c>
      <c r="D1722" s="13"/>
      <c r="E1722" s="10"/>
      <c r="F1722" s="10"/>
      <c r="G1722" s="10"/>
    </row>
    <row r="1723" customFormat="false" ht="15" hidden="false" customHeight="true" outlineLevel="0" collapsed="false">
      <c r="A1723" s="12"/>
      <c r="B1723" s="10"/>
      <c r="C1723" s="15" t="str">
        <f aca="false">IF($B1723="","",IFERROR(INDEX(회원명부!$B$3:$B$502,MATCH($B1723,회원명부!$A$3:$A$502,0)),"미등록회원"))</f>
        <v/>
      </c>
      <c r="D1723" s="13"/>
      <c r="E1723" s="10"/>
      <c r="F1723" s="10"/>
      <c r="G1723" s="10"/>
    </row>
    <row r="1724" customFormat="false" ht="15" hidden="false" customHeight="true" outlineLevel="0" collapsed="false">
      <c r="A1724" s="12"/>
      <c r="B1724" s="10"/>
      <c r="C1724" s="15" t="str">
        <f aca="false">IF($B1724="","",IFERROR(INDEX(회원명부!$B$3:$B$502,MATCH($B1724,회원명부!$A$3:$A$502,0)),"미등록회원"))</f>
        <v/>
      </c>
      <c r="D1724" s="13"/>
      <c r="E1724" s="10"/>
      <c r="F1724" s="10"/>
      <c r="G1724" s="10"/>
    </row>
    <row r="1725" customFormat="false" ht="15" hidden="false" customHeight="true" outlineLevel="0" collapsed="false">
      <c r="A1725" s="12"/>
      <c r="B1725" s="10"/>
      <c r="C1725" s="15" t="str">
        <f aca="false">IF($B1725="","",IFERROR(INDEX(회원명부!$B$3:$B$502,MATCH($B1725,회원명부!$A$3:$A$502,0)),"미등록회원"))</f>
        <v/>
      </c>
      <c r="D1725" s="13"/>
      <c r="E1725" s="10"/>
      <c r="F1725" s="10"/>
      <c r="G1725" s="10"/>
    </row>
    <row r="1726" customFormat="false" ht="15" hidden="false" customHeight="true" outlineLevel="0" collapsed="false">
      <c r="A1726" s="12"/>
      <c r="B1726" s="10"/>
      <c r="C1726" s="15" t="str">
        <f aca="false">IF($B1726="","",IFERROR(INDEX(회원명부!$B$3:$B$502,MATCH($B1726,회원명부!$A$3:$A$502,0)),"미등록회원"))</f>
        <v/>
      </c>
      <c r="D1726" s="13"/>
      <c r="E1726" s="10"/>
      <c r="F1726" s="10"/>
      <c r="G1726" s="10"/>
    </row>
    <row r="1727" customFormat="false" ht="15" hidden="false" customHeight="true" outlineLevel="0" collapsed="false">
      <c r="A1727" s="12"/>
      <c r="B1727" s="10"/>
      <c r="C1727" s="15" t="str">
        <f aca="false">IF($B1727="","",IFERROR(INDEX(회원명부!$B$3:$B$502,MATCH($B1727,회원명부!$A$3:$A$502,0)),"미등록회원"))</f>
        <v/>
      </c>
      <c r="D1727" s="13"/>
      <c r="E1727" s="10"/>
      <c r="F1727" s="10"/>
      <c r="G1727" s="10"/>
    </row>
    <row r="1728" customFormat="false" ht="15" hidden="false" customHeight="true" outlineLevel="0" collapsed="false">
      <c r="A1728" s="12"/>
      <c r="B1728" s="10"/>
      <c r="C1728" s="15" t="str">
        <f aca="false">IF($B1728="","",IFERROR(INDEX(회원명부!$B$3:$B$502,MATCH($B1728,회원명부!$A$3:$A$502,0)),"미등록회원"))</f>
        <v/>
      </c>
      <c r="D1728" s="13"/>
      <c r="E1728" s="10"/>
      <c r="F1728" s="10"/>
      <c r="G1728" s="10"/>
    </row>
    <row r="1729" customFormat="false" ht="15" hidden="false" customHeight="true" outlineLevel="0" collapsed="false">
      <c r="A1729" s="12"/>
      <c r="B1729" s="10"/>
      <c r="C1729" s="15" t="str">
        <f aca="false">IF($B1729="","",IFERROR(INDEX(회원명부!$B$3:$B$502,MATCH($B1729,회원명부!$A$3:$A$502,0)),"미등록회원"))</f>
        <v/>
      </c>
      <c r="D1729" s="13"/>
      <c r="E1729" s="10"/>
      <c r="F1729" s="10"/>
      <c r="G1729" s="10"/>
    </row>
    <row r="1730" customFormat="false" ht="15" hidden="false" customHeight="true" outlineLevel="0" collapsed="false">
      <c r="A1730" s="12"/>
      <c r="B1730" s="10"/>
      <c r="C1730" s="15" t="str">
        <f aca="false">IF($B1730="","",IFERROR(INDEX(회원명부!$B$3:$B$502,MATCH($B1730,회원명부!$A$3:$A$502,0)),"미등록회원"))</f>
        <v/>
      </c>
      <c r="D1730" s="13"/>
      <c r="E1730" s="10"/>
      <c r="F1730" s="10"/>
      <c r="G1730" s="10"/>
    </row>
    <row r="1731" customFormat="false" ht="15" hidden="false" customHeight="true" outlineLevel="0" collapsed="false">
      <c r="A1731" s="12"/>
      <c r="B1731" s="10"/>
      <c r="C1731" s="15" t="str">
        <f aca="false">IF($B1731="","",IFERROR(INDEX(회원명부!$B$3:$B$502,MATCH($B1731,회원명부!$A$3:$A$502,0)),"미등록회원"))</f>
        <v/>
      </c>
      <c r="D1731" s="13"/>
      <c r="E1731" s="10"/>
      <c r="F1731" s="10"/>
      <c r="G1731" s="10"/>
    </row>
    <row r="1732" customFormat="false" ht="15" hidden="false" customHeight="true" outlineLevel="0" collapsed="false">
      <c r="A1732" s="12"/>
      <c r="B1732" s="10"/>
      <c r="C1732" s="15" t="str">
        <f aca="false">IF($B1732="","",IFERROR(INDEX(회원명부!$B$3:$B$502,MATCH($B1732,회원명부!$A$3:$A$502,0)),"미등록회원"))</f>
        <v/>
      </c>
      <c r="D1732" s="13"/>
      <c r="E1732" s="10"/>
      <c r="F1732" s="10"/>
      <c r="G1732" s="10"/>
    </row>
    <row r="1733" customFormat="false" ht="15" hidden="false" customHeight="true" outlineLevel="0" collapsed="false">
      <c r="A1733" s="12"/>
      <c r="B1733" s="10"/>
      <c r="C1733" s="15" t="str">
        <f aca="false">IF($B1733="","",IFERROR(INDEX(회원명부!$B$3:$B$502,MATCH($B1733,회원명부!$A$3:$A$502,0)),"미등록회원"))</f>
        <v/>
      </c>
      <c r="D1733" s="13"/>
      <c r="E1733" s="10"/>
      <c r="F1733" s="10"/>
      <c r="G1733" s="10"/>
    </row>
    <row r="1734" customFormat="false" ht="15" hidden="false" customHeight="true" outlineLevel="0" collapsed="false">
      <c r="A1734" s="12"/>
      <c r="B1734" s="10"/>
      <c r="C1734" s="15" t="str">
        <f aca="false">IF($B1734="","",IFERROR(INDEX(회원명부!$B$3:$B$502,MATCH($B1734,회원명부!$A$3:$A$502,0)),"미등록회원"))</f>
        <v/>
      </c>
      <c r="D1734" s="13"/>
      <c r="E1734" s="10"/>
      <c r="F1734" s="10"/>
      <c r="G1734" s="10"/>
    </row>
    <row r="1735" customFormat="false" ht="15" hidden="false" customHeight="true" outlineLevel="0" collapsed="false">
      <c r="A1735" s="12"/>
      <c r="B1735" s="10"/>
      <c r="C1735" s="15" t="str">
        <f aca="false">IF($B1735="","",IFERROR(INDEX(회원명부!$B$3:$B$502,MATCH($B1735,회원명부!$A$3:$A$502,0)),"미등록회원"))</f>
        <v/>
      </c>
      <c r="D1735" s="13"/>
      <c r="E1735" s="10"/>
      <c r="F1735" s="10"/>
      <c r="G1735" s="10"/>
    </row>
    <row r="1736" customFormat="false" ht="15" hidden="false" customHeight="true" outlineLevel="0" collapsed="false">
      <c r="A1736" s="12"/>
      <c r="B1736" s="10"/>
      <c r="C1736" s="15" t="str">
        <f aca="false">IF($B1736="","",IFERROR(INDEX(회원명부!$B$3:$B$502,MATCH($B1736,회원명부!$A$3:$A$502,0)),"미등록회원"))</f>
        <v/>
      </c>
      <c r="D1736" s="13"/>
      <c r="E1736" s="10"/>
      <c r="F1736" s="10"/>
      <c r="G1736" s="10"/>
    </row>
    <row r="1737" customFormat="false" ht="15" hidden="false" customHeight="true" outlineLevel="0" collapsed="false">
      <c r="A1737" s="12"/>
      <c r="B1737" s="10"/>
      <c r="C1737" s="15" t="str">
        <f aca="false">IF($B1737="","",IFERROR(INDEX(회원명부!$B$3:$B$502,MATCH($B1737,회원명부!$A$3:$A$502,0)),"미등록회원"))</f>
        <v/>
      </c>
      <c r="D1737" s="13"/>
      <c r="E1737" s="10"/>
      <c r="F1737" s="10"/>
      <c r="G1737" s="10"/>
    </row>
    <row r="1738" customFormat="false" ht="15" hidden="false" customHeight="true" outlineLevel="0" collapsed="false">
      <c r="A1738" s="12"/>
      <c r="B1738" s="10"/>
      <c r="C1738" s="15" t="str">
        <f aca="false">IF($B1738="","",IFERROR(INDEX(회원명부!$B$3:$B$502,MATCH($B1738,회원명부!$A$3:$A$502,0)),"미등록회원"))</f>
        <v/>
      </c>
      <c r="D1738" s="13"/>
      <c r="E1738" s="10"/>
      <c r="F1738" s="10"/>
      <c r="G1738" s="10"/>
    </row>
    <row r="1739" customFormat="false" ht="15" hidden="false" customHeight="true" outlineLevel="0" collapsed="false">
      <c r="A1739" s="12"/>
      <c r="B1739" s="10"/>
      <c r="C1739" s="15" t="str">
        <f aca="false">IF($B1739="","",IFERROR(INDEX(회원명부!$B$3:$B$502,MATCH($B1739,회원명부!$A$3:$A$502,0)),"미등록회원"))</f>
        <v/>
      </c>
      <c r="D1739" s="13"/>
      <c r="E1739" s="10"/>
      <c r="F1739" s="10"/>
      <c r="G1739" s="10"/>
    </row>
    <row r="1740" customFormat="false" ht="15" hidden="false" customHeight="true" outlineLevel="0" collapsed="false">
      <c r="A1740" s="12"/>
      <c r="B1740" s="10"/>
      <c r="C1740" s="15" t="str">
        <f aca="false">IF($B1740="","",IFERROR(INDEX(회원명부!$B$3:$B$502,MATCH($B1740,회원명부!$A$3:$A$502,0)),"미등록회원"))</f>
        <v/>
      </c>
      <c r="D1740" s="13"/>
      <c r="E1740" s="10"/>
      <c r="F1740" s="10"/>
      <c r="G1740" s="10"/>
    </row>
    <row r="1741" customFormat="false" ht="15" hidden="false" customHeight="true" outlineLevel="0" collapsed="false">
      <c r="A1741" s="12"/>
      <c r="B1741" s="10"/>
      <c r="C1741" s="15" t="str">
        <f aca="false">IF($B1741="","",IFERROR(INDEX(회원명부!$B$3:$B$502,MATCH($B1741,회원명부!$A$3:$A$502,0)),"미등록회원"))</f>
        <v/>
      </c>
      <c r="D1741" s="13"/>
      <c r="E1741" s="10"/>
      <c r="F1741" s="10"/>
      <c r="G1741" s="10"/>
    </row>
    <row r="1742" customFormat="false" ht="15" hidden="false" customHeight="true" outlineLevel="0" collapsed="false">
      <c r="A1742" s="12"/>
      <c r="B1742" s="10"/>
      <c r="C1742" s="15" t="str">
        <f aca="false">IF($B1742="","",IFERROR(INDEX(회원명부!$B$3:$B$502,MATCH($B1742,회원명부!$A$3:$A$502,0)),"미등록회원"))</f>
        <v/>
      </c>
      <c r="D1742" s="13"/>
      <c r="E1742" s="10"/>
      <c r="F1742" s="10"/>
      <c r="G1742" s="10"/>
    </row>
    <row r="1743" customFormat="false" ht="15" hidden="false" customHeight="true" outlineLevel="0" collapsed="false">
      <c r="A1743" s="12"/>
      <c r="B1743" s="10"/>
      <c r="C1743" s="15" t="str">
        <f aca="false">IF($B1743="","",IFERROR(INDEX(회원명부!$B$3:$B$502,MATCH($B1743,회원명부!$A$3:$A$502,0)),"미등록회원"))</f>
        <v/>
      </c>
      <c r="D1743" s="13"/>
      <c r="E1743" s="10"/>
      <c r="F1743" s="10"/>
      <c r="G1743" s="10"/>
    </row>
    <row r="1744" customFormat="false" ht="15" hidden="false" customHeight="true" outlineLevel="0" collapsed="false">
      <c r="A1744" s="12"/>
      <c r="B1744" s="10"/>
      <c r="C1744" s="15" t="str">
        <f aca="false">IF($B1744="","",IFERROR(INDEX(회원명부!$B$3:$B$502,MATCH($B1744,회원명부!$A$3:$A$502,0)),"미등록회원"))</f>
        <v/>
      </c>
      <c r="D1744" s="13"/>
      <c r="E1744" s="10"/>
      <c r="F1744" s="10"/>
      <c r="G1744" s="10"/>
    </row>
    <row r="1745" customFormat="false" ht="15" hidden="false" customHeight="true" outlineLevel="0" collapsed="false">
      <c r="A1745" s="12"/>
      <c r="B1745" s="10"/>
      <c r="C1745" s="15" t="str">
        <f aca="false">IF($B1745="","",IFERROR(INDEX(회원명부!$B$3:$B$502,MATCH($B1745,회원명부!$A$3:$A$502,0)),"미등록회원"))</f>
        <v/>
      </c>
      <c r="D1745" s="13"/>
      <c r="E1745" s="10"/>
      <c r="F1745" s="10"/>
      <c r="G1745" s="10"/>
    </row>
    <row r="1746" customFormat="false" ht="15" hidden="false" customHeight="true" outlineLevel="0" collapsed="false">
      <c r="A1746" s="12"/>
      <c r="B1746" s="10"/>
      <c r="C1746" s="15" t="str">
        <f aca="false">IF($B1746="","",IFERROR(INDEX(회원명부!$B$3:$B$502,MATCH($B1746,회원명부!$A$3:$A$502,0)),"미등록회원"))</f>
        <v/>
      </c>
      <c r="D1746" s="13"/>
      <c r="E1746" s="10"/>
      <c r="F1746" s="10"/>
      <c r="G1746" s="10"/>
    </row>
    <row r="1747" customFormat="false" ht="15" hidden="false" customHeight="true" outlineLevel="0" collapsed="false">
      <c r="A1747" s="12"/>
      <c r="B1747" s="10"/>
      <c r="C1747" s="15" t="str">
        <f aca="false">IF($B1747="","",IFERROR(INDEX(회원명부!$B$3:$B$502,MATCH($B1747,회원명부!$A$3:$A$502,0)),"미등록회원"))</f>
        <v/>
      </c>
      <c r="D1747" s="13"/>
      <c r="E1747" s="10"/>
      <c r="F1747" s="10"/>
      <c r="G1747" s="10"/>
    </row>
    <row r="1748" customFormat="false" ht="15" hidden="false" customHeight="true" outlineLevel="0" collapsed="false">
      <c r="A1748" s="12"/>
      <c r="B1748" s="10"/>
      <c r="C1748" s="15" t="str">
        <f aca="false">IF($B1748="","",IFERROR(INDEX(회원명부!$B$3:$B$502,MATCH($B1748,회원명부!$A$3:$A$502,0)),"미등록회원"))</f>
        <v/>
      </c>
      <c r="D1748" s="13"/>
      <c r="E1748" s="10"/>
      <c r="F1748" s="10"/>
      <c r="G1748" s="10"/>
    </row>
    <row r="1749" customFormat="false" ht="15" hidden="false" customHeight="true" outlineLevel="0" collapsed="false">
      <c r="A1749" s="12"/>
      <c r="B1749" s="10"/>
      <c r="C1749" s="15" t="str">
        <f aca="false">IF($B1749="","",IFERROR(INDEX(회원명부!$B$3:$B$502,MATCH($B1749,회원명부!$A$3:$A$502,0)),"미등록회원"))</f>
        <v/>
      </c>
      <c r="D1749" s="13"/>
      <c r="E1749" s="10"/>
      <c r="F1749" s="10"/>
      <c r="G1749" s="10"/>
    </row>
    <row r="1750" customFormat="false" ht="15" hidden="false" customHeight="true" outlineLevel="0" collapsed="false">
      <c r="A1750" s="12"/>
      <c r="B1750" s="10"/>
      <c r="C1750" s="15" t="str">
        <f aca="false">IF($B1750="","",IFERROR(INDEX(회원명부!$B$3:$B$502,MATCH($B1750,회원명부!$A$3:$A$502,0)),"미등록회원"))</f>
        <v/>
      </c>
      <c r="D1750" s="13"/>
      <c r="E1750" s="10"/>
      <c r="F1750" s="10"/>
      <c r="G1750" s="10"/>
    </row>
    <row r="1751" customFormat="false" ht="15" hidden="false" customHeight="true" outlineLevel="0" collapsed="false">
      <c r="A1751" s="12"/>
      <c r="B1751" s="10"/>
      <c r="C1751" s="15" t="str">
        <f aca="false">IF($B1751="","",IFERROR(INDEX(회원명부!$B$3:$B$502,MATCH($B1751,회원명부!$A$3:$A$502,0)),"미등록회원"))</f>
        <v/>
      </c>
      <c r="D1751" s="13"/>
      <c r="E1751" s="10"/>
      <c r="F1751" s="10"/>
      <c r="G1751" s="10"/>
    </row>
    <row r="1752" customFormat="false" ht="15" hidden="false" customHeight="true" outlineLevel="0" collapsed="false">
      <c r="A1752" s="12"/>
      <c r="B1752" s="10"/>
      <c r="C1752" s="15" t="str">
        <f aca="false">IF($B1752="","",IFERROR(INDEX(회원명부!$B$3:$B$502,MATCH($B1752,회원명부!$A$3:$A$502,0)),"미등록회원"))</f>
        <v/>
      </c>
      <c r="D1752" s="13"/>
      <c r="E1752" s="10"/>
      <c r="F1752" s="10"/>
      <c r="G1752" s="10"/>
    </row>
    <row r="1753" customFormat="false" ht="15" hidden="false" customHeight="true" outlineLevel="0" collapsed="false">
      <c r="A1753" s="12"/>
      <c r="B1753" s="10"/>
      <c r="C1753" s="15" t="str">
        <f aca="false">IF($B1753="","",IFERROR(INDEX(회원명부!$B$3:$B$502,MATCH($B1753,회원명부!$A$3:$A$502,0)),"미등록회원"))</f>
        <v/>
      </c>
      <c r="D1753" s="13"/>
      <c r="E1753" s="10"/>
      <c r="F1753" s="10"/>
      <c r="G1753" s="10"/>
    </row>
    <row r="1754" customFormat="false" ht="15" hidden="false" customHeight="true" outlineLevel="0" collapsed="false">
      <c r="A1754" s="12"/>
      <c r="B1754" s="10"/>
      <c r="C1754" s="15" t="str">
        <f aca="false">IF($B1754="","",IFERROR(INDEX(회원명부!$B$3:$B$502,MATCH($B1754,회원명부!$A$3:$A$502,0)),"미등록회원"))</f>
        <v/>
      </c>
      <c r="D1754" s="13"/>
      <c r="E1754" s="10"/>
      <c r="F1754" s="10"/>
      <c r="G1754" s="10"/>
    </row>
    <row r="1755" customFormat="false" ht="15" hidden="false" customHeight="true" outlineLevel="0" collapsed="false">
      <c r="A1755" s="12"/>
      <c r="B1755" s="10"/>
      <c r="C1755" s="15" t="str">
        <f aca="false">IF($B1755="","",IFERROR(INDEX(회원명부!$B$3:$B$502,MATCH($B1755,회원명부!$A$3:$A$502,0)),"미등록회원"))</f>
        <v/>
      </c>
      <c r="D1755" s="13"/>
      <c r="E1755" s="10"/>
      <c r="F1755" s="10"/>
      <c r="G1755" s="10"/>
    </row>
    <row r="1756" customFormat="false" ht="15" hidden="false" customHeight="true" outlineLevel="0" collapsed="false">
      <c r="A1756" s="12"/>
      <c r="B1756" s="10"/>
      <c r="C1756" s="15" t="str">
        <f aca="false">IF($B1756="","",IFERROR(INDEX(회원명부!$B$3:$B$502,MATCH($B1756,회원명부!$A$3:$A$502,0)),"미등록회원"))</f>
        <v/>
      </c>
      <c r="D1756" s="13"/>
      <c r="E1756" s="10"/>
      <c r="F1756" s="10"/>
      <c r="G1756" s="10"/>
    </row>
    <row r="1757" customFormat="false" ht="15" hidden="false" customHeight="true" outlineLevel="0" collapsed="false">
      <c r="A1757" s="12"/>
      <c r="B1757" s="10"/>
      <c r="C1757" s="15" t="str">
        <f aca="false">IF($B1757="","",IFERROR(INDEX(회원명부!$B$3:$B$502,MATCH($B1757,회원명부!$A$3:$A$502,0)),"미등록회원"))</f>
        <v/>
      </c>
      <c r="D1757" s="13"/>
      <c r="E1757" s="10"/>
      <c r="F1757" s="10"/>
      <c r="G1757" s="10"/>
    </row>
    <row r="1758" customFormat="false" ht="15" hidden="false" customHeight="true" outlineLevel="0" collapsed="false">
      <c r="A1758" s="12"/>
      <c r="B1758" s="10"/>
      <c r="C1758" s="15" t="str">
        <f aca="false">IF($B1758="","",IFERROR(INDEX(회원명부!$B$3:$B$502,MATCH($B1758,회원명부!$A$3:$A$502,0)),"미등록회원"))</f>
        <v/>
      </c>
      <c r="D1758" s="13"/>
      <c r="E1758" s="10"/>
      <c r="F1758" s="10"/>
      <c r="G1758" s="10"/>
    </row>
    <row r="1759" customFormat="false" ht="15" hidden="false" customHeight="true" outlineLevel="0" collapsed="false">
      <c r="A1759" s="12"/>
      <c r="B1759" s="10"/>
      <c r="C1759" s="15" t="str">
        <f aca="false">IF($B1759="","",IFERROR(INDEX(회원명부!$B$3:$B$502,MATCH($B1759,회원명부!$A$3:$A$502,0)),"미등록회원"))</f>
        <v/>
      </c>
      <c r="D1759" s="13"/>
      <c r="E1759" s="10"/>
      <c r="F1759" s="10"/>
      <c r="G1759" s="10"/>
    </row>
    <row r="1760" customFormat="false" ht="15" hidden="false" customHeight="true" outlineLevel="0" collapsed="false">
      <c r="A1760" s="12"/>
      <c r="B1760" s="10"/>
      <c r="C1760" s="15" t="str">
        <f aca="false">IF($B1760="","",IFERROR(INDEX(회원명부!$B$3:$B$502,MATCH($B1760,회원명부!$A$3:$A$502,0)),"미등록회원"))</f>
        <v/>
      </c>
      <c r="D1760" s="13"/>
      <c r="E1760" s="10"/>
      <c r="F1760" s="10"/>
      <c r="G1760" s="10"/>
    </row>
    <row r="1761" customFormat="false" ht="15" hidden="false" customHeight="true" outlineLevel="0" collapsed="false">
      <c r="A1761" s="12"/>
      <c r="B1761" s="10"/>
      <c r="C1761" s="15" t="str">
        <f aca="false">IF($B1761="","",IFERROR(INDEX(회원명부!$B$3:$B$502,MATCH($B1761,회원명부!$A$3:$A$502,0)),"미등록회원"))</f>
        <v/>
      </c>
      <c r="D1761" s="13"/>
      <c r="E1761" s="10"/>
      <c r="F1761" s="10"/>
      <c r="G1761" s="10"/>
    </row>
    <row r="1762" customFormat="false" ht="15" hidden="false" customHeight="true" outlineLevel="0" collapsed="false">
      <c r="A1762" s="12"/>
      <c r="B1762" s="10"/>
      <c r="C1762" s="15" t="str">
        <f aca="false">IF($B1762="","",IFERROR(INDEX(회원명부!$B$3:$B$502,MATCH($B1762,회원명부!$A$3:$A$502,0)),"미등록회원"))</f>
        <v/>
      </c>
      <c r="D1762" s="13"/>
      <c r="E1762" s="10"/>
      <c r="F1762" s="10"/>
      <c r="G1762" s="10"/>
    </row>
    <row r="1763" customFormat="false" ht="15" hidden="false" customHeight="true" outlineLevel="0" collapsed="false">
      <c r="A1763" s="12"/>
      <c r="B1763" s="10"/>
      <c r="C1763" s="15" t="str">
        <f aca="false">IF($B1763="","",IFERROR(INDEX(회원명부!$B$3:$B$502,MATCH($B1763,회원명부!$A$3:$A$502,0)),"미등록회원"))</f>
        <v/>
      </c>
      <c r="D1763" s="13"/>
      <c r="E1763" s="10"/>
      <c r="F1763" s="10"/>
      <c r="G1763" s="10"/>
    </row>
    <row r="1764" customFormat="false" ht="15" hidden="false" customHeight="true" outlineLevel="0" collapsed="false">
      <c r="A1764" s="12"/>
      <c r="B1764" s="10"/>
      <c r="C1764" s="15" t="str">
        <f aca="false">IF($B1764="","",IFERROR(INDEX(회원명부!$B$3:$B$502,MATCH($B1764,회원명부!$A$3:$A$502,0)),"미등록회원"))</f>
        <v/>
      </c>
      <c r="D1764" s="13"/>
      <c r="E1764" s="10"/>
      <c r="F1764" s="10"/>
      <c r="G1764" s="10"/>
    </row>
    <row r="1765" customFormat="false" ht="15" hidden="false" customHeight="true" outlineLevel="0" collapsed="false">
      <c r="A1765" s="12"/>
      <c r="B1765" s="10"/>
      <c r="C1765" s="15" t="str">
        <f aca="false">IF($B1765="","",IFERROR(INDEX(회원명부!$B$3:$B$502,MATCH($B1765,회원명부!$A$3:$A$502,0)),"미등록회원"))</f>
        <v/>
      </c>
      <c r="D1765" s="13"/>
      <c r="E1765" s="10"/>
      <c r="F1765" s="10"/>
      <c r="G1765" s="10"/>
    </row>
    <row r="1766" customFormat="false" ht="15" hidden="false" customHeight="true" outlineLevel="0" collapsed="false">
      <c r="A1766" s="12"/>
      <c r="B1766" s="10"/>
      <c r="C1766" s="15" t="str">
        <f aca="false">IF($B1766="","",IFERROR(INDEX(회원명부!$B$3:$B$502,MATCH($B1766,회원명부!$A$3:$A$502,0)),"미등록회원"))</f>
        <v/>
      </c>
      <c r="D1766" s="13"/>
      <c r="E1766" s="10"/>
      <c r="F1766" s="10"/>
      <c r="G1766" s="10"/>
    </row>
    <row r="1767" customFormat="false" ht="15" hidden="false" customHeight="true" outlineLevel="0" collapsed="false">
      <c r="A1767" s="12"/>
      <c r="B1767" s="10"/>
      <c r="C1767" s="15" t="str">
        <f aca="false">IF($B1767="","",IFERROR(INDEX(회원명부!$B$3:$B$502,MATCH($B1767,회원명부!$A$3:$A$502,0)),"미등록회원"))</f>
        <v/>
      </c>
      <c r="D1767" s="13"/>
      <c r="E1767" s="10"/>
      <c r="F1767" s="10"/>
      <c r="G1767" s="10"/>
    </row>
    <row r="1768" customFormat="false" ht="15" hidden="false" customHeight="true" outlineLevel="0" collapsed="false">
      <c r="A1768" s="12"/>
      <c r="B1768" s="10"/>
      <c r="C1768" s="15" t="str">
        <f aca="false">IF($B1768="","",IFERROR(INDEX(회원명부!$B$3:$B$502,MATCH($B1768,회원명부!$A$3:$A$502,0)),"미등록회원"))</f>
        <v/>
      </c>
      <c r="D1768" s="13"/>
      <c r="E1768" s="10"/>
      <c r="F1768" s="10"/>
      <c r="G1768" s="10"/>
    </row>
    <row r="1769" customFormat="false" ht="15" hidden="false" customHeight="true" outlineLevel="0" collapsed="false">
      <c r="A1769" s="12"/>
      <c r="B1769" s="10"/>
      <c r="C1769" s="15" t="str">
        <f aca="false">IF($B1769="","",IFERROR(INDEX(회원명부!$B$3:$B$502,MATCH($B1769,회원명부!$A$3:$A$502,0)),"미등록회원"))</f>
        <v/>
      </c>
      <c r="D1769" s="13"/>
      <c r="E1769" s="10"/>
      <c r="F1769" s="10"/>
      <c r="G1769" s="10"/>
    </row>
    <row r="1770" customFormat="false" ht="15" hidden="false" customHeight="true" outlineLevel="0" collapsed="false">
      <c r="A1770" s="12"/>
      <c r="B1770" s="10"/>
      <c r="C1770" s="15" t="str">
        <f aca="false">IF($B1770="","",IFERROR(INDEX(회원명부!$B$3:$B$502,MATCH($B1770,회원명부!$A$3:$A$502,0)),"미등록회원"))</f>
        <v/>
      </c>
      <c r="D1770" s="13"/>
      <c r="E1770" s="10"/>
      <c r="F1770" s="10"/>
      <c r="G1770" s="10"/>
    </row>
    <row r="1771" customFormat="false" ht="15" hidden="false" customHeight="true" outlineLevel="0" collapsed="false">
      <c r="A1771" s="12"/>
      <c r="B1771" s="10"/>
      <c r="C1771" s="15" t="str">
        <f aca="false">IF($B1771="","",IFERROR(INDEX(회원명부!$B$3:$B$502,MATCH($B1771,회원명부!$A$3:$A$502,0)),"미등록회원"))</f>
        <v/>
      </c>
      <c r="D1771" s="13"/>
      <c r="E1771" s="10"/>
      <c r="F1771" s="10"/>
      <c r="G1771" s="10"/>
    </row>
    <row r="1772" customFormat="false" ht="15" hidden="false" customHeight="true" outlineLevel="0" collapsed="false">
      <c r="A1772" s="12"/>
      <c r="B1772" s="10"/>
      <c r="C1772" s="15" t="str">
        <f aca="false">IF($B1772="","",IFERROR(INDEX(회원명부!$B$3:$B$502,MATCH($B1772,회원명부!$A$3:$A$502,0)),"미등록회원"))</f>
        <v/>
      </c>
      <c r="D1772" s="13"/>
      <c r="E1772" s="10"/>
      <c r="F1772" s="10"/>
      <c r="G1772" s="10"/>
    </row>
    <row r="1773" customFormat="false" ht="15" hidden="false" customHeight="true" outlineLevel="0" collapsed="false">
      <c r="A1773" s="12"/>
      <c r="B1773" s="10"/>
      <c r="C1773" s="15" t="str">
        <f aca="false">IF($B1773="","",IFERROR(INDEX(회원명부!$B$3:$B$502,MATCH($B1773,회원명부!$A$3:$A$502,0)),"미등록회원"))</f>
        <v/>
      </c>
      <c r="D1773" s="13"/>
      <c r="E1773" s="10"/>
      <c r="F1773" s="10"/>
      <c r="G1773" s="10"/>
    </row>
    <row r="1774" customFormat="false" ht="15" hidden="false" customHeight="true" outlineLevel="0" collapsed="false">
      <c r="A1774" s="12"/>
      <c r="B1774" s="10"/>
      <c r="C1774" s="15" t="str">
        <f aca="false">IF($B1774="","",IFERROR(INDEX(회원명부!$B$3:$B$502,MATCH($B1774,회원명부!$A$3:$A$502,0)),"미등록회원"))</f>
        <v/>
      </c>
      <c r="D1774" s="13"/>
      <c r="E1774" s="10"/>
      <c r="F1774" s="10"/>
      <c r="G1774" s="10"/>
    </row>
    <row r="1775" customFormat="false" ht="15" hidden="false" customHeight="true" outlineLevel="0" collapsed="false">
      <c r="A1775" s="12"/>
      <c r="B1775" s="10"/>
      <c r="C1775" s="15" t="str">
        <f aca="false">IF($B1775="","",IFERROR(INDEX(회원명부!$B$3:$B$502,MATCH($B1775,회원명부!$A$3:$A$502,0)),"미등록회원"))</f>
        <v/>
      </c>
      <c r="D1775" s="13"/>
      <c r="E1775" s="10"/>
      <c r="F1775" s="10"/>
      <c r="G1775" s="10"/>
    </row>
    <row r="1776" customFormat="false" ht="15" hidden="false" customHeight="true" outlineLevel="0" collapsed="false">
      <c r="A1776" s="12"/>
      <c r="B1776" s="10"/>
      <c r="C1776" s="15" t="str">
        <f aca="false">IF($B1776="","",IFERROR(INDEX(회원명부!$B$3:$B$502,MATCH($B1776,회원명부!$A$3:$A$502,0)),"미등록회원"))</f>
        <v/>
      </c>
      <c r="D1776" s="13"/>
      <c r="E1776" s="10"/>
      <c r="F1776" s="10"/>
      <c r="G1776" s="10"/>
    </row>
    <row r="1777" customFormat="false" ht="15" hidden="false" customHeight="true" outlineLevel="0" collapsed="false">
      <c r="A1777" s="12"/>
      <c r="B1777" s="10"/>
      <c r="C1777" s="15" t="str">
        <f aca="false">IF($B1777="","",IFERROR(INDEX(회원명부!$B$3:$B$502,MATCH($B1777,회원명부!$A$3:$A$502,0)),"미등록회원"))</f>
        <v/>
      </c>
      <c r="D1777" s="13"/>
      <c r="E1777" s="10"/>
      <c r="F1777" s="10"/>
      <c r="G1777" s="10"/>
    </row>
    <row r="1778" customFormat="false" ht="15" hidden="false" customHeight="true" outlineLevel="0" collapsed="false">
      <c r="A1778" s="12"/>
      <c r="B1778" s="10"/>
      <c r="C1778" s="15" t="str">
        <f aca="false">IF($B1778="","",IFERROR(INDEX(회원명부!$B$3:$B$502,MATCH($B1778,회원명부!$A$3:$A$502,0)),"미등록회원"))</f>
        <v/>
      </c>
      <c r="D1778" s="13"/>
      <c r="E1778" s="10"/>
      <c r="F1778" s="10"/>
      <c r="G1778" s="10"/>
    </row>
    <row r="1779" customFormat="false" ht="15" hidden="false" customHeight="true" outlineLevel="0" collapsed="false">
      <c r="A1779" s="12"/>
      <c r="B1779" s="10"/>
      <c r="C1779" s="15" t="str">
        <f aca="false">IF($B1779="","",IFERROR(INDEX(회원명부!$B$3:$B$502,MATCH($B1779,회원명부!$A$3:$A$502,0)),"미등록회원"))</f>
        <v/>
      </c>
      <c r="D1779" s="13"/>
      <c r="E1779" s="10"/>
      <c r="F1779" s="10"/>
      <c r="G1779" s="10"/>
    </row>
    <row r="1780" customFormat="false" ht="15" hidden="false" customHeight="true" outlineLevel="0" collapsed="false">
      <c r="A1780" s="12"/>
      <c r="B1780" s="10"/>
      <c r="C1780" s="15" t="str">
        <f aca="false">IF($B1780="","",IFERROR(INDEX(회원명부!$B$3:$B$502,MATCH($B1780,회원명부!$A$3:$A$502,0)),"미등록회원"))</f>
        <v/>
      </c>
      <c r="D1780" s="13"/>
      <c r="E1780" s="10"/>
      <c r="F1780" s="10"/>
      <c r="G1780" s="10"/>
    </row>
    <row r="1781" customFormat="false" ht="15" hidden="false" customHeight="true" outlineLevel="0" collapsed="false">
      <c r="A1781" s="12"/>
      <c r="B1781" s="10"/>
      <c r="C1781" s="15" t="str">
        <f aca="false">IF($B1781="","",IFERROR(INDEX(회원명부!$B$3:$B$502,MATCH($B1781,회원명부!$A$3:$A$502,0)),"미등록회원"))</f>
        <v/>
      </c>
      <c r="D1781" s="13"/>
      <c r="E1781" s="10"/>
      <c r="F1781" s="10"/>
      <c r="G1781" s="10"/>
    </row>
    <row r="1782" customFormat="false" ht="15" hidden="false" customHeight="true" outlineLevel="0" collapsed="false">
      <c r="A1782" s="12"/>
      <c r="B1782" s="10"/>
      <c r="C1782" s="15" t="str">
        <f aca="false">IF($B1782="","",IFERROR(INDEX(회원명부!$B$3:$B$502,MATCH($B1782,회원명부!$A$3:$A$502,0)),"미등록회원"))</f>
        <v/>
      </c>
      <c r="D1782" s="13"/>
      <c r="E1782" s="10"/>
      <c r="F1782" s="10"/>
      <c r="G1782" s="10"/>
    </row>
    <row r="1783" customFormat="false" ht="15" hidden="false" customHeight="true" outlineLevel="0" collapsed="false">
      <c r="A1783" s="12"/>
      <c r="B1783" s="10"/>
      <c r="C1783" s="15" t="str">
        <f aca="false">IF($B1783="","",IFERROR(INDEX(회원명부!$B$3:$B$502,MATCH($B1783,회원명부!$A$3:$A$502,0)),"미등록회원"))</f>
        <v/>
      </c>
      <c r="D1783" s="13"/>
      <c r="E1783" s="10"/>
      <c r="F1783" s="10"/>
      <c r="G1783" s="10"/>
    </row>
    <row r="1784" customFormat="false" ht="15" hidden="false" customHeight="true" outlineLevel="0" collapsed="false">
      <c r="A1784" s="12"/>
      <c r="B1784" s="10"/>
      <c r="C1784" s="15" t="str">
        <f aca="false">IF($B1784="","",IFERROR(INDEX(회원명부!$B$3:$B$502,MATCH($B1784,회원명부!$A$3:$A$502,0)),"미등록회원"))</f>
        <v/>
      </c>
      <c r="D1784" s="13"/>
      <c r="E1784" s="10"/>
      <c r="F1784" s="10"/>
      <c r="G1784" s="10"/>
    </row>
    <row r="1785" customFormat="false" ht="15" hidden="false" customHeight="true" outlineLevel="0" collapsed="false">
      <c r="A1785" s="12"/>
      <c r="B1785" s="10"/>
      <c r="C1785" s="15" t="str">
        <f aca="false">IF($B1785="","",IFERROR(INDEX(회원명부!$B$3:$B$502,MATCH($B1785,회원명부!$A$3:$A$502,0)),"미등록회원"))</f>
        <v/>
      </c>
      <c r="D1785" s="13"/>
      <c r="E1785" s="10"/>
      <c r="F1785" s="10"/>
      <c r="G1785" s="10"/>
    </row>
    <row r="1786" customFormat="false" ht="15" hidden="false" customHeight="true" outlineLevel="0" collapsed="false">
      <c r="A1786" s="12"/>
      <c r="B1786" s="10"/>
      <c r="C1786" s="15" t="str">
        <f aca="false">IF($B1786="","",IFERROR(INDEX(회원명부!$B$3:$B$502,MATCH($B1786,회원명부!$A$3:$A$502,0)),"미등록회원"))</f>
        <v/>
      </c>
      <c r="D1786" s="13"/>
      <c r="E1786" s="10"/>
      <c r="F1786" s="10"/>
      <c r="G1786" s="10"/>
    </row>
    <row r="1787" customFormat="false" ht="15" hidden="false" customHeight="true" outlineLevel="0" collapsed="false">
      <c r="A1787" s="12"/>
      <c r="B1787" s="10"/>
      <c r="C1787" s="15" t="str">
        <f aca="false">IF($B1787="","",IFERROR(INDEX(회원명부!$B$3:$B$502,MATCH($B1787,회원명부!$A$3:$A$502,0)),"미등록회원"))</f>
        <v/>
      </c>
      <c r="D1787" s="13"/>
      <c r="E1787" s="10"/>
      <c r="F1787" s="10"/>
      <c r="G1787" s="10"/>
    </row>
    <row r="1788" customFormat="false" ht="15" hidden="false" customHeight="true" outlineLevel="0" collapsed="false">
      <c r="A1788" s="12"/>
      <c r="B1788" s="10"/>
      <c r="C1788" s="15" t="str">
        <f aca="false">IF($B1788="","",IFERROR(INDEX(회원명부!$B$3:$B$502,MATCH($B1788,회원명부!$A$3:$A$502,0)),"미등록회원"))</f>
        <v/>
      </c>
      <c r="D1788" s="13"/>
      <c r="E1788" s="10"/>
      <c r="F1788" s="10"/>
      <c r="G1788" s="10"/>
    </row>
    <row r="1789" customFormat="false" ht="15" hidden="false" customHeight="true" outlineLevel="0" collapsed="false">
      <c r="A1789" s="12"/>
      <c r="B1789" s="10"/>
      <c r="C1789" s="15" t="str">
        <f aca="false">IF($B1789="","",IFERROR(INDEX(회원명부!$B$3:$B$502,MATCH($B1789,회원명부!$A$3:$A$502,0)),"미등록회원"))</f>
        <v/>
      </c>
      <c r="D1789" s="13"/>
      <c r="E1789" s="10"/>
      <c r="F1789" s="10"/>
      <c r="G1789" s="10"/>
    </row>
    <row r="1790" customFormat="false" ht="15" hidden="false" customHeight="true" outlineLevel="0" collapsed="false">
      <c r="A1790" s="12"/>
      <c r="B1790" s="10"/>
      <c r="C1790" s="15" t="str">
        <f aca="false">IF($B1790="","",IFERROR(INDEX(회원명부!$B$3:$B$502,MATCH($B1790,회원명부!$A$3:$A$502,0)),"미등록회원"))</f>
        <v/>
      </c>
      <c r="D1790" s="13"/>
      <c r="E1790" s="10"/>
      <c r="F1790" s="10"/>
      <c r="G1790" s="10"/>
    </row>
    <row r="1791" customFormat="false" ht="15" hidden="false" customHeight="true" outlineLevel="0" collapsed="false">
      <c r="A1791" s="12"/>
      <c r="B1791" s="10"/>
      <c r="C1791" s="15" t="str">
        <f aca="false">IF($B1791="","",IFERROR(INDEX(회원명부!$B$3:$B$502,MATCH($B1791,회원명부!$A$3:$A$502,0)),"미등록회원"))</f>
        <v/>
      </c>
      <c r="D1791" s="13"/>
      <c r="E1791" s="10"/>
      <c r="F1791" s="10"/>
      <c r="G1791" s="10"/>
    </row>
    <row r="1792" customFormat="false" ht="15" hidden="false" customHeight="true" outlineLevel="0" collapsed="false">
      <c r="A1792" s="12"/>
      <c r="B1792" s="10"/>
      <c r="C1792" s="15" t="str">
        <f aca="false">IF($B1792="","",IFERROR(INDEX(회원명부!$B$3:$B$502,MATCH($B1792,회원명부!$A$3:$A$502,0)),"미등록회원"))</f>
        <v/>
      </c>
      <c r="D1792" s="13"/>
      <c r="E1792" s="10"/>
      <c r="F1792" s="10"/>
      <c r="G1792" s="10"/>
    </row>
    <row r="1793" customFormat="false" ht="15" hidden="false" customHeight="true" outlineLevel="0" collapsed="false">
      <c r="A1793" s="12"/>
      <c r="B1793" s="10"/>
      <c r="C1793" s="15" t="str">
        <f aca="false">IF($B1793="","",IFERROR(INDEX(회원명부!$B$3:$B$502,MATCH($B1793,회원명부!$A$3:$A$502,0)),"미등록회원"))</f>
        <v/>
      </c>
      <c r="D1793" s="13"/>
      <c r="E1793" s="10"/>
      <c r="F1793" s="10"/>
      <c r="G1793" s="10"/>
    </row>
    <row r="1794" customFormat="false" ht="15" hidden="false" customHeight="true" outlineLevel="0" collapsed="false">
      <c r="A1794" s="12"/>
      <c r="B1794" s="10"/>
      <c r="C1794" s="15" t="str">
        <f aca="false">IF($B1794="","",IFERROR(INDEX(회원명부!$B$3:$B$502,MATCH($B1794,회원명부!$A$3:$A$502,0)),"미등록회원"))</f>
        <v/>
      </c>
      <c r="D1794" s="13"/>
      <c r="E1794" s="10"/>
      <c r="F1794" s="10"/>
      <c r="G1794" s="10"/>
    </row>
    <row r="1795" customFormat="false" ht="15" hidden="false" customHeight="true" outlineLevel="0" collapsed="false">
      <c r="A1795" s="12"/>
      <c r="B1795" s="10"/>
      <c r="C1795" s="15" t="str">
        <f aca="false">IF($B1795="","",IFERROR(INDEX(회원명부!$B$3:$B$502,MATCH($B1795,회원명부!$A$3:$A$502,0)),"미등록회원"))</f>
        <v/>
      </c>
      <c r="D1795" s="13"/>
      <c r="E1795" s="10"/>
      <c r="F1795" s="10"/>
      <c r="G1795" s="10"/>
    </row>
    <row r="1796" customFormat="false" ht="15" hidden="false" customHeight="true" outlineLevel="0" collapsed="false">
      <c r="A1796" s="12"/>
      <c r="B1796" s="10"/>
      <c r="C1796" s="15" t="str">
        <f aca="false">IF($B1796="","",IFERROR(INDEX(회원명부!$B$3:$B$502,MATCH($B1796,회원명부!$A$3:$A$502,0)),"미등록회원"))</f>
        <v/>
      </c>
      <c r="D1796" s="13"/>
      <c r="E1796" s="10"/>
      <c r="F1796" s="10"/>
      <c r="G1796" s="10"/>
    </row>
    <row r="1797" customFormat="false" ht="15" hidden="false" customHeight="true" outlineLevel="0" collapsed="false">
      <c r="A1797" s="12"/>
      <c r="B1797" s="10"/>
      <c r="C1797" s="15" t="str">
        <f aca="false">IF($B1797="","",IFERROR(INDEX(회원명부!$B$3:$B$502,MATCH($B1797,회원명부!$A$3:$A$502,0)),"미등록회원"))</f>
        <v/>
      </c>
      <c r="D1797" s="13"/>
      <c r="E1797" s="10"/>
      <c r="F1797" s="10"/>
      <c r="G1797" s="10"/>
    </row>
    <row r="1798" customFormat="false" ht="15" hidden="false" customHeight="true" outlineLevel="0" collapsed="false">
      <c r="A1798" s="12"/>
      <c r="B1798" s="10"/>
      <c r="C1798" s="15" t="str">
        <f aca="false">IF($B1798="","",IFERROR(INDEX(회원명부!$B$3:$B$502,MATCH($B1798,회원명부!$A$3:$A$502,0)),"미등록회원"))</f>
        <v/>
      </c>
      <c r="D1798" s="13"/>
      <c r="E1798" s="10"/>
      <c r="F1798" s="10"/>
      <c r="G1798" s="10"/>
    </row>
    <row r="1799" customFormat="false" ht="15" hidden="false" customHeight="true" outlineLevel="0" collapsed="false">
      <c r="A1799" s="12"/>
      <c r="B1799" s="10"/>
      <c r="C1799" s="15" t="str">
        <f aca="false">IF($B1799="","",IFERROR(INDEX(회원명부!$B$3:$B$502,MATCH($B1799,회원명부!$A$3:$A$502,0)),"미등록회원"))</f>
        <v/>
      </c>
      <c r="D1799" s="13"/>
      <c r="E1799" s="10"/>
      <c r="F1799" s="10"/>
      <c r="G1799" s="10"/>
    </row>
    <row r="1800" customFormat="false" ht="15" hidden="false" customHeight="true" outlineLevel="0" collapsed="false">
      <c r="A1800" s="12"/>
      <c r="B1800" s="10"/>
      <c r="C1800" s="15" t="str">
        <f aca="false">IF($B1800="","",IFERROR(INDEX(회원명부!$B$3:$B$502,MATCH($B1800,회원명부!$A$3:$A$502,0)),"미등록회원"))</f>
        <v/>
      </c>
      <c r="D1800" s="13"/>
      <c r="E1800" s="10"/>
      <c r="F1800" s="10"/>
      <c r="G1800" s="10"/>
    </row>
    <row r="1801" customFormat="false" ht="15" hidden="false" customHeight="true" outlineLevel="0" collapsed="false">
      <c r="A1801" s="12"/>
      <c r="B1801" s="10"/>
      <c r="C1801" s="15" t="str">
        <f aca="false">IF($B1801="","",IFERROR(INDEX(회원명부!$B$3:$B$502,MATCH($B1801,회원명부!$A$3:$A$502,0)),"미등록회원"))</f>
        <v/>
      </c>
      <c r="D1801" s="13"/>
      <c r="E1801" s="10"/>
      <c r="F1801" s="10"/>
      <c r="G1801" s="10"/>
    </row>
    <row r="1802" customFormat="false" ht="15" hidden="false" customHeight="true" outlineLevel="0" collapsed="false">
      <c r="A1802" s="12"/>
      <c r="B1802" s="10"/>
      <c r="C1802" s="15" t="str">
        <f aca="false">IF($B1802="","",IFERROR(INDEX(회원명부!$B$3:$B$502,MATCH($B1802,회원명부!$A$3:$A$502,0)),"미등록회원"))</f>
        <v/>
      </c>
      <c r="D1802" s="13"/>
      <c r="E1802" s="10"/>
      <c r="F1802" s="10"/>
      <c r="G1802" s="10"/>
    </row>
    <row r="1803" customFormat="false" ht="15" hidden="false" customHeight="true" outlineLevel="0" collapsed="false">
      <c r="A1803" s="12"/>
      <c r="B1803" s="10"/>
      <c r="C1803" s="15" t="str">
        <f aca="false">IF($B1803="","",IFERROR(INDEX(회원명부!$B$3:$B$502,MATCH($B1803,회원명부!$A$3:$A$502,0)),"미등록회원"))</f>
        <v/>
      </c>
      <c r="D1803" s="13"/>
      <c r="E1803" s="10"/>
      <c r="F1803" s="10"/>
      <c r="G1803" s="10"/>
    </row>
    <row r="1804" customFormat="false" ht="15" hidden="false" customHeight="true" outlineLevel="0" collapsed="false">
      <c r="A1804" s="12"/>
      <c r="B1804" s="10"/>
      <c r="C1804" s="15" t="str">
        <f aca="false">IF($B1804="","",IFERROR(INDEX(회원명부!$B$3:$B$502,MATCH($B1804,회원명부!$A$3:$A$502,0)),"미등록회원"))</f>
        <v/>
      </c>
      <c r="D1804" s="13"/>
      <c r="E1804" s="10"/>
      <c r="F1804" s="10"/>
      <c r="G1804" s="10"/>
    </row>
    <row r="1805" customFormat="false" ht="15" hidden="false" customHeight="true" outlineLevel="0" collapsed="false">
      <c r="A1805" s="12"/>
      <c r="B1805" s="10"/>
      <c r="C1805" s="15" t="str">
        <f aca="false">IF($B1805="","",IFERROR(INDEX(회원명부!$B$3:$B$502,MATCH($B1805,회원명부!$A$3:$A$502,0)),"미등록회원"))</f>
        <v/>
      </c>
      <c r="D1805" s="13"/>
      <c r="E1805" s="10"/>
      <c r="F1805" s="10"/>
      <c r="G1805" s="10"/>
    </row>
    <row r="1806" customFormat="false" ht="15" hidden="false" customHeight="true" outlineLevel="0" collapsed="false">
      <c r="A1806" s="12"/>
      <c r="B1806" s="10"/>
      <c r="C1806" s="15" t="str">
        <f aca="false">IF($B1806="","",IFERROR(INDEX(회원명부!$B$3:$B$502,MATCH($B1806,회원명부!$A$3:$A$502,0)),"미등록회원"))</f>
        <v/>
      </c>
      <c r="D1806" s="13"/>
      <c r="E1806" s="10"/>
      <c r="F1806" s="10"/>
      <c r="G1806" s="10"/>
    </row>
    <row r="1807" customFormat="false" ht="15" hidden="false" customHeight="true" outlineLevel="0" collapsed="false">
      <c r="A1807" s="12"/>
      <c r="B1807" s="10"/>
      <c r="C1807" s="15" t="str">
        <f aca="false">IF($B1807="","",IFERROR(INDEX(회원명부!$B$3:$B$502,MATCH($B1807,회원명부!$A$3:$A$502,0)),"미등록회원"))</f>
        <v/>
      </c>
      <c r="D1807" s="13"/>
      <c r="E1807" s="10"/>
      <c r="F1807" s="10"/>
      <c r="G1807" s="10"/>
    </row>
    <row r="1808" customFormat="false" ht="15" hidden="false" customHeight="true" outlineLevel="0" collapsed="false">
      <c r="A1808" s="12"/>
      <c r="B1808" s="10"/>
      <c r="C1808" s="15" t="str">
        <f aca="false">IF($B1808="","",IFERROR(INDEX(회원명부!$B$3:$B$502,MATCH($B1808,회원명부!$A$3:$A$502,0)),"미등록회원"))</f>
        <v/>
      </c>
      <c r="D1808" s="13"/>
      <c r="E1808" s="10"/>
      <c r="F1808" s="10"/>
      <c r="G1808" s="10"/>
    </row>
    <row r="1809" customFormat="false" ht="15" hidden="false" customHeight="true" outlineLevel="0" collapsed="false">
      <c r="A1809" s="12"/>
      <c r="B1809" s="10"/>
      <c r="C1809" s="15" t="str">
        <f aca="false">IF($B1809="","",IFERROR(INDEX(회원명부!$B$3:$B$502,MATCH($B1809,회원명부!$A$3:$A$502,0)),"미등록회원"))</f>
        <v/>
      </c>
      <c r="D1809" s="13"/>
      <c r="E1809" s="10"/>
      <c r="F1809" s="10"/>
      <c r="G1809" s="10"/>
    </row>
    <row r="1810" customFormat="false" ht="15" hidden="false" customHeight="true" outlineLevel="0" collapsed="false">
      <c r="A1810" s="12"/>
      <c r="B1810" s="10"/>
      <c r="C1810" s="15" t="str">
        <f aca="false">IF($B1810="","",IFERROR(INDEX(회원명부!$B$3:$B$502,MATCH($B1810,회원명부!$A$3:$A$502,0)),"미등록회원"))</f>
        <v/>
      </c>
      <c r="D1810" s="13"/>
      <c r="E1810" s="10"/>
      <c r="F1810" s="10"/>
      <c r="G1810" s="10"/>
    </row>
    <row r="1811" customFormat="false" ht="15" hidden="false" customHeight="true" outlineLevel="0" collapsed="false">
      <c r="A1811" s="12"/>
      <c r="B1811" s="10"/>
      <c r="C1811" s="15" t="str">
        <f aca="false">IF($B1811="","",IFERROR(INDEX(회원명부!$B$3:$B$502,MATCH($B1811,회원명부!$A$3:$A$502,0)),"미등록회원"))</f>
        <v/>
      </c>
      <c r="D1811" s="13"/>
      <c r="E1811" s="10"/>
      <c r="F1811" s="10"/>
      <c r="G1811" s="10"/>
    </row>
    <row r="1812" customFormat="false" ht="15" hidden="false" customHeight="true" outlineLevel="0" collapsed="false">
      <c r="A1812" s="12"/>
      <c r="B1812" s="10"/>
      <c r="C1812" s="15" t="str">
        <f aca="false">IF($B1812="","",IFERROR(INDEX(회원명부!$B$3:$B$502,MATCH($B1812,회원명부!$A$3:$A$502,0)),"미등록회원"))</f>
        <v/>
      </c>
      <c r="D1812" s="13"/>
      <c r="E1812" s="10"/>
      <c r="F1812" s="10"/>
      <c r="G1812" s="10"/>
    </row>
    <row r="1813" customFormat="false" ht="15" hidden="false" customHeight="true" outlineLevel="0" collapsed="false">
      <c r="A1813" s="12"/>
      <c r="B1813" s="10"/>
      <c r="C1813" s="15" t="str">
        <f aca="false">IF($B1813="","",IFERROR(INDEX(회원명부!$B$3:$B$502,MATCH($B1813,회원명부!$A$3:$A$502,0)),"미등록회원"))</f>
        <v/>
      </c>
      <c r="D1813" s="13"/>
      <c r="E1813" s="10"/>
      <c r="F1813" s="10"/>
      <c r="G1813" s="10"/>
    </row>
    <row r="1814" customFormat="false" ht="15" hidden="false" customHeight="true" outlineLevel="0" collapsed="false">
      <c r="A1814" s="12"/>
      <c r="B1814" s="10"/>
      <c r="C1814" s="15" t="str">
        <f aca="false">IF($B1814="","",IFERROR(INDEX(회원명부!$B$3:$B$502,MATCH($B1814,회원명부!$A$3:$A$502,0)),"미등록회원"))</f>
        <v/>
      </c>
      <c r="D1814" s="13"/>
      <c r="E1814" s="10"/>
      <c r="F1814" s="10"/>
      <c r="G1814" s="10"/>
    </row>
    <row r="1815" customFormat="false" ht="15" hidden="false" customHeight="true" outlineLevel="0" collapsed="false">
      <c r="A1815" s="12"/>
      <c r="B1815" s="10"/>
      <c r="C1815" s="15" t="str">
        <f aca="false">IF($B1815="","",IFERROR(INDEX(회원명부!$B$3:$B$502,MATCH($B1815,회원명부!$A$3:$A$502,0)),"미등록회원"))</f>
        <v/>
      </c>
      <c r="D1815" s="13"/>
      <c r="E1815" s="10"/>
      <c r="F1815" s="10"/>
      <c r="G1815" s="10"/>
    </row>
    <row r="1816" customFormat="false" ht="15" hidden="false" customHeight="true" outlineLevel="0" collapsed="false">
      <c r="A1816" s="12"/>
      <c r="B1816" s="10"/>
      <c r="C1816" s="15" t="str">
        <f aca="false">IF($B1816="","",IFERROR(INDEX(회원명부!$B$3:$B$502,MATCH($B1816,회원명부!$A$3:$A$502,0)),"미등록회원"))</f>
        <v/>
      </c>
      <c r="D1816" s="13"/>
      <c r="E1816" s="10"/>
      <c r="F1816" s="10"/>
      <c r="G1816" s="10"/>
    </row>
    <row r="1817" customFormat="false" ht="15" hidden="false" customHeight="true" outlineLevel="0" collapsed="false">
      <c r="A1817" s="12"/>
      <c r="B1817" s="10"/>
      <c r="C1817" s="15" t="str">
        <f aca="false">IF($B1817="","",IFERROR(INDEX(회원명부!$B$3:$B$502,MATCH($B1817,회원명부!$A$3:$A$502,0)),"미등록회원"))</f>
        <v/>
      </c>
      <c r="D1817" s="13"/>
      <c r="E1817" s="10"/>
      <c r="F1817" s="10"/>
      <c r="G1817" s="10"/>
    </row>
    <row r="1818" customFormat="false" ht="15" hidden="false" customHeight="true" outlineLevel="0" collapsed="false">
      <c r="A1818" s="12"/>
      <c r="B1818" s="10"/>
      <c r="C1818" s="15" t="str">
        <f aca="false">IF($B1818="","",IFERROR(INDEX(회원명부!$B$3:$B$502,MATCH($B1818,회원명부!$A$3:$A$502,0)),"미등록회원"))</f>
        <v/>
      </c>
      <c r="D1818" s="13"/>
      <c r="E1818" s="10"/>
      <c r="F1818" s="10"/>
      <c r="G1818" s="10"/>
    </row>
    <row r="1819" customFormat="false" ht="15" hidden="false" customHeight="true" outlineLevel="0" collapsed="false">
      <c r="A1819" s="12"/>
      <c r="B1819" s="10"/>
      <c r="C1819" s="15" t="str">
        <f aca="false">IF($B1819="","",IFERROR(INDEX(회원명부!$B$3:$B$502,MATCH($B1819,회원명부!$A$3:$A$502,0)),"미등록회원"))</f>
        <v/>
      </c>
      <c r="D1819" s="13"/>
      <c r="E1819" s="10"/>
      <c r="F1819" s="10"/>
      <c r="G1819" s="10"/>
    </row>
    <row r="1820" customFormat="false" ht="15" hidden="false" customHeight="true" outlineLevel="0" collapsed="false">
      <c r="A1820" s="12"/>
      <c r="B1820" s="10"/>
      <c r="C1820" s="15" t="str">
        <f aca="false">IF($B1820="","",IFERROR(INDEX(회원명부!$B$3:$B$502,MATCH($B1820,회원명부!$A$3:$A$502,0)),"미등록회원"))</f>
        <v/>
      </c>
      <c r="D1820" s="13"/>
      <c r="E1820" s="10"/>
      <c r="F1820" s="10"/>
      <c r="G1820" s="10"/>
    </row>
    <row r="1821" customFormat="false" ht="15" hidden="false" customHeight="true" outlineLevel="0" collapsed="false">
      <c r="A1821" s="12"/>
      <c r="B1821" s="10"/>
      <c r="C1821" s="15" t="str">
        <f aca="false">IF($B1821="","",IFERROR(INDEX(회원명부!$B$3:$B$502,MATCH($B1821,회원명부!$A$3:$A$502,0)),"미등록회원"))</f>
        <v/>
      </c>
      <c r="D1821" s="13"/>
      <c r="E1821" s="10"/>
      <c r="F1821" s="10"/>
      <c r="G1821" s="10"/>
    </row>
    <row r="1822" customFormat="false" ht="15" hidden="false" customHeight="true" outlineLevel="0" collapsed="false">
      <c r="A1822" s="12"/>
      <c r="B1822" s="10"/>
      <c r="C1822" s="15" t="str">
        <f aca="false">IF($B1822="","",IFERROR(INDEX(회원명부!$B$3:$B$502,MATCH($B1822,회원명부!$A$3:$A$502,0)),"미등록회원"))</f>
        <v/>
      </c>
      <c r="D1822" s="13"/>
      <c r="E1822" s="10"/>
      <c r="F1822" s="10"/>
      <c r="G1822" s="10"/>
    </row>
    <row r="1823" customFormat="false" ht="15" hidden="false" customHeight="true" outlineLevel="0" collapsed="false">
      <c r="A1823" s="12"/>
      <c r="B1823" s="10"/>
      <c r="C1823" s="15" t="str">
        <f aca="false">IF($B1823="","",IFERROR(INDEX(회원명부!$B$3:$B$502,MATCH($B1823,회원명부!$A$3:$A$502,0)),"미등록회원"))</f>
        <v/>
      </c>
      <c r="D1823" s="13"/>
      <c r="E1823" s="10"/>
      <c r="F1823" s="10"/>
      <c r="G1823" s="10"/>
    </row>
    <row r="1824" customFormat="false" ht="15" hidden="false" customHeight="true" outlineLevel="0" collapsed="false">
      <c r="A1824" s="12"/>
      <c r="B1824" s="10"/>
      <c r="C1824" s="15" t="str">
        <f aca="false">IF($B1824="","",IFERROR(INDEX(회원명부!$B$3:$B$502,MATCH($B1824,회원명부!$A$3:$A$502,0)),"미등록회원"))</f>
        <v/>
      </c>
      <c r="D1824" s="13"/>
      <c r="E1824" s="10"/>
      <c r="F1824" s="10"/>
      <c r="G1824" s="10"/>
    </row>
    <row r="1825" customFormat="false" ht="15" hidden="false" customHeight="true" outlineLevel="0" collapsed="false">
      <c r="A1825" s="12"/>
      <c r="B1825" s="10"/>
      <c r="C1825" s="15" t="str">
        <f aca="false">IF($B1825="","",IFERROR(INDEX(회원명부!$B$3:$B$502,MATCH($B1825,회원명부!$A$3:$A$502,0)),"미등록회원"))</f>
        <v/>
      </c>
      <c r="D1825" s="13"/>
      <c r="E1825" s="10"/>
      <c r="F1825" s="10"/>
      <c r="G1825" s="10"/>
    </row>
    <row r="1826" customFormat="false" ht="15" hidden="false" customHeight="true" outlineLevel="0" collapsed="false">
      <c r="A1826" s="12"/>
      <c r="B1826" s="10"/>
      <c r="C1826" s="15" t="str">
        <f aca="false">IF($B1826="","",IFERROR(INDEX(회원명부!$B$3:$B$502,MATCH($B1826,회원명부!$A$3:$A$502,0)),"미등록회원"))</f>
        <v/>
      </c>
      <c r="D1826" s="13"/>
      <c r="E1826" s="10"/>
      <c r="F1826" s="10"/>
      <c r="G1826" s="10"/>
    </row>
    <row r="1827" customFormat="false" ht="15" hidden="false" customHeight="true" outlineLevel="0" collapsed="false">
      <c r="A1827" s="12"/>
      <c r="B1827" s="10"/>
      <c r="C1827" s="15" t="str">
        <f aca="false">IF($B1827="","",IFERROR(INDEX(회원명부!$B$3:$B$502,MATCH($B1827,회원명부!$A$3:$A$502,0)),"미등록회원"))</f>
        <v/>
      </c>
      <c r="D1827" s="13"/>
      <c r="E1827" s="10"/>
      <c r="F1827" s="10"/>
      <c r="G1827" s="10"/>
    </row>
    <row r="1828" customFormat="false" ht="15" hidden="false" customHeight="true" outlineLevel="0" collapsed="false">
      <c r="A1828" s="12"/>
      <c r="B1828" s="10"/>
      <c r="C1828" s="15" t="str">
        <f aca="false">IF($B1828="","",IFERROR(INDEX(회원명부!$B$3:$B$502,MATCH($B1828,회원명부!$A$3:$A$502,0)),"미등록회원"))</f>
        <v/>
      </c>
      <c r="D1828" s="13"/>
      <c r="E1828" s="10"/>
      <c r="F1828" s="10"/>
      <c r="G1828" s="10"/>
    </row>
    <row r="1829" customFormat="false" ht="15" hidden="false" customHeight="true" outlineLevel="0" collapsed="false">
      <c r="A1829" s="12"/>
      <c r="B1829" s="10"/>
      <c r="C1829" s="15" t="str">
        <f aca="false">IF($B1829="","",IFERROR(INDEX(회원명부!$B$3:$B$502,MATCH($B1829,회원명부!$A$3:$A$502,0)),"미등록회원"))</f>
        <v/>
      </c>
      <c r="D1829" s="13"/>
      <c r="E1829" s="10"/>
      <c r="F1829" s="10"/>
      <c r="G1829" s="10"/>
    </row>
    <row r="1830" customFormat="false" ht="15" hidden="false" customHeight="true" outlineLevel="0" collapsed="false">
      <c r="A1830" s="12"/>
      <c r="B1830" s="10"/>
      <c r="C1830" s="15" t="str">
        <f aca="false">IF($B1830="","",IFERROR(INDEX(회원명부!$B$3:$B$502,MATCH($B1830,회원명부!$A$3:$A$502,0)),"미등록회원"))</f>
        <v/>
      </c>
      <c r="D1830" s="13"/>
      <c r="E1830" s="10"/>
      <c r="F1830" s="10"/>
      <c r="G1830" s="10"/>
    </row>
    <row r="1831" customFormat="false" ht="15" hidden="false" customHeight="true" outlineLevel="0" collapsed="false">
      <c r="A1831" s="12"/>
      <c r="B1831" s="10"/>
      <c r="C1831" s="15" t="str">
        <f aca="false">IF($B1831="","",IFERROR(INDEX(회원명부!$B$3:$B$502,MATCH($B1831,회원명부!$A$3:$A$502,0)),"미등록회원"))</f>
        <v/>
      </c>
      <c r="D1831" s="13"/>
      <c r="E1831" s="10"/>
      <c r="F1831" s="10"/>
      <c r="G1831" s="10"/>
    </row>
    <row r="1832" customFormat="false" ht="15" hidden="false" customHeight="true" outlineLevel="0" collapsed="false">
      <c r="A1832" s="12"/>
      <c r="B1832" s="10"/>
      <c r="C1832" s="15" t="str">
        <f aca="false">IF($B1832="","",IFERROR(INDEX(회원명부!$B$3:$B$502,MATCH($B1832,회원명부!$A$3:$A$502,0)),"미등록회원"))</f>
        <v/>
      </c>
      <c r="D1832" s="13"/>
      <c r="E1832" s="10"/>
      <c r="F1832" s="10"/>
      <c r="G1832" s="10"/>
    </row>
    <row r="1833" customFormat="false" ht="15" hidden="false" customHeight="true" outlineLevel="0" collapsed="false">
      <c r="A1833" s="12"/>
      <c r="B1833" s="10"/>
      <c r="C1833" s="15" t="str">
        <f aca="false">IF($B1833="","",IFERROR(INDEX(회원명부!$B$3:$B$502,MATCH($B1833,회원명부!$A$3:$A$502,0)),"미등록회원"))</f>
        <v/>
      </c>
      <c r="D1833" s="13"/>
      <c r="E1833" s="10"/>
      <c r="F1833" s="10"/>
      <c r="G1833" s="10"/>
    </row>
    <row r="1834" customFormat="false" ht="15" hidden="false" customHeight="true" outlineLevel="0" collapsed="false">
      <c r="A1834" s="12"/>
      <c r="B1834" s="10"/>
      <c r="C1834" s="15" t="str">
        <f aca="false">IF($B1834="","",IFERROR(INDEX(회원명부!$B$3:$B$502,MATCH($B1834,회원명부!$A$3:$A$502,0)),"미등록회원"))</f>
        <v/>
      </c>
      <c r="D1834" s="13"/>
      <c r="E1834" s="10"/>
      <c r="F1834" s="10"/>
      <c r="G1834" s="10"/>
    </row>
    <row r="1835" customFormat="false" ht="15" hidden="false" customHeight="true" outlineLevel="0" collapsed="false">
      <c r="A1835" s="12"/>
      <c r="B1835" s="10"/>
      <c r="C1835" s="15" t="str">
        <f aca="false">IF($B1835="","",IFERROR(INDEX(회원명부!$B$3:$B$502,MATCH($B1835,회원명부!$A$3:$A$502,0)),"미등록회원"))</f>
        <v/>
      </c>
      <c r="D1835" s="13"/>
      <c r="E1835" s="10"/>
      <c r="F1835" s="10"/>
      <c r="G1835" s="10"/>
    </row>
    <row r="1836" customFormat="false" ht="15" hidden="false" customHeight="true" outlineLevel="0" collapsed="false">
      <c r="A1836" s="12"/>
      <c r="B1836" s="10"/>
      <c r="C1836" s="15" t="str">
        <f aca="false">IF($B1836="","",IFERROR(INDEX(회원명부!$B$3:$B$502,MATCH($B1836,회원명부!$A$3:$A$502,0)),"미등록회원"))</f>
        <v/>
      </c>
      <c r="D1836" s="13"/>
      <c r="E1836" s="10"/>
      <c r="F1836" s="10"/>
      <c r="G1836" s="10"/>
    </row>
    <row r="1837" customFormat="false" ht="15" hidden="false" customHeight="true" outlineLevel="0" collapsed="false">
      <c r="A1837" s="12"/>
      <c r="B1837" s="10"/>
      <c r="C1837" s="15" t="str">
        <f aca="false">IF($B1837="","",IFERROR(INDEX(회원명부!$B$3:$B$502,MATCH($B1837,회원명부!$A$3:$A$502,0)),"미등록회원"))</f>
        <v/>
      </c>
      <c r="D1837" s="13"/>
      <c r="E1837" s="10"/>
      <c r="F1837" s="10"/>
      <c r="G1837" s="10"/>
    </row>
    <row r="1838" customFormat="false" ht="15" hidden="false" customHeight="true" outlineLevel="0" collapsed="false">
      <c r="A1838" s="12"/>
      <c r="B1838" s="10"/>
      <c r="C1838" s="15" t="str">
        <f aca="false">IF($B1838="","",IFERROR(INDEX(회원명부!$B$3:$B$502,MATCH($B1838,회원명부!$A$3:$A$502,0)),"미등록회원"))</f>
        <v/>
      </c>
      <c r="D1838" s="13"/>
      <c r="E1838" s="10"/>
      <c r="F1838" s="10"/>
      <c r="G1838" s="10"/>
    </row>
    <row r="1839" customFormat="false" ht="15" hidden="false" customHeight="true" outlineLevel="0" collapsed="false">
      <c r="A1839" s="12"/>
      <c r="B1839" s="10"/>
      <c r="C1839" s="15" t="str">
        <f aca="false">IF($B1839="","",IFERROR(INDEX(회원명부!$B$3:$B$502,MATCH($B1839,회원명부!$A$3:$A$502,0)),"미등록회원"))</f>
        <v/>
      </c>
      <c r="D1839" s="13"/>
      <c r="E1839" s="10"/>
      <c r="F1839" s="10"/>
      <c r="G1839" s="10"/>
    </row>
    <row r="1840" customFormat="false" ht="15" hidden="false" customHeight="true" outlineLevel="0" collapsed="false">
      <c r="A1840" s="12"/>
      <c r="B1840" s="10"/>
      <c r="C1840" s="15" t="str">
        <f aca="false">IF($B1840="","",IFERROR(INDEX(회원명부!$B$3:$B$502,MATCH($B1840,회원명부!$A$3:$A$502,0)),"미등록회원"))</f>
        <v/>
      </c>
      <c r="D1840" s="13"/>
      <c r="E1840" s="10"/>
      <c r="F1840" s="10"/>
      <c r="G1840" s="10"/>
    </row>
    <row r="1841" customFormat="false" ht="15" hidden="false" customHeight="true" outlineLevel="0" collapsed="false">
      <c r="A1841" s="12"/>
      <c r="B1841" s="10"/>
      <c r="C1841" s="15" t="str">
        <f aca="false">IF($B1841="","",IFERROR(INDEX(회원명부!$B$3:$B$502,MATCH($B1841,회원명부!$A$3:$A$502,0)),"미등록회원"))</f>
        <v/>
      </c>
      <c r="D1841" s="13"/>
      <c r="E1841" s="10"/>
      <c r="F1841" s="10"/>
      <c r="G1841" s="10"/>
    </row>
    <row r="1842" customFormat="false" ht="15" hidden="false" customHeight="true" outlineLevel="0" collapsed="false">
      <c r="A1842" s="12"/>
      <c r="B1842" s="10"/>
      <c r="C1842" s="15" t="str">
        <f aca="false">IF($B1842="","",IFERROR(INDEX(회원명부!$B$3:$B$502,MATCH($B1842,회원명부!$A$3:$A$502,0)),"미등록회원"))</f>
        <v/>
      </c>
      <c r="D1842" s="13"/>
      <c r="E1842" s="10"/>
      <c r="F1842" s="10"/>
      <c r="G1842" s="10"/>
    </row>
    <row r="1843" customFormat="false" ht="15" hidden="false" customHeight="true" outlineLevel="0" collapsed="false">
      <c r="A1843" s="12"/>
      <c r="B1843" s="10"/>
      <c r="C1843" s="15" t="str">
        <f aca="false">IF($B1843="","",IFERROR(INDEX(회원명부!$B$3:$B$502,MATCH($B1843,회원명부!$A$3:$A$502,0)),"미등록회원"))</f>
        <v/>
      </c>
      <c r="D1843" s="13"/>
      <c r="E1843" s="10"/>
      <c r="F1843" s="10"/>
      <c r="G1843" s="10"/>
    </row>
    <row r="1844" customFormat="false" ht="15" hidden="false" customHeight="true" outlineLevel="0" collapsed="false">
      <c r="A1844" s="12"/>
      <c r="B1844" s="10"/>
      <c r="C1844" s="15" t="str">
        <f aca="false">IF($B1844="","",IFERROR(INDEX(회원명부!$B$3:$B$502,MATCH($B1844,회원명부!$A$3:$A$502,0)),"미등록회원"))</f>
        <v/>
      </c>
      <c r="D1844" s="13"/>
      <c r="E1844" s="10"/>
      <c r="F1844" s="10"/>
      <c r="G1844" s="10"/>
    </row>
    <row r="1845" customFormat="false" ht="15" hidden="false" customHeight="true" outlineLevel="0" collapsed="false">
      <c r="A1845" s="12"/>
      <c r="B1845" s="10"/>
      <c r="C1845" s="15" t="str">
        <f aca="false">IF($B1845="","",IFERROR(INDEX(회원명부!$B$3:$B$502,MATCH($B1845,회원명부!$A$3:$A$502,0)),"미등록회원"))</f>
        <v/>
      </c>
      <c r="D1845" s="13"/>
      <c r="E1845" s="10"/>
      <c r="F1845" s="10"/>
      <c r="G1845" s="10"/>
    </row>
    <row r="1846" customFormat="false" ht="15" hidden="false" customHeight="true" outlineLevel="0" collapsed="false">
      <c r="A1846" s="12"/>
      <c r="B1846" s="10"/>
      <c r="C1846" s="15" t="str">
        <f aca="false">IF($B1846="","",IFERROR(INDEX(회원명부!$B$3:$B$502,MATCH($B1846,회원명부!$A$3:$A$502,0)),"미등록회원"))</f>
        <v/>
      </c>
      <c r="D1846" s="13"/>
      <c r="E1846" s="10"/>
      <c r="F1846" s="10"/>
      <c r="G1846" s="10"/>
    </row>
    <row r="1847" customFormat="false" ht="15" hidden="false" customHeight="true" outlineLevel="0" collapsed="false">
      <c r="A1847" s="12"/>
      <c r="B1847" s="10"/>
      <c r="C1847" s="15" t="str">
        <f aca="false">IF($B1847="","",IFERROR(INDEX(회원명부!$B$3:$B$502,MATCH($B1847,회원명부!$A$3:$A$502,0)),"미등록회원"))</f>
        <v/>
      </c>
      <c r="D1847" s="13"/>
      <c r="E1847" s="10"/>
      <c r="F1847" s="10"/>
      <c r="G1847" s="10"/>
    </row>
    <row r="1848" customFormat="false" ht="15" hidden="false" customHeight="true" outlineLevel="0" collapsed="false">
      <c r="A1848" s="12"/>
      <c r="B1848" s="10"/>
      <c r="C1848" s="15" t="str">
        <f aca="false">IF($B1848="","",IFERROR(INDEX(회원명부!$B$3:$B$502,MATCH($B1848,회원명부!$A$3:$A$502,0)),"미등록회원"))</f>
        <v/>
      </c>
      <c r="D1848" s="13"/>
      <c r="E1848" s="10"/>
      <c r="F1848" s="10"/>
      <c r="G1848" s="10"/>
    </row>
    <row r="1849" customFormat="false" ht="15" hidden="false" customHeight="true" outlineLevel="0" collapsed="false">
      <c r="A1849" s="12"/>
      <c r="B1849" s="10"/>
      <c r="C1849" s="15" t="str">
        <f aca="false">IF($B1849="","",IFERROR(INDEX(회원명부!$B$3:$B$502,MATCH($B1849,회원명부!$A$3:$A$502,0)),"미등록회원"))</f>
        <v/>
      </c>
      <c r="D1849" s="13"/>
      <c r="E1849" s="10"/>
      <c r="F1849" s="10"/>
      <c r="G1849" s="10"/>
    </row>
    <row r="1850" customFormat="false" ht="15" hidden="false" customHeight="true" outlineLevel="0" collapsed="false">
      <c r="A1850" s="12"/>
      <c r="B1850" s="10"/>
      <c r="C1850" s="15" t="str">
        <f aca="false">IF($B1850="","",IFERROR(INDEX(회원명부!$B$3:$B$502,MATCH($B1850,회원명부!$A$3:$A$502,0)),"미등록회원"))</f>
        <v/>
      </c>
      <c r="D1850" s="13"/>
      <c r="E1850" s="10"/>
      <c r="F1850" s="10"/>
      <c r="G1850" s="10"/>
    </row>
    <row r="1851" customFormat="false" ht="15" hidden="false" customHeight="true" outlineLevel="0" collapsed="false">
      <c r="A1851" s="12"/>
      <c r="B1851" s="10"/>
      <c r="C1851" s="15" t="str">
        <f aca="false">IF($B1851="","",IFERROR(INDEX(회원명부!$B$3:$B$502,MATCH($B1851,회원명부!$A$3:$A$502,0)),"미등록회원"))</f>
        <v/>
      </c>
      <c r="D1851" s="13"/>
      <c r="E1851" s="10"/>
      <c r="F1851" s="10"/>
      <c r="G1851" s="10"/>
    </row>
    <row r="1852" customFormat="false" ht="15" hidden="false" customHeight="true" outlineLevel="0" collapsed="false">
      <c r="A1852" s="12"/>
      <c r="B1852" s="10"/>
      <c r="C1852" s="15" t="str">
        <f aca="false">IF($B1852="","",IFERROR(INDEX(회원명부!$B$3:$B$502,MATCH($B1852,회원명부!$A$3:$A$502,0)),"미등록회원"))</f>
        <v/>
      </c>
      <c r="D1852" s="13"/>
      <c r="E1852" s="10"/>
      <c r="F1852" s="10"/>
      <c r="G1852" s="10"/>
    </row>
    <row r="1853" customFormat="false" ht="15" hidden="false" customHeight="true" outlineLevel="0" collapsed="false">
      <c r="A1853" s="12"/>
      <c r="B1853" s="10"/>
      <c r="C1853" s="15" t="str">
        <f aca="false">IF($B1853="","",IFERROR(INDEX(회원명부!$B$3:$B$502,MATCH($B1853,회원명부!$A$3:$A$502,0)),"미등록회원"))</f>
        <v/>
      </c>
      <c r="D1853" s="13"/>
      <c r="E1853" s="10"/>
      <c r="F1853" s="10"/>
      <c r="G1853" s="10"/>
    </row>
    <row r="1854" customFormat="false" ht="15" hidden="false" customHeight="true" outlineLevel="0" collapsed="false">
      <c r="A1854" s="12"/>
      <c r="B1854" s="10"/>
      <c r="C1854" s="15" t="str">
        <f aca="false">IF($B1854="","",IFERROR(INDEX(회원명부!$B$3:$B$502,MATCH($B1854,회원명부!$A$3:$A$502,0)),"미등록회원"))</f>
        <v/>
      </c>
      <c r="D1854" s="13"/>
      <c r="E1854" s="10"/>
      <c r="F1854" s="10"/>
      <c r="G1854" s="10"/>
    </row>
    <row r="1855" customFormat="false" ht="15" hidden="false" customHeight="true" outlineLevel="0" collapsed="false">
      <c r="A1855" s="12"/>
      <c r="B1855" s="10"/>
      <c r="C1855" s="15" t="str">
        <f aca="false">IF($B1855="","",IFERROR(INDEX(회원명부!$B$3:$B$502,MATCH($B1855,회원명부!$A$3:$A$502,0)),"미등록회원"))</f>
        <v/>
      </c>
      <c r="D1855" s="13"/>
      <c r="E1855" s="10"/>
      <c r="F1855" s="10"/>
      <c r="G1855" s="10"/>
    </row>
    <row r="1856" customFormat="false" ht="15" hidden="false" customHeight="true" outlineLevel="0" collapsed="false">
      <c r="A1856" s="12"/>
      <c r="B1856" s="10"/>
      <c r="C1856" s="15" t="str">
        <f aca="false">IF($B1856="","",IFERROR(INDEX(회원명부!$B$3:$B$502,MATCH($B1856,회원명부!$A$3:$A$502,0)),"미등록회원"))</f>
        <v/>
      </c>
      <c r="D1856" s="13"/>
      <c r="E1856" s="10"/>
      <c r="F1856" s="10"/>
      <c r="G1856" s="10"/>
    </row>
    <row r="1857" customFormat="false" ht="15" hidden="false" customHeight="true" outlineLevel="0" collapsed="false">
      <c r="A1857" s="12"/>
      <c r="B1857" s="10"/>
      <c r="C1857" s="15" t="str">
        <f aca="false">IF($B1857="","",IFERROR(INDEX(회원명부!$B$3:$B$502,MATCH($B1857,회원명부!$A$3:$A$502,0)),"미등록회원"))</f>
        <v/>
      </c>
      <c r="D1857" s="13"/>
      <c r="E1857" s="10"/>
      <c r="F1857" s="10"/>
      <c r="G1857" s="10"/>
    </row>
    <row r="1858" customFormat="false" ht="15" hidden="false" customHeight="true" outlineLevel="0" collapsed="false">
      <c r="A1858" s="12"/>
      <c r="B1858" s="10"/>
      <c r="C1858" s="15" t="str">
        <f aca="false">IF($B1858="","",IFERROR(INDEX(회원명부!$B$3:$B$502,MATCH($B1858,회원명부!$A$3:$A$502,0)),"미등록회원"))</f>
        <v/>
      </c>
      <c r="D1858" s="13"/>
      <c r="E1858" s="10"/>
      <c r="F1858" s="10"/>
      <c r="G1858" s="10"/>
    </row>
    <row r="1859" customFormat="false" ht="15" hidden="false" customHeight="true" outlineLevel="0" collapsed="false">
      <c r="A1859" s="12"/>
      <c r="B1859" s="10"/>
      <c r="C1859" s="15" t="str">
        <f aca="false">IF($B1859="","",IFERROR(INDEX(회원명부!$B$3:$B$502,MATCH($B1859,회원명부!$A$3:$A$502,0)),"미등록회원"))</f>
        <v/>
      </c>
      <c r="D1859" s="13"/>
      <c r="E1859" s="10"/>
      <c r="F1859" s="10"/>
      <c r="G1859" s="10"/>
    </row>
    <row r="1860" customFormat="false" ht="15" hidden="false" customHeight="true" outlineLevel="0" collapsed="false">
      <c r="A1860" s="12"/>
      <c r="B1860" s="10"/>
      <c r="C1860" s="15" t="str">
        <f aca="false">IF($B1860="","",IFERROR(INDEX(회원명부!$B$3:$B$502,MATCH($B1860,회원명부!$A$3:$A$502,0)),"미등록회원"))</f>
        <v/>
      </c>
      <c r="D1860" s="13"/>
      <c r="E1860" s="10"/>
      <c r="F1860" s="10"/>
      <c r="G1860" s="10"/>
    </row>
    <row r="1861" customFormat="false" ht="15" hidden="false" customHeight="true" outlineLevel="0" collapsed="false">
      <c r="A1861" s="12"/>
      <c r="B1861" s="10"/>
      <c r="C1861" s="15" t="str">
        <f aca="false">IF($B1861="","",IFERROR(INDEX(회원명부!$B$3:$B$502,MATCH($B1861,회원명부!$A$3:$A$502,0)),"미등록회원"))</f>
        <v/>
      </c>
      <c r="D1861" s="13"/>
      <c r="E1861" s="10"/>
      <c r="F1861" s="10"/>
      <c r="G1861" s="10"/>
    </row>
    <row r="1862" customFormat="false" ht="15" hidden="false" customHeight="true" outlineLevel="0" collapsed="false">
      <c r="A1862" s="12"/>
      <c r="B1862" s="10"/>
      <c r="C1862" s="15" t="str">
        <f aca="false">IF($B1862="","",IFERROR(INDEX(회원명부!$B$3:$B$502,MATCH($B1862,회원명부!$A$3:$A$502,0)),"미등록회원"))</f>
        <v/>
      </c>
      <c r="D1862" s="13"/>
      <c r="E1862" s="10"/>
      <c r="F1862" s="10"/>
      <c r="G1862" s="10"/>
    </row>
    <row r="1863" customFormat="false" ht="15" hidden="false" customHeight="true" outlineLevel="0" collapsed="false">
      <c r="A1863" s="12"/>
      <c r="B1863" s="10"/>
      <c r="C1863" s="15" t="str">
        <f aca="false">IF($B1863="","",IFERROR(INDEX(회원명부!$B$3:$B$502,MATCH($B1863,회원명부!$A$3:$A$502,0)),"미등록회원"))</f>
        <v/>
      </c>
      <c r="D1863" s="13"/>
      <c r="E1863" s="10"/>
      <c r="F1863" s="10"/>
      <c r="G1863" s="10"/>
    </row>
    <row r="1864" customFormat="false" ht="15" hidden="false" customHeight="true" outlineLevel="0" collapsed="false">
      <c r="A1864" s="12"/>
      <c r="B1864" s="10"/>
      <c r="C1864" s="15" t="str">
        <f aca="false">IF($B1864="","",IFERROR(INDEX(회원명부!$B$3:$B$502,MATCH($B1864,회원명부!$A$3:$A$502,0)),"미등록회원"))</f>
        <v/>
      </c>
      <c r="D1864" s="13"/>
      <c r="E1864" s="10"/>
      <c r="F1864" s="10"/>
      <c r="G1864" s="10"/>
    </row>
    <row r="1865" customFormat="false" ht="15" hidden="false" customHeight="true" outlineLevel="0" collapsed="false">
      <c r="A1865" s="12"/>
      <c r="B1865" s="10"/>
      <c r="C1865" s="15" t="str">
        <f aca="false">IF($B1865="","",IFERROR(INDEX(회원명부!$B$3:$B$502,MATCH($B1865,회원명부!$A$3:$A$502,0)),"미등록회원"))</f>
        <v/>
      </c>
      <c r="D1865" s="13"/>
      <c r="E1865" s="10"/>
      <c r="F1865" s="10"/>
      <c r="G1865" s="10"/>
    </row>
    <row r="1866" customFormat="false" ht="15" hidden="false" customHeight="true" outlineLevel="0" collapsed="false">
      <c r="A1866" s="12"/>
      <c r="B1866" s="10"/>
      <c r="C1866" s="15" t="str">
        <f aca="false">IF($B1866="","",IFERROR(INDEX(회원명부!$B$3:$B$502,MATCH($B1866,회원명부!$A$3:$A$502,0)),"미등록회원"))</f>
        <v/>
      </c>
      <c r="D1866" s="13"/>
      <c r="E1866" s="10"/>
      <c r="F1866" s="10"/>
      <c r="G1866" s="10"/>
    </row>
    <row r="1867" customFormat="false" ht="15" hidden="false" customHeight="true" outlineLevel="0" collapsed="false">
      <c r="A1867" s="12"/>
      <c r="B1867" s="10"/>
      <c r="C1867" s="15" t="str">
        <f aca="false">IF($B1867="","",IFERROR(INDEX(회원명부!$B$3:$B$502,MATCH($B1867,회원명부!$A$3:$A$502,0)),"미등록회원"))</f>
        <v/>
      </c>
      <c r="D1867" s="13"/>
      <c r="E1867" s="10"/>
      <c r="F1867" s="10"/>
      <c r="G1867" s="10"/>
    </row>
    <row r="1868" customFormat="false" ht="15" hidden="false" customHeight="true" outlineLevel="0" collapsed="false">
      <c r="A1868" s="12"/>
      <c r="B1868" s="10"/>
      <c r="C1868" s="15" t="str">
        <f aca="false">IF($B1868="","",IFERROR(INDEX(회원명부!$B$3:$B$502,MATCH($B1868,회원명부!$A$3:$A$502,0)),"미등록회원"))</f>
        <v/>
      </c>
      <c r="D1868" s="13"/>
      <c r="E1868" s="10"/>
      <c r="F1868" s="10"/>
      <c r="G1868" s="10"/>
    </row>
    <row r="1869" customFormat="false" ht="15" hidden="false" customHeight="true" outlineLevel="0" collapsed="false">
      <c r="A1869" s="12"/>
      <c r="B1869" s="10"/>
      <c r="C1869" s="15" t="str">
        <f aca="false">IF($B1869="","",IFERROR(INDEX(회원명부!$B$3:$B$502,MATCH($B1869,회원명부!$A$3:$A$502,0)),"미등록회원"))</f>
        <v/>
      </c>
      <c r="D1869" s="13"/>
      <c r="E1869" s="10"/>
      <c r="F1869" s="10"/>
      <c r="G1869" s="10"/>
    </row>
    <row r="1870" customFormat="false" ht="15" hidden="false" customHeight="true" outlineLevel="0" collapsed="false">
      <c r="A1870" s="12"/>
      <c r="B1870" s="10"/>
      <c r="C1870" s="15" t="str">
        <f aca="false">IF($B1870="","",IFERROR(INDEX(회원명부!$B$3:$B$502,MATCH($B1870,회원명부!$A$3:$A$502,0)),"미등록회원"))</f>
        <v/>
      </c>
      <c r="D1870" s="13"/>
      <c r="E1870" s="10"/>
      <c r="F1870" s="10"/>
      <c r="G1870" s="10"/>
    </row>
    <row r="1871" customFormat="false" ht="15" hidden="false" customHeight="true" outlineLevel="0" collapsed="false">
      <c r="A1871" s="12"/>
      <c r="B1871" s="10"/>
      <c r="C1871" s="15" t="str">
        <f aca="false">IF($B1871="","",IFERROR(INDEX(회원명부!$B$3:$B$502,MATCH($B1871,회원명부!$A$3:$A$502,0)),"미등록회원"))</f>
        <v/>
      </c>
      <c r="D1871" s="13"/>
      <c r="E1871" s="10"/>
      <c r="F1871" s="10"/>
      <c r="G1871" s="10"/>
    </row>
    <row r="1872" customFormat="false" ht="15" hidden="false" customHeight="true" outlineLevel="0" collapsed="false">
      <c r="A1872" s="12"/>
      <c r="B1872" s="10"/>
      <c r="C1872" s="15" t="str">
        <f aca="false">IF($B1872="","",IFERROR(INDEX(회원명부!$B$3:$B$502,MATCH($B1872,회원명부!$A$3:$A$502,0)),"미등록회원"))</f>
        <v/>
      </c>
      <c r="D1872" s="13"/>
      <c r="E1872" s="10"/>
      <c r="F1872" s="10"/>
      <c r="G1872" s="10"/>
    </row>
    <row r="1873" customFormat="false" ht="15" hidden="false" customHeight="true" outlineLevel="0" collapsed="false">
      <c r="A1873" s="12"/>
      <c r="B1873" s="10"/>
      <c r="C1873" s="15" t="str">
        <f aca="false">IF($B1873="","",IFERROR(INDEX(회원명부!$B$3:$B$502,MATCH($B1873,회원명부!$A$3:$A$502,0)),"미등록회원"))</f>
        <v/>
      </c>
      <c r="D1873" s="13"/>
      <c r="E1873" s="10"/>
      <c r="F1873" s="10"/>
      <c r="G1873" s="10"/>
    </row>
    <row r="1874" customFormat="false" ht="15" hidden="false" customHeight="true" outlineLevel="0" collapsed="false">
      <c r="A1874" s="12"/>
      <c r="B1874" s="10"/>
      <c r="C1874" s="15" t="str">
        <f aca="false">IF($B1874="","",IFERROR(INDEX(회원명부!$B$3:$B$502,MATCH($B1874,회원명부!$A$3:$A$502,0)),"미등록회원"))</f>
        <v/>
      </c>
      <c r="D1874" s="13"/>
      <c r="E1874" s="10"/>
      <c r="F1874" s="10"/>
      <c r="G1874" s="10"/>
    </row>
    <row r="1875" customFormat="false" ht="15" hidden="false" customHeight="true" outlineLevel="0" collapsed="false">
      <c r="A1875" s="12"/>
      <c r="B1875" s="10"/>
      <c r="C1875" s="15" t="str">
        <f aca="false">IF($B1875="","",IFERROR(INDEX(회원명부!$B$3:$B$502,MATCH($B1875,회원명부!$A$3:$A$502,0)),"미등록회원"))</f>
        <v/>
      </c>
      <c r="D1875" s="13"/>
      <c r="E1875" s="10"/>
      <c r="F1875" s="10"/>
      <c r="G1875" s="10"/>
    </row>
    <row r="1876" customFormat="false" ht="15" hidden="false" customHeight="true" outlineLevel="0" collapsed="false">
      <c r="A1876" s="12"/>
      <c r="B1876" s="10"/>
      <c r="C1876" s="15" t="str">
        <f aca="false">IF($B1876="","",IFERROR(INDEX(회원명부!$B$3:$B$502,MATCH($B1876,회원명부!$A$3:$A$502,0)),"미등록회원"))</f>
        <v/>
      </c>
      <c r="D1876" s="13"/>
      <c r="E1876" s="10"/>
      <c r="F1876" s="10"/>
      <c r="G1876" s="10"/>
    </row>
    <row r="1877" customFormat="false" ht="15" hidden="false" customHeight="true" outlineLevel="0" collapsed="false">
      <c r="A1877" s="12"/>
      <c r="B1877" s="10"/>
      <c r="C1877" s="15" t="str">
        <f aca="false">IF($B1877="","",IFERROR(INDEX(회원명부!$B$3:$B$502,MATCH($B1877,회원명부!$A$3:$A$502,0)),"미등록회원"))</f>
        <v/>
      </c>
      <c r="D1877" s="13"/>
      <c r="E1877" s="10"/>
      <c r="F1877" s="10"/>
      <c r="G1877" s="10"/>
    </row>
    <row r="1878" customFormat="false" ht="15" hidden="false" customHeight="true" outlineLevel="0" collapsed="false">
      <c r="A1878" s="12"/>
      <c r="B1878" s="10"/>
      <c r="C1878" s="15" t="str">
        <f aca="false">IF($B1878="","",IFERROR(INDEX(회원명부!$B$3:$B$502,MATCH($B1878,회원명부!$A$3:$A$502,0)),"미등록회원"))</f>
        <v/>
      </c>
      <c r="D1878" s="13"/>
      <c r="E1878" s="10"/>
      <c r="F1878" s="10"/>
      <c r="G1878" s="10"/>
    </row>
    <row r="1879" customFormat="false" ht="15" hidden="false" customHeight="true" outlineLevel="0" collapsed="false">
      <c r="A1879" s="12"/>
      <c r="B1879" s="10"/>
      <c r="C1879" s="15" t="str">
        <f aca="false">IF($B1879="","",IFERROR(INDEX(회원명부!$B$3:$B$502,MATCH($B1879,회원명부!$A$3:$A$502,0)),"미등록회원"))</f>
        <v/>
      </c>
      <c r="D1879" s="13"/>
      <c r="E1879" s="10"/>
      <c r="F1879" s="10"/>
      <c r="G1879" s="10"/>
    </row>
    <row r="1880" customFormat="false" ht="15" hidden="false" customHeight="true" outlineLevel="0" collapsed="false">
      <c r="A1880" s="12"/>
      <c r="B1880" s="10"/>
      <c r="C1880" s="15" t="str">
        <f aca="false">IF($B1880="","",IFERROR(INDEX(회원명부!$B$3:$B$502,MATCH($B1880,회원명부!$A$3:$A$502,0)),"미등록회원"))</f>
        <v/>
      </c>
      <c r="D1880" s="13"/>
      <c r="E1880" s="10"/>
      <c r="F1880" s="10"/>
      <c r="G1880" s="10"/>
    </row>
    <row r="1881" customFormat="false" ht="15" hidden="false" customHeight="true" outlineLevel="0" collapsed="false">
      <c r="A1881" s="12"/>
      <c r="B1881" s="10"/>
      <c r="C1881" s="15" t="str">
        <f aca="false">IF($B1881="","",IFERROR(INDEX(회원명부!$B$3:$B$502,MATCH($B1881,회원명부!$A$3:$A$502,0)),"미등록회원"))</f>
        <v/>
      </c>
      <c r="D1881" s="13"/>
      <c r="E1881" s="10"/>
      <c r="F1881" s="10"/>
      <c r="G1881" s="10"/>
    </row>
    <row r="1882" customFormat="false" ht="15" hidden="false" customHeight="true" outlineLevel="0" collapsed="false">
      <c r="A1882" s="12"/>
      <c r="B1882" s="10"/>
      <c r="C1882" s="15" t="str">
        <f aca="false">IF($B1882="","",IFERROR(INDEX(회원명부!$B$3:$B$502,MATCH($B1882,회원명부!$A$3:$A$502,0)),"미등록회원"))</f>
        <v/>
      </c>
      <c r="D1882" s="13"/>
      <c r="E1882" s="10"/>
      <c r="F1882" s="10"/>
      <c r="G1882" s="10"/>
    </row>
    <row r="1883" customFormat="false" ht="15" hidden="false" customHeight="true" outlineLevel="0" collapsed="false">
      <c r="A1883" s="12"/>
      <c r="B1883" s="10"/>
      <c r="C1883" s="15" t="str">
        <f aca="false">IF($B1883="","",IFERROR(INDEX(회원명부!$B$3:$B$502,MATCH($B1883,회원명부!$A$3:$A$502,0)),"미등록회원"))</f>
        <v/>
      </c>
      <c r="D1883" s="13"/>
      <c r="E1883" s="10"/>
      <c r="F1883" s="10"/>
      <c r="G1883" s="10"/>
    </row>
    <row r="1884" customFormat="false" ht="15" hidden="false" customHeight="true" outlineLevel="0" collapsed="false">
      <c r="A1884" s="12"/>
      <c r="B1884" s="10"/>
      <c r="C1884" s="15" t="str">
        <f aca="false">IF($B1884="","",IFERROR(INDEX(회원명부!$B$3:$B$502,MATCH($B1884,회원명부!$A$3:$A$502,0)),"미등록회원"))</f>
        <v/>
      </c>
      <c r="D1884" s="13"/>
      <c r="E1884" s="10"/>
      <c r="F1884" s="10"/>
      <c r="G1884" s="10"/>
    </row>
    <row r="1885" customFormat="false" ht="15" hidden="false" customHeight="true" outlineLevel="0" collapsed="false">
      <c r="A1885" s="12"/>
      <c r="B1885" s="10"/>
      <c r="C1885" s="15" t="str">
        <f aca="false">IF($B1885="","",IFERROR(INDEX(회원명부!$B$3:$B$502,MATCH($B1885,회원명부!$A$3:$A$502,0)),"미등록회원"))</f>
        <v/>
      </c>
      <c r="D1885" s="13"/>
      <c r="E1885" s="10"/>
      <c r="F1885" s="10"/>
      <c r="G1885" s="10"/>
    </row>
    <row r="1886" customFormat="false" ht="15" hidden="false" customHeight="true" outlineLevel="0" collapsed="false">
      <c r="A1886" s="12"/>
      <c r="B1886" s="10"/>
      <c r="C1886" s="15" t="str">
        <f aca="false">IF($B1886="","",IFERROR(INDEX(회원명부!$B$3:$B$502,MATCH($B1886,회원명부!$A$3:$A$502,0)),"미등록회원"))</f>
        <v/>
      </c>
      <c r="D1886" s="13"/>
      <c r="E1886" s="10"/>
      <c r="F1886" s="10"/>
      <c r="G1886" s="10"/>
    </row>
    <row r="1887" customFormat="false" ht="15" hidden="false" customHeight="true" outlineLevel="0" collapsed="false">
      <c r="A1887" s="12"/>
      <c r="B1887" s="10"/>
      <c r="C1887" s="15" t="str">
        <f aca="false">IF($B1887="","",IFERROR(INDEX(회원명부!$B$3:$B$502,MATCH($B1887,회원명부!$A$3:$A$502,0)),"미등록회원"))</f>
        <v/>
      </c>
      <c r="D1887" s="13"/>
      <c r="E1887" s="10"/>
      <c r="F1887" s="10"/>
      <c r="G1887" s="10"/>
    </row>
    <row r="1888" customFormat="false" ht="15" hidden="false" customHeight="true" outlineLevel="0" collapsed="false">
      <c r="A1888" s="12"/>
      <c r="B1888" s="10"/>
      <c r="C1888" s="15" t="str">
        <f aca="false">IF($B1888="","",IFERROR(INDEX(회원명부!$B$3:$B$502,MATCH($B1888,회원명부!$A$3:$A$502,0)),"미등록회원"))</f>
        <v/>
      </c>
      <c r="D1888" s="13"/>
      <c r="E1888" s="10"/>
      <c r="F1888" s="10"/>
      <c r="G1888" s="10"/>
    </row>
    <row r="1889" customFormat="false" ht="15" hidden="false" customHeight="true" outlineLevel="0" collapsed="false">
      <c r="A1889" s="12"/>
      <c r="B1889" s="10"/>
      <c r="C1889" s="15" t="str">
        <f aca="false">IF($B1889="","",IFERROR(INDEX(회원명부!$B$3:$B$502,MATCH($B1889,회원명부!$A$3:$A$502,0)),"미등록회원"))</f>
        <v/>
      </c>
      <c r="D1889" s="13"/>
      <c r="E1889" s="10"/>
      <c r="F1889" s="10"/>
      <c r="G1889" s="10"/>
    </row>
    <row r="1890" customFormat="false" ht="15" hidden="false" customHeight="true" outlineLevel="0" collapsed="false">
      <c r="A1890" s="12"/>
      <c r="B1890" s="10"/>
      <c r="C1890" s="15" t="str">
        <f aca="false">IF($B1890="","",IFERROR(INDEX(회원명부!$B$3:$B$502,MATCH($B1890,회원명부!$A$3:$A$502,0)),"미등록회원"))</f>
        <v/>
      </c>
      <c r="D1890" s="13"/>
      <c r="E1890" s="10"/>
      <c r="F1890" s="10"/>
      <c r="G1890" s="10"/>
    </row>
    <row r="1891" customFormat="false" ht="15" hidden="false" customHeight="true" outlineLevel="0" collapsed="false">
      <c r="A1891" s="12"/>
      <c r="B1891" s="10"/>
      <c r="C1891" s="15" t="str">
        <f aca="false">IF($B1891="","",IFERROR(INDEX(회원명부!$B$3:$B$502,MATCH($B1891,회원명부!$A$3:$A$502,0)),"미등록회원"))</f>
        <v/>
      </c>
      <c r="D1891" s="13"/>
      <c r="E1891" s="10"/>
      <c r="F1891" s="10"/>
      <c r="G1891" s="10"/>
    </row>
    <row r="1892" customFormat="false" ht="15" hidden="false" customHeight="true" outlineLevel="0" collapsed="false">
      <c r="A1892" s="12"/>
      <c r="B1892" s="10"/>
      <c r="C1892" s="15" t="str">
        <f aca="false">IF($B1892="","",IFERROR(INDEX(회원명부!$B$3:$B$502,MATCH($B1892,회원명부!$A$3:$A$502,0)),"미등록회원"))</f>
        <v/>
      </c>
      <c r="D1892" s="13"/>
      <c r="E1892" s="10"/>
      <c r="F1892" s="10"/>
      <c r="G1892" s="10"/>
    </row>
    <row r="1893" customFormat="false" ht="15" hidden="false" customHeight="true" outlineLevel="0" collapsed="false">
      <c r="A1893" s="12"/>
      <c r="B1893" s="10"/>
      <c r="C1893" s="15" t="str">
        <f aca="false">IF($B1893="","",IFERROR(INDEX(회원명부!$B$3:$B$502,MATCH($B1893,회원명부!$A$3:$A$502,0)),"미등록회원"))</f>
        <v/>
      </c>
      <c r="D1893" s="13"/>
      <c r="E1893" s="10"/>
      <c r="F1893" s="10"/>
      <c r="G1893" s="10"/>
    </row>
    <row r="1894" customFormat="false" ht="15" hidden="false" customHeight="true" outlineLevel="0" collapsed="false">
      <c r="A1894" s="12"/>
      <c r="B1894" s="10"/>
      <c r="C1894" s="15" t="str">
        <f aca="false">IF($B1894="","",IFERROR(INDEX(회원명부!$B$3:$B$502,MATCH($B1894,회원명부!$A$3:$A$502,0)),"미등록회원"))</f>
        <v/>
      </c>
      <c r="D1894" s="13"/>
      <c r="E1894" s="10"/>
      <c r="F1894" s="10"/>
      <c r="G1894" s="10"/>
    </row>
    <row r="1895" customFormat="false" ht="15" hidden="false" customHeight="true" outlineLevel="0" collapsed="false">
      <c r="A1895" s="12"/>
      <c r="B1895" s="10"/>
      <c r="C1895" s="15" t="str">
        <f aca="false">IF($B1895="","",IFERROR(INDEX(회원명부!$B$3:$B$502,MATCH($B1895,회원명부!$A$3:$A$502,0)),"미등록회원"))</f>
        <v/>
      </c>
      <c r="D1895" s="13"/>
      <c r="E1895" s="10"/>
      <c r="F1895" s="10"/>
      <c r="G1895" s="10"/>
    </row>
    <row r="1896" customFormat="false" ht="15" hidden="false" customHeight="true" outlineLevel="0" collapsed="false">
      <c r="A1896" s="12"/>
      <c r="B1896" s="10"/>
      <c r="C1896" s="15" t="str">
        <f aca="false">IF($B1896="","",IFERROR(INDEX(회원명부!$B$3:$B$502,MATCH($B1896,회원명부!$A$3:$A$502,0)),"미등록회원"))</f>
        <v/>
      </c>
      <c r="D1896" s="13"/>
      <c r="E1896" s="10"/>
      <c r="F1896" s="10"/>
      <c r="G1896" s="10"/>
    </row>
    <row r="1897" customFormat="false" ht="15" hidden="false" customHeight="true" outlineLevel="0" collapsed="false">
      <c r="A1897" s="12"/>
      <c r="B1897" s="10"/>
      <c r="C1897" s="15" t="str">
        <f aca="false">IF($B1897="","",IFERROR(INDEX(회원명부!$B$3:$B$502,MATCH($B1897,회원명부!$A$3:$A$502,0)),"미등록회원"))</f>
        <v/>
      </c>
      <c r="D1897" s="13"/>
      <c r="E1897" s="10"/>
      <c r="F1897" s="10"/>
      <c r="G1897" s="10"/>
    </row>
    <row r="1898" customFormat="false" ht="15" hidden="false" customHeight="true" outlineLevel="0" collapsed="false">
      <c r="A1898" s="12"/>
      <c r="B1898" s="10"/>
      <c r="C1898" s="15" t="str">
        <f aca="false">IF($B1898="","",IFERROR(INDEX(회원명부!$B$3:$B$502,MATCH($B1898,회원명부!$A$3:$A$502,0)),"미등록회원"))</f>
        <v/>
      </c>
      <c r="D1898" s="13"/>
      <c r="E1898" s="10"/>
      <c r="F1898" s="10"/>
      <c r="G1898" s="10"/>
    </row>
    <row r="1899" customFormat="false" ht="15" hidden="false" customHeight="true" outlineLevel="0" collapsed="false">
      <c r="A1899" s="12"/>
      <c r="B1899" s="10"/>
      <c r="C1899" s="15" t="str">
        <f aca="false">IF($B1899="","",IFERROR(INDEX(회원명부!$B$3:$B$502,MATCH($B1899,회원명부!$A$3:$A$502,0)),"미등록회원"))</f>
        <v/>
      </c>
      <c r="D1899" s="13"/>
      <c r="E1899" s="10"/>
      <c r="F1899" s="10"/>
      <c r="G1899" s="10"/>
    </row>
    <row r="1900" customFormat="false" ht="15" hidden="false" customHeight="true" outlineLevel="0" collapsed="false">
      <c r="A1900" s="12"/>
      <c r="B1900" s="10"/>
      <c r="C1900" s="15" t="str">
        <f aca="false">IF($B1900="","",IFERROR(INDEX(회원명부!$B$3:$B$502,MATCH($B1900,회원명부!$A$3:$A$502,0)),"미등록회원"))</f>
        <v/>
      </c>
      <c r="D1900" s="13"/>
      <c r="E1900" s="10"/>
      <c r="F1900" s="10"/>
      <c r="G1900" s="10"/>
    </row>
    <row r="1901" customFormat="false" ht="15" hidden="false" customHeight="true" outlineLevel="0" collapsed="false">
      <c r="A1901" s="12"/>
      <c r="B1901" s="10"/>
      <c r="C1901" s="15" t="str">
        <f aca="false">IF($B1901="","",IFERROR(INDEX(회원명부!$B$3:$B$502,MATCH($B1901,회원명부!$A$3:$A$502,0)),"미등록회원"))</f>
        <v/>
      </c>
      <c r="D1901" s="13"/>
      <c r="E1901" s="10"/>
      <c r="F1901" s="10"/>
      <c r="G1901" s="10"/>
    </row>
    <row r="1902" customFormat="false" ht="15" hidden="false" customHeight="true" outlineLevel="0" collapsed="false">
      <c r="A1902" s="12"/>
      <c r="B1902" s="10"/>
      <c r="C1902" s="15" t="str">
        <f aca="false">IF($B1902="","",IFERROR(INDEX(회원명부!$B$3:$B$502,MATCH($B1902,회원명부!$A$3:$A$502,0)),"미등록회원"))</f>
        <v/>
      </c>
      <c r="D1902" s="13"/>
      <c r="E1902" s="10"/>
      <c r="F1902" s="10"/>
      <c r="G1902" s="10"/>
    </row>
    <row r="1903" customFormat="false" ht="15" hidden="false" customHeight="true" outlineLevel="0" collapsed="false">
      <c r="A1903" s="12"/>
      <c r="B1903" s="10"/>
      <c r="C1903" s="15" t="str">
        <f aca="false">IF($B1903="","",IFERROR(INDEX(회원명부!$B$3:$B$502,MATCH($B1903,회원명부!$A$3:$A$502,0)),"미등록회원"))</f>
        <v/>
      </c>
      <c r="D1903" s="13"/>
      <c r="E1903" s="10"/>
      <c r="F1903" s="10"/>
      <c r="G1903" s="10"/>
    </row>
    <row r="1904" customFormat="false" ht="15" hidden="false" customHeight="true" outlineLevel="0" collapsed="false">
      <c r="A1904" s="12"/>
      <c r="B1904" s="10"/>
      <c r="C1904" s="15" t="str">
        <f aca="false">IF($B1904="","",IFERROR(INDEX(회원명부!$B$3:$B$502,MATCH($B1904,회원명부!$A$3:$A$502,0)),"미등록회원"))</f>
        <v/>
      </c>
      <c r="D1904" s="13"/>
      <c r="E1904" s="10"/>
      <c r="F1904" s="10"/>
      <c r="G1904" s="10"/>
    </row>
    <row r="1905" customFormat="false" ht="15" hidden="false" customHeight="true" outlineLevel="0" collapsed="false">
      <c r="A1905" s="12"/>
      <c r="B1905" s="10"/>
      <c r="C1905" s="15" t="str">
        <f aca="false">IF($B1905="","",IFERROR(INDEX(회원명부!$B$3:$B$502,MATCH($B1905,회원명부!$A$3:$A$502,0)),"미등록회원"))</f>
        <v/>
      </c>
      <c r="D1905" s="13"/>
      <c r="E1905" s="10"/>
      <c r="F1905" s="10"/>
      <c r="G1905" s="10"/>
    </row>
    <row r="1906" customFormat="false" ht="15" hidden="false" customHeight="true" outlineLevel="0" collapsed="false">
      <c r="A1906" s="12"/>
      <c r="B1906" s="10"/>
      <c r="C1906" s="15" t="str">
        <f aca="false">IF($B1906="","",IFERROR(INDEX(회원명부!$B$3:$B$502,MATCH($B1906,회원명부!$A$3:$A$502,0)),"미등록회원"))</f>
        <v/>
      </c>
      <c r="D1906" s="13"/>
      <c r="E1906" s="10"/>
      <c r="F1906" s="10"/>
      <c r="G1906" s="10"/>
    </row>
    <row r="1907" customFormat="false" ht="15" hidden="false" customHeight="true" outlineLevel="0" collapsed="false">
      <c r="A1907" s="12"/>
      <c r="B1907" s="10"/>
      <c r="C1907" s="15" t="str">
        <f aca="false">IF($B1907="","",IFERROR(INDEX(회원명부!$B$3:$B$502,MATCH($B1907,회원명부!$A$3:$A$502,0)),"미등록회원"))</f>
        <v/>
      </c>
      <c r="D1907" s="13"/>
      <c r="E1907" s="10"/>
      <c r="F1907" s="10"/>
      <c r="G1907" s="10"/>
    </row>
    <row r="1908" customFormat="false" ht="15" hidden="false" customHeight="true" outlineLevel="0" collapsed="false">
      <c r="A1908" s="12"/>
      <c r="B1908" s="10"/>
      <c r="C1908" s="15" t="str">
        <f aca="false">IF($B1908="","",IFERROR(INDEX(회원명부!$B$3:$B$502,MATCH($B1908,회원명부!$A$3:$A$502,0)),"미등록회원"))</f>
        <v/>
      </c>
      <c r="D1908" s="13"/>
      <c r="E1908" s="10"/>
      <c r="F1908" s="10"/>
      <c r="G1908" s="10"/>
    </row>
    <row r="1909" customFormat="false" ht="15" hidden="false" customHeight="true" outlineLevel="0" collapsed="false">
      <c r="A1909" s="12"/>
      <c r="B1909" s="10"/>
      <c r="C1909" s="15" t="str">
        <f aca="false">IF($B1909="","",IFERROR(INDEX(회원명부!$B$3:$B$502,MATCH($B1909,회원명부!$A$3:$A$502,0)),"미등록회원"))</f>
        <v/>
      </c>
      <c r="D1909" s="13"/>
      <c r="E1909" s="10"/>
      <c r="F1909" s="10"/>
      <c r="G1909" s="10"/>
    </row>
    <row r="1910" customFormat="false" ht="15" hidden="false" customHeight="true" outlineLevel="0" collapsed="false">
      <c r="A1910" s="12"/>
      <c r="B1910" s="10"/>
      <c r="C1910" s="15" t="str">
        <f aca="false">IF($B1910="","",IFERROR(INDEX(회원명부!$B$3:$B$502,MATCH($B1910,회원명부!$A$3:$A$502,0)),"미등록회원"))</f>
        <v/>
      </c>
      <c r="D1910" s="13"/>
      <c r="E1910" s="10"/>
      <c r="F1910" s="10"/>
      <c r="G1910" s="10"/>
    </row>
    <row r="1911" customFormat="false" ht="15" hidden="false" customHeight="true" outlineLevel="0" collapsed="false">
      <c r="A1911" s="12"/>
      <c r="B1911" s="10"/>
      <c r="C1911" s="15" t="str">
        <f aca="false">IF($B1911="","",IFERROR(INDEX(회원명부!$B$3:$B$502,MATCH($B1911,회원명부!$A$3:$A$502,0)),"미등록회원"))</f>
        <v/>
      </c>
      <c r="D1911" s="13"/>
      <c r="E1911" s="10"/>
      <c r="F1911" s="10"/>
      <c r="G1911" s="10"/>
    </row>
    <row r="1912" customFormat="false" ht="15" hidden="false" customHeight="true" outlineLevel="0" collapsed="false">
      <c r="A1912" s="12"/>
      <c r="B1912" s="10"/>
      <c r="C1912" s="15" t="str">
        <f aca="false">IF($B1912="","",IFERROR(INDEX(회원명부!$B$3:$B$502,MATCH($B1912,회원명부!$A$3:$A$502,0)),"미등록회원"))</f>
        <v/>
      </c>
      <c r="D1912" s="13"/>
      <c r="E1912" s="10"/>
      <c r="F1912" s="10"/>
      <c r="G1912" s="10"/>
    </row>
    <row r="1913" customFormat="false" ht="15" hidden="false" customHeight="true" outlineLevel="0" collapsed="false">
      <c r="A1913" s="12"/>
      <c r="B1913" s="10"/>
      <c r="C1913" s="15" t="str">
        <f aca="false">IF($B1913="","",IFERROR(INDEX(회원명부!$B$3:$B$502,MATCH($B1913,회원명부!$A$3:$A$502,0)),"미등록회원"))</f>
        <v/>
      </c>
      <c r="D1913" s="13"/>
      <c r="E1913" s="10"/>
      <c r="F1913" s="10"/>
      <c r="G1913" s="10"/>
    </row>
    <row r="1914" customFormat="false" ht="15" hidden="false" customHeight="true" outlineLevel="0" collapsed="false">
      <c r="A1914" s="12"/>
      <c r="B1914" s="10"/>
      <c r="C1914" s="15" t="str">
        <f aca="false">IF($B1914="","",IFERROR(INDEX(회원명부!$B$3:$B$502,MATCH($B1914,회원명부!$A$3:$A$502,0)),"미등록회원"))</f>
        <v/>
      </c>
      <c r="D1914" s="13"/>
      <c r="E1914" s="10"/>
      <c r="F1914" s="10"/>
      <c r="G1914" s="10"/>
    </row>
    <row r="1915" customFormat="false" ht="15" hidden="false" customHeight="true" outlineLevel="0" collapsed="false">
      <c r="A1915" s="12"/>
      <c r="B1915" s="10"/>
      <c r="C1915" s="15" t="str">
        <f aca="false">IF($B1915="","",IFERROR(INDEX(회원명부!$B$3:$B$502,MATCH($B1915,회원명부!$A$3:$A$502,0)),"미등록회원"))</f>
        <v/>
      </c>
      <c r="D1915" s="13"/>
      <c r="E1915" s="10"/>
      <c r="F1915" s="10"/>
      <c r="G1915" s="10"/>
    </row>
    <row r="1916" customFormat="false" ht="15" hidden="false" customHeight="true" outlineLevel="0" collapsed="false">
      <c r="A1916" s="12"/>
      <c r="B1916" s="10"/>
      <c r="C1916" s="15" t="str">
        <f aca="false">IF($B1916="","",IFERROR(INDEX(회원명부!$B$3:$B$502,MATCH($B1916,회원명부!$A$3:$A$502,0)),"미등록회원"))</f>
        <v/>
      </c>
      <c r="D1916" s="13"/>
      <c r="E1916" s="10"/>
      <c r="F1916" s="10"/>
      <c r="G1916" s="10"/>
    </row>
    <row r="1917" customFormat="false" ht="15" hidden="false" customHeight="true" outlineLevel="0" collapsed="false">
      <c r="A1917" s="12"/>
      <c r="B1917" s="10"/>
      <c r="C1917" s="15" t="str">
        <f aca="false">IF($B1917="","",IFERROR(INDEX(회원명부!$B$3:$B$502,MATCH($B1917,회원명부!$A$3:$A$502,0)),"미등록회원"))</f>
        <v/>
      </c>
      <c r="D1917" s="13"/>
      <c r="E1917" s="10"/>
      <c r="F1917" s="10"/>
      <c r="G1917" s="10"/>
    </row>
    <row r="1918" customFormat="false" ht="15" hidden="false" customHeight="true" outlineLevel="0" collapsed="false">
      <c r="A1918" s="12"/>
      <c r="B1918" s="10"/>
      <c r="C1918" s="15" t="str">
        <f aca="false">IF($B1918="","",IFERROR(INDEX(회원명부!$B$3:$B$502,MATCH($B1918,회원명부!$A$3:$A$502,0)),"미등록회원"))</f>
        <v/>
      </c>
      <c r="D1918" s="13"/>
      <c r="E1918" s="10"/>
      <c r="F1918" s="10"/>
      <c r="G1918" s="10"/>
    </row>
    <row r="1919" customFormat="false" ht="15" hidden="false" customHeight="true" outlineLevel="0" collapsed="false">
      <c r="A1919" s="12"/>
      <c r="B1919" s="10"/>
      <c r="C1919" s="15" t="str">
        <f aca="false">IF($B1919="","",IFERROR(INDEX(회원명부!$B$3:$B$502,MATCH($B1919,회원명부!$A$3:$A$502,0)),"미등록회원"))</f>
        <v/>
      </c>
      <c r="D1919" s="13"/>
      <c r="E1919" s="10"/>
      <c r="F1919" s="10"/>
      <c r="G1919" s="10"/>
    </row>
    <row r="1920" customFormat="false" ht="15" hidden="false" customHeight="true" outlineLevel="0" collapsed="false">
      <c r="A1920" s="12"/>
      <c r="B1920" s="10"/>
      <c r="C1920" s="15" t="str">
        <f aca="false">IF($B1920="","",IFERROR(INDEX(회원명부!$B$3:$B$502,MATCH($B1920,회원명부!$A$3:$A$502,0)),"미등록회원"))</f>
        <v/>
      </c>
      <c r="D1920" s="13"/>
      <c r="E1920" s="10"/>
      <c r="F1920" s="10"/>
      <c r="G1920" s="10"/>
    </row>
    <row r="1921" customFormat="false" ht="15" hidden="false" customHeight="true" outlineLevel="0" collapsed="false">
      <c r="A1921" s="12"/>
      <c r="B1921" s="10"/>
      <c r="C1921" s="15" t="str">
        <f aca="false">IF($B1921="","",IFERROR(INDEX(회원명부!$B$3:$B$502,MATCH($B1921,회원명부!$A$3:$A$502,0)),"미등록회원"))</f>
        <v/>
      </c>
      <c r="D1921" s="13"/>
      <c r="E1921" s="10"/>
      <c r="F1921" s="10"/>
      <c r="G1921" s="10"/>
    </row>
    <row r="1922" customFormat="false" ht="15" hidden="false" customHeight="true" outlineLevel="0" collapsed="false">
      <c r="A1922" s="12"/>
      <c r="B1922" s="10"/>
      <c r="C1922" s="15" t="str">
        <f aca="false">IF($B1922="","",IFERROR(INDEX(회원명부!$B$3:$B$502,MATCH($B1922,회원명부!$A$3:$A$502,0)),"미등록회원"))</f>
        <v/>
      </c>
      <c r="D1922" s="13"/>
      <c r="E1922" s="10"/>
      <c r="F1922" s="10"/>
      <c r="G1922" s="10"/>
    </row>
    <row r="1923" customFormat="false" ht="15" hidden="false" customHeight="true" outlineLevel="0" collapsed="false">
      <c r="A1923" s="12"/>
      <c r="B1923" s="10"/>
      <c r="C1923" s="15" t="str">
        <f aca="false">IF($B1923="","",IFERROR(INDEX(회원명부!$B$3:$B$502,MATCH($B1923,회원명부!$A$3:$A$502,0)),"미등록회원"))</f>
        <v/>
      </c>
      <c r="D1923" s="13"/>
      <c r="E1923" s="10"/>
      <c r="F1923" s="10"/>
      <c r="G1923" s="10"/>
    </row>
    <row r="1924" customFormat="false" ht="15" hidden="false" customHeight="true" outlineLevel="0" collapsed="false">
      <c r="A1924" s="12"/>
      <c r="B1924" s="10"/>
      <c r="C1924" s="15" t="str">
        <f aca="false">IF($B1924="","",IFERROR(INDEX(회원명부!$B$3:$B$502,MATCH($B1924,회원명부!$A$3:$A$502,0)),"미등록회원"))</f>
        <v/>
      </c>
      <c r="D1924" s="13"/>
      <c r="E1924" s="10"/>
      <c r="F1924" s="10"/>
      <c r="G1924" s="10"/>
    </row>
    <row r="1925" customFormat="false" ht="15" hidden="false" customHeight="true" outlineLevel="0" collapsed="false">
      <c r="A1925" s="12"/>
      <c r="B1925" s="10"/>
      <c r="C1925" s="15" t="str">
        <f aca="false">IF($B1925="","",IFERROR(INDEX(회원명부!$B$3:$B$502,MATCH($B1925,회원명부!$A$3:$A$502,0)),"미등록회원"))</f>
        <v/>
      </c>
      <c r="D1925" s="13"/>
      <c r="E1925" s="10"/>
      <c r="F1925" s="10"/>
      <c r="G1925" s="10"/>
    </row>
    <row r="1926" customFormat="false" ht="15" hidden="false" customHeight="true" outlineLevel="0" collapsed="false">
      <c r="A1926" s="12"/>
      <c r="B1926" s="10"/>
      <c r="C1926" s="15" t="str">
        <f aca="false">IF($B1926="","",IFERROR(INDEX(회원명부!$B$3:$B$502,MATCH($B1926,회원명부!$A$3:$A$502,0)),"미등록회원"))</f>
        <v/>
      </c>
      <c r="D1926" s="13"/>
      <c r="E1926" s="10"/>
      <c r="F1926" s="10"/>
      <c r="G1926" s="10"/>
    </row>
    <row r="1927" customFormat="false" ht="15" hidden="false" customHeight="true" outlineLevel="0" collapsed="false">
      <c r="A1927" s="12"/>
      <c r="B1927" s="10"/>
      <c r="C1927" s="15" t="str">
        <f aca="false">IF($B1927="","",IFERROR(INDEX(회원명부!$B$3:$B$502,MATCH($B1927,회원명부!$A$3:$A$502,0)),"미등록회원"))</f>
        <v/>
      </c>
      <c r="D1927" s="13"/>
      <c r="E1927" s="10"/>
      <c r="F1927" s="10"/>
      <c r="G1927" s="10"/>
    </row>
    <row r="1928" customFormat="false" ht="15" hidden="false" customHeight="true" outlineLevel="0" collapsed="false">
      <c r="A1928" s="12"/>
      <c r="B1928" s="10"/>
      <c r="C1928" s="15" t="str">
        <f aca="false">IF($B1928="","",IFERROR(INDEX(회원명부!$B$3:$B$502,MATCH($B1928,회원명부!$A$3:$A$502,0)),"미등록회원"))</f>
        <v/>
      </c>
      <c r="D1928" s="13"/>
      <c r="E1928" s="10"/>
      <c r="F1928" s="10"/>
      <c r="G1928" s="10"/>
    </row>
    <row r="1929" customFormat="false" ht="15" hidden="false" customHeight="true" outlineLevel="0" collapsed="false">
      <c r="A1929" s="12"/>
      <c r="B1929" s="10"/>
      <c r="C1929" s="15" t="str">
        <f aca="false">IF($B1929="","",IFERROR(INDEX(회원명부!$B$3:$B$502,MATCH($B1929,회원명부!$A$3:$A$502,0)),"미등록회원"))</f>
        <v/>
      </c>
      <c r="D1929" s="13"/>
      <c r="E1929" s="10"/>
      <c r="F1929" s="10"/>
      <c r="G1929" s="10"/>
    </row>
    <row r="1930" customFormat="false" ht="15" hidden="false" customHeight="true" outlineLevel="0" collapsed="false">
      <c r="A1930" s="12"/>
      <c r="B1930" s="10"/>
      <c r="C1930" s="15" t="str">
        <f aca="false">IF($B1930="","",IFERROR(INDEX(회원명부!$B$3:$B$502,MATCH($B1930,회원명부!$A$3:$A$502,0)),"미등록회원"))</f>
        <v/>
      </c>
      <c r="D1930" s="13"/>
      <c r="E1930" s="10"/>
      <c r="F1930" s="10"/>
      <c r="G1930" s="10"/>
    </row>
    <row r="1931" customFormat="false" ht="15" hidden="false" customHeight="true" outlineLevel="0" collapsed="false">
      <c r="A1931" s="12"/>
      <c r="B1931" s="10"/>
      <c r="C1931" s="15" t="str">
        <f aca="false">IF($B1931="","",IFERROR(INDEX(회원명부!$B$3:$B$502,MATCH($B1931,회원명부!$A$3:$A$502,0)),"미등록회원"))</f>
        <v/>
      </c>
      <c r="D1931" s="13"/>
      <c r="E1931" s="10"/>
      <c r="F1931" s="10"/>
      <c r="G1931" s="10"/>
    </row>
    <row r="1932" customFormat="false" ht="15" hidden="false" customHeight="true" outlineLevel="0" collapsed="false">
      <c r="A1932" s="12"/>
      <c r="B1932" s="10"/>
      <c r="C1932" s="15" t="str">
        <f aca="false">IF($B1932="","",IFERROR(INDEX(회원명부!$B$3:$B$502,MATCH($B1932,회원명부!$A$3:$A$502,0)),"미등록회원"))</f>
        <v/>
      </c>
      <c r="D1932" s="13"/>
      <c r="E1932" s="10"/>
      <c r="F1932" s="10"/>
      <c r="G1932" s="10"/>
    </row>
    <row r="1933" customFormat="false" ht="15" hidden="false" customHeight="true" outlineLevel="0" collapsed="false">
      <c r="A1933" s="12"/>
      <c r="B1933" s="10"/>
      <c r="C1933" s="15" t="str">
        <f aca="false">IF($B1933="","",IFERROR(INDEX(회원명부!$B$3:$B$502,MATCH($B1933,회원명부!$A$3:$A$502,0)),"미등록회원"))</f>
        <v/>
      </c>
      <c r="D1933" s="13"/>
      <c r="E1933" s="10"/>
      <c r="F1933" s="10"/>
      <c r="G1933" s="10"/>
    </row>
    <row r="1934" customFormat="false" ht="15" hidden="false" customHeight="true" outlineLevel="0" collapsed="false">
      <c r="A1934" s="12"/>
      <c r="B1934" s="10"/>
      <c r="C1934" s="15" t="str">
        <f aca="false">IF($B1934="","",IFERROR(INDEX(회원명부!$B$3:$B$502,MATCH($B1934,회원명부!$A$3:$A$502,0)),"미등록회원"))</f>
        <v/>
      </c>
      <c r="D1934" s="13"/>
      <c r="E1934" s="10"/>
      <c r="F1934" s="10"/>
      <c r="G1934" s="10"/>
    </row>
    <row r="1935" customFormat="false" ht="15" hidden="false" customHeight="true" outlineLevel="0" collapsed="false">
      <c r="A1935" s="12"/>
      <c r="B1935" s="10"/>
      <c r="C1935" s="15" t="str">
        <f aca="false">IF($B1935="","",IFERROR(INDEX(회원명부!$B$3:$B$502,MATCH($B1935,회원명부!$A$3:$A$502,0)),"미등록회원"))</f>
        <v/>
      </c>
      <c r="D1935" s="13"/>
      <c r="E1935" s="10"/>
      <c r="F1935" s="10"/>
      <c r="G1935" s="10"/>
    </row>
    <row r="1936" customFormat="false" ht="15" hidden="false" customHeight="true" outlineLevel="0" collapsed="false">
      <c r="A1936" s="12"/>
      <c r="B1936" s="10"/>
      <c r="C1936" s="15" t="str">
        <f aca="false">IF($B1936="","",IFERROR(INDEX(회원명부!$B$3:$B$502,MATCH($B1936,회원명부!$A$3:$A$502,0)),"미등록회원"))</f>
        <v/>
      </c>
      <c r="D1936" s="13"/>
      <c r="E1936" s="10"/>
      <c r="F1936" s="10"/>
      <c r="G1936" s="10"/>
    </row>
    <row r="1937" customFormat="false" ht="15" hidden="false" customHeight="true" outlineLevel="0" collapsed="false">
      <c r="A1937" s="12"/>
      <c r="B1937" s="10"/>
      <c r="C1937" s="15" t="str">
        <f aca="false">IF($B1937="","",IFERROR(INDEX(회원명부!$B$3:$B$502,MATCH($B1937,회원명부!$A$3:$A$502,0)),"미등록회원"))</f>
        <v/>
      </c>
      <c r="D1937" s="13"/>
      <c r="E1937" s="10"/>
      <c r="F1937" s="10"/>
      <c r="G1937" s="10"/>
    </row>
    <row r="1938" customFormat="false" ht="15" hidden="false" customHeight="true" outlineLevel="0" collapsed="false">
      <c r="A1938" s="12"/>
      <c r="B1938" s="10"/>
      <c r="C1938" s="15" t="str">
        <f aca="false">IF($B1938="","",IFERROR(INDEX(회원명부!$B$3:$B$502,MATCH($B1938,회원명부!$A$3:$A$502,0)),"미등록회원"))</f>
        <v/>
      </c>
      <c r="D1938" s="13"/>
      <c r="E1938" s="10"/>
      <c r="F1938" s="10"/>
      <c r="G1938" s="10"/>
    </row>
    <row r="1939" customFormat="false" ht="15" hidden="false" customHeight="true" outlineLevel="0" collapsed="false">
      <c r="A1939" s="12"/>
      <c r="B1939" s="10"/>
      <c r="C1939" s="15" t="str">
        <f aca="false">IF($B1939="","",IFERROR(INDEX(회원명부!$B$3:$B$502,MATCH($B1939,회원명부!$A$3:$A$502,0)),"미등록회원"))</f>
        <v/>
      </c>
      <c r="D1939" s="13"/>
      <c r="E1939" s="10"/>
      <c r="F1939" s="10"/>
      <c r="G1939" s="10"/>
    </row>
    <row r="1940" customFormat="false" ht="15" hidden="false" customHeight="true" outlineLevel="0" collapsed="false">
      <c r="A1940" s="12"/>
      <c r="B1940" s="10"/>
      <c r="C1940" s="15" t="str">
        <f aca="false">IF($B1940="","",IFERROR(INDEX(회원명부!$B$3:$B$502,MATCH($B1940,회원명부!$A$3:$A$502,0)),"미등록회원"))</f>
        <v/>
      </c>
      <c r="D1940" s="13"/>
      <c r="E1940" s="10"/>
      <c r="F1940" s="10"/>
      <c r="G1940" s="10"/>
    </row>
    <row r="1941" customFormat="false" ht="15" hidden="false" customHeight="true" outlineLevel="0" collapsed="false">
      <c r="A1941" s="12"/>
      <c r="B1941" s="10"/>
      <c r="C1941" s="15" t="str">
        <f aca="false">IF($B1941="","",IFERROR(INDEX(회원명부!$B$3:$B$502,MATCH($B1941,회원명부!$A$3:$A$502,0)),"미등록회원"))</f>
        <v/>
      </c>
      <c r="D1941" s="13"/>
      <c r="E1941" s="10"/>
      <c r="F1941" s="10"/>
      <c r="G1941" s="10"/>
    </row>
    <row r="1942" customFormat="false" ht="15" hidden="false" customHeight="true" outlineLevel="0" collapsed="false">
      <c r="A1942" s="12"/>
      <c r="B1942" s="10"/>
      <c r="C1942" s="15" t="str">
        <f aca="false">IF($B1942="","",IFERROR(INDEX(회원명부!$B$3:$B$502,MATCH($B1942,회원명부!$A$3:$A$502,0)),"미등록회원"))</f>
        <v/>
      </c>
      <c r="D1942" s="13"/>
      <c r="E1942" s="10"/>
      <c r="F1942" s="10"/>
      <c r="G1942" s="10"/>
    </row>
    <row r="1943" customFormat="false" ht="15" hidden="false" customHeight="true" outlineLevel="0" collapsed="false">
      <c r="A1943" s="12"/>
      <c r="B1943" s="10"/>
      <c r="C1943" s="15" t="str">
        <f aca="false">IF($B1943="","",IFERROR(INDEX(회원명부!$B$3:$B$502,MATCH($B1943,회원명부!$A$3:$A$502,0)),"미등록회원"))</f>
        <v/>
      </c>
      <c r="D1943" s="13"/>
      <c r="E1943" s="10"/>
      <c r="F1943" s="10"/>
      <c r="G1943" s="10"/>
    </row>
    <row r="1944" customFormat="false" ht="15" hidden="false" customHeight="true" outlineLevel="0" collapsed="false">
      <c r="A1944" s="12"/>
      <c r="B1944" s="10"/>
      <c r="C1944" s="15" t="str">
        <f aca="false">IF($B1944="","",IFERROR(INDEX(회원명부!$B$3:$B$502,MATCH($B1944,회원명부!$A$3:$A$502,0)),"미등록회원"))</f>
        <v/>
      </c>
      <c r="D1944" s="13"/>
      <c r="E1944" s="10"/>
      <c r="F1944" s="10"/>
      <c r="G1944" s="10"/>
    </row>
    <row r="1945" customFormat="false" ht="15" hidden="false" customHeight="true" outlineLevel="0" collapsed="false">
      <c r="A1945" s="12"/>
      <c r="B1945" s="10"/>
      <c r="C1945" s="15" t="str">
        <f aca="false">IF($B1945="","",IFERROR(INDEX(회원명부!$B$3:$B$502,MATCH($B1945,회원명부!$A$3:$A$502,0)),"미등록회원"))</f>
        <v/>
      </c>
      <c r="D1945" s="13"/>
      <c r="E1945" s="10"/>
      <c r="F1945" s="10"/>
      <c r="G1945" s="10"/>
    </row>
    <row r="1946" customFormat="false" ht="15" hidden="false" customHeight="true" outlineLevel="0" collapsed="false">
      <c r="A1946" s="12"/>
      <c r="B1946" s="10"/>
      <c r="C1946" s="15" t="str">
        <f aca="false">IF($B1946="","",IFERROR(INDEX(회원명부!$B$3:$B$502,MATCH($B1946,회원명부!$A$3:$A$502,0)),"미등록회원"))</f>
        <v/>
      </c>
      <c r="D1946" s="13"/>
      <c r="E1946" s="10"/>
      <c r="F1946" s="10"/>
      <c r="G1946" s="10"/>
    </row>
    <row r="1947" customFormat="false" ht="15" hidden="false" customHeight="true" outlineLevel="0" collapsed="false">
      <c r="A1947" s="12"/>
      <c r="B1947" s="10"/>
      <c r="C1947" s="15" t="str">
        <f aca="false">IF($B1947="","",IFERROR(INDEX(회원명부!$B$3:$B$502,MATCH($B1947,회원명부!$A$3:$A$502,0)),"미등록회원"))</f>
        <v/>
      </c>
      <c r="D1947" s="13"/>
      <c r="E1947" s="10"/>
      <c r="F1947" s="10"/>
      <c r="G1947" s="10"/>
    </row>
    <row r="1948" customFormat="false" ht="15" hidden="false" customHeight="true" outlineLevel="0" collapsed="false">
      <c r="A1948" s="12"/>
      <c r="B1948" s="10"/>
      <c r="C1948" s="15" t="str">
        <f aca="false">IF($B1948="","",IFERROR(INDEX(회원명부!$B$3:$B$502,MATCH($B1948,회원명부!$A$3:$A$502,0)),"미등록회원"))</f>
        <v/>
      </c>
      <c r="D1948" s="13"/>
      <c r="E1948" s="10"/>
      <c r="F1948" s="10"/>
      <c r="G1948" s="10"/>
    </row>
    <row r="1949" customFormat="false" ht="15" hidden="false" customHeight="true" outlineLevel="0" collapsed="false">
      <c r="A1949" s="12"/>
      <c r="B1949" s="10"/>
      <c r="C1949" s="15" t="str">
        <f aca="false">IF($B1949="","",IFERROR(INDEX(회원명부!$B$3:$B$502,MATCH($B1949,회원명부!$A$3:$A$502,0)),"미등록회원"))</f>
        <v/>
      </c>
      <c r="D1949" s="13"/>
      <c r="E1949" s="10"/>
      <c r="F1949" s="10"/>
      <c r="G1949" s="10"/>
    </row>
    <row r="1950" customFormat="false" ht="15" hidden="false" customHeight="true" outlineLevel="0" collapsed="false">
      <c r="A1950" s="12"/>
      <c r="B1950" s="10"/>
      <c r="C1950" s="15" t="str">
        <f aca="false">IF($B1950="","",IFERROR(INDEX(회원명부!$B$3:$B$502,MATCH($B1950,회원명부!$A$3:$A$502,0)),"미등록회원"))</f>
        <v/>
      </c>
      <c r="D1950" s="13"/>
      <c r="E1950" s="10"/>
      <c r="F1950" s="10"/>
      <c r="G1950" s="10"/>
    </row>
    <row r="1951" customFormat="false" ht="15" hidden="false" customHeight="true" outlineLevel="0" collapsed="false">
      <c r="A1951" s="12"/>
      <c r="B1951" s="10"/>
      <c r="C1951" s="15" t="str">
        <f aca="false">IF($B1951="","",IFERROR(INDEX(회원명부!$B$3:$B$502,MATCH($B1951,회원명부!$A$3:$A$502,0)),"미등록회원"))</f>
        <v/>
      </c>
      <c r="D1951" s="13"/>
      <c r="E1951" s="10"/>
      <c r="F1951" s="10"/>
      <c r="G1951" s="10"/>
    </row>
    <row r="1952" customFormat="false" ht="15" hidden="false" customHeight="true" outlineLevel="0" collapsed="false">
      <c r="A1952" s="12"/>
      <c r="B1952" s="10"/>
      <c r="C1952" s="15" t="str">
        <f aca="false">IF($B1952="","",IFERROR(INDEX(회원명부!$B$3:$B$502,MATCH($B1952,회원명부!$A$3:$A$502,0)),"미등록회원"))</f>
        <v/>
      </c>
      <c r="D1952" s="13"/>
      <c r="E1952" s="10"/>
      <c r="F1952" s="10"/>
      <c r="G1952" s="10"/>
    </row>
    <row r="1953" customFormat="false" ht="15" hidden="false" customHeight="true" outlineLevel="0" collapsed="false">
      <c r="A1953" s="12"/>
      <c r="B1953" s="10"/>
      <c r="C1953" s="15" t="str">
        <f aca="false">IF($B1953="","",IFERROR(INDEX(회원명부!$B$3:$B$502,MATCH($B1953,회원명부!$A$3:$A$502,0)),"미등록회원"))</f>
        <v/>
      </c>
      <c r="D1953" s="13"/>
      <c r="E1953" s="10"/>
      <c r="F1953" s="10"/>
      <c r="G1953" s="10"/>
    </row>
    <row r="1954" customFormat="false" ht="15" hidden="false" customHeight="true" outlineLevel="0" collapsed="false">
      <c r="A1954" s="12"/>
      <c r="B1954" s="10"/>
      <c r="C1954" s="15" t="str">
        <f aca="false">IF($B1954="","",IFERROR(INDEX(회원명부!$B$3:$B$502,MATCH($B1954,회원명부!$A$3:$A$502,0)),"미등록회원"))</f>
        <v/>
      </c>
      <c r="D1954" s="13"/>
      <c r="E1954" s="10"/>
      <c r="F1954" s="10"/>
      <c r="G1954" s="10"/>
    </row>
    <row r="1955" customFormat="false" ht="15" hidden="false" customHeight="true" outlineLevel="0" collapsed="false">
      <c r="A1955" s="12"/>
      <c r="B1955" s="10"/>
      <c r="C1955" s="15" t="str">
        <f aca="false">IF($B1955="","",IFERROR(INDEX(회원명부!$B$3:$B$502,MATCH($B1955,회원명부!$A$3:$A$502,0)),"미등록회원"))</f>
        <v/>
      </c>
      <c r="D1955" s="13"/>
      <c r="E1955" s="10"/>
      <c r="F1955" s="10"/>
      <c r="G1955" s="10"/>
    </row>
    <row r="1956" customFormat="false" ht="15" hidden="false" customHeight="true" outlineLevel="0" collapsed="false">
      <c r="A1956" s="12"/>
      <c r="B1956" s="10"/>
      <c r="C1956" s="15" t="str">
        <f aca="false">IF($B1956="","",IFERROR(INDEX(회원명부!$B$3:$B$502,MATCH($B1956,회원명부!$A$3:$A$502,0)),"미등록회원"))</f>
        <v/>
      </c>
      <c r="D1956" s="13"/>
      <c r="E1956" s="10"/>
      <c r="F1956" s="10"/>
      <c r="G1956" s="10"/>
    </row>
    <row r="1957" customFormat="false" ht="15" hidden="false" customHeight="true" outlineLevel="0" collapsed="false">
      <c r="A1957" s="12"/>
      <c r="B1957" s="10"/>
      <c r="C1957" s="15" t="str">
        <f aca="false">IF($B1957="","",IFERROR(INDEX(회원명부!$B$3:$B$502,MATCH($B1957,회원명부!$A$3:$A$502,0)),"미등록회원"))</f>
        <v/>
      </c>
      <c r="D1957" s="13"/>
      <c r="E1957" s="10"/>
      <c r="F1957" s="10"/>
      <c r="G1957" s="10"/>
    </row>
    <row r="1958" customFormat="false" ht="15" hidden="false" customHeight="true" outlineLevel="0" collapsed="false">
      <c r="A1958" s="12"/>
      <c r="B1958" s="10"/>
      <c r="C1958" s="15" t="str">
        <f aca="false">IF($B1958="","",IFERROR(INDEX(회원명부!$B$3:$B$502,MATCH($B1958,회원명부!$A$3:$A$502,0)),"미등록회원"))</f>
        <v/>
      </c>
      <c r="D1958" s="13"/>
      <c r="E1958" s="10"/>
      <c r="F1958" s="10"/>
      <c r="G1958" s="10"/>
    </row>
    <row r="1959" customFormat="false" ht="15" hidden="false" customHeight="true" outlineLevel="0" collapsed="false">
      <c r="A1959" s="12"/>
      <c r="B1959" s="10"/>
      <c r="C1959" s="15" t="str">
        <f aca="false">IF($B1959="","",IFERROR(INDEX(회원명부!$B$3:$B$502,MATCH($B1959,회원명부!$A$3:$A$502,0)),"미등록회원"))</f>
        <v/>
      </c>
      <c r="D1959" s="13"/>
      <c r="E1959" s="10"/>
      <c r="F1959" s="10"/>
      <c r="G1959" s="10"/>
    </row>
    <row r="1960" customFormat="false" ht="15" hidden="false" customHeight="true" outlineLevel="0" collapsed="false">
      <c r="A1960" s="12"/>
      <c r="B1960" s="10"/>
      <c r="C1960" s="15" t="str">
        <f aca="false">IF($B1960="","",IFERROR(INDEX(회원명부!$B$3:$B$502,MATCH($B1960,회원명부!$A$3:$A$502,0)),"미등록회원"))</f>
        <v/>
      </c>
      <c r="D1960" s="13"/>
      <c r="E1960" s="10"/>
      <c r="F1960" s="10"/>
      <c r="G1960" s="10"/>
    </row>
    <row r="1961" customFormat="false" ht="15" hidden="false" customHeight="true" outlineLevel="0" collapsed="false">
      <c r="A1961" s="12"/>
      <c r="B1961" s="10"/>
      <c r="C1961" s="15" t="str">
        <f aca="false">IF($B1961="","",IFERROR(INDEX(회원명부!$B$3:$B$502,MATCH($B1961,회원명부!$A$3:$A$502,0)),"미등록회원"))</f>
        <v/>
      </c>
      <c r="D1961" s="13"/>
      <c r="E1961" s="10"/>
      <c r="F1961" s="10"/>
      <c r="G1961" s="10"/>
    </row>
    <row r="1962" customFormat="false" ht="15" hidden="false" customHeight="true" outlineLevel="0" collapsed="false">
      <c r="A1962" s="12"/>
      <c r="B1962" s="10"/>
      <c r="C1962" s="15" t="str">
        <f aca="false">IF($B1962="","",IFERROR(INDEX(회원명부!$B$3:$B$502,MATCH($B1962,회원명부!$A$3:$A$502,0)),"미등록회원"))</f>
        <v/>
      </c>
      <c r="D1962" s="13"/>
      <c r="E1962" s="10"/>
      <c r="F1962" s="10"/>
      <c r="G1962" s="10"/>
    </row>
    <row r="1963" customFormat="false" ht="15" hidden="false" customHeight="true" outlineLevel="0" collapsed="false">
      <c r="A1963" s="12"/>
      <c r="B1963" s="10"/>
      <c r="C1963" s="15" t="str">
        <f aca="false">IF($B1963="","",IFERROR(INDEX(회원명부!$B$3:$B$502,MATCH($B1963,회원명부!$A$3:$A$502,0)),"미등록회원"))</f>
        <v/>
      </c>
      <c r="D1963" s="13"/>
      <c r="E1963" s="10"/>
      <c r="F1963" s="10"/>
      <c r="G1963" s="10"/>
    </row>
    <row r="1964" customFormat="false" ht="15" hidden="false" customHeight="true" outlineLevel="0" collapsed="false">
      <c r="A1964" s="12"/>
      <c r="B1964" s="10"/>
      <c r="C1964" s="15" t="str">
        <f aca="false">IF($B1964="","",IFERROR(INDEX(회원명부!$B$3:$B$502,MATCH($B1964,회원명부!$A$3:$A$502,0)),"미등록회원"))</f>
        <v/>
      </c>
      <c r="D1964" s="13"/>
      <c r="E1964" s="10"/>
      <c r="F1964" s="10"/>
      <c r="G1964" s="10"/>
    </row>
    <row r="1965" customFormat="false" ht="15" hidden="false" customHeight="true" outlineLevel="0" collapsed="false">
      <c r="A1965" s="12"/>
      <c r="B1965" s="10"/>
      <c r="C1965" s="15" t="str">
        <f aca="false">IF($B1965="","",IFERROR(INDEX(회원명부!$B$3:$B$502,MATCH($B1965,회원명부!$A$3:$A$502,0)),"미등록회원"))</f>
        <v/>
      </c>
      <c r="D1965" s="13"/>
      <c r="E1965" s="10"/>
      <c r="F1965" s="10"/>
      <c r="G1965" s="10"/>
    </row>
    <row r="1966" customFormat="false" ht="15" hidden="false" customHeight="true" outlineLevel="0" collapsed="false">
      <c r="A1966" s="12"/>
      <c r="B1966" s="10"/>
      <c r="C1966" s="15" t="str">
        <f aca="false">IF($B1966="","",IFERROR(INDEX(회원명부!$B$3:$B$502,MATCH($B1966,회원명부!$A$3:$A$502,0)),"미등록회원"))</f>
        <v/>
      </c>
      <c r="D1966" s="13"/>
      <c r="E1966" s="10"/>
      <c r="F1966" s="10"/>
      <c r="G1966" s="10"/>
    </row>
    <row r="1967" customFormat="false" ht="15" hidden="false" customHeight="true" outlineLevel="0" collapsed="false">
      <c r="A1967" s="12"/>
      <c r="B1967" s="10"/>
      <c r="C1967" s="15" t="str">
        <f aca="false">IF($B1967="","",IFERROR(INDEX(회원명부!$B$3:$B$502,MATCH($B1967,회원명부!$A$3:$A$502,0)),"미등록회원"))</f>
        <v/>
      </c>
      <c r="D1967" s="13"/>
      <c r="E1967" s="10"/>
      <c r="F1967" s="10"/>
      <c r="G1967" s="10"/>
    </row>
    <row r="1968" customFormat="false" ht="15" hidden="false" customHeight="true" outlineLevel="0" collapsed="false">
      <c r="A1968" s="12"/>
      <c r="B1968" s="10"/>
      <c r="C1968" s="15" t="str">
        <f aca="false">IF($B1968="","",IFERROR(INDEX(회원명부!$B$3:$B$502,MATCH($B1968,회원명부!$A$3:$A$502,0)),"미등록회원"))</f>
        <v/>
      </c>
      <c r="D1968" s="13"/>
      <c r="E1968" s="10"/>
      <c r="F1968" s="10"/>
      <c r="G1968" s="10"/>
    </row>
    <row r="1969" customFormat="false" ht="15" hidden="false" customHeight="true" outlineLevel="0" collapsed="false">
      <c r="A1969" s="12"/>
      <c r="B1969" s="10"/>
      <c r="C1969" s="15" t="str">
        <f aca="false">IF($B1969="","",IFERROR(INDEX(회원명부!$B$3:$B$502,MATCH($B1969,회원명부!$A$3:$A$502,0)),"미등록회원"))</f>
        <v/>
      </c>
      <c r="D1969" s="13"/>
      <c r="E1969" s="10"/>
      <c r="F1969" s="10"/>
      <c r="G1969" s="10"/>
    </row>
    <row r="1970" customFormat="false" ht="15" hidden="false" customHeight="true" outlineLevel="0" collapsed="false">
      <c r="A1970" s="12"/>
      <c r="B1970" s="10"/>
      <c r="C1970" s="15" t="str">
        <f aca="false">IF($B1970="","",IFERROR(INDEX(회원명부!$B$3:$B$502,MATCH($B1970,회원명부!$A$3:$A$502,0)),"미등록회원"))</f>
        <v/>
      </c>
      <c r="D1970" s="13"/>
      <c r="E1970" s="10"/>
      <c r="F1970" s="10"/>
      <c r="G1970" s="10"/>
    </row>
    <row r="1971" customFormat="false" ht="15" hidden="false" customHeight="true" outlineLevel="0" collapsed="false">
      <c r="A1971" s="12"/>
      <c r="B1971" s="10"/>
      <c r="C1971" s="15" t="str">
        <f aca="false">IF($B1971="","",IFERROR(INDEX(회원명부!$B$3:$B$502,MATCH($B1971,회원명부!$A$3:$A$502,0)),"미등록회원"))</f>
        <v/>
      </c>
      <c r="D1971" s="13"/>
      <c r="E1971" s="10"/>
      <c r="F1971" s="10"/>
      <c r="G1971" s="10"/>
    </row>
    <row r="1972" customFormat="false" ht="15" hidden="false" customHeight="true" outlineLevel="0" collapsed="false">
      <c r="A1972" s="12"/>
      <c r="B1972" s="10"/>
      <c r="C1972" s="15" t="str">
        <f aca="false">IF($B1972="","",IFERROR(INDEX(회원명부!$B$3:$B$502,MATCH($B1972,회원명부!$A$3:$A$502,0)),"미등록회원"))</f>
        <v/>
      </c>
      <c r="D1972" s="13"/>
      <c r="E1972" s="10"/>
      <c r="F1972" s="10"/>
      <c r="G1972" s="10"/>
    </row>
    <row r="1973" customFormat="false" ht="15" hidden="false" customHeight="true" outlineLevel="0" collapsed="false">
      <c r="A1973" s="12"/>
      <c r="B1973" s="10"/>
      <c r="C1973" s="15" t="str">
        <f aca="false">IF($B1973="","",IFERROR(INDEX(회원명부!$B$3:$B$502,MATCH($B1973,회원명부!$A$3:$A$502,0)),"미등록회원"))</f>
        <v/>
      </c>
      <c r="D1973" s="13"/>
      <c r="E1973" s="10"/>
      <c r="F1973" s="10"/>
      <c r="G1973" s="10"/>
    </row>
    <row r="1974" customFormat="false" ht="15" hidden="false" customHeight="true" outlineLevel="0" collapsed="false">
      <c r="A1974" s="12"/>
      <c r="B1974" s="10"/>
      <c r="C1974" s="15" t="str">
        <f aca="false">IF($B1974="","",IFERROR(INDEX(회원명부!$B$3:$B$502,MATCH($B1974,회원명부!$A$3:$A$502,0)),"미등록회원"))</f>
        <v/>
      </c>
      <c r="D1974" s="13"/>
      <c r="E1974" s="10"/>
      <c r="F1974" s="10"/>
      <c r="G1974" s="10"/>
    </row>
    <row r="1975" customFormat="false" ht="15" hidden="false" customHeight="true" outlineLevel="0" collapsed="false">
      <c r="A1975" s="12"/>
      <c r="B1975" s="10"/>
      <c r="C1975" s="15" t="str">
        <f aca="false">IF($B1975="","",IFERROR(INDEX(회원명부!$B$3:$B$502,MATCH($B1975,회원명부!$A$3:$A$502,0)),"미등록회원"))</f>
        <v/>
      </c>
      <c r="D1975" s="13"/>
      <c r="E1975" s="10"/>
      <c r="F1975" s="10"/>
      <c r="G1975" s="10"/>
    </row>
    <row r="1976" customFormat="false" ht="15" hidden="false" customHeight="true" outlineLevel="0" collapsed="false">
      <c r="A1976" s="12"/>
      <c r="B1976" s="10"/>
      <c r="C1976" s="15" t="str">
        <f aca="false">IF($B1976="","",IFERROR(INDEX(회원명부!$B$3:$B$502,MATCH($B1976,회원명부!$A$3:$A$502,0)),"미등록회원"))</f>
        <v/>
      </c>
      <c r="D1976" s="13"/>
      <c r="E1976" s="10"/>
      <c r="F1976" s="10"/>
      <c r="G1976" s="10"/>
    </row>
    <row r="1977" customFormat="false" ht="15" hidden="false" customHeight="true" outlineLevel="0" collapsed="false">
      <c r="A1977" s="12"/>
      <c r="B1977" s="10"/>
      <c r="C1977" s="15" t="str">
        <f aca="false">IF($B1977="","",IFERROR(INDEX(회원명부!$B$3:$B$502,MATCH($B1977,회원명부!$A$3:$A$502,0)),"미등록회원"))</f>
        <v/>
      </c>
      <c r="D1977" s="13"/>
      <c r="E1977" s="10"/>
      <c r="F1977" s="10"/>
      <c r="G1977" s="10"/>
    </row>
    <row r="1978" customFormat="false" ht="15" hidden="false" customHeight="true" outlineLevel="0" collapsed="false">
      <c r="A1978" s="12"/>
      <c r="B1978" s="10"/>
      <c r="C1978" s="15" t="str">
        <f aca="false">IF($B1978="","",IFERROR(INDEX(회원명부!$B$3:$B$502,MATCH($B1978,회원명부!$A$3:$A$502,0)),"미등록회원"))</f>
        <v/>
      </c>
      <c r="D1978" s="13"/>
      <c r="E1978" s="10"/>
      <c r="F1978" s="10"/>
      <c r="G1978" s="10"/>
    </row>
    <row r="1979" customFormat="false" ht="15" hidden="false" customHeight="true" outlineLevel="0" collapsed="false">
      <c r="A1979" s="12"/>
      <c r="B1979" s="10"/>
      <c r="C1979" s="15" t="str">
        <f aca="false">IF($B1979="","",IFERROR(INDEX(회원명부!$B$3:$B$502,MATCH($B1979,회원명부!$A$3:$A$502,0)),"미등록회원"))</f>
        <v/>
      </c>
      <c r="D1979" s="13"/>
      <c r="E1979" s="10"/>
      <c r="F1979" s="10"/>
      <c r="G1979" s="10"/>
    </row>
    <row r="1980" customFormat="false" ht="15" hidden="false" customHeight="true" outlineLevel="0" collapsed="false">
      <c r="A1980" s="12"/>
      <c r="B1980" s="10"/>
      <c r="C1980" s="15" t="str">
        <f aca="false">IF($B1980="","",IFERROR(INDEX(회원명부!$B$3:$B$502,MATCH($B1980,회원명부!$A$3:$A$502,0)),"미등록회원"))</f>
        <v/>
      </c>
      <c r="D1980" s="13"/>
      <c r="E1980" s="10"/>
      <c r="F1980" s="10"/>
      <c r="G1980" s="10"/>
    </row>
    <row r="1981" customFormat="false" ht="15" hidden="false" customHeight="true" outlineLevel="0" collapsed="false">
      <c r="A1981" s="12"/>
      <c r="B1981" s="10"/>
      <c r="C1981" s="15" t="str">
        <f aca="false">IF($B1981="","",IFERROR(INDEX(회원명부!$B$3:$B$502,MATCH($B1981,회원명부!$A$3:$A$502,0)),"미등록회원"))</f>
        <v/>
      </c>
      <c r="D1981" s="13"/>
      <c r="E1981" s="10"/>
      <c r="F1981" s="10"/>
      <c r="G1981" s="10"/>
    </row>
    <row r="1982" customFormat="false" ht="15" hidden="false" customHeight="true" outlineLevel="0" collapsed="false">
      <c r="A1982" s="12"/>
      <c r="B1982" s="10"/>
      <c r="C1982" s="15" t="str">
        <f aca="false">IF($B1982="","",IFERROR(INDEX(회원명부!$B$3:$B$502,MATCH($B1982,회원명부!$A$3:$A$502,0)),"미등록회원"))</f>
        <v/>
      </c>
      <c r="D1982" s="13"/>
      <c r="E1982" s="10"/>
      <c r="F1982" s="10"/>
      <c r="G1982" s="10"/>
    </row>
    <row r="1983" customFormat="false" ht="15" hidden="false" customHeight="true" outlineLevel="0" collapsed="false">
      <c r="A1983" s="12"/>
      <c r="B1983" s="10"/>
      <c r="C1983" s="15" t="str">
        <f aca="false">IF($B1983="","",IFERROR(INDEX(회원명부!$B$3:$B$502,MATCH($B1983,회원명부!$A$3:$A$502,0)),"미등록회원"))</f>
        <v/>
      </c>
      <c r="D1983" s="13"/>
      <c r="E1983" s="10"/>
      <c r="F1983" s="10"/>
      <c r="G1983" s="10"/>
    </row>
    <row r="1984" customFormat="false" ht="15" hidden="false" customHeight="true" outlineLevel="0" collapsed="false">
      <c r="A1984" s="12"/>
      <c r="B1984" s="10"/>
      <c r="C1984" s="15" t="str">
        <f aca="false">IF($B1984="","",IFERROR(INDEX(회원명부!$B$3:$B$502,MATCH($B1984,회원명부!$A$3:$A$502,0)),"미등록회원"))</f>
        <v/>
      </c>
      <c r="D1984" s="13"/>
      <c r="E1984" s="10"/>
      <c r="F1984" s="10"/>
      <c r="G1984" s="10"/>
    </row>
    <row r="1985" customFormat="false" ht="15" hidden="false" customHeight="true" outlineLevel="0" collapsed="false">
      <c r="A1985" s="12"/>
      <c r="B1985" s="10"/>
      <c r="C1985" s="15" t="str">
        <f aca="false">IF($B1985="","",IFERROR(INDEX(회원명부!$B$3:$B$502,MATCH($B1985,회원명부!$A$3:$A$502,0)),"미등록회원"))</f>
        <v/>
      </c>
      <c r="D1985" s="13"/>
      <c r="E1985" s="10"/>
      <c r="F1985" s="10"/>
      <c r="G1985" s="10"/>
    </row>
    <row r="1986" customFormat="false" ht="15" hidden="false" customHeight="true" outlineLevel="0" collapsed="false">
      <c r="A1986" s="12"/>
      <c r="B1986" s="10"/>
      <c r="C1986" s="15" t="str">
        <f aca="false">IF($B1986="","",IFERROR(INDEX(회원명부!$B$3:$B$502,MATCH($B1986,회원명부!$A$3:$A$502,0)),"미등록회원"))</f>
        <v/>
      </c>
      <c r="D1986" s="13"/>
      <c r="E1986" s="10"/>
      <c r="F1986" s="10"/>
      <c r="G1986" s="10"/>
    </row>
    <row r="1987" customFormat="false" ht="15" hidden="false" customHeight="true" outlineLevel="0" collapsed="false">
      <c r="A1987" s="12"/>
      <c r="B1987" s="10"/>
      <c r="C1987" s="15" t="str">
        <f aca="false">IF($B1987="","",IFERROR(INDEX(회원명부!$B$3:$B$502,MATCH($B1987,회원명부!$A$3:$A$502,0)),"미등록회원"))</f>
        <v/>
      </c>
      <c r="D1987" s="13"/>
      <c r="E1987" s="10"/>
      <c r="F1987" s="10"/>
      <c r="G1987" s="10"/>
    </row>
    <row r="1988" customFormat="false" ht="15" hidden="false" customHeight="true" outlineLevel="0" collapsed="false">
      <c r="A1988" s="12"/>
      <c r="B1988" s="10"/>
      <c r="C1988" s="15" t="str">
        <f aca="false">IF($B1988="","",IFERROR(INDEX(회원명부!$B$3:$B$502,MATCH($B1988,회원명부!$A$3:$A$502,0)),"미등록회원"))</f>
        <v/>
      </c>
      <c r="D1988" s="13"/>
      <c r="E1988" s="10"/>
      <c r="F1988" s="10"/>
      <c r="G1988" s="10"/>
    </row>
    <row r="1989" customFormat="false" ht="15" hidden="false" customHeight="true" outlineLevel="0" collapsed="false">
      <c r="A1989" s="12"/>
      <c r="B1989" s="10"/>
      <c r="C1989" s="15" t="str">
        <f aca="false">IF($B1989="","",IFERROR(INDEX(회원명부!$B$3:$B$502,MATCH($B1989,회원명부!$A$3:$A$502,0)),"미등록회원"))</f>
        <v/>
      </c>
      <c r="D1989" s="13"/>
      <c r="E1989" s="10"/>
      <c r="F1989" s="10"/>
      <c r="G1989" s="10"/>
    </row>
    <row r="1990" customFormat="false" ht="15" hidden="false" customHeight="true" outlineLevel="0" collapsed="false">
      <c r="A1990" s="12"/>
      <c r="B1990" s="10"/>
      <c r="C1990" s="15" t="str">
        <f aca="false">IF($B1990="","",IFERROR(INDEX(회원명부!$B$3:$B$502,MATCH($B1990,회원명부!$A$3:$A$502,0)),"미등록회원"))</f>
        <v/>
      </c>
      <c r="D1990" s="13"/>
      <c r="E1990" s="10"/>
      <c r="F1990" s="10"/>
      <c r="G1990" s="10"/>
    </row>
    <row r="1991" customFormat="false" ht="15" hidden="false" customHeight="true" outlineLevel="0" collapsed="false">
      <c r="A1991" s="12"/>
      <c r="B1991" s="10"/>
      <c r="C1991" s="15" t="str">
        <f aca="false">IF($B1991="","",IFERROR(INDEX(회원명부!$B$3:$B$502,MATCH($B1991,회원명부!$A$3:$A$502,0)),"미등록회원"))</f>
        <v/>
      </c>
      <c r="D1991" s="13"/>
      <c r="E1991" s="10"/>
      <c r="F1991" s="10"/>
      <c r="G1991" s="10"/>
    </row>
    <row r="1992" customFormat="false" ht="15" hidden="false" customHeight="true" outlineLevel="0" collapsed="false">
      <c r="A1992" s="12"/>
      <c r="B1992" s="10"/>
      <c r="C1992" s="15" t="str">
        <f aca="false">IF($B1992="","",IFERROR(INDEX(회원명부!$B$3:$B$502,MATCH($B1992,회원명부!$A$3:$A$502,0)),"미등록회원"))</f>
        <v/>
      </c>
      <c r="D1992" s="13"/>
      <c r="E1992" s="10"/>
      <c r="F1992" s="10"/>
      <c r="G1992" s="10"/>
    </row>
    <row r="1993" customFormat="false" ht="15" hidden="false" customHeight="true" outlineLevel="0" collapsed="false">
      <c r="A1993" s="12"/>
      <c r="B1993" s="10"/>
      <c r="C1993" s="15" t="str">
        <f aca="false">IF($B1993="","",IFERROR(INDEX(회원명부!$B$3:$B$502,MATCH($B1993,회원명부!$A$3:$A$502,0)),"미등록회원"))</f>
        <v/>
      </c>
      <c r="D1993" s="13"/>
      <c r="E1993" s="10"/>
      <c r="F1993" s="10"/>
      <c r="G1993" s="10"/>
    </row>
    <row r="1994" customFormat="false" ht="15" hidden="false" customHeight="true" outlineLevel="0" collapsed="false">
      <c r="A1994" s="12"/>
      <c r="B1994" s="10"/>
      <c r="C1994" s="15" t="str">
        <f aca="false">IF($B1994="","",IFERROR(INDEX(회원명부!$B$3:$B$502,MATCH($B1994,회원명부!$A$3:$A$502,0)),"미등록회원"))</f>
        <v/>
      </c>
      <c r="D1994" s="13"/>
      <c r="E1994" s="10"/>
      <c r="F1994" s="10"/>
      <c r="G1994" s="10"/>
    </row>
    <row r="1995" customFormat="false" ht="15" hidden="false" customHeight="true" outlineLevel="0" collapsed="false">
      <c r="A1995" s="12"/>
      <c r="B1995" s="10"/>
      <c r="C1995" s="15" t="str">
        <f aca="false">IF($B1995="","",IFERROR(INDEX(회원명부!$B$3:$B$502,MATCH($B1995,회원명부!$A$3:$A$502,0)),"미등록회원"))</f>
        <v/>
      </c>
      <c r="D1995" s="13"/>
      <c r="E1995" s="10"/>
      <c r="F1995" s="10"/>
      <c r="G1995" s="10"/>
    </row>
    <row r="1996" customFormat="false" ht="15" hidden="false" customHeight="true" outlineLevel="0" collapsed="false">
      <c r="A1996" s="12"/>
      <c r="B1996" s="10"/>
      <c r="C1996" s="15" t="str">
        <f aca="false">IF($B1996="","",IFERROR(INDEX(회원명부!$B$3:$B$502,MATCH($B1996,회원명부!$A$3:$A$502,0)),"미등록회원"))</f>
        <v/>
      </c>
      <c r="D1996" s="13"/>
      <c r="E1996" s="10"/>
      <c r="F1996" s="10"/>
      <c r="G1996" s="10"/>
    </row>
    <row r="1997" customFormat="false" ht="15" hidden="false" customHeight="true" outlineLevel="0" collapsed="false">
      <c r="A1997" s="12"/>
      <c r="B1997" s="10"/>
      <c r="C1997" s="15" t="str">
        <f aca="false">IF($B1997="","",IFERROR(INDEX(회원명부!$B$3:$B$502,MATCH($B1997,회원명부!$A$3:$A$502,0)),"미등록회원"))</f>
        <v/>
      </c>
      <c r="D1997" s="13"/>
      <c r="E1997" s="10"/>
      <c r="F1997" s="10"/>
      <c r="G1997" s="10"/>
    </row>
    <row r="1998" customFormat="false" ht="15" hidden="false" customHeight="true" outlineLevel="0" collapsed="false">
      <c r="A1998" s="12"/>
      <c r="B1998" s="10"/>
      <c r="C1998" s="15" t="str">
        <f aca="false">IF($B1998="","",IFERROR(INDEX(회원명부!$B$3:$B$502,MATCH($B1998,회원명부!$A$3:$A$502,0)),"미등록회원"))</f>
        <v/>
      </c>
      <c r="D1998" s="13"/>
      <c r="E1998" s="10"/>
      <c r="F1998" s="10"/>
      <c r="G1998" s="10"/>
    </row>
    <row r="1999" customFormat="false" ht="15" hidden="false" customHeight="true" outlineLevel="0" collapsed="false">
      <c r="A1999" s="12"/>
      <c r="B1999" s="10"/>
      <c r="C1999" s="15" t="str">
        <f aca="false">IF($B1999="","",IFERROR(INDEX(회원명부!$B$3:$B$502,MATCH($B1999,회원명부!$A$3:$A$502,0)),"미등록회원"))</f>
        <v/>
      </c>
      <c r="D1999" s="13"/>
      <c r="E1999" s="10"/>
      <c r="F1999" s="10"/>
      <c r="G1999" s="10"/>
    </row>
    <row r="2000" customFormat="false" ht="15" hidden="false" customHeight="true" outlineLevel="0" collapsed="false">
      <c r="A2000" s="12"/>
      <c r="B2000" s="10"/>
      <c r="C2000" s="15" t="str">
        <f aca="false">IF($B2000="","",IFERROR(INDEX(회원명부!$B$3:$B$502,MATCH($B2000,회원명부!$A$3:$A$502,0)),"미등록회원"))</f>
        <v/>
      </c>
      <c r="D2000" s="13"/>
      <c r="E2000" s="10"/>
      <c r="F2000" s="10"/>
      <c r="G2000" s="10"/>
    </row>
    <row r="2001" customFormat="false" ht="15" hidden="false" customHeight="true" outlineLevel="0" collapsed="false">
      <c r="A2001" s="12"/>
      <c r="B2001" s="10"/>
      <c r="C2001" s="15" t="str">
        <f aca="false">IF($B2001="","",IFERROR(INDEX(회원명부!$B$3:$B$502,MATCH($B2001,회원명부!$A$3:$A$502,0)),"미등록회원"))</f>
        <v/>
      </c>
      <c r="D2001" s="13"/>
      <c r="E2001" s="10"/>
      <c r="F2001" s="10"/>
      <c r="G2001" s="10"/>
    </row>
    <row r="2002" customFormat="false" ht="15" hidden="false" customHeight="true" outlineLevel="0" collapsed="false">
      <c r="A2002" s="12"/>
      <c r="B2002" s="10"/>
      <c r="C2002" s="15" t="str">
        <f aca="false">IF($B2002="","",IFERROR(INDEX(회원명부!$B$3:$B$502,MATCH($B2002,회원명부!$A$3:$A$502,0)),"미등록회원"))</f>
        <v/>
      </c>
      <c r="D2002" s="13"/>
      <c r="E2002" s="10"/>
      <c r="F2002" s="10"/>
      <c r="G2002" s="10"/>
    </row>
    <row r="2003" customFormat="false" ht="15" hidden="false" customHeight="true" outlineLevel="0" collapsed="false">
      <c r="A2003" s="12"/>
      <c r="B2003" s="10"/>
      <c r="C2003" s="15" t="str">
        <f aca="false">IF($B2003="","",IFERROR(INDEX(회원명부!$B$3:$B$502,MATCH($B2003,회원명부!$A$3:$A$502,0)),"미등록회원"))</f>
        <v/>
      </c>
      <c r="D2003" s="13"/>
      <c r="E2003" s="10"/>
      <c r="F2003" s="10"/>
      <c r="G2003" s="10"/>
    </row>
    <row r="2004" customFormat="false" ht="15" hidden="false" customHeight="true" outlineLevel="0" collapsed="false">
      <c r="A2004" s="12"/>
      <c r="B2004" s="10"/>
      <c r="C2004" s="15" t="str">
        <f aca="false">IF($B2004="","",IFERROR(INDEX(회원명부!$B$3:$B$502,MATCH($B2004,회원명부!$A$3:$A$502,0)),"미등록회원"))</f>
        <v/>
      </c>
      <c r="D2004" s="13"/>
      <c r="E2004" s="10"/>
      <c r="F2004" s="10"/>
      <c r="G2004" s="10"/>
    </row>
    <row r="2005" customFormat="false" ht="15" hidden="false" customHeight="true" outlineLevel="0" collapsed="false">
      <c r="A2005" s="12"/>
      <c r="B2005" s="10"/>
      <c r="C2005" s="15" t="str">
        <f aca="false">IF($B2005="","",IFERROR(INDEX(회원명부!$B$3:$B$502,MATCH($B2005,회원명부!$A$3:$A$502,0)),"미등록회원"))</f>
        <v/>
      </c>
      <c r="D2005" s="13"/>
      <c r="E2005" s="10"/>
      <c r="F2005" s="10"/>
      <c r="G2005" s="10"/>
    </row>
    <row r="2006" customFormat="false" ht="15" hidden="false" customHeight="true" outlineLevel="0" collapsed="false">
      <c r="A2006" s="12"/>
      <c r="B2006" s="10"/>
      <c r="C2006" s="15" t="str">
        <f aca="false">IF($B2006="","",IFERROR(INDEX(회원명부!$B$3:$B$502,MATCH($B2006,회원명부!$A$3:$A$502,0)),"미등록회원"))</f>
        <v/>
      </c>
      <c r="D2006" s="13"/>
      <c r="E2006" s="10"/>
      <c r="F2006" s="10"/>
      <c r="G2006" s="10"/>
    </row>
    <row r="2007" customFormat="false" ht="15" hidden="false" customHeight="true" outlineLevel="0" collapsed="false">
      <c r="A2007" s="12"/>
      <c r="B2007" s="10"/>
      <c r="C2007" s="15" t="str">
        <f aca="false">IF($B2007="","",IFERROR(INDEX(회원명부!$B$3:$B$502,MATCH($B2007,회원명부!$A$3:$A$502,0)),"미등록회원"))</f>
        <v/>
      </c>
      <c r="D2007" s="13"/>
      <c r="E2007" s="10"/>
      <c r="F2007" s="10"/>
      <c r="G2007" s="10"/>
    </row>
    <row r="2008" customFormat="false" ht="15" hidden="false" customHeight="true" outlineLevel="0" collapsed="false">
      <c r="A2008" s="12"/>
      <c r="B2008" s="10"/>
      <c r="C2008" s="15" t="str">
        <f aca="false">IF($B2008="","",IFERROR(INDEX(회원명부!$B$3:$B$502,MATCH($B2008,회원명부!$A$3:$A$502,0)),"미등록회원"))</f>
        <v/>
      </c>
      <c r="D2008" s="13"/>
      <c r="E2008" s="10"/>
      <c r="F2008" s="10"/>
      <c r="G2008" s="10"/>
    </row>
    <row r="2009" customFormat="false" ht="15" hidden="false" customHeight="true" outlineLevel="0" collapsed="false">
      <c r="A2009" s="12"/>
      <c r="B2009" s="10"/>
      <c r="C2009" s="15" t="str">
        <f aca="false">IF($B2009="","",IFERROR(INDEX(회원명부!$B$3:$B$502,MATCH($B2009,회원명부!$A$3:$A$502,0)),"미등록회원"))</f>
        <v/>
      </c>
      <c r="D2009" s="13"/>
      <c r="E2009" s="10"/>
      <c r="F2009" s="10"/>
      <c r="G2009" s="10"/>
    </row>
    <row r="2010" customFormat="false" ht="15" hidden="false" customHeight="true" outlineLevel="0" collapsed="false">
      <c r="A2010" s="12"/>
      <c r="B2010" s="10"/>
      <c r="C2010" s="15" t="str">
        <f aca="false">IF($B2010="","",IFERROR(INDEX(회원명부!$B$3:$B$502,MATCH($B2010,회원명부!$A$3:$A$502,0)),"미등록회원"))</f>
        <v/>
      </c>
      <c r="D2010" s="13"/>
      <c r="E2010" s="10"/>
      <c r="F2010" s="10"/>
      <c r="G2010" s="10"/>
    </row>
    <row r="2011" customFormat="false" ht="15" hidden="false" customHeight="true" outlineLevel="0" collapsed="false">
      <c r="A2011" s="12"/>
      <c r="B2011" s="10"/>
      <c r="C2011" s="15" t="str">
        <f aca="false">IF($B2011="","",IFERROR(INDEX(회원명부!$B$3:$B$502,MATCH($B2011,회원명부!$A$3:$A$502,0)),"미등록회원"))</f>
        <v/>
      </c>
      <c r="D2011" s="13"/>
      <c r="E2011" s="10"/>
      <c r="F2011" s="10"/>
      <c r="G2011" s="10"/>
    </row>
    <row r="2012" customFormat="false" ht="15" hidden="false" customHeight="true" outlineLevel="0" collapsed="false">
      <c r="A2012" s="12"/>
      <c r="B2012" s="10"/>
      <c r="C2012" s="15" t="str">
        <f aca="false">IF($B2012="","",IFERROR(INDEX(회원명부!$B$3:$B$502,MATCH($B2012,회원명부!$A$3:$A$502,0)),"미등록회원"))</f>
        <v/>
      </c>
      <c r="D2012" s="13"/>
      <c r="E2012" s="10"/>
      <c r="F2012" s="10"/>
      <c r="G2012" s="10"/>
    </row>
    <row r="2013" customFormat="false" ht="15" hidden="false" customHeight="true" outlineLevel="0" collapsed="false">
      <c r="A2013" s="12"/>
      <c r="B2013" s="10"/>
      <c r="C2013" s="15" t="str">
        <f aca="false">IF($B2013="","",IFERROR(INDEX(회원명부!$B$3:$B$502,MATCH($B2013,회원명부!$A$3:$A$502,0)),"미등록회원"))</f>
        <v/>
      </c>
      <c r="D2013" s="13"/>
      <c r="E2013" s="10"/>
      <c r="F2013" s="10"/>
      <c r="G2013" s="10"/>
    </row>
    <row r="2014" customFormat="false" ht="15" hidden="false" customHeight="true" outlineLevel="0" collapsed="false">
      <c r="A2014" s="12"/>
      <c r="B2014" s="10"/>
      <c r="C2014" s="15" t="str">
        <f aca="false">IF($B2014="","",IFERROR(INDEX(회원명부!$B$3:$B$502,MATCH($B2014,회원명부!$A$3:$A$502,0)),"미등록회원"))</f>
        <v/>
      </c>
      <c r="D2014" s="13"/>
      <c r="E2014" s="10"/>
      <c r="F2014" s="10"/>
      <c r="G2014" s="10"/>
    </row>
    <row r="2015" customFormat="false" ht="15" hidden="false" customHeight="true" outlineLevel="0" collapsed="false">
      <c r="A2015" s="12"/>
      <c r="B2015" s="10"/>
      <c r="C2015" s="15" t="str">
        <f aca="false">IF($B2015="","",IFERROR(INDEX(회원명부!$B$3:$B$502,MATCH($B2015,회원명부!$A$3:$A$502,0)),"미등록회원"))</f>
        <v/>
      </c>
      <c r="D2015" s="13"/>
      <c r="E2015" s="10"/>
      <c r="F2015" s="10"/>
      <c r="G2015" s="10"/>
    </row>
    <row r="2016" customFormat="false" ht="15" hidden="false" customHeight="true" outlineLevel="0" collapsed="false">
      <c r="A2016" s="12"/>
      <c r="B2016" s="10"/>
      <c r="C2016" s="15" t="str">
        <f aca="false">IF($B2016="","",IFERROR(INDEX(회원명부!$B$3:$B$502,MATCH($B2016,회원명부!$A$3:$A$502,0)),"미등록회원"))</f>
        <v/>
      </c>
      <c r="D2016" s="13"/>
      <c r="E2016" s="10"/>
      <c r="F2016" s="10"/>
      <c r="G2016" s="10"/>
    </row>
    <row r="2017" customFormat="false" ht="15" hidden="false" customHeight="true" outlineLevel="0" collapsed="false">
      <c r="A2017" s="12"/>
      <c r="B2017" s="10"/>
      <c r="C2017" s="15" t="str">
        <f aca="false">IF($B2017="","",IFERROR(INDEX(회원명부!$B$3:$B$502,MATCH($B2017,회원명부!$A$3:$A$502,0)),"미등록회원"))</f>
        <v/>
      </c>
      <c r="D2017" s="13"/>
      <c r="E2017" s="10"/>
      <c r="F2017" s="10"/>
      <c r="G2017" s="10"/>
    </row>
    <row r="2018" customFormat="false" ht="15" hidden="false" customHeight="true" outlineLevel="0" collapsed="false">
      <c r="A2018" s="12"/>
      <c r="B2018" s="10"/>
      <c r="C2018" s="15" t="str">
        <f aca="false">IF($B2018="","",IFERROR(INDEX(회원명부!$B$3:$B$502,MATCH($B2018,회원명부!$A$3:$A$502,0)),"미등록회원"))</f>
        <v/>
      </c>
      <c r="D2018" s="13"/>
      <c r="E2018" s="10"/>
      <c r="F2018" s="10"/>
      <c r="G2018" s="10"/>
    </row>
    <row r="2019" customFormat="false" ht="15" hidden="false" customHeight="true" outlineLevel="0" collapsed="false">
      <c r="A2019" s="12"/>
      <c r="B2019" s="10"/>
      <c r="C2019" s="15" t="str">
        <f aca="false">IF($B2019="","",IFERROR(INDEX(회원명부!$B$3:$B$502,MATCH($B2019,회원명부!$A$3:$A$502,0)),"미등록회원"))</f>
        <v/>
      </c>
      <c r="D2019" s="13"/>
      <c r="E2019" s="10"/>
      <c r="F2019" s="10"/>
      <c r="G2019" s="10"/>
    </row>
    <row r="2020" customFormat="false" ht="15" hidden="false" customHeight="true" outlineLevel="0" collapsed="false">
      <c r="A2020" s="12"/>
      <c r="B2020" s="10"/>
      <c r="C2020" s="15" t="str">
        <f aca="false">IF($B2020="","",IFERROR(INDEX(회원명부!$B$3:$B$502,MATCH($B2020,회원명부!$A$3:$A$502,0)),"미등록회원"))</f>
        <v/>
      </c>
      <c r="D2020" s="13"/>
      <c r="E2020" s="10"/>
      <c r="F2020" s="10"/>
      <c r="G2020" s="10"/>
    </row>
    <row r="2021" customFormat="false" ht="15" hidden="false" customHeight="true" outlineLevel="0" collapsed="false">
      <c r="A2021" s="12"/>
      <c r="B2021" s="10"/>
      <c r="C2021" s="15" t="str">
        <f aca="false">IF($B2021="","",IFERROR(INDEX(회원명부!$B$3:$B$502,MATCH($B2021,회원명부!$A$3:$A$502,0)),"미등록회원"))</f>
        <v/>
      </c>
      <c r="D2021" s="13"/>
      <c r="E2021" s="10"/>
      <c r="F2021" s="10"/>
      <c r="G2021" s="10"/>
    </row>
    <row r="2022" customFormat="false" ht="15" hidden="false" customHeight="true" outlineLevel="0" collapsed="false">
      <c r="A2022" s="12"/>
      <c r="B2022" s="10"/>
      <c r="C2022" s="15" t="str">
        <f aca="false">IF($B2022="","",IFERROR(INDEX(회원명부!$B$3:$B$502,MATCH($B2022,회원명부!$A$3:$A$502,0)),"미등록회원"))</f>
        <v/>
      </c>
      <c r="D2022" s="13"/>
      <c r="E2022" s="10"/>
      <c r="F2022" s="10"/>
      <c r="G2022" s="10"/>
    </row>
    <row r="2023" customFormat="false" ht="15" hidden="false" customHeight="true" outlineLevel="0" collapsed="false">
      <c r="A2023" s="12"/>
      <c r="B2023" s="10"/>
      <c r="C2023" s="15" t="str">
        <f aca="false">IF($B2023="","",IFERROR(INDEX(회원명부!$B$3:$B$502,MATCH($B2023,회원명부!$A$3:$A$502,0)),"미등록회원"))</f>
        <v/>
      </c>
      <c r="D2023" s="13"/>
      <c r="E2023" s="10"/>
      <c r="F2023" s="10"/>
      <c r="G2023" s="10"/>
    </row>
    <row r="2024" customFormat="false" ht="15" hidden="false" customHeight="true" outlineLevel="0" collapsed="false">
      <c r="A2024" s="12"/>
      <c r="B2024" s="10"/>
      <c r="C2024" s="15" t="str">
        <f aca="false">IF($B2024="","",IFERROR(INDEX(회원명부!$B$3:$B$502,MATCH($B2024,회원명부!$A$3:$A$502,0)),"미등록회원"))</f>
        <v/>
      </c>
      <c r="D2024" s="13"/>
      <c r="E2024" s="10"/>
      <c r="F2024" s="10"/>
      <c r="G2024" s="10"/>
    </row>
    <row r="2025" customFormat="false" ht="15" hidden="false" customHeight="true" outlineLevel="0" collapsed="false">
      <c r="A2025" s="12"/>
      <c r="B2025" s="10"/>
      <c r="C2025" s="15" t="str">
        <f aca="false">IF($B2025="","",IFERROR(INDEX(회원명부!$B$3:$B$502,MATCH($B2025,회원명부!$A$3:$A$502,0)),"미등록회원"))</f>
        <v/>
      </c>
      <c r="D2025" s="13"/>
      <c r="E2025" s="10"/>
      <c r="F2025" s="10"/>
      <c r="G2025" s="10"/>
    </row>
    <row r="2026" customFormat="false" ht="15" hidden="false" customHeight="true" outlineLevel="0" collapsed="false">
      <c r="A2026" s="12"/>
      <c r="B2026" s="10"/>
      <c r="C2026" s="15" t="str">
        <f aca="false">IF($B2026="","",IFERROR(INDEX(회원명부!$B$3:$B$502,MATCH($B2026,회원명부!$A$3:$A$502,0)),"미등록회원"))</f>
        <v/>
      </c>
      <c r="D2026" s="13"/>
      <c r="E2026" s="10"/>
      <c r="F2026" s="10"/>
      <c r="G2026" s="10"/>
    </row>
    <row r="2027" customFormat="false" ht="15" hidden="false" customHeight="true" outlineLevel="0" collapsed="false">
      <c r="A2027" s="12"/>
      <c r="B2027" s="10"/>
      <c r="C2027" s="15" t="str">
        <f aca="false">IF($B2027="","",IFERROR(INDEX(회원명부!$B$3:$B$502,MATCH($B2027,회원명부!$A$3:$A$502,0)),"미등록회원"))</f>
        <v/>
      </c>
      <c r="D2027" s="13"/>
      <c r="E2027" s="10"/>
      <c r="F2027" s="10"/>
      <c r="G2027" s="10"/>
    </row>
    <row r="2028" customFormat="false" ht="15" hidden="false" customHeight="true" outlineLevel="0" collapsed="false">
      <c r="A2028" s="12"/>
      <c r="B2028" s="10"/>
      <c r="C2028" s="15" t="str">
        <f aca="false">IF($B2028="","",IFERROR(INDEX(회원명부!$B$3:$B$502,MATCH($B2028,회원명부!$A$3:$A$502,0)),"미등록회원"))</f>
        <v/>
      </c>
      <c r="D2028" s="13"/>
      <c r="E2028" s="10"/>
      <c r="F2028" s="10"/>
      <c r="G2028" s="10"/>
    </row>
    <row r="2029" customFormat="false" ht="15" hidden="false" customHeight="true" outlineLevel="0" collapsed="false">
      <c r="A2029" s="12"/>
      <c r="B2029" s="10"/>
      <c r="C2029" s="15" t="str">
        <f aca="false">IF($B2029="","",IFERROR(INDEX(회원명부!$B$3:$B$502,MATCH($B2029,회원명부!$A$3:$A$502,0)),"미등록회원"))</f>
        <v/>
      </c>
      <c r="D2029" s="13"/>
      <c r="E2029" s="10"/>
      <c r="F2029" s="10"/>
      <c r="G2029" s="10"/>
    </row>
    <row r="2030" customFormat="false" ht="15" hidden="false" customHeight="true" outlineLevel="0" collapsed="false">
      <c r="A2030" s="12"/>
      <c r="B2030" s="10"/>
      <c r="C2030" s="15" t="str">
        <f aca="false">IF($B2030="","",IFERROR(INDEX(회원명부!$B$3:$B$502,MATCH($B2030,회원명부!$A$3:$A$502,0)),"미등록회원"))</f>
        <v/>
      </c>
      <c r="D2030" s="13"/>
      <c r="E2030" s="10"/>
      <c r="F2030" s="10"/>
      <c r="G2030" s="10"/>
    </row>
    <row r="2031" customFormat="false" ht="15" hidden="false" customHeight="true" outlineLevel="0" collapsed="false">
      <c r="A2031" s="12"/>
      <c r="B2031" s="10"/>
      <c r="C2031" s="15" t="str">
        <f aca="false">IF($B2031="","",IFERROR(INDEX(회원명부!$B$3:$B$502,MATCH($B2031,회원명부!$A$3:$A$502,0)),"미등록회원"))</f>
        <v/>
      </c>
      <c r="D2031" s="13"/>
      <c r="E2031" s="10"/>
      <c r="F2031" s="10"/>
      <c r="G2031" s="10"/>
    </row>
    <row r="2032" customFormat="false" ht="15" hidden="false" customHeight="true" outlineLevel="0" collapsed="false">
      <c r="A2032" s="12"/>
      <c r="B2032" s="10"/>
      <c r="C2032" s="15" t="str">
        <f aca="false">IF($B2032="","",IFERROR(INDEX(회원명부!$B$3:$B$502,MATCH($B2032,회원명부!$A$3:$A$502,0)),"미등록회원"))</f>
        <v/>
      </c>
      <c r="D2032" s="13"/>
      <c r="E2032" s="10"/>
      <c r="F2032" s="10"/>
      <c r="G2032" s="10"/>
    </row>
    <row r="2033" customFormat="false" ht="15" hidden="false" customHeight="true" outlineLevel="0" collapsed="false">
      <c r="A2033" s="12"/>
      <c r="B2033" s="10"/>
      <c r="C2033" s="15" t="str">
        <f aca="false">IF($B2033="","",IFERROR(INDEX(회원명부!$B$3:$B$502,MATCH($B2033,회원명부!$A$3:$A$502,0)),"미등록회원"))</f>
        <v/>
      </c>
      <c r="D2033" s="13"/>
      <c r="E2033" s="10"/>
      <c r="F2033" s="10"/>
      <c r="G2033" s="10"/>
    </row>
    <row r="2034" customFormat="false" ht="15" hidden="false" customHeight="true" outlineLevel="0" collapsed="false">
      <c r="A2034" s="12"/>
      <c r="B2034" s="10"/>
      <c r="C2034" s="15" t="str">
        <f aca="false">IF($B2034="","",IFERROR(INDEX(회원명부!$B$3:$B$502,MATCH($B2034,회원명부!$A$3:$A$502,0)),"미등록회원"))</f>
        <v/>
      </c>
      <c r="D2034" s="13"/>
      <c r="E2034" s="10"/>
      <c r="F2034" s="10"/>
      <c r="G2034" s="10"/>
    </row>
    <row r="2035" customFormat="false" ht="15" hidden="false" customHeight="true" outlineLevel="0" collapsed="false">
      <c r="A2035" s="12"/>
      <c r="B2035" s="10"/>
      <c r="C2035" s="15" t="str">
        <f aca="false">IF($B2035="","",IFERROR(INDEX(회원명부!$B$3:$B$502,MATCH($B2035,회원명부!$A$3:$A$502,0)),"미등록회원"))</f>
        <v/>
      </c>
      <c r="D2035" s="13"/>
      <c r="E2035" s="10"/>
      <c r="F2035" s="10"/>
      <c r="G2035" s="10"/>
    </row>
    <row r="2036" customFormat="false" ht="15" hidden="false" customHeight="true" outlineLevel="0" collapsed="false">
      <c r="A2036" s="12"/>
      <c r="B2036" s="10"/>
      <c r="C2036" s="15" t="str">
        <f aca="false">IF($B2036="","",IFERROR(INDEX(회원명부!$B$3:$B$502,MATCH($B2036,회원명부!$A$3:$A$502,0)),"미등록회원"))</f>
        <v/>
      </c>
      <c r="D2036" s="13"/>
      <c r="E2036" s="10"/>
      <c r="F2036" s="10"/>
      <c r="G2036" s="10"/>
    </row>
    <row r="2037" customFormat="false" ht="15" hidden="false" customHeight="true" outlineLevel="0" collapsed="false">
      <c r="A2037" s="12"/>
      <c r="B2037" s="10"/>
      <c r="C2037" s="15" t="str">
        <f aca="false">IF($B2037="","",IFERROR(INDEX(회원명부!$B$3:$B$502,MATCH($B2037,회원명부!$A$3:$A$502,0)),"미등록회원"))</f>
        <v/>
      </c>
      <c r="D2037" s="13"/>
      <c r="E2037" s="10"/>
      <c r="F2037" s="10"/>
      <c r="G2037" s="10"/>
    </row>
    <row r="2038" customFormat="false" ht="15" hidden="false" customHeight="true" outlineLevel="0" collapsed="false">
      <c r="A2038" s="12"/>
      <c r="B2038" s="10"/>
      <c r="C2038" s="15" t="str">
        <f aca="false">IF($B2038="","",IFERROR(INDEX(회원명부!$B$3:$B$502,MATCH($B2038,회원명부!$A$3:$A$502,0)),"미등록회원"))</f>
        <v/>
      </c>
      <c r="D2038" s="13"/>
      <c r="E2038" s="10"/>
      <c r="F2038" s="10"/>
      <c r="G2038" s="10"/>
    </row>
    <row r="2039" customFormat="false" ht="15" hidden="false" customHeight="true" outlineLevel="0" collapsed="false">
      <c r="A2039" s="12"/>
      <c r="B2039" s="10"/>
      <c r="C2039" s="15" t="str">
        <f aca="false">IF($B2039="","",IFERROR(INDEX(회원명부!$B$3:$B$502,MATCH($B2039,회원명부!$A$3:$A$502,0)),"미등록회원"))</f>
        <v/>
      </c>
      <c r="D2039" s="13"/>
      <c r="E2039" s="10"/>
      <c r="F2039" s="10"/>
      <c r="G2039" s="10"/>
    </row>
    <row r="2040" customFormat="false" ht="15" hidden="false" customHeight="true" outlineLevel="0" collapsed="false">
      <c r="A2040" s="12"/>
      <c r="B2040" s="10"/>
      <c r="C2040" s="15" t="str">
        <f aca="false">IF($B2040="","",IFERROR(INDEX(회원명부!$B$3:$B$502,MATCH($B2040,회원명부!$A$3:$A$502,0)),"미등록회원"))</f>
        <v/>
      </c>
      <c r="D2040" s="13"/>
      <c r="E2040" s="10"/>
      <c r="F2040" s="10"/>
      <c r="G2040" s="10"/>
    </row>
    <row r="2041" customFormat="false" ht="15" hidden="false" customHeight="true" outlineLevel="0" collapsed="false">
      <c r="A2041" s="12"/>
      <c r="B2041" s="10"/>
      <c r="C2041" s="15" t="str">
        <f aca="false">IF($B2041="","",IFERROR(INDEX(회원명부!$B$3:$B$502,MATCH($B2041,회원명부!$A$3:$A$502,0)),"미등록회원"))</f>
        <v/>
      </c>
      <c r="D2041" s="13"/>
      <c r="E2041" s="10"/>
      <c r="F2041" s="10"/>
      <c r="G2041" s="10"/>
    </row>
    <row r="2042" customFormat="false" ht="15" hidden="false" customHeight="true" outlineLevel="0" collapsed="false">
      <c r="A2042" s="12"/>
      <c r="B2042" s="10"/>
      <c r="C2042" s="15" t="str">
        <f aca="false">IF($B2042="","",IFERROR(INDEX(회원명부!$B$3:$B$502,MATCH($B2042,회원명부!$A$3:$A$502,0)),"미등록회원"))</f>
        <v/>
      </c>
      <c r="D2042" s="13"/>
      <c r="E2042" s="10"/>
      <c r="F2042" s="10"/>
      <c r="G2042" s="10"/>
    </row>
    <row r="2043" customFormat="false" ht="15" hidden="false" customHeight="true" outlineLevel="0" collapsed="false">
      <c r="A2043" s="12"/>
      <c r="B2043" s="10"/>
      <c r="C2043" s="15" t="str">
        <f aca="false">IF($B2043="","",IFERROR(INDEX(회원명부!$B$3:$B$502,MATCH($B2043,회원명부!$A$3:$A$502,0)),"미등록회원"))</f>
        <v/>
      </c>
      <c r="D2043" s="13"/>
      <c r="E2043" s="10"/>
      <c r="F2043" s="10"/>
      <c r="G2043" s="10"/>
    </row>
    <row r="2044" customFormat="false" ht="15" hidden="false" customHeight="true" outlineLevel="0" collapsed="false">
      <c r="A2044" s="12"/>
      <c r="B2044" s="10"/>
      <c r="C2044" s="15" t="str">
        <f aca="false">IF($B2044="","",IFERROR(INDEX(회원명부!$B$3:$B$502,MATCH($B2044,회원명부!$A$3:$A$502,0)),"미등록회원"))</f>
        <v/>
      </c>
      <c r="D2044" s="13"/>
      <c r="E2044" s="10"/>
      <c r="F2044" s="10"/>
      <c r="G2044" s="10"/>
    </row>
    <row r="2045" customFormat="false" ht="15" hidden="false" customHeight="true" outlineLevel="0" collapsed="false">
      <c r="A2045" s="12"/>
      <c r="B2045" s="10"/>
      <c r="C2045" s="15" t="str">
        <f aca="false">IF($B2045="","",IFERROR(INDEX(회원명부!$B$3:$B$502,MATCH($B2045,회원명부!$A$3:$A$502,0)),"미등록회원"))</f>
        <v/>
      </c>
      <c r="D2045" s="13"/>
      <c r="E2045" s="10"/>
      <c r="F2045" s="10"/>
      <c r="G2045" s="10"/>
    </row>
    <row r="2046" customFormat="false" ht="15" hidden="false" customHeight="true" outlineLevel="0" collapsed="false">
      <c r="A2046" s="12"/>
      <c r="B2046" s="10"/>
      <c r="C2046" s="15" t="str">
        <f aca="false">IF($B2046="","",IFERROR(INDEX(회원명부!$B$3:$B$502,MATCH($B2046,회원명부!$A$3:$A$502,0)),"미등록회원"))</f>
        <v/>
      </c>
      <c r="D2046" s="13"/>
      <c r="E2046" s="10"/>
      <c r="F2046" s="10"/>
      <c r="G2046" s="10"/>
    </row>
    <row r="2047" customFormat="false" ht="15" hidden="false" customHeight="true" outlineLevel="0" collapsed="false">
      <c r="A2047" s="12"/>
      <c r="B2047" s="10"/>
      <c r="C2047" s="15" t="str">
        <f aca="false">IF($B2047="","",IFERROR(INDEX(회원명부!$B$3:$B$502,MATCH($B2047,회원명부!$A$3:$A$502,0)),"미등록회원"))</f>
        <v/>
      </c>
      <c r="D2047" s="13"/>
      <c r="E2047" s="10"/>
      <c r="F2047" s="10"/>
      <c r="G2047" s="10"/>
    </row>
    <row r="2048" customFormat="false" ht="15" hidden="false" customHeight="true" outlineLevel="0" collapsed="false">
      <c r="A2048" s="12"/>
      <c r="B2048" s="10"/>
      <c r="C2048" s="15" t="str">
        <f aca="false">IF($B2048="","",IFERROR(INDEX(회원명부!$B$3:$B$502,MATCH($B2048,회원명부!$A$3:$A$502,0)),"미등록회원"))</f>
        <v/>
      </c>
      <c r="D2048" s="13"/>
      <c r="E2048" s="10"/>
      <c r="F2048" s="10"/>
      <c r="G2048" s="10"/>
    </row>
    <row r="2049" customFormat="false" ht="15" hidden="false" customHeight="true" outlineLevel="0" collapsed="false">
      <c r="A2049" s="12"/>
      <c r="B2049" s="10"/>
      <c r="C2049" s="15" t="str">
        <f aca="false">IF($B2049="","",IFERROR(INDEX(회원명부!$B$3:$B$502,MATCH($B2049,회원명부!$A$3:$A$502,0)),"미등록회원"))</f>
        <v/>
      </c>
      <c r="D2049" s="13"/>
      <c r="E2049" s="10"/>
      <c r="F2049" s="10"/>
      <c r="G2049" s="10"/>
    </row>
    <row r="2050" customFormat="false" ht="15" hidden="false" customHeight="true" outlineLevel="0" collapsed="false">
      <c r="A2050" s="12"/>
      <c r="B2050" s="10"/>
      <c r="C2050" s="15" t="str">
        <f aca="false">IF($B2050="","",IFERROR(INDEX(회원명부!$B$3:$B$502,MATCH($B2050,회원명부!$A$3:$A$502,0)),"미등록회원"))</f>
        <v/>
      </c>
      <c r="D2050" s="13"/>
      <c r="E2050" s="10"/>
      <c r="F2050" s="10"/>
      <c r="G2050" s="10"/>
    </row>
    <row r="2051" customFormat="false" ht="15" hidden="false" customHeight="true" outlineLevel="0" collapsed="false">
      <c r="A2051" s="12"/>
      <c r="B2051" s="10"/>
      <c r="C2051" s="15" t="str">
        <f aca="false">IF($B2051="","",IFERROR(INDEX(회원명부!$B$3:$B$502,MATCH($B2051,회원명부!$A$3:$A$502,0)),"미등록회원"))</f>
        <v/>
      </c>
      <c r="D2051" s="13"/>
      <c r="E2051" s="10"/>
      <c r="F2051" s="10"/>
      <c r="G2051" s="10"/>
    </row>
    <row r="2052" customFormat="false" ht="15" hidden="false" customHeight="true" outlineLevel="0" collapsed="false">
      <c r="A2052" s="12"/>
      <c r="B2052" s="10"/>
      <c r="C2052" s="15" t="str">
        <f aca="false">IF($B2052="","",IFERROR(INDEX(회원명부!$B$3:$B$502,MATCH($B2052,회원명부!$A$3:$A$502,0)),"미등록회원"))</f>
        <v/>
      </c>
      <c r="D2052" s="13"/>
      <c r="E2052" s="10"/>
      <c r="F2052" s="10"/>
      <c r="G2052" s="10"/>
    </row>
    <row r="2053" customFormat="false" ht="15" hidden="false" customHeight="true" outlineLevel="0" collapsed="false">
      <c r="A2053" s="12"/>
      <c r="B2053" s="10"/>
      <c r="C2053" s="15" t="str">
        <f aca="false">IF($B2053="","",IFERROR(INDEX(회원명부!$B$3:$B$502,MATCH($B2053,회원명부!$A$3:$A$502,0)),"미등록회원"))</f>
        <v/>
      </c>
      <c r="D2053" s="13"/>
      <c r="E2053" s="10"/>
      <c r="F2053" s="10"/>
      <c r="G2053" s="10"/>
    </row>
    <row r="2054" customFormat="false" ht="15" hidden="false" customHeight="true" outlineLevel="0" collapsed="false">
      <c r="A2054" s="12"/>
      <c r="B2054" s="10"/>
      <c r="C2054" s="15" t="str">
        <f aca="false">IF($B2054="","",IFERROR(INDEX(회원명부!$B$3:$B$502,MATCH($B2054,회원명부!$A$3:$A$502,0)),"미등록회원"))</f>
        <v/>
      </c>
      <c r="D2054" s="13"/>
      <c r="E2054" s="10"/>
      <c r="F2054" s="10"/>
      <c r="G2054" s="10"/>
    </row>
    <row r="2055" customFormat="false" ht="15" hidden="false" customHeight="true" outlineLevel="0" collapsed="false">
      <c r="A2055" s="12"/>
      <c r="B2055" s="10"/>
      <c r="C2055" s="15" t="str">
        <f aca="false">IF($B2055="","",IFERROR(INDEX(회원명부!$B$3:$B$502,MATCH($B2055,회원명부!$A$3:$A$502,0)),"미등록회원"))</f>
        <v/>
      </c>
      <c r="D2055" s="13"/>
      <c r="E2055" s="10"/>
      <c r="F2055" s="10"/>
      <c r="G2055" s="10"/>
    </row>
    <row r="2056" customFormat="false" ht="15" hidden="false" customHeight="true" outlineLevel="0" collapsed="false">
      <c r="A2056" s="12"/>
      <c r="B2056" s="10"/>
      <c r="C2056" s="15" t="str">
        <f aca="false">IF($B2056="","",IFERROR(INDEX(회원명부!$B$3:$B$502,MATCH($B2056,회원명부!$A$3:$A$502,0)),"미등록회원"))</f>
        <v/>
      </c>
      <c r="D2056" s="13"/>
      <c r="E2056" s="10"/>
      <c r="F2056" s="10"/>
      <c r="G2056" s="10"/>
    </row>
    <row r="2057" customFormat="false" ht="15" hidden="false" customHeight="true" outlineLevel="0" collapsed="false">
      <c r="A2057" s="12"/>
      <c r="B2057" s="10"/>
      <c r="C2057" s="15" t="str">
        <f aca="false">IF($B2057="","",IFERROR(INDEX(회원명부!$B$3:$B$502,MATCH($B2057,회원명부!$A$3:$A$502,0)),"미등록회원"))</f>
        <v/>
      </c>
      <c r="D2057" s="13"/>
      <c r="E2057" s="10"/>
      <c r="F2057" s="10"/>
      <c r="G2057" s="10"/>
    </row>
    <row r="2058" customFormat="false" ht="15" hidden="false" customHeight="true" outlineLevel="0" collapsed="false">
      <c r="A2058" s="12"/>
      <c r="B2058" s="10"/>
      <c r="C2058" s="15" t="str">
        <f aca="false">IF($B2058="","",IFERROR(INDEX(회원명부!$B$3:$B$502,MATCH($B2058,회원명부!$A$3:$A$502,0)),"미등록회원"))</f>
        <v/>
      </c>
      <c r="D2058" s="13"/>
      <c r="E2058" s="10"/>
      <c r="F2058" s="10"/>
      <c r="G2058" s="10"/>
    </row>
    <row r="2059" customFormat="false" ht="15" hidden="false" customHeight="true" outlineLevel="0" collapsed="false">
      <c r="A2059" s="12"/>
      <c r="B2059" s="10"/>
      <c r="C2059" s="15" t="str">
        <f aca="false">IF($B2059="","",IFERROR(INDEX(회원명부!$B$3:$B$502,MATCH($B2059,회원명부!$A$3:$A$502,0)),"미등록회원"))</f>
        <v/>
      </c>
      <c r="D2059" s="13"/>
      <c r="E2059" s="10"/>
      <c r="F2059" s="10"/>
      <c r="G2059" s="10"/>
    </row>
    <row r="2060" customFormat="false" ht="15" hidden="false" customHeight="true" outlineLevel="0" collapsed="false">
      <c r="A2060" s="12"/>
      <c r="B2060" s="10"/>
      <c r="C2060" s="15" t="str">
        <f aca="false">IF($B2060="","",IFERROR(INDEX(회원명부!$B$3:$B$502,MATCH($B2060,회원명부!$A$3:$A$502,0)),"미등록회원"))</f>
        <v/>
      </c>
      <c r="D2060" s="13"/>
      <c r="E2060" s="10"/>
      <c r="F2060" s="10"/>
      <c r="G2060" s="10"/>
    </row>
    <row r="2061" customFormat="false" ht="15" hidden="false" customHeight="true" outlineLevel="0" collapsed="false">
      <c r="A2061" s="12"/>
      <c r="B2061" s="10"/>
      <c r="C2061" s="15" t="str">
        <f aca="false">IF($B2061="","",IFERROR(INDEX(회원명부!$B$3:$B$502,MATCH($B2061,회원명부!$A$3:$A$502,0)),"미등록회원"))</f>
        <v/>
      </c>
      <c r="D2061" s="13"/>
      <c r="E2061" s="10"/>
      <c r="F2061" s="10"/>
      <c r="G2061" s="10"/>
    </row>
    <row r="2062" customFormat="false" ht="15" hidden="false" customHeight="true" outlineLevel="0" collapsed="false">
      <c r="A2062" s="12"/>
      <c r="B2062" s="10"/>
      <c r="C2062" s="15" t="str">
        <f aca="false">IF($B2062="","",IFERROR(INDEX(회원명부!$B$3:$B$502,MATCH($B2062,회원명부!$A$3:$A$502,0)),"미등록회원"))</f>
        <v/>
      </c>
      <c r="D2062" s="13"/>
      <c r="E2062" s="10"/>
      <c r="F2062" s="10"/>
      <c r="G2062" s="10"/>
    </row>
    <row r="2063" customFormat="false" ht="15" hidden="false" customHeight="true" outlineLevel="0" collapsed="false">
      <c r="A2063" s="12"/>
      <c r="B2063" s="10"/>
      <c r="C2063" s="15" t="str">
        <f aca="false">IF($B2063="","",IFERROR(INDEX(회원명부!$B$3:$B$502,MATCH($B2063,회원명부!$A$3:$A$502,0)),"미등록회원"))</f>
        <v/>
      </c>
      <c r="D2063" s="13"/>
      <c r="E2063" s="10"/>
      <c r="F2063" s="10"/>
      <c r="G2063" s="10"/>
    </row>
    <row r="2064" customFormat="false" ht="15" hidden="false" customHeight="true" outlineLevel="0" collapsed="false">
      <c r="A2064" s="12"/>
      <c r="B2064" s="10"/>
      <c r="C2064" s="15" t="str">
        <f aca="false">IF($B2064="","",IFERROR(INDEX(회원명부!$B$3:$B$502,MATCH($B2064,회원명부!$A$3:$A$502,0)),"미등록회원"))</f>
        <v/>
      </c>
      <c r="D2064" s="13"/>
      <c r="E2064" s="10"/>
      <c r="F2064" s="10"/>
      <c r="G2064" s="10"/>
    </row>
    <row r="2065" customFormat="false" ht="15" hidden="false" customHeight="true" outlineLevel="0" collapsed="false">
      <c r="A2065" s="12"/>
      <c r="B2065" s="10"/>
      <c r="C2065" s="15" t="str">
        <f aca="false">IF($B2065="","",IFERROR(INDEX(회원명부!$B$3:$B$502,MATCH($B2065,회원명부!$A$3:$A$502,0)),"미등록회원"))</f>
        <v/>
      </c>
      <c r="D2065" s="13"/>
      <c r="E2065" s="10"/>
      <c r="F2065" s="10"/>
      <c r="G2065" s="10"/>
    </row>
    <row r="2066" customFormat="false" ht="15" hidden="false" customHeight="true" outlineLevel="0" collapsed="false">
      <c r="A2066" s="12"/>
      <c r="B2066" s="10"/>
      <c r="C2066" s="15" t="str">
        <f aca="false">IF($B2066="","",IFERROR(INDEX(회원명부!$B$3:$B$502,MATCH($B2066,회원명부!$A$3:$A$502,0)),"미등록회원"))</f>
        <v/>
      </c>
      <c r="D2066" s="13"/>
      <c r="E2066" s="10"/>
      <c r="F2066" s="10"/>
      <c r="G2066" s="10"/>
    </row>
    <row r="2067" customFormat="false" ht="15" hidden="false" customHeight="true" outlineLevel="0" collapsed="false">
      <c r="A2067" s="12"/>
      <c r="B2067" s="10"/>
      <c r="C2067" s="15" t="str">
        <f aca="false">IF($B2067="","",IFERROR(INDEX(회원명부!$B$3:$B$502,MATCH($B2067,회원명부!$A$3:$A$502,0)),"미등록회원"))</f>
        <v/>
      </c>
      <c r="D2067" s="13"/>
      <c r="E2067" s="10"/>
      <c r="F2067" s="10"/>
      <c r="G2067" s="10"/>
    </row>
    <row r="2068" customFormat="false" ht="15" hidden="false" customHeight="true" outlineLevel="0" collapsed="false">
      <c r="A2068" s="12"/>
      <c r="B2068" s="10"/>
      <c r="C2068" s="15" t="str">
        <f aca="false">IF($B2068="","",IFERROR(INDEX(회원명부!$B$3:$B$502,MATCH($B2068,회원명부!$A$3:$A$502,0)),"미등록회원"))</f>
        <v/>
      </c>
      <c r="D2068" s="13"/>
      <c r="E2068" s="10"/>
      <c r="F2068" s="10"/>
      <c r="G2068" s="10"/>
    </row>
    <row r="2069" customFormat="false" ht="15" hidden="false" customHeight="true" outlineLevel="0" collapsed="false">
      <c r="A2069" s="12"/>
      <c r="B2069" s="10"/>
      <c r="C2069" s="15" t="str">
        <f aca="false">IF($B2069="","",IFERROR(INDEX(회원명부!$B$3:$B$502,MATCH($B2069,회원명부!$A$3:$A$502,0)),"미등록회원"))</f>
        <v/>
      </c>
      <c r="D2069" s="13"/>
      <c r="E2069" s="10"/>
      <c r="F2069" s="10"/>
      <c r="G2069" s="10"/>
    </row>
    <row r="2070" customFormat="false" ht="15" hidden="false" customHeight="true" outlineLevel="0" collapsed="false">
      <c r="A2070" s="12"/>
      <c r="B2070" s="10"/>
      <c r="C2070" s="15" t="str">
        <f aca="false">IF($B2070="","",IFERROR(INDEX(회원명부!$B$3:$B$502,MATCH($B2070,회원명부!$A$3:$A$502,0)),"미등록회원"))</f>
        <v/>
      </c>
      <c r="D2070" s="13"/>
      <c r="E2070" s="10"/>
      <c r="F2070" s="10"/>
      <c r="G2070" s="10"/>
    </row>
    <row r="2071" customFormat="false" ht="15" hidden="false" customHeight="true" outlineLevel="0" collapsed="false">
      <c r="A2071" s="12"/>
      <c r="B2071" s="10"/>
      <c r="C2071" s="15" t="str">
        <f aca="false">IF($B2071="","",IFERROR(INDEX(회원명부!$B$3:$B$502,MATCH($B2071,회원명부!$A$3:$A$502,0)),"미등록회원"))</f>
        <v/>
      </c>
      <c r="D2071" s="13"/>
      <c r="E2071" s="10"/>
      <c r="F2071" s="10"/>
      <c r="G2071" s="10"/>
    </row>
    <row r="2072" customFormat="false" ht="15" hidden="false" customHeight="true" outlineLevel="0" collapsed="false">
      <c r="A2072" s="12"/>
      <c r="B2072" s="10"/>
      <c r="C2072" s="15" t="str">
        <f aca="false">IF($B2072="","",IFERROR(INDEX(회원명부!$B$3:$B$502,MATCH($B2072,회원명부!$A$3:$A$502,0)),"미등록회원"))</f>
        <v/>
      </c>
      <c r="D2072" s="13"/>
      <c r="E2072" s="10"/>
      <c r="F2072" s="10"/>
      <c r="G2072" s="10"/>
    </row>
    <row r="2073" customFormat="false" ht="15" hidden="false" customHeight="true" outlineLevel="0" collapsed="false">
      <c r="A2073" s="12"/>
      <c r="B2073" s="10"/>
      <c r="C2073" s="15" t="str">
        <f aca="false">IF($B2073="","",IFERROR(INDEX(회원명부!$B$3:$B$502,MATCH($B2073,회원명부!$A$3:$A$502,0)),"미등록회원"))</f>
        <v/>
      </c>
      <c r="D2073" s="13"/>
      <c r="E2073" s="10"/>
      <c r="F2073" s="10"/>
      <c r="G2073" s="10"/>
    </row>
    <row r="2074" customFormat="false" ht="15" hidden="false" customHeight="true" outlineLevel="0" collapsed="false">
      <c r="A2074" s="12"/>
      <c r="B2074" s="10"/>
      <c r="C2074" s="15" t="str">
        <f aca="false">IF($B2074="","",IFERROR(INDEX(회원명부!$B$3:$B$502,MATCH($B2074,회원명부!$A$3:$A$502,0)),"미등록회원"))</f>
        <v/>
      </c>
      <c r="D2074" s="13"/>
      <c r="E2074" s="10"/>
      <c r="F2074" s="10"/>
      <c r="G2074" s="10"/>
    </row>
    <row r="2075" customFormat="false" ht="15" hidden="false" customHeight="true" outlineLevel="0" collapsed="false">
      <c r="A2075" s="12"/>
      <c r="B2075" s="10"/>
      <c r="C2075" s="15" t="str">
        <f aca="false">IF($B2075="","",IFERROR(INDEX(회원명부!$B$3:$B$502,MATCH($B2075,회원명부!$A$3:$A$502,0)),"미등록회원"))</f>
        <v/>
      </c>
      <c r="D2075" s="13"/>
      <c r="E2075" s="10"/>
      <c r="F2075" s="10"/>
      <c r="G2075" s="10"/>
    </row>
    <row r="2076" customFormat="false" ht="15" hidden="false" customHeight="true" outlineLevel="0" collapsed="false">
      <c r="A2076" s="12"/>
      <c r="B2076" s="10"/>
      <c r="C2076" s="15" t="str">
        <f aca="false">IF($B2076="","",IFERROR(INDEX(회원명부!$B$3:$B$502,MATCH($B2076,회원명부!$A$3:$A$502,0)),"미등록회원"))</f>
        <v/>
      </c>
      <c r="D2076" s="13"/>
      <c r="E2076" s="10"/>
      <c r="F2076" s="10"/>
      <c r="G2076" s="10"/>
    </row>
    <row r="2077" customFormat="false" ht="15" hidden="false" customHeight="true" outlineLevel="0" collapsed="false">
      <c r="A2077" s="12"/>
      <c r="B2077" s="10"/>
      <c r="C2077" s="15" t="str">
        <f aca="false">IF($B2077="","",IFERROR(INDEX(회원명부!$B$3:$B$502,MATCH($B2077,회원명부!$A$3:$A$502,0)),"미등록회원"))</f>
        <v/>
      </c>
      <c r="D2077" s="13"/>
      <c r="E2077" s="10"/>
      <c r="F2077" s="10"/>
      <c r="G2077" s="10"/>
    </row>
    <row r="2078" customFormat="false" ht="15" hidden="false" customHeight="true" outlineLevel="0" collapsed="false">
      <c r="A2078" s="12"/>
      <c r="B2078" s="10"/>
      <c r="C2078" s="15" t="str">
        <f aca="false">IF($B2078="","",IFERROR(INDEX(회원명부!$B$3:$B$502,MATCH($B2078,회원명부!$A$3:$A$502,0)),"미등록회원"))</f>
        <v/>
      </c>
      <c r="D2078" s="13"/>
      <c r="E2078" s="10"/>
      <c r="F2078" s="10"/>
      <c r="G2078" s="10"/>
    </row>
    <row r="2079" customFormat="false" ht="15" hidden="false" customHeight="true" outlineLevel="0" collapsed="false">
      <c r="A2079" s="12"/>
      <c r="B2079" s="10"/>
      <c r="C2079" s="15" t="str">
        <f aca="false">IF($B2079="","",IFERROR(INDEX(회원명부!$B$3:$B$502,MATCH($B2079,회원명부!$A$3:$A$502,0)),"미등록회원"))</f>
        <v/>
      </c>
      <c r="D2079" s="13"/>
      <c r="E2079" s="10"/>
      <c r="F2079" s="10"/>
      <c r="G2079" s="10"/>
    </row>
    <row r="2080" customFormat="false" ht="15" hidden="false" customHeight="true" outlineLevel="0" collapsed="false">
      <c r="A2080" s="12"/>
      <c r="B2080" s="10"/>
      <c r="C2080" s="15" t="str">
        <f aca="false">IF($B2080="","",IFERROR(INDEX(회원명부!$B$3:$B$502,MATCH($B2080,회원명부!$A$3:$A$502,0)),"미등록회원"))</f>
        <v/>
      </c>
      <c r="D2080" s="13"/>
      <c r="E2080" s="10"/>
      <c r="F2080" s="10"/>
      <c r="G2080" s="10"/>
    </row>
    <row r="2081" customFormat="false" ht="15" hidden="false" customHeight="true" outlineLevel="0" collapsed="false">
      <c r="A2081" s="12"/>
      <c r="B2081" s="10"/>
      <c r="C2081" s="15" t="str">
        <f aca="false">IF($B2081="","",IFERROR(INDEX(회원명부!$B$3:$B$502,MATCH($B2081,회원명부!$A$3:$A$502,0)),"미등록회원"))</f>
        <v/>
      </c>
      <c r="D2081" s="13"/>
      <c r="E2081" s="10"/>
      <c r="F2081" s="10"/>
      <c r="G2081" s="10"/>
    </row>
    <row r="2082" customFormat="false" ht="15" hidden="false" customHeight="true" outlineLevel="0" collapsed="false">
      <c r="A2082" s="12"/>
      <c r="B2082" s="10"/>
      <c r="C2082" s="15" t="str">
        <f aca="false">IF($B2082="","",IFERROR(INDEX(회원명부!$B$3:$B$502,MATCH($B2082,회원명부!$A$3:$A$502,0)),"미등록회원"))</f>
        <v/>
      </c>
      <c r="D2082" s="13"/>
      <c r="E2082" s="10"/>
      <c r="F2082" s="10"/>
      <c r="G2082" s="10"/>
    </row>
    <row r="2083" customFormat="false" ht="15" hidden="false" customHeight="true" outlineLevel="0" collapsed="false">
      <c r="A2083" s="12"/>
      <c r="B2083" s="10"/>
      <c r="C2083" s="15" t="str">
        <f aca="false">IF($B2083="","",IFERROR(INDEX(회원명부!$B$3:$B$502,MATCH($B2083,회원명부!$A$3:$A$502,0)),"미등록회원"))</f>
        <v/>
      </c>
      <c r="D2083" s="13"/>
      <c r="E2083" s="10"/>
      <c r="F2083" s="10"/>
      <c r="G2083" s="10"/>
    </row>
    <row r="2084" customFormat="false" ht="15" hidden="false" customHeight="true" outlineLevel="0" collapsed="false">
      <c r="A2084" s="12"/>
      <c r="B2084" s="10"/>
      <c r="C2084" s="15" t="str">
        <f aca="false">IF($B2084="","",IFERROR(INDEX(회원명부!$B$3:$B$502,MATCH($B2084,회원명부!$A$3:$A$502,0)),"미등록회원"))</f>
        <v/>
      </c>
      <c r="D2084" s="13"/>
      <c r="E2084" s="10"/>
      <c r="F2084" s="10"/>
      <c r="G2084" s="10"/>
    </row>
    <row r="2085" customFormat="false" ht="15" hidden="false" customHeight="true" outlineLevel="0" collapsed="false">
      <c r="A2085" s="12"/>
      <c r="B2085" s="10"/>
      <c r="C2085" s="15" t="str">
        <f aca="false">IF($B2085="","",IFERROR(INDEX(회원명부!$B$3:$B$502,MATCH($B2085,회원명부!$A$3:$A$502,0)),"미등록회원"))</f>
        <v/>
      </c>
      <c r="D2085" s="13"/>
      <c r="E2085" s="10"/>
      <c r="F2085" s="10"/>
      <c r="G2085" s="10"/>
    </row>
    <row r="2086" customFormat="false" ht="15" hidden="false" customHeight="true" outlineLevel="0" collapsed="false">
      <c r="A2086" s="12"/>
      <c r="B2086" s="10"/>
      <c r="C2086" s="15" t="str">
        <f aca="false">IF($B2086="","",IFERROR(INDEX(회원명부!$B$3:$B$502,MATCH($B2086,회원명부!$A$3:$A$502,0)),"미등록회원"))</f>
        <v/>
      </c>
      <c r="D2086" s="13"/>
      <c r="E2086" s="10"/>
      <c r="F2086" s="10"/>
      <c r="G2086" s="10"/>
    </row>
    <row r="2087" customFormat="false" ht="15" hidden="false" customHeight="true" outlineLevel="0" collapsed="false">
      <c r="A2087" s="12"/>
      <c r="B2087" s="10"/>
      <c r="C2087" s="15" t="str">
        <f aca="false">IF($B2087="","",IFERROR(INDEX(회원명부!$B$3:$B$502,MATCH($B2087,회원명부!$A$3:$A$502,0)),"미등록회원"))</f>
        <v/>
      </c>
      <c r="D2087" s="13"/>
      <c r="E2087" s="10"/>
      <c r="F2087" s="10"/>
      <c r="G2087" s="10"/>
    </row>
    <row r="2088" customFormat="false" ht="15" hidden="false" customHeight="true" outlineLevel="0" collapsed="false">
      <c r="A2088" s="12"/>
      <c r="B2088" s="10"/>
      <c r="C2088" s="15" t="str">
        <f aca="false">IF($B2088="","",IFERROR(INDEX(회원명부!$B$3:$B$502,MATCH($B2088,회원명부!$A$3:$A$502,0)),"미등록회원"))</f>
        <v/>
      </c>
      <c r="D2088" s="13"/>
      <c r="E2088" s="10"/>
      <c r="F2088" s="10"/>
      <c r="G2088" s="10"/>
    </row>
    <row r="2089" customFormat="false" ht="15" hidden="false" customHeight="true" outlineLevel="0" collapsed="false">
      <c r="A2089" s="12"/>
      <c r="B2089" s="10"/>
      <c r="C2089" s="15" t="str">
        <f aca="false">IF($B2089="","",IFERROR(INDEX(회원명부!$B$3:$B$502,MATCH($B2089,회원명부!$A$3:$A$502,0)),"미등록회원"))</f>
        <v/>
      </c>
      <c r="D2089" s="13"/>
      <c r="E2089" s="10"/>
      <c r="F2089" s="10"/>
      <c r="G2089" s="10"/>
    </row>
    <row r="2090" customFormat="false" ht="15" hidden="false" customHeight="true" outlineLevel="0" collapsed="false">
      <c r="A2090" s="12"/>
      <c r="B2090" s="10"/>
      <c r="C2090" s="15" t="str">
        <f aca="false">IF($B2090="","",IFERROR(INDEX(회원명부!$B$3:$B$502,MATCH($B2090,회원명부!$A$3:$A$502,0)),"미등록회원"))</f>
        <v/>
      </c>
      <c r="D2090" s="13"/>
      <c r="E2090" s="10"/>
      <c r="F2090" s="10"/>
      <c r="G2090" s="10"/>
    </row>
    <row r="2091" customFormat="false" ht="15" hidden="false" customHeight="true" outlineLevel="0" collapsed="false">
      <c r="A2091" s="12"/>
      <c r="B2091" s="10"/>
      <c r="C2091" s="15" t="str">
        <f aca="false">IF($B2091="","",IFERROR(INDEX(회원명부!$B$3:$B$502,MATCH($B2091,회원명부!$A$3:$A$502,0)),"미등록회원"))</f>
        <v/>
      </c>
      <c r="D2091" s="13"/>
      <c r="E2091" s="10"/>
      <c r="F2091" s="10"/>
      <c r="G2091" s="10"/>
    </row>
    <row r="2092" customFormat="false" ht="15" hidden="false" customHeight="true" outlineLevel="0" collapsed="false">
      <c r="A2092" s="12"/>
      <c r="B2092" s="10"/>
      <c r="C2092" s="15" t="str">
        <f aca="false">IF($B2092="","",IFERROR(INDEX(회원명부!$B$3:$B$502,MATCH($B2092,회원명부!$A$3:$A$502,0)),"미등록회원"))</f>
        <v/>
      </c>
      <c r="D2092" s="13"/>
      <c r="E2092" s="10"/>
      <c r="F2092" s="10"/>
      <c r="G2092" s="10"/>
    </row>
    <row r="2093" customFormat="false" ht="15" hidden="false" customHeight="true" outlineLevel="0" collapsed="false">
      <c r="A2093" s="12"/>
      <c r="B2093" s="10"/>
      <c r="C2093" s="15" t="str">
        <f aca="false">IF($B2093="","",IFERROR(INDEX(회원명부!$B$3:$B$502,MATCH($B2093,회원명부!$A$3:$A$502,0)),"미등록회원"))</f>
        <v/>
      </c>
      <c r="D2093" s="13"/>
      <c r="E2093" s="10"/>
      <c r="F2093" s="10"/>
      <c r="G2093" s="10"/>
    </row>
    <row r="2094" customFormat="false" ht="15" hidden="false" customHeight="true" outlineLevel="0" collapsed="false">
      <c r="A2094" s="12"/>
      <c r="B2094" s="10"/>
      <c r="C2094" s="15" t="str">
        <f aca="false">IF($B2094="","",IFERROR(INDEX(회원명부!$B$3:$B$502,MATCH($B2094,회원명부!$A$3:$A$502,0)),"미등록회원"))</f>
        <v/>
      </c>
      <c r="D2094" s="13"/>
      <c r="E2094" s="10"/>
      <c r="F2094" s="10"/>
      <c r="G2094" s="10"/>
    </row>
    <row r="2095" customFormat="false" ht="15" hidden="false" customHeight="true" outlineLevel="0" collapsed="false">
      <c r="A2095" s="12"/>
      <c r="B2095" s="10"/>
      <c r="C2095" s="15" t="str">
        <f aca="false">IF($B2095="","",IFERROR(INDEX(회원명부!$B$3:$B$502,MATCH($B2095,회원명부!$A$3:$A$502,0)),"미등록회원"))</f>
        <v/>
      </c>
      <c r="D2095" s="13"/>
      <c r="E2095" s="10"/>
      <c r="F2095" s="10"/>
      <c r="G2095" s="10"/>
    </row>
    <row r="2096" customFormat="false" ht="15" hidden="false" customHeight="true" outlineLevel="0" collapsed="false">
      <c r="A2096" s="12"/>
      <c r="B2096" s="10"/>
      <c r="C2096" s="15" t="str">
        <f aca="false">IF($B2096="","",IFERROR(INDEX(회원명부!$B$3:$B$502,MATCH($B2096,회원명부!$A$3:$A$502,0)),"미등록회원"))</f>
        <v/>
      </c>
      <c r="D2096" s="13"/>
      <c r="E2096" s="10"/>
      <c r="F2096" s="10"/>
      <c r="G2096" s="10"/>
    </row>
    <row r="2097" customFormat="false" ht="15" hidden="false" customHeight="true" outlineLevel="0" collapsed="false">
      <c r="A2097" s="12"/>
      <c r="B2097" s="10"/>
      <c r="C2097" s="15" t="str">
        <f aca="false">IF($B2097="","",IFERROR(INDEX(회원명부!$B$3:$B$502,MATCH($B2097,회원명부!$A$3:$A$502,0)),"미등록회원"))</f>
        <v/>
      </c>
      <c r="D2097" s="13"/>
      <c r="E2097" s="10"/>
      <c r="F2097" s="10"/>
      <c r="G2097" s="10"/>
    </row>
    <row r="2098" customFormat="false" ht="15" hidden="false" customHeight="true" outlineLevel="0" collapsed="false">
      <c r="A2098" s="12"/>
      <c r="B2098" s="10"/>
      <c r="C2098" s="15" t="str">
        <f aca="false">IF($B2098="","",IFERROR(INDEX(회원명부!$B$3:$B$502,MATCH($B2098,회원명부!$A$3:$A$502,0)),"미등록회원"))</f>
        <v/>
      </c>
      <c r="D2098" s="13"/>
      <c r="E2098" s="10"/>
      <c r="F2098" s="10"/>
      <c r="G2098" s="10"/>
    </row>
    <row r="2099" customFormat="false" ht="15" hidden="false" customHeight="true" outlineLevel="0" collapsed="false">
      <c r="A2099" s="12"/>
      <c r="B2099" s="10"/>
      <c r="C2099" s="15" t="str">
        <f aca="false">IF($B2099="","",IFERROR(INDEX(회원명부!$B$3:$B$502,MATCH($B2099,회원명부!$A$3:$A$502,0)),"미등록회원"))</f>
        <v/>
      </c>
      <c r="D2099" s="13"/>
      <c r="E2099" s="10"/>
      <c r="F2099" s="10"/>
      <c r="G2099" s="10"/>
    </row>
    <row r="2100" customFormat="false" ht="15" hidden="false" customHeight="true" outlineLevel="0" collapsed="false">
      <c r="A2100" s="12"/>
      <c r="B2100" s="10"/>
      <c r="C2100" s="15" t="str">
        <f aca="false">IF($B2100="","",IFERROR(INDEX(회원명부!$B$3:$B$502,MATCH($B2100,회원명부!$A$3:$A$502,0)),"미등록회원"))</f>
        <v/>
      </c>
      <c r="D2100" s="13"/>
      <c r="E2100" s="10"/>
      <c r="F2100" s="10"/>
      <c r="G2100" s="10"/>
    </row>
    <row r="2101" customFormat="false" ht="15" hidden="false" customHeight="true" outlineLevel="0" collapsed="false">
      <c r="A2101" s="12"/>
      <c r="B2101" s="10"/>
      <c r="C2101" s="15" t="str">
        <f aca="false">IF($B2101="","",IFERROR(INDEX(회원명부!$B$3:$B$502,MATCH($B2101,회원명부!$A$3:$A$502,0)),"미등록회원"))</f>
        <v/>
      </c>
      <c r="D2101" s="13"/>
      <c r="E2101" s="10"/>
      <c r="F2101" s="10"/>
      <c r="G2101" s="10"/>
    </row>
    <row r="2102" customFormat="false" ht="15" hidden="false" customHeight="true" outlineLevel="0" collapsed="false">
      <c r="A2102" s="12"/>
      <c r="B2102" s="10"/>
      <c r="C2102" s="15" t="str">
        <f aca="false">IF($B2102="","",IFERROR(INDEX(회원명부!$B$3:$B$502,MATCH($B2102,회원명부!$A$3:$A$502,0)),"미등록회원"))</f>
        <v/>
      </c>
      <c r="D2102" s="13"/>
      <c r="E2102" s="10"/>
      <c r="F2102" s="10"/>
      <c r="G2102" s="10"/>
    </row>
    <row r="2103" customFormat="false" ht="15" hidden="false" customHeight="true" outlineLevel="0" collapsed="false">
      <c r="A2103" s="12"/>
      <c r="B2103" s="10"/>
      <c r="C2103" s="15" t="str">
        <f aca="false">IF($B2103="","",IFERROR(INDEX(회원명부!$B$3:$B$502,MATCH($B2103,회원명부!$A$3:$A$502,0)),"미등록회원"))</f>
        <v/>
      </c>
      <c r="D2103" s="13"/>
      <c r="E2103" s="10"/>
      <c r="F2103" s="10"/>
      <c r="G2103" s="10"/>
    </row>
    <row r="2104" customFormat="false" ht="15" hidden="false" customHeight="true" outlineLevel="0" collapsed="false">
      <c r="A2104" s="12"/>
      <c r="B2104" s="10"/>
      <c r="C2104" s="15" t="str">
        <f aca="false">IF($B2104="","",IFERROR(INDEX(회원명부!$B$3:$B$502,MATCH($B2104,회원명부!$A$3:$A$502,0)),"미등록회원"))</f>
        <v/>
      </c>
      <c r="D2104" s="13"/>
      <c r="E2104" s="10"/>
      <c r="F2104" s="10"/>
      <c r="G2104" s="10"/>
    </row>
    <row r="2105" customFormat="false" ht="15" hidden="false" customHeight="true" outlineLevel="0" collapsed="false">
      <c r="A2105" s="12"/>
      <c r="B2105" s="10"/>
      <c r="C2105" s="15" t="str">
        <f aca="false">IF($B2105="","",IFERROR(INDEX(회원명부!$B$3:$B$502,MATCH($B2105,회원명부!$A$3:$A$502,0)),"미등록회원"))</f>
        <v/>
      </c>
      <c r="D2105" s="13"/>
      <c r="E2105" s="10"/>
      <c r="F2105" s="10"/>
      <c r="G2105" s="10"/>
    </row>
    <row r="2106" customFormat="false" ht="15" hidden="false" customHeight="true" outlineLevel="0" collapsed="false">
      <c r="A2106" s="12"/>
      <c r="B2106" s="10"/>
      <c r="C2106" s="15" t="str">
        <f aca="false">IF($B2106="","",IFERROR(INDEX(회원명부!$B$3:$B$502,MATCH($B2106,회원명부!$A$3:$A$502,0)),"미등록회원"))</f>
        <v/>
      </c>
      <c r="D2106" s="13"/>
      <c r="E2106" s="10"/>
      <c r="F2106" s="10"/>
      <c r="G2106" s="10"/>
    </row>
    <row r="2107" customFormat="false" ht="15" hidden="false" customHeight="true" outlineLevel="0" collapsed="false">
      <c r="A2107" s="12"/>
      <c r="B2107" s="10"/>
      <c r="C2107" s="15" t="str">
        <f aca="false">IF($B2107="","",IFERROR(INDEX(회원명부!$B$3:$B$502,MATCH($B2107,회원명부!$A$3:$A$502,0)),"미등록회원"))</f>
        <v/>
      </c>
      <c r="D2107" s="13"/>
      <c r="E2107" s="10"/>
      <c r="F2107" s="10"/>
      <c r="G2107" s="10"/>
    </row>
    <row r="2108" customFormat="false" ht="15" hidden="false" customHeight="true" outlineLevel="0" collapsed="false">
      <c r="A2108" s="12"/>
      <c r="B2108" s="10"/>
      <c r="C2108" s="15" t="str">
        <f aca="false">IF($B2108="","",IFERROR(INDEX(회원명부!$B$3:$B$502,MATCH($B2108,회원명부!$A$3:$A$502,0)),"미등록회원"))</f>
        <v/>
      </c>
      <c r="D2108" s="13"/>
      <c r="E2108" s="10"/>
      <c r="F2108" s="10"/>
      <c r="G2108" s="10"/>
    </row>
    <row r="2109" customFormat="false" ht="15" hidden="false" customHeight="true" outlineLevel="0" collapsed="false">
      <c r="A2109" s="12"/>
      <c r="B2109" s="10"/>
      <c r="C2109" s="15" t="str">
        <f aca="false">IF($B2109="","",IFERROR(INDEX(회원명부!$B$3:$B$502,MATCH($B2109,회원명부!$A$3:$A$502,0)),"미등록회원"))</f>
        <v/>
      </c>
      <c r="D2109" s="13"/>
      <c r="E2109" s="10"/>
      <c r="F2109" s="10"/>
      <c r="G2109" s="10"/>
    </row>
    <row r="2110" customFormat="false" ht="15" hidden="false" customHeight="true" outlineLevel="0" collapsed="false">
      <c r="A2110" s="12"/>
      <c r="B2110" s="10"/>
      <c r="C2110" s="15" t="str">
        <f aca="false">IF($B2110="","",IFERROR(INDEX(회원명부!$B$3:$B$502,MATCH($B2110,회원명부!$A$3:$A$502,0)),"미등록회원"))</f>
        <v/>
      </c>
      <c r="D2110" s="13"/>
      <c r="E2110" s="10"/>
      <c r="F2110" s="10"/>
      <c r="G2110" s="10"/>
    </row>
    <row r="2111" customFormat="false" ht="15" hidden="false" customHeight="true" outlineLevel="0" collapsed="false">
      <c r="A2111" s="12"/>
      <c r="B2111" s="10"/>
      <c r="C2111" s="15" t="str">
        <f aca="false">IF($B2111="","",IFERROR(INDEX(회원명부!$B$3:$B$502,MATCH($B2111,회원명부!$A$3:$A$502,0)),"미등록회원"))</f>
        <v/>
      </c>
      <c r="D2111" s="13"/>
      <c r="E2111" s="10"/>
      <c r="F2111" s="10"/>
      <c r="G2111" s="10"/>
    </row>
    <row r="2112" customFormat="false" ht="15" hidden="false" customHeight="true" outlineLevel="0" collapsed="false">
      <c r="A2112" s="12"/>
      <c r="B2112" s="10"/>
      <c r="C2112" s="15" t="str">
        <f aca="false">IF($B2112="","",IFERROR(INDEX(회원명부!$B$3:$B$502,MATCH($B2112,회원명부!$A$3:$A$502,0)),"미등록회원"))</f>
        <v/>
      </c>
      <c r="D2112" s="13"/>
      <c r="E2112" s="10"/>
      <c r="F2112" s="10"/>
      <c r="G2112" s="10"/>
    </row>
    <row r="2113" customFormat="false" ht="15" hidden="false" customHeight="true" outlineLevel="0" collapsed="false">
      <c r="A2113" s="12"/>
      <c r="B2113" s="10"/>
      <c r="C2113" s="15" t="str">
        <f aca="false">IF($B2113="","",IFERROR(INDEX(회원명부!$B$3:$B$502,MATCH($B2113,회원명부!$A$3:$A$502,0)),"미등록회원"))</f>
        <v/>
      </c>
      <c r="D2113" s="13"/>
      <c r="E2113" s="10"/>
      <c r="F2113" s="10"/>
      <c r="G2113" s="10"/>
    </row>
    <row r="2114" customFormat="false" ht="15" hidden="false" customHeight="true" outlineLevel="0" collapsed="false">
      <c r="A2114" s="12"/>
      <c r="B2114" s="10"/>
      <c r="C2114" s="15" t="str">
        <f aca="false">IF($B2114="","",IFERROR(INDEX(회원명부!$B$3:$B$502,MATCH($B2114,회원명부!$A$3:$A$502,0)),"미등록회원"))</f>
        <v/>
      </c>
      <c r="D2114" s="13"/>
      <c r="E2114" s="10"/>
      <c r="F2114" s="10"/>
      <c r="G2114" s="10"/>
    </row>
    <row r="2115" customFormat="false" ht="15" hidden="false" customHeight="true" outlineLevel="0" collapsed="false">
      <c r="A2115" s="12"/>
      <c r="B2115" s="10"/>
      <c r="C2115" s="15" t="str">
        <f aca="false">IF($B2115="","",IFERROR(INDEX(회원명부!$B$3:$B$502,MATCH($B2115,회원명부!$A$3:$A$502,0)),"미등록회원"))</f>
        <v/>
      </c>
      <c r="D2115" s="13"/>
      <c r="E2115" s="10"/>
      <c r="F2115" s="10"/>
      <c r="G2115" s="10"/>
    </row>
    <row r="2116" customFormat="false" ht="15" hidden="false" customHeight="true" outlineLevel="0" collapsed="false">
      <c r="A2116" s="12"/>
      <c r="B2116" s="10"/>
      <c r="C2116" s="15" t="str">
        <f aca="false">IF($B2116="","",IFERROR(INDEX(회원명부!$B$3:$B$502,MATCH($B2116,회원명부!$A$3:$A$502,0)),"미등록회원"))</f>
        <v/>
      </c>
      <c r="D2116" s="13"/>
      <c r="E2116" s="10"/>
      <c r="F2116" s="10"/>
      <c r="G2116" s="10"/>
    </row>
    <row r="2117" customFormat="false" ht="15" hidden="false" customHeight="true" outlineLevel="0" collapsed="false">
      <c r="A2117" s="12"/>
      <c r="B2117" s="10"/>
      <c r="C2117" s="15" t="str">
        <f aca="false">IF($B2117="","",IFERROR(INDEX(회원명부!$B$3:$B$502,MATCH($B2117,회원명부!$A$3:$A$502,0)),"미등록회원"))</f>
        <v/>
      </c>
      <c r="D2117" s="13"/>
      <c r="E2117" s="10"/>
      <c r="F2117" s="10"/>
      <c r="G2117" s="10"/>
    </row>
    <row r="2118" customFormat="false" ht="15" hidden="false" customHeight="true" outlineLevel="0" collapsed="false">
      <c r="A2118" s="12"/>
      <c r="B2118" s="10"/>
      <c r="C2118" s="15" t="str">
        <f aca="false">IF($B2118="","",IFERROR(INDEX(회원명부!$B$3:$B$502,MATCH($B2118,회원명부!$A$3:$A$502,0)),"미등록회원"))</f>
        <v/>
      </c>
      <c r="D2118" s="13"/>
      <c r="E2118" s="10"/>
      <c r="F2118" s="10"/>
      <c r="G2118" s="10"/>
    </row>
    <row r="2119" customFormat="false" ht="15" hidden="false" customHeight="true" outlineLevel="0" collapsed="false">
      <c r="A2119" s="12"/>
      <c r="B2119" s="10"/>
      <c r="C2119" s="15" t="str">
        <f aca="false">IF($B2119="","",IFERROR(INDEX(회원명부!$B$3:$B$502,MATCH($B2119,회원명부!$A$3:$A$502,0)),"미등록회원"))</f>
        <v/>
      </c>
      <c r="D2119" s="13"/>
      <c r="E2119" s="10"/>
      <c r="F2119" s="10"/>
      <c r="G2119" s="10"/>
    </row>
    <row r="2120" customFormat="false" ht="15" hidden="false" customHeight="true" outlineLevel="0" collapsed="false">
      <c r="A2120" s="12"/>
      <c r="B2120" s="10"/>
      <c r="C2120" s="15" t="str">
        <f aca="false">IF($B2120="","",IFERROR(INDEX(회원명부!$B$3:$B$502,MATCH($B2120,회원명부!$A$3:$A$502,0)),"미등록회원"))</f>
        <v/>
      </c>
      <c r="D2120" s="13"/>
      <c r="E2120" s="10"/>
      <c r="F2120" s="10"/>
      <c r="G2120" s="10"/>
    </row>
    <row r="2121" customFormat="false" ht="15" hidden="false" customHeight="true" outlineLevel="0" collapsed="false">
      <c r="A2121" s="12"/>
      <c r="B2121" s="10"/>
      <c r="C2121" s="15" t="str">
        <f aca="false">IF($B2121="","",IFERROR(INDEX(회원명부!$B$3:$B$502,MATCH($B2121,회원명부!$A$3:$A$502,0)),"미등록회원"))</f>
        <v/>
      </c>
      <c r="D2121" s="13"/>
      <c r="E2121" s="10"/>
      <c r="F2121" s="10"/>
      <c r="G2121" s="10"/>
    </row>
    <row r="2122" customFormat="false" ht="15" hidden="false" customHeight="true" outlineLevel="0" collapsed="false">
      <c r="A2122" s="12"/>
      <c r="B2122" s="10"/>
      <c r="C2122" s="15" t="str">
        <f aca="false">IF($B2122="","",IFERROR(INDEX(회원명부!$B$3:$B$502,MATCH($B2122,회원명부!$A$3:$A$502,0)),"미등록회원"))</f>
        <v/>
      </c>
      <c r="D2122" s="13"/>
      <c r="E2122" s="10"/>
      <c r="F2122" s="10"/>
      <c r="G2122" s="10"/>
    </row>
    <row r="2123" customFormat="false" ht="15" hidden="false" customHeight="true" outlineLevel="0" collapsed="false">
      <c r="A2123" s="12"/>
      <c r="B2123" s="10"/>
      <c r="C2123" s="15" t="str">
        <f aca="false">IF($B2123="","",IFERROR(INDEX(회원명부!$B$3:$B$502,MATCH($B2123,회원명부!$A$3:$A$502,0)),"미등록회원"))</f>
        <v/>
      </c>
      <c r="D2123" s="13"/>
      <c r="E2123" s="10"/>
      <c r="F2123" s="10"/>
      <c r="G2123" s="10"/>
    </row>
    <row r="2124" customFormat="false" ht="15" hidden="false" customHeight="true" outlineLevel="0" collapsed="false">
      <c r="A2124" s="12"/>
      <c r="B2124" s="10"/>
      <c r="C2124" s="15" t="str">
        <f aca="false">IF($B2124="","",IFERROR(INDEX(회원명부!$B$3:$B$502,MATCH($B2124,회원명부!$A$3:$A$502,0)),"미등록회원"))</f>
        <v/>
      </c>
      <c r="D2124" s="13"/>
      <c r="E2124" s="10"/>
      <c r="F2124" s="10"/>
      <c r="G2124" s="10"/>
    </row>
    <row r="2125" customFormat="false" ht="15" hidden="false" customHeight="true" outlineLevel="0" collapsed="false">
      <c r="A2125" s="12"/>
      <c r="B2125" s="10"/>
      <c r="C2125" s="15" t="str">
        <f aca="false">IF($B2125="","",IFERROR(INDEX(회원명부!$B$3:$B$502,MATCH($B2125,회원명부!$A$3:$A$502,0)),"미등록회원"))</f>
        <v/>
      </c>
      <c r="D2125" s="13"/>
      <c r="E2125" s="10"/>
      <c r="F2125" s="10"/>
      <c r="G2125" s="10"/>
    </row>
    <row r="2126" customFormat="false" ht="15" hidden="false" customHeight="true" outlineLevel="0" collapsed="false">
      <c r="A2126" s="12"/>
      <c r="B2126" s="10"/>
      <c r="C2126" s="15" t="str">
        <f aca="false">IF($B2126="","",IFERROR(INDEX(회원명부!$B$3:$B$502,MATCH($B2126,회원명부!$A$3:$A$502,0)),"미등록회원"))</f>
        <v/>
      </c>
      <c r="D2126" s="13"/>
      <c r="E2126" s="10"/>
      <c r="F2126" s="10"/>
      <c r="G2126" s="10"/>
    </row>
    <row r="2127" customFormat="false" ht="15" hidden="false" customHeight="true" outlineLevel="0" collapsed="false">
      <c r="A2127" s="12"/>
      <c r="B2127" s="10"/>
      <c r="C2127" s="15" t="str">
        <f aca="false">IF($B2127="","",IFERROR(INDEX(회원명부!$B$3:$B$502,MATCH($B2127,회원명부!$A$3:$A$502,0)),"미등록회원"))</f>
        <v/>
      </c>
      <c r="D2127" s="13"/>
      <c r="E2127" s="10"/>
      <c r="F2127" s="10"/>
      <c r="G2127" s="10"/>
    </row>
    <row r="2128" customFormat="false" ht="15" hidden="false" customHeight="true" outlineLevel="0" collapsed="false">
      <c r="A2128" s="12"/>
      <c r="B2128" s="10"/>
      <c r="C2128" s="15" t="str">
        <f aca="false">IF($B2128="","",IFERROR(INDEX(회원명부!$B$3:$B$502,MATCH($B2128,회원명부!$A$3:$A$502,0)),"미등록회원"))</f>
        <v/>
      </c>
      <c r="D2128" s="13"/>
      <c r="E2128" s="10"/>
      <c r="F2128" s="10"/>
      <c r="G2128" s="10"/>
    </row>
    <row r="2129" customFormat="false" ht="15" hidden="false" customHeight="true" outlineLevel="0" collapsed="false">
      <c r="A2129" s="12"/>
      <c r="B2129" s="10"/>
      <c r="C2129" s="15" t="str">
        <f aca="false">IF($B2129="","",IFERROR(INDEX(회원명부!$B$3:$B$502,MATCH($B2129,회원명부!$A$3:$A$502,0)),"미등록회원"))</f>
        <v/>
      </c>
      <c r="D2129" s="13"/>
      <c r="E2129" s="10"/>
      <c r="F2129" s="10"/>
      <c r="G2129" s="10"/>
    </row>
    <row r="2130" customFormat="false" ht="15" hidden="false" customHeight="true" outlineLevel="0" collapsed="false">
      <c r="A2130" s="12"/>
      <c r="B2130" s="10"/>
      <c r="C2130" s="15" t="str">
        <f aca="false">IF($B2130="","",IFERROR(INDEX(회원명부!$B$3:$B$502,MATCH($B2130,회원명부!$A$3:$A$502,0)),"미등록회원"))</f>
        <v/>
      </c>
      <c r="D2130" s="13"/>
      <c r="E2130" s="10"/>
      <c r="F2130" s="10"/>
      <c r="G2130" s="10"/>
    </row>
    <row r="2131" customFormat="false" ht="15" hidden="false" customHeight="true" outlineLevel="0" collapsed="false">
      <c r="A2131" s="12"/>
      <c r="B2131" s="10"/>
      <c r="C2131" s="15" t="str">
        <f aca="false">IF($B2131="","",IFERROR(INDEX(회원명부!$B$3:$B$502,MATCH($B2131,회원명부!$A$3:$A$502,0)),"미등록회원"))</f>
        <v/>
      </c>
      <c r="D2131" s="13"/>
      <c r="E2131" s="10"/>
      <c r="F2131" s="10"/>
      <c r="G2131" s="10"/>
    </row>
    <row r="2132" customFormat="false" ht="15" hidden="false" customHeight="true" outlineLevel="0" collapsed="false">
      <c r="A2132" s="12"/>
      <c r="B2132" s="10"/>
      <c r="C2132" s="15" t="str">
        <f aca="false">IF($B2132="","",IFERROR(INDEX(회원명부!$B$3:$B$502,MATCH($B2132,회원명부!$A$3:$A$502,0)),"미등록회원"))</f>
        <v/>
      </c>
      <c r="D2132" s="13"/>
      <c r="E2132" s="10"/>
      <c r="F2132" s="10"/>
      <c r="G2132" s="10"/>
    </row>
    <row r="2133" customFormat="false" ht="15" hidden="false" customHeight="true" outlineLevel="0" collapsed="false">
      <c r="A2133" s="12"/>
      <c r="B2133" s="10"/>
      <c r="C2133" s="15" t="str">
        <f aca="false">IF($B2133="","",IFERROR(INDEX(회원명부!$B$3:$B$502,MATCH($B2133,회원명부!$A$3:$A$502,0)),"미등록회원"))</f>
        <v/>
      </c>
      <c r="D2133" s="13"/>
      <c r="E2133" s="10"/>
      <c r="F2133" s="10"/>
      <c r="G2133" s="10"/>
    </row>
    <row r="2134" customFormat="false" ht="15" hidden="false" customHeight="true" outlineLevel="0" collapsed="false">
      <c r="A2134" s="12"/>
      <c r="B2134" s="10"/>
      <c r="C2134" s="15" t="str">
        <f aca="false">IF($B2134="","",IFERROR(INDEX(회원명부!$B$3:$B$502,MATCH($B2134,회원명부!$A$3:$A$502,0)),"미등록회원"))</f>
        <v/>
      </c>
      <c r="D2134" s="13"/>
      <c r="E2134" s="10"/>
      <c r="F2134" s="10"/>
      <c r="G2134" s="10"/>
    </row>
    <row r="2135" customFormat="false" ht="15" hidden="false" customHeight="true" outlineLevel="0" collapsed="false">
      <c r="A2135" s="12"/>
      <c r="B2135" s="10"/>
      <c r="C2135" s="15" t="str">
        <f aca="false">IF($B2135="","",IFERROR(INDEX(회원명부!$B$3:$B$502,MATCH($B2135,회원명부!$A$3:$A$502,0)),"미등록회원"))</f>
        <v/>
      </c>
      <c r="D2135" s="13"/>
      <c r="E2135" s="10"/>
      <c r="F2135" s="10"/>
      <c r="G2135" s="10"/>
    </row>
    <row r="2136" customFormat="false" ht="15" hidden="false" customHeight="true" outlineLevel="0" collapsed="false">
      <c r="A2136" s="12"/>
      <c r="B2136" s="10"/>
      <c r="C2136" s="15" t="str">
        <f aca="false">IF($B2136="","",IFERROR(INDEX(회원명부!$B$3:$B$502,MATCH($B2136,회원명부!$A$3:$A$502,0)),"미등록회원"))</f>
        <v/>
      </c>
      <c r="D2136" s="13"/>
      <c r="E2136" s="10"/>
      <c r="F2136" s="10"/>
      <c r="G2136" s="10"/>
    </row>
    <row r="2137" customFormat="false" ht="15" hidden="false" customHeight="true" outlineLevel="0" collapsed="false">
      <c r="A2137" s="12"/>
      <c r="B2137" s="10"/>
      <c r="C2137" s="15" t="str">
        <f aca="false">IF($B2137="","",IFERROR(INDEX(회원명부!$B$3:$B$502,MATCH($B2137,회원명부!$A$3:$A$502,0)),"미등록회원"))</f>
        <v/>
      </c>
      <c r="D2137" s="13"/>
      <c r="E2137" s="10"/>
      <c r="F2137" s="10"/>
      <c r="G2137" s="10"/>
    </row>
    <row r="2138" customFormat="false" ht="15" hidden="false" customHeight="true" outlineLevel="0" collapsed="false">
      <c r="A2138" s="12"/>
      <c r="B2138" s="10"/>
      <c r="C2138" s="15" t="str">
        <f aca="false">IF($B2138="","",IFERROR(INDEX(회원명부!$B$3:$B$502,MATCH($B2138,회원명부!$A$3:$A$502,0)),"미등록회원"))</f>
        <v/>
      </c>
      <c r="D2138" s="13"/>
      <c r="E2138" s="10"/>
      <c r="F2138" s="10"/>
      <c r="G2138" s="10"/>
    </row>
    <row r="2139" customFormat="false" ht="15" hidden="false" customHeight="true" outlineLevel="0" collapsed="false">
      <c r="A2139" s="12"/>
      <c r="B2139" s="10"/>
      <c r="C2139" s="15" t="str">
        <f aca="false">IF($B2139="","",IFERROR(INDEX(회원명부!$B$3:$B$502,MATCH($B2139,회원명부!$A$3:$A$502,0)),"미등록회원"))</f>
        <v/>
      </c>
      <c r="D2139" s="13"/>
      <c r="E2139" s="10"/>
      <c r="F2139" s="10"/>
      <c r="G2139" s="10"/>
    </row>
    <row r="2140" customFormat="false" ht="15" hidden="false" customHeight="true" outlineLevel="0" collapsed="false">
      <c r="A2140" s="12"/>
      <c r="B2140" s="10"/>
      <c r="C2140" s="15" t="str">
        <f aca="false">IF($B2140="","",IFERROR(INDEX(회원명부!$B$3:$B$502,MATCH($B2140,회원명부!$A$3:$A$502,0)),"미등록회원"))</f>
        <v/>
      </c>
      <c r="D2140" s="13"/>
      <c r="E2140" s="10"/>
      <c r="F2140" s="10"/>
      <c r="G2140" s="10"/>
    </row>
    <row r="2141" customFormat="false" ht="15" hidden="false" customHeight="true" outlineLevel="0" collapsed="false">
      <c r="A2141" s="12"/>
      <c r="B2141" s="10"/>
      <c r="C2141" s="15" t="str">
        <f aca="false">IF($B2141="","",IFERROR(INDEX(회원명부!$B$3:$B$502,MATCH($B2141,회원명부!$A$3:$A$502,0)),"미등록회원"))</f>
        <v/>
      </c>
      <c r="D2141" s="13"/>
      <c r="E2141" s="10"/>
      <c r="F2141" s="10"/>
      <c r="G2141" s="10"/>
    </row>
    <row r="2142" customFormat="false" ht="15" hidden="false" customHeight="true" outlineLevel="0" collapsed="false">
      <c r="A2142" s="12"/>
      <c r="B2142" s="10"/>
      <c r="C2142" s="15" t="str">
        <f aca="false">IF($B2142="","",IFERROR(INDEX(회원명부!$B$3:$B$502,MATCH($B2142,회원명부!$A$3:$A$502,0)),"미등록회원"))</f>
        <v/>
      </c>
      <c r="D2142" s="13"/>
      <c r="E2142" s="10"/>
      <c r="F2142" s="10"/>
      <c r="G2142" s="10"/>
    </row>
    <row r="2143" customFormat="false" ht="15" hidden="false" customHeight="true" outlineLevel="0" collapsed="false">
      <c r="A2143" s="12"/>
      <c r="B2143" s="10"/>
      <c r="C2143" s="15" t="str">
        <f aca="false">IF($B2143="","",IFERROR(INDEX(회원명부!$B$3:$B$502,MATCH($B2143,회원명부!$A$3:$A$502,0)),"미등록회원"))</f>
        <v/>
      </c>
      <c r="D2143" s="13"/>
      <c r="E2143" s="10"/>
      <c r="F2143" s="10"/>
      <c r="G2143" s="10"/>
    </row>
    <row r="2144" customFormat="false" ht="15" hidden="false" customHeight="true" outlineLevel="0" collapsed="false">
      <c r="A2144" s="12"/>
      <c r="B2144" s="10"/>
      <c r="C2144" s="15" t="str">
        <f aca="false">IF($B2144="","",IFERROR(INDEX(회원명부!$B$3:$B$502,MATCH($B2144,회원명부!$A$3:$A$502,0)),"미등록회원"))</f>
        <v/>
      </c>
      <c r="D2144" s="13"/>
      <c r="E2144" s="10"/>
      <c r="F2144" s="10"/>
      <c r="G2144" s="10"/>
    </row>
    <row r="2145" customFormat="false" ht="15" hidden="false" customHeight="true" outlineLevel="0" collapsed="false">
      <c r="A2145" s="12"/>
      <c r="B2145" s="10"/>
      <c r="C2145" s="15" t="str">
        <f aca="false">IF($B2145="","",IFERROR(INDEX(회원명부!$B$3:$B$502,MATCH($B2145,회원명부!$A$3:$A$502,0)),"미등록회원"))</f>
        <v/>
      </c>
      <c r="D2145" s="13"/>
      <c r="E2145" s="10"/>
      <c r="F2145" s="10"/>
      <c r="G2145" s="10"/>
    </row>
    <row r="2146" customFormat="false" ht="15" hidden="false" customHeight="true" outlineLevel="0" collapsed="false">
      <c r="A2146" s="12"/>
      <c r="B2146" s="10"/>
      <c r="C2146" s="15" t="str">
        <f aca="false">IF($B2146="","",IFERROR(INDEX(회원명부!$B$3:$B$502,MATCH($B2146,회원명부!$A$3:$A$502,0)),"미등록회원"))</f>
        <v/>
      </c>
      <c r="D2146" s="13"/>
      <c r="E2146" s="10"/>
      <c r="F2146" s="10"/>
      <c r="G2146" s="10"/>
    </row>
    <row r="2147" customFormat="false" ht="15" hidden="false" customHeight="true" outlineLevel="0" collapsed="false">
      <c r="A2147" s="12"/>
      <c r="B2147" s="10"/>
      <c r="C2147" s="15" t="str">
        <f aca="false">IF($B2147="","",IFERROR(INDEX(회원명부!$B$3:$B$502,MATCH($B2147,회원명부!$A$3:$A$502,0)),"미등록회원"))</f>
        <v/>
      </c>
      <c r="D2147" s="13"/>
      <c r="E2147" s="10"/>
      <c r="F2147" s="10"/>
      <c r="G2147" s="10"/>
    </row>
    <row r="2148" customFormat="false" ht="15" hidden="false" customHeight="true" outlineLevel="0" collapsed="false">
      <c r="A2148" s="12"/>
      <c r="B2148" s="10"/>
      <c r="C2148" s="15" t="str">
        <f aca="false">IF($B2148="","",IFERROR(INDEX(회원명부!$B$3:$B$502,MATCH($B2148,회원명부!$A$3:$A$502,0)),"미등록회원"))</f>
        <v/>
      </c>
      <c r="D2148" s="13"/>
      <c r="E2148" s="10"/>
      <c r="F2148" s="10"/>
      <c r="G2148" s="10"/>
    </row>
    <row r="2149" customFormat="false" ht="15" hidden="false" customHeight="true" outlineLevel="0" collapsed="false">
      <c r="A2149" s="12"/>
      <c r="B2149" s="10"/>
      <c r="C2149" s="15" t="str">
        <f aca="false">IF($B2149="","",IFERROR(INDEX(회원명부!$B$3:$B$502,MATCH($B2149,회원명부!$A$3:$A$502,0)),"미등록회원"))</f>
        <v/>
      </c>
      <c r="D2149" s="13"/>
      <c r="E2149" s="10"/>
      <c r="F2149" s="10"/>
      <c r="G2149" s="10"/>
    </row>
    <row r="2150" customFormat="false" ht="15" hidden="false" customHeight="true" outlineLevel="0" collapsed="false">
      <c r="A2150" s="12"/>
      <c r="B2150" s="10"/>
      <c r="C2150" s="15" t="str">
        <f aca="false">IF($B2150="","",IFERROR(INDEX(회원명부!$B$3:$B$502,MATCH($B2150,회원명부!$A$3:$A$502,0)),"미등록회원"))</f>
        <v/>
      </c>
      <c r="D2150" s="13"/>
      <c r="E2150" s="10"/>
      <c r="F2150" s="10"/>
      <c r="G2150" s="10"/>
    </row>
    <row r="2151" customFormat="false" ht="15" hidden="false" customHeight="true" outlineLevel="0" collapsed="false">
      <c r="A2151" s="12"/>
      <c r="B2151" s="10"/>
      <c r="C2151" s="15" t="str">
        <f aca="false">IF($B2151="","",IFERROR(INDEX(회원명부!$B$3:$B$502,MATCH($B2151,회원명부!$A$3:$A$502,0)),"미등록회원"))</f>
        <v/>
      </c>
      <c r="D2151" s="13"/>
      <c r="E2151" s="10"/>
      <c r="F2151" s="10"/>
      <c r="G2151" s="10"/>
    </row>
    <row r="2152" customFormat="false" ht="15" hidden="false" customHeight="true" outlineLevel="0" collapsed="false">
      <c r="A2152" s="12"/>
      <c r="B2152" s="10"/>
      <c r="C2152" s="15" t="str">
        <f aca="false">IF($B2152="","",IFERROR(INDEX(회원명부!$B$3:$B$502,MATCH($B2152,회원명부!$A$3:$A$502,0)),"미등록회원"))</f>
        <v/>
      </c>
      <c r="D2152" s="13"/>
      <c r="E2152" s="10"/>
      <c r="F2152" s="10"/>
      <c r="G2152" s="10"/>
    </row>
    <row r="2153" customFormat="false" ht="15" hidden="false" customHeight="true" outlineLevel="0" collapsed="false">
      <c r="A2153" s="12"/>
      <c r="B2153" s="10"/>
      <c r="C2153" s="15" t="str">
        <f aca="false">IF($B2153="","",IFERROR(INDEX(회원명부!$B$3:$B$502,MATCH($B2153,회원명부!$A$3:$A$502,0)),"미등록회원"))</f>
        <v/>
      </c>
      <c r="D2153" s="13"/>
      <c r="E2153" s="10"/>
      <c r="F2153" s="10"/>
      <c r="G2153" s="10"/>
    </row>
    <row r="2154" customFormat="false" ht="15" hidden="false" customHeight="true" outlineLevel="0" collapsed="false">
      <c r="A2154" s="12"/>
      <c r="B2154" s="10"/>
      <c r="C2154" s="15" t="str">
        <f aca="false">IF($B2154="","",IFERROR(INDEX(회원명부!$B$3:$B$502,MATCH($B2154,회원명부!$A$3:$A$502,0)),"미등록회원"))</f>
        <v/>
      </c>
      <c r="D2154" s="13"/>
      <c r="E2154" s="10"/>
      <c r="F2154" s="10"/>
      <c r="G2154" s="10"/>
    </row>
    <row r="2155" customFormat="false" ht="15" hidden="false" customHeight="true" outlineLevel="0" collapsed="false">
      <c r="A2155" s="12"/>
      <c r="B2155" s="10"/>
      <c r="C2155" s="15" t="str">
        <f aca="false">IF($B2155="","",IFERROR(INDEX(회원명부!$B$3:$B$502,MATCH($B2155,회원명부!$A$3:$A$502,0)),"미등록회원"))</f>
        <v/>
      </c>
      <c r="D2155" s="13"/>
      <c r="E2155" s="10"/>
      <c r="F2155" s="10"/>
      <c r="G2155" s="10"/>
    </row>
    <row r="2156" customFormat="false" ht="15" hidden="false" customHeight="true" outlineLevel="0" collapsed="false">
      <c r="A2156" s="12"/>
      <c r="B2156" s="10"/>
      <c r="C2156" s="15" t="str">
        <f aca="false">IF($B2156="","",IFERROR(INDEX(회원명부!$B$3:$B$502,MATCH($B2156,회원명부!$A$3:$A$502,0)),"미등록회원"))</f>
        <v/>
      </c>
      <c r="D2156" s="13"/>
      <c r="E2156" s="10"/>
      <c r="F2156" s="10"/>
      <c r="G2156" s="10"/>
    </row>
    <row r="2157" customFormat="false" ht="15" hidden="false" customHeight="true" outlineLevel="0" collapsed="false">
      <c r="A2157" s="12"/>
      <c r="B2157" s="10"/>
      <c r="C2157" s="15" t="str">
        <f aca="false">IF($B2157="","",IFERROR(INDEX(회원명부!$B$3:$B$502,MATCH($B2157,회원명부!$A$3:$A$502,0)),"미등록회원"))</f>
        <v/>
      </c>
      <c r="D2157" s="13"/>
      <c r="E2157" s="10"/>
      <c r="F2157" s="10"/>
      <c r="G2157" s="10"/>
    </row>
    <row r="2158" customFormat="false" ht="15" hidden="false" customHeight="true" outlineLevel="0" collapsed="false">
      <c r="A2158" s="12"/>
      <c r="B2158" s="10"/>
      <c r="C2158" s="15" t="str">
        <f aca="false">IF($B2158="","",IFERROR(INDEX(회원명부!$B$3:$B$502,MATCH($B2158,회원명부!$A$3:$A$502,0)),"미등록회원"))</f>
        <v/>
      </c>
      <c r="D2158" s="13"/>
      <c r="E2158" s="10"/>
      <c r="F2158" s="10"/>
      <c r="G2158" s="10"/>
    </row>
    <row r="2159" customFormat="false" ht="15" hidden="false" customHeight="true" outlineLevel="0" collapsed="false">
      <c r="A2159" s="12"/>
      <c r="B2159" s="10"/>
      <c r="C2159" s="15" t="str">
        <f aca="false">IF($B2159="","",IFERROR(INDEX(회원명부!$B$3:$B$502,MATCH($B2159,회원명부!$A$3:$A$502,0)),"미등록회원"))</f>
        <v/>
      </c>
      <c r="D2159" s="13"/>
      <c r="E2159" s="10"/>
      <c r="F2159" s="10"/>
      <c r="G2159" s="10"/>
    </row>
    <row r="2160" customFormat="false" ht="15" hidden="false" customHeight="true" outlineLevel="0" collapsed="false">
      <c r="A2160" s="12"/>
      <c r="B2160" s="10"/>
      <c r="C2160" s="15" t="str">
        <f aca="false">IF($B2160="","",IFERROR(INDEX(회원명부!$B$3:$B$502,MATCH($B2160,회원명부!$A$3:$A$502,0)),"미등록회원"))</f>
        <v/>
      </c>
      <c r="D2160" s="13"/>
      <c r="E2160" s="10"/>
      <c r="F2160" s="10"/>
      <c r="G2160" s="10"/>
    </row>
    <row r="2161" customFormat="false" ht="15" hidden="false" customHeight="true" outlineLevel="0" collapsed="false">
      <c r="A2161" s="12"/>
      <c r="B2161" s="10"/>
      <c r="C2161" s="15" t="str">
        <f aca="false">IF($B2161="","",IFERROR(INDEX(회원명부!$B$3:$B$502,MATCH($B2161,회원명부!$A$3:$A$502,0)),"미등록회원"))</f>
        <v/>
      </c>
      <c r="D2161" s="13"/>
      <c r="E2161" s="10"/>
      <c r="F2161" s="10"/>
      <c r="G2161" s="10"/>
    </row>
    <row r="2162" customFormat="false" ht="15" hidden="false" customHeight="true" outlineLevel="0" collapsed="false">
      <c r="A2162" s="12"/>
      <c r="B2162" s="10"/>
      <c r="C2162" s="15" t="str">
        <f aca="false">IF($B2162="","",IFERROR(INDEX(회원명부!$B$3:$B$502,MATCH($B2162,회원명부!$A$3:$A$502,0)),"미등록회원"))</f>
        <v/>
      </c>
      <c r="D2162" s="13"/>
      <c r="E2162" s="10"/>
      <c r="F2162" s="10"/>
      <c r="G2162" s="10"/>
    </row>
    <row r="2163" customFormat="false" ht="15" hidden="false" customHeight="true" outlineLevel="0" collapsed="false">
      <c r="A2163" s="12"/>
      <c r="B2163" s="10"/>
      <c r="C2163" s="15" t="str">
        <f aca="false">IF($B2163="","",IFERROR(INDEX(회원명부!$B$3:$B$502,MATCH($B2163,회원명부!$A$3:$A$502,0)),"미등록회원"))</f>
        <v/>
      </c>
      <c r="D2163" s="13"/>
      <c r="E2163" s="10"/>
      <c r="F2163" s="10"/>
      <c r="G2163" s="10"/>
    </row>
    <row r="2164" customFormat="false" ht="15" hidden="false" customHeight="true" outlineLevel="0" collapsed="false">
      <c r="A2164" s="12"/>
      <c r="B2164" s="10"/>
      <c r="C2164" s="15" t="str">
        <f aca="false">IF($B2164="","",IFERROR(INDEX(회원명부!$B$3:$B$502,MATCH($B2164,회원명부!$A$3:$A$502,0)),"미등록회원"))</f>
        <v/>
      </c>
      <c r="D2164" s="13"/>
      <c r="E2164" s="10"/>
      <c r="F2164" s="10"/>
      <c r="G2164" s="10"/>
    </row>
    <row r="2165" customFormat="false" ht="15" hidden="false" customHeight="true" outlineLevel="0" collapsed="false">
      <c r="A2165" s="12"/>
      <c r="B2165" s="10"/>
      <c r="C2165" s="15" t="str">
        <f aca="false">IF($B2165="","",IFERROR(INDEX(회원명부!$B$3:$B$502,MATCH($B2165,회원명부!$A$3:$A$502,0)),"미등록회원"))</f>
        <v/>
      </c>
      <c r="D2165" s="13"/>
      <c r="E2165" s="10"/>
      <c r="F2165" s="10"/>
      <c r="G2165" s="10"/>
    </row>
    <row r="2166" customFormat="false" ht="15" hidden="false" customHeight="true" outlineLevel="0" collapsed="false">
      <c r="A2166" s="12"/>
      <c r="B2166" s="10"/>
      <c r="C2166" s="15" t="str">
        <f aca="false">IF($B2166="","",IFERROR(INDEX(회원명부!$B$3:$B$502,MATCH($B2166,회원명부!$A$3:$A$502,0)),"미등록회원"))</f>
        <v/>
      </c>
      <c r="D2166" s="13"/>
      <c r="E2166" s="10"/>
      <c r="F2166" s="10"/>
      <c r="G2166" s="10"/>
    </row>
    <row r="2167" customFormat="false" ht="15" hidden="false" customHeight="true" outlineLevel="0" collapsed="false">
      <c r="A2167" s="12"/>
      <c r="B2167" s="10"/>
      <c r="C2167" s="15" t="str">
        <f aca="false">IF($B2167="","",IFERROR(INDEX(회원명부!$B$3:$B$502,MATCH($B2167,회원명부!$A$3:$A$502,0)),"미등록회원"))</f>
        <v/>
      </c>
      <c r="D2167" s="13"/>
      <c r="E2167" s="10"/>
      <c r="F2167" s="10"/>
      <c r="G2167" s="10"/>
    </row>
    <row r="2168" customFormat="false" ht="15" hidden="false" customHeight="true" outlineLevel="0" collapsed="false">
      <c r="A2168" s="12"/>
      <c r="B2168" s="10"/>
      <c r="C2168" s="15" t="str">
        <f aca="false">IF($B2168="","",IFERROR(INDEX(회원명부!$B$3:$B$502,MATCH($B2168,회원명부!$A$3:$A$502,0)),"미등록회원"))</f>
        <v/>
      </c>
      <c r="D2168" s="13"/>
      <c r="E2168" s="10"/>
      <c r="F2168" s="10"/>
      <c r="G2168" s="10"/>
    </row>
    <row r="2169" customFormat="false" ht="15" hidden="false" customHeight="true" outlineLevel="0" collapsed="false">
      <c r="A2169" s="12"/>
      <c r="B2169" s="10"/>
      <c r="C2169" s="15" t="str">
        <f aca="false">IF($B2169="","",IFERROR(INDEX(회원명부!$B$3:$B$502,MATCH($B2169,회원명부!$A$3:$A$502,0)),"미등록회원"))</f>
        <v/>
      </c>
      <c r="D2169" s="13"/>
      <c r="E2169" s="10"/>
      <c r="F2169" s="10"/>
      <c r="G2169" s="10"/>
    </row>
    <row r="2170" customFormat="false" ht="15" hidden="false" customHeight="true" outlineLevel="0" collapsed="false">
      <c r="A2170" s="12"/>
      <c r="B2170" s="10"/>
      <c r="C2170" s="15" t="str">
        <f aca="false">IF($B2170="","",IFERROR(INDEX(회원명부!$B$3:$B$502,MATCH($B2170,회원명부!$A$3:$A$502,0)),"미등록회원"))</f>
        <v/>
      </c>
      <c r="D2170" s="13"/>
      <c r="E2170" s="10"/>
      <c r="F2170" s="10"/>
      <c r="G2170" s="10"/>
    </row>
    <row r="2171" customFormat="false" ht="15" hidden="false" customHeight="true" outlineLevel="0" collapsed="false">
      <c r="A2171" s="12"/>
      <c r="B2171" s="10"/>
      <c r="C2171" s="15" t="str">
        <f aca="false">IF($B2171="","",IFERROR(INDEX(회원명부!$B$3:$B$502,MATCH($B2171,회원명부!$A$3:$A$502,0)),"미등록회원"))</f>
        <v/>
      </c>
      <c r="D2171" s="13"/>
      <c r="E2171" s="10"/>
      <c r="F2171" s="10"/>
      <c r="G2171" s="10"/>
    </row>
    <row r="2172" customFormat="false" ht="15" hidden="false" customHeight="true" outlineLevel="0" collapsed="false">
      <c r="A2172" s="12"/>
      <c r="B2172" s="10"/>
      <c r="C2172" s="15" t="str">
        <f aca="false">IF($B2172="","",IFERROR(INDEX(회원명부!$B$3:$B$502,MATCH($B2172,회원명부!$A$3:$A$502,0)),"미등록회원"))</f>
        <v/>
      </c>
      <c r="D2172" s="13"/>
      <c r="E2172" s="10"/>
      <c r="F2172" s="10"/>
      <c r="G2172" s="10"/>
    </row>
    <row r="2173" customFormat="false" ht="15" hidden="false" customHeight="true" outlineLevel="0" collapsed="false">
      <c r="A2173" s="12"/>
      <c r="B2173" s="10"/>
      <c r="C2173" s="15" t="str">
        <f aca="false">IF($B2173="","",IFERROR(INDEX(회원명부!$B$3:$B$502,MATCH($B2173,회원명부!$A$3:$A$502,0)),"미등록회원"))</f>
        <v/>
      </c>
      <c r="D2173" s="13"/>
      <c r="E2173" s="10"/>
      <c r="F2173" s="10"/>
      <c r="G2173" s="10"/>
    </row>
    <row r="2174" customFormat="false" ht="15" hidden="false" customHeight="true" outlineLevel="0" collapsed="false">
      <c r="A2174" s="12"/>
      <c r="B2174" s="10"/>
      <c r="C2174" s="15" t="str">
        <f aca="false">IF($B2174="","",IFERROR(INDEX(회원명부!$B$3:$B$502,MATCH($B2174,회원명부!$A$3:$A$502,0)),"미등록회원"))</f>
        <v/>
      </c>
      <c r="D2174" s="13"/>
      <c r="E2174" s="10"/>
      <c r="F2174" s="10"/>
      <c r="G2174" s="10"/>
    </row>
    <row r="2175" customFormat="false" ht="15" hidden="false" customHeight="true" outlineLevel="0" collapsed="false">
      <c r="A2175" s="12"/>
      <c r="B2175" s="10"/>
      <c r="C2175" s="15" t="str">
        <f aca="false">IF($B2175="","",IFERROR(INDEX(회원명부!$B$3:$B$502,MATCH($B2175,회원명부!$A$3:$A$502,0)),"미등록회원"))</f>
        <v/>
      </c>
      <c r="D2175" s="13"/>
      <c r="E2175" s="10"/>
      <c r="F2175" s="10"/>
      <c r="G2175" s="10"/>
    </row>
    <row r="2176" customFormat="false" ht="15" hidden="false" customHeight="true" outlineLevel="0" collapsed="false">
      <c r="A2176" s="12"/>
      <c r="B2176" s="10"/>
      <c r="C2176" s="15" t="str">
        <f aca="false">IF($B2176="","",IFERROR(INDEX(회원명부!$B$3:$B$502,MATCH($B2176,회원명부!$A$3:$A$502,0)),"미등록회원"))</f>
        <v/>
      </c>
      <c r="D2176" s="13"/>
      <c r="E2176" s="10"/>
      <c r="F2176" s="10"/>
      <c r="G2176" s="10"/>
    </row>
    <row r="2177" customFormat="false" ht="15" hidden="false" customHeight="true" outlineLevel="0" collapsed="false">
      <c r="A2177" s="12"/>
      <c r="B2177" s="10"/>
      <c r="C2177" s="15" t="str">
        <f aca="false">IF($B2177="","",IFERROR(INDEX(회원명부!$B$3:$B$502,MATCH($B2177,회원명부!$A$3:$A$502,0)),"미등록회원"))</f>
        <v/>
      </c>
      <c r="D2177" s="13"/>
      <c r="E2177" s="10"/>
      <c r="F2177" s="10"/>
      <c r="G2177" s="10"/>
    </row>
    <row r="2178" customFormat="false" ht="15" hidden="false" customHeight="true" outlineLevel="0" collapsed="false">
      <c r="A2178" s="12"/>
      <c r="B2178" s="10"/>
      <c r="C2178" s="15" t="str">
        <f aca="false">IF($B2178="","",IFERROR(INDEX(회원명부!$B$3:$B$502,MATCH($B2178,회원명부!$A$3:$A$502,0)),"미등록회원"))</f>
        <v/>
      </c>
      <c r="D2178" s="13"/>
      <c r="E2178" s="10"/>
      <c r="F2178" s="10"/>
      <c r="G2178" s="10"/>
    </row>
    <row r="2179" customFormat="false" ht="15" hidden="false" customHeight="true" outlineLevel="0" collapsed="false">
      <c r="A2179" s="12"/>
      <c r="B2179" s="10"/>
      <c r="C2179" s="15" t="str">
        <f aca="false">IF($B2179="","",IFERROR(INDEX(회원명부!$B$3:$B$502,MATCH($B2179,회원명부!$A$3:$A$502,0)),"미등록회원"))</f>
        <v/>
      </c>
      <c r="D2179" s="13"/>
      <c r="E2179" s="10"/>
      <c r="F2179" s="10"/>
      <c r="G2179" s="10"/>
    </row>
    <row r="2180" customFormat="false" ht="15" hidden="false" customHeight="true" outlineLevel="0" collapsed="false">
      <c r="A2180" s="12"/>
      <c r="B2180" s="10"/>
      <c r="C2180" s="15" t="str">
        <f aca="false">IF($B2180="","",IFERROR(INDEX(회원명부!$B$3:$B$502,MATCH($B2180,회원명부!$A$3:$A$502,0)),"미등록회원"))</f>
        <v/>
      </c>
      <c r="D2180" s="13"/>
      <c r="E2180" s="10"/>
      <c r="F2180" s="10"/>
      <c r="G2180" s="10"/>
    </row>
    <row r="2181" customFormat="false" ht="15" hidden="false" customHeight="true" outlineLevel="0" collapsed="false">
      <c r="A2181" s="12"/>
      <c r="B2181" s="10"/>
      <c r="C2181" s="15" t="str">
        <f aca="false">IF($B2181="","",IFERROR(INDEX(회원명부!$B$3:$B$502,MATCH($B2181,회원명부!$A$3:$A$502,0)),"미등록회원"))</f>
        <v/>
      </c>
      <c r="D2181" s="13"/>
      <c r="E2181" s="10"/>
      <c r="F2181" s="10"/>
      <c r="G2181" s="10"/>
    </row>
    <row r="2182" customFormat="false" ht="15" hidden="false" customHeight="true" outlineLevel="0" collapsed="false">
      <c r="A2182" s="12"/>
      <c r="B2182" s="10"/>
      <c r="C2182" s="15" t="str">
        <f aca="false">IF($B2182="","",IFERROR(INDEX(회원명부!$B$3:$B$502,MATCH($B2182,회원명부!$A$3:$A$502,0)),"미등록회원"))</f>
        <v/>
      </c>
      <c r="D2182" s="13"/>
      <c r="E2182" s="10"/>
      <c r="F2182" s="10"/>
      <c r="G2182" s="10"/>
    </row>
    <row r="2183" customFormat="false" ht="15" hidden="false" customHeight="true" outlineLevel="0" collapsed="false">
      <c r="A2183" s="12"/>
      <c r="B2183" s="10"/>
      <c r="C2183" s="15" t="str">
        <f aca="false">IF($B2183="","",IFERROR(INDEX(회원명부!$B$3:$B$502,MATCH($B2183,회원명부!$A$3:$A$502,0)),"미등록회원"))</f>
        <v/>
      </c>
      <c r="D2183" s="13"/>
      <c r="E2183" s="10"/>
      <c r="F2183" s="10"/>
      <c r="G2183" s="10"/>
    </row>
    <row r="2184" customFormat="false" ht="15" hidden="false" customHeight="true" outlineLevel="0" collapsed="false">
      <c r="A2184" s="12"/>
      <c r="B2184" s="10"/>
      <c r="C2184" s="15" t="str">
        <f aca="false">IF($B2184="","",IFERROR(INDEX(회원명부!$B$3:$B$502,MATCH($B2184,회원명부!$A$3:$A$502,0)),"미등록회원"))</f>
        <v/>
      </c>
      <c r="D2184" s="13"/>
      <c r="E2184" s="10"/>
      <c r="F2184" s="10"/>
      <c r="G2184" s="10"/>
    </row>
    <row r="2185" customFormat="false" ht="15" hidden="false" customHeight="true" outlineLevel="0" collapsed="false">
      <c r="A2185" s="12"/>
      <c r="B2185" s="10"/>
      <c r="C2185" s="15" t="str">
        <f aca="false">IF($B2185="","",IFERROR(INDEX(회원명부!$B$3:$B$502,MATCH($B2185,회원명부!$A$3:$A$502,0)),"미등록회원"))</f>
        <v/>
      </c>
      <c r="D2185" s="13"/>
      <c r="E2185" s="10"/>
      <c r="F2185" s="10"/>
      <c r="G2185" s="10"/>
    </row>
    <row r="2186" customFormat="false" ht="15" hidden="false" customHeight="true" outlineLevel="0" collapsed="false">
      <c r="A2186" s="12"/>
      <c r="B2186" s="10"/>
      <c r="C2186" s="15" t="str">
        <f aca="false">IF($B2186="","",IFERROR(INDEX(회원명부!$B$3:$B$502,MATCH($B2186,회원명부!$A$3:$A$502,0)),"미등록회원"))</f>
        <v/>
      </c>
      <c r="D2186" s="13"/>
      <c r="E2186" s="10"/>
      <c r="F2186" s="10"/>
      <c r="G2186" s="10"/>
    </row>
    <row r="2187" customFormat="false" ht="15" hidden="false" customHeight="true" outlineLevel="0" collapsed="false">
      <c r="A2187" s="12"/>
      <c r="B2187" s="10"/>
      <c r="C2187" s="15" t="str">
        <f aca="false">IF($B2187="","",IFERROR(INDEX(회원명부!$B$3:$B$502,MATCH($B2187,회원명부!$A$3:$A$502,0)),"미등록회원"))</f>
        <v/>
      </c>
      <c r="D2187" s="13"/>
      <c r="E2187" s="10"/>
      <c r="F2187" s="10"/>
      <c r="G2187" s="10"/>
    </row>
    <row r="2188" customFormat="false" ht="15" hidden="false" customHeight="true" outlineLevel="0" collapsed="false">
      <c r="A2188" s="12"/>
      <c r="B2188" s="10"/>
      <c r="C2188" s="15" t="str">
        <f aca="false">IF($B2188="","",IFERROR(INDEX(회원명부!$B$3:$B$502,MATCH($B2188,회원명부!$A$3:$A$502,0)),"미등록회원"))</f>
        <v/>
      </c>
      <c r="D2188" s="13"/>
      <c r="E2188" s="10"/>
      <c r="F2188" s="10"/>
      <c r="G2188" s="10"/>
    </row>
    <row r="2189" customFormat="false" ht="15" hidden="false" customHeight="true" outlineLevel="0" collapsed="false">
      <c r="A2189" s="12"/>
      <c r="B2189" s="10"/>
      <c r="C2189" s="15" t="str">
        <f aca="false">IF($B2189="","",IFERROR(INDEX(회원명부!$B$3:$B$502,MATCH($B2189,회원명부!$A$3:$A$502,0)),"미등록회원"))</f>
        <v/>
      </c>
      <c r="D2189" s="13"/>
      <c r="E2189" s="10"/>
      <c r="F2189" s="10"/>
      <c r="G2189" s="10"/>
    </row>
    <row r="2190" customFormat="false" ht="15" hidden="false" customHeight="true" outlineLevel="0" collapsed="false">
      <c r="A2190" s="12"/>
      <c r="B2190" s="10"/>
      <c r="C2190" s="15" t="str">
        <f aca="false">IF($B2190="","",IFERROR(INDEX(회원명부!$B$3:$B$502,MATCH($B2190,회원명부!$A$3:$A$502,0)),"미등록회원"))</f>
        <v/>
      </c>
      <c r="D2190" s="13"/>
      <c r="E2190" s="10"/>
      <c r="F2190" s="10"/>
      <c r="G2190" s="10"/>
    </row>
    <row r="2191" customFormat="false" ht="15" hidden="false" customHeight="true" outlineLevel="0" collapsed="false">
      <c r="A2191" s="12"/>
      <c r="B2191" s="10"/>
      <c r="C2191" s="15" t="str">
        <f aca="false">IF($B2191="","",IFERROR(INDEX(회원명부!$B$3:$B$502,MATCH($B2191,회원명부!$A$3:$A$502,0)),"미등록회원"))</f>
        <v/>
      </c>
      <c r="D2191" s="13"/>
      <c r="E2191" s="10"/>
      <c r="F2191" s="10"/>
      <c r="G2191" s="10"/>
    </row>
    <row r="2192" customFormat="false" ht="15" hidden="false" customHeight="true" outlineLevel="0" collapsed="false">
      <c r="A2192" s="12"/>
      <c r="B2192" s="10"/>
      <c r="C2192" s="15" t="str">
        <f aca="false">IF($B2192="","",IFERROR(INDEX(회원명부!$B$3:$B$502,MATCH($B2192,회원명부!$A$3:$A$502,0)),"미등록회원"))</f>
        <v/>
      </c>
      <c r="D2192" s="13"/>
      <c r="E2192" s="10"/>
      <c r="F2192" s="10"/>
      <c r="G2192" s="10"/>
    </row>
    <row r="2193" customFormat="false" ht="15" hidden="false" customHeight="true" outlineLevel="0" collapsed="false">
      <c r="A2193" s="12"/>
      <c r="B2193" s="10"/>
      <c r="C2193" s="15" t="str">
        <f aca="false">IF($B2193="","",IFERROR(INDEX(회원명부!$B$3:$B$502,MATCH($B2193,회원명부!$A$3:$A$502,0)),"미등록회원"))</f>
        <v/>
      </c>
      <c r="D2193" s="13"/>
      <c r="E2193" s="10"/>
      <c r="F2193" s="10"/>
      <c r="G2193" s="10"/>
    </row>
    <row r="2194" customFormat="false" ht="15" hidden="false" customHeight="true" outlineLevel="0" collapsed="false">
      <c r="A2194" s="12"/>
      <c r="B2194" s="10"/>
      <c r="C2194" s="15" t="str">
        <f aca="false">IF($B2194="","",IFERROR(INDEX(회원명부!$B$3:$B$502,MATCH($B2194,회원명부!$A$3:$A$502,0)),"미등록회원"))</f>
        <v/>
      </c>
      <c r="D2194" s="13"/>
      <c r="E2194" s="10"/>
      <c r="F2194" s="10"/>
      <c r="G2194" s="10"/>
    </row>
    <row r="2195" customFormat="false" ht="15" hidden="false" customHeight="true" outlineLevel="0" collapsed="false">
      <c r="A2195" s="12"/>
      <c r="B2195" s="10"/>
      <c r="C2195" s="15" t="str">
        <f aca="false">IF($B2195="","",IFERROR(INDEX(회원명부!$B$3:$B$502,MATCH($B2195,회원명부!$A$3:$A$502,0)),"미등록회원"))</f>
        <v/>
      </c>
      <c r="D2195" s="13"/>
      <c r="E2195" s="10"/>
      <c r="F2195" s="10"/>
      <c r="G2195" s="10"/>
    </row>
    <row r="2196" customFormat="false" ht="15" hidden="false" customHeight="true" outlineLevel="0" collapsed="false">
      <c r="A2196" s="12"/>
      <c r="B2196" s="10"/>
      <c r="C2196" s="15" t="str">
        <f aca="false">IF($B2196="","",IFERROR(INDEX(회원명부!$B$3:$B$502,MATCH($B2196,회원명부!$A$3:$A$502,0)),"미등록회원"))</f>
        <v/>
      </c>
      <c r="D2196" s="13"/>
      <c r="E2196" s="10"/>
      <c r="F2196" s="10"/>
      <c r="G2196" s="10"/>
    </row>
    <row r="2197" customFormat="false" ht="15" hidden="false" customHeight="true" outlineLevel="0" collapsed="false">
      <c r="A2197" s="12"/>
      <c r="B2197" s="10"/>
      <c r="C2197" s="15" t="str">
        <f aca="false">IF($B2197="","",IFERROR(INDEX(회원명부!$B$3:$B$502,MATCH($B2197,회원명부!$A$3:$A$502,0)),"미등록회원"))</f>
        <v/>
      </c>
      <c r="D2197" s="13"/>
      <c r="E2197" s="10"/>
      <c r="F2197" s="10"/>
      <c r="G2197" s="10"/>
    </row>
    <row r="2198" customFormat="false" ht="15" hidden="false" customHeight="true" outlineLevel="0" collapsed="false">
      <c r="A2198" s="12"/>
      <c r="B2198" s="10"/>
      <c r="C2198" s="15" t="str">
        <f aca="false">IF($B2198="","",IFERROR(INDEX(회원명부!$B$3:$B$502,MATCH($B2198,회원명부!$A$3:$A$502,0)),"미등록회원"))</f>
        <v/>
      </c>
      <c r="D2198" s="13"/>
      <c r="E2198" s="10"/>
      <c r="F2198" s="10"/>
      <c r="G2198" s="10"/>
    </row>
    <row r="2199" customFormat="false" ht="15" hidden="false" customHeight="true" outlineLevel="0" collapsed="false">
      <c r="A2199" s="12"/>
      <c r="B2199" s="10"/>
      <c r="C2199" s="15" t="str">
        <f aca="false">IF($B2199="","",IFERROR(INDEX(회원명부!$B$3:$B$502,MATCH($B2199,회원명부!$A$3:$A$502,0)),"미등록회원"))</f>
        <v/>
      </c>
      <c r="D2199" s="13"/>
      <c r="E2199" s="10"/>
      <c r="F2199" s="10"/>
      <c r="G2199" s="10"/>
    </row>
    <row r="2200" customFormat="false" ht="15" hidden="false" customHeight="true" outlineLevel="0" collapsed="false">
      <c r="A2200" s="12"/>
      <c r="B2200" s="10"/>
      <c r="C2200" s="15" t="str">
        <f aca="false">IF($B2200="","",IFERROR(INDEX(회원명부!$B$3:$B$502,MATCH($B2200,회원명부!$A$3:$A$502,0)),"미등록회원"))</f>
        <v/>
      </c>
      <c r="D2200" s="13"/>
      <c r="E2200" s="10"/>
      <c r="F2200" s="10"/>
      <c r="G2200" s="10"/>
    </row>
    <row r="2201" customFormat="false" ht="15" hidden="false" customHeight="true" outlineLevel="0" collapsed="false">
      <c r="A2201" s="12"/>
      <c r="B2201" s="10"/>
      <c r="C2201" s="15" t="str">
        <f aca="false">IF($B2201="","",IFERROR(INDEX(회원명부!$B$3:$B$502,MATCH($B2201,회원명부!$A$3:$A$502,0)),"미등록회원"))</f>
        <v/>
      </c>
      <c r="D2201" s="13"/>
      <c r="E2201" s="10"/>
      <c r="F2201" s="10"/>
      <c r="G2201" s="10"/>
    </row>
    <row r="2202" customFormat="false" ht="15" hidden="false" customHeight="true" outlineLevel="0" collapsed="false">
      <c r="A2202" s="12"/>
      <c r="B2202" s="10"/>
      <c r="C2202" s="15" t="str">
        <f aca="false">IF($B2202="","",IFERROR(INDEX(회원명부!$B$3:$B$502,MATCH($B2202,회원명부!$A$3:$A$502,0)),"미등록회원"))</f>
        <v/>
      </c>
      <c r="D2202" s="13"/>
      <c r="E2202" s="10"/>
      <c r="F2202" s="10"/>
      <c r="G2202" s="10"/>
    </row>
    <row r="2203" customFormat="false" ht="15" hidden="false" customHeight="true" outlineLevel="0" collapsed="false">
      <c r="A2203" s="12"/>
      <c r="B2203" s="10"/>
      <c r="C2203" s="15" t="str">
        <f aca="false">IF($B2203="","",IFERROR(INDEX(회원명부!$B$3:$B$502,MATCH($B2203,회원명부!$A$3:$A$502,0)),"미등록회원"))</f>
        <v/>
      </c>
      <c r="D2203" s="13"/>
      <c r="E2203" s="10"/>
      <c r="F2203" s="10"/>
      <c r="G2203" s="10"/>
    </row>
    <row r="2204" customFormat="false" ht="15" hidden="false" customHeight="true" outlineLevel="0" collapsed="false">
      <c r="A2204" s="12"/>
      <c r="B2204" s="10"/>
      <c r="C2204" s="15" t="str">
        <f aca="false">IF($B2204="","",IFERROR(INDEX(회원명부!$B$3:$B$502,MATCH($B2204,회원명부!$A$3:$A$502,0)),"미등록회원"))</f>
        <v/>
      </c>
      <c r="D2204" s="13"/>
      <c r="E2204" s="10"/>
      <c r="F2204" s="10"/>
      <c r="G2204" s="10"/>
    </row>
    <row r="2205" customFormat="false" ht="15" hidden="false" customHeight="true" outlineLevel="0" collapsed="false">
      <c r="A2205" s="12"/>
      <c r="B2205" s="10"/>
      <c r="C2205" s="15" t="str">
        <f aca="false">IF($B2205="","",IFERROR(INDEX(회원명부!$B$3:$B$502,MATCH($B2205,회원명부!$A$3:$A$502,0)),"미등록회원"))</f>
        <v/>
      </c>
      <c r="D2205" s="13"/>
      <c r="E2205" s="10"/>
      <c r="F2205" s="10"/>
      <c r="G2205" s="10"/>
    </row>
    <row r="2206" customFormat="false" ht="15" hidden="false" customHeight="true" outlineLevel="0" collapsed="false">
      <c r="A2206" s="12"/>
      <c r="B2206" s="10"/>
      <c r="C2206" s="15" t="str">
        <f aca="false">IF($B2206="","",IFERROR(INDEX(회원명부!$B$3:$B$502,MATCH($B2206,회원명부!$A$3:$A$502,0)),"미등록회원"))</f>
        <v/>
      </c>
      <c r="D2206" s="13"/>
      <c r="E2206" s="10"/>
      <c r="F2206" s="10"/>
      <c r="G2206" s="10"/>
    </row>
    <row r="2207" customFormat="false" ht="15" hidden="false" customHeight="true" outlineLevel="0" collapsed="false">
      <c r="A2207" s="12"/>
      <c r="B2207" s="10"/>
      <c r="C2207" s="15" t="str">
        <f aca="false">IF($B2207="","",IFERROR(INDEX(회원명부!$B$3:$B$502,MATCH($B2207,회원명부!$A$3:$A$502,0)),"미등록회원"))</f>
        <v/>
      </c>
      <c r="D2207" s="13"/>
      <c r="E2207" s="10"/>
      <c r="F2207" s="10"/>
      <c r="G2207" s="10"/>
    </row>
    <row r="2208" customFormat="false" ht="15" hidden="false" customHeight="true" outlineLevel="0" collapsed="false">
      <c r="A2208" s="12"/>
      <c r="B2208" s="10"/>
      <c r="C2208" s="15" t="str">
        <f aca="false">IF($B2208="","",IFERROR(INDEX(회원명부!$B$3:$B$502,MATCH($B2208,회원명부!$A$3:$A$502,0)),"미등록회원"))</f>
        <v/>
      </c>
      <c r="D2208" s="13"/>
      <c r="E2208" s="10"/>
      <c r="F2208" s="10"/>
      <c r="G2208" s="10"/>
    </row>
    <row r="2209" customFormat="false" ht="15" hidden="false" customHeight="true" outlineLevel="0" collapsed="false">
      <c r="A2209" s="12"/>
      <c r="B2209" s="10"/>
      <c r="C2209" s="15" t="str">
        <f aca="false">IF($B2209="","",IFERROR(INDEX(회원명부!$B$3:$B$502,MATCH($B2209,회원명부!$A$3:$A$502,0)),"미등록회원"))</f>
        <v/>
      </c>
      <c r="D2209" s="13"/>
      <c r="E2209" s="10"/>
      <c r="F2209" s="10"/>
      <c r="G2209" s="10"/>
    </row>
    <row r="2210" customFormat="false" ht="15" hidden="false" customHeight="true" outlineLevel="0" collapsed="false">
      <c r="A2210" s="12"/>
      <c r="B2210" s="10"/>
      <c r="C2210" s="15" t="str">
        <f aca="false">IF($B2210="","",IFERROR(INDEX(회원명부!$B$3:$B$502,MATCH($B2210,회원명부!$A$3:$A$502,0)),"미등록회원"))</f>
        <v/>
      </c>
      <c r="D2210" s="13"/>
      <c r="E2210" s="10"/>
      <c r="F2210" s="10"/>
      <c r="G2210" s="10"/>
    </row>
    <row r="2211" customFormat="false" ht="15" hidden="false" customHeight="true" outlineLevel="0" collapsed="false">
      <c r="A2211" s="12"/>
      <c r="B2211" s="10"/>
      <c r="C2211" s="15" t="str">
        <f aca="false">IF($B2211="","",IFERROR(INDEX(회원명부!$B$3:$B$502,MATCH($B2211,회원명부!$A$3:$A$502,0)),"미등록회원"))</f>
        <v/>
      </c>
      <c r="D2211" s="13"/>
      <c r="E2211" s="10"/>
      <c r="F2211" s="10"/>
      <c r="G2211" s="10"/>
    </row>
    <row r="2212" customFormat="false" ht="15" hidden="false" customHeight="true" outlineLevel="0" collapsed="false">
      <c r="A2212" s="12"/>
      <c r="B2212" s="10"/>
      <c r="C2212" s="15" t="str">
        <f aca="false">IF($B2212="","",IFERROR(INDEX(회원명부!$B$3:$B$502,MATCH($B2212,회원명부!$A$3:$A$502,0)),"미등록회원"))</f>
        <v/>
      </c>
      <c r="D2212" s="13"/>
      <c r="E2212" s="10"/>
      <c r="F2212" s="10"/>
      <c r="G2212" s="10"/>
    </row>
    <row r="2213" customFormat="false" ht="15" hidden="false" customHeight="true" outlineLevel="0" collapsed="false">
      <c r="A2213" s="12"/>
      <c r="B2213" s="10"/>
      <c r="C2213" s="15" t="str">
        <f aca="false">IF($B2213="","",IFERROR(INDEX(회원명부!$B$3:$B$502,MATCH($B2213,회원명부!$A$3:$A$502,0)),"미등록회원"))</f>
        <v/>
      </c>
      <c r="D2213" s="13"/>
      <c r="E2213" s="10"/>
      <c r="F2213" s="10"/>
      <c r="G2213" s="10"/>
    </row>
    <row r="2214" customFormat="false" ht="15" hidden="false" customHeight="true" outlineLevel="0" collapsed="false">
      <c r="A2214" s="12"/>
      <c r="B2214" s="10"/>
      <c r="C2214" s="15" t="str">
        <f aca="false">IF($B2214="","",IFERROR(INDEX(회원명부!$B$3:$B$502,MATCH($B2214,회원명부!$A$3:$A$502,0)),"미등록회원"))</f>
        <v/>
      </c>
      <c r="D2214" s="13"/>
      <c r="E2214" s="10"/>
      <c r="F2214" s="10"/>
      <c r="G2214" s="10"/>
    </row>
    <row r="2215" customFormat="false" ht="15" hidden="false" customHeight="true" outlineLevel="0" collapsed="false">
      <c r="A2215" s="12"/>
      <c r="B2215" s="10"/>
      <c r="C2215" s="15" t="str">
        <f aca="false">IF($B2215="","",IFERROR(INDEX(회원명부!$B$3:$B$502,MATCH($B2215,회원명부!$A$3:$A$502,0)),"미등록회원"))</f>
        <v/>
      </c>
      <c r="D2215" s="13"/>
      <c r="E2215" s="10"/>
      <c r="F2215" s="10"/>
      <c r="G2215" s="10"/>
    </row>
    <row r="2216" customFormat="false" ht="15" hidden="false" customHeight="true" outlineLevel="0" collapsed="false">
      <c r="A2216" s="12"/>
      <c r="B2216" s="10"/>
      <c r="C2216" s="15" t="str">
        <f aca="false">IF($B2216="","",IFERROR(INDEX(회원명부!$B$3:$B$502,MATCH($B2216,회원명부!$A$3:$A$502,0)),"미등록회원"))</f>
        <v/>
      </c>
      <c r="D2216" s="13"/>
      <c r="E2216" s="10"/>
      <c r="F2216" s="10"/>
      <c r="G2216" s="10"/>
    </row>
    <row r="2217" customFormat="false" ht="15" hidden="false" customHeight="true" outlineLevel="0" collapsed="false">
      <c r="A2217" s="12"/>
      <c r="B2217" s="10"/>
      <c r="C2217" s="15" t="str">
        <f aca="false">IF($B2217="","",IFERROR(INDEX(회원명부!$B$3:$B$502,MATCH($B2217,회원명부!$A$3:$A$502,0)),"미등록회원"))</f>
        <v/>
      </c>
      <c r="D2217" s="13"/>
      <c r="E2217" s="10"/>
      <c r="F2217" s="10"/>
      <c r="G2217" s="10"/>
    </row>
    <row r="2218" customFormat="false" ht="15" hidden="false" customHeight="true" outlineLevel="0" collapsed="false">
      <c r="A2218" s="12"/>
      <c r="B2218" s="10"/>
      <c r="C2218" s="15" t="str">
        <f aca="false">IF($B2218="","",IFERROR(INDEX(회원명부!$B$3:$B$502,MATCH($B2218,회원명부!$A$3:$A$502,0)),"미등록회원"))</f>
        <v/>
      </c>
      <c r="D2218" s="13"/>
      <c r="E2218" s="10"/>
      <c r="F2218" s="10"/>
      <c r="G2218" s="10"/>
    </row>
    <row r="2219" customFormat="false" ht="15" hidden="false" customHeight="true" outlineLevel="0" collapsed="false">
      <c r="A2219" s="12"/>
      <c r="B2219" s="10"/>
      <c r="C2219" s="15" t="str">
        <f aca="false">IF($B2219="","",IFERROR(INDEX(회원명부!$B$3:$B$502,MATCH($B2219,회원명부!$A$3:$A$502,0)),"미등록회원"))</f>
        <v/>
      </c>
      <c r="D2219" s="13"/>
      <c r="E2219" s="10"/>
      <c r="F2219" s="10"/>
      <c r="G2219" s="10"/>
    </row>
    <row r="2220" customFormat="false" ht="15" hidden="false" customHeight="true" outlineLevel="0" collapsed="false">
      <c r="A2220" s="12"/>
      <c r="B2220" s="10"/>
      <c r="C2220" s="15" t="str">
        <f aca="false">IF($B2220="","",IFERROR(INDEX(회원명부!$B$3:$B$502,MATCH($B2220,회원명부!$A$3:$A$502,0)),"미등록회원"))</f>
        <v/>
      </c>
      <c r="D2220" s="13"/>
      <c r="E2220" s="10"/>
      <c r="F2220" s="10"/>
      <c r="G2220" s="10"/>
    </row>
    <row r="2221" customFormat="false" ht="15" hidden="false" customHeight="true" outlineLevel="0" collapsed="false">
      <c r="A2221" s="12"/>
      <c r="B2221" s="10"/>
      <c r="C2221" s="15" t="str">
        <f aca="false">IF($B2221="","",IFERROR(INDEX(회원명부!$B$3:$B$502,MATCH($B2221,회원명부!$A$3:$A$502,0)),"미등록회원"))</f>
        <v/>
      </c>
      <c r="D2221" s="13"/>
      <c r="E2221" s="10"/>
      <c r="F2221" s="10"/>
      <c r="G2221" s="10"/>
    </row>
    <row r="2222" customFormat="false" ht="15" hidden="false" customHeight="true" outlineLevel="0" collapsed="false">
      <c r="A2222" s="12"/>
      <c r="B2222" s="10"/>
      <c r="C2222" s="15" t="str">
        <f aca="false">IF($B2222="","",IFERROR(INDEX(회원명부!$B$3:$B$502,MATCH($B2222,회원명부!$A$3:$A$502,0)),"미등록회원"))</f>
        <v/>
      </c>
      <c r="D2222" s="13"/>
      <c r="E2222" s="10"/>
      <c r="F2222" s="10"/>
      <c r="G2222" s="10"/>
    </row>
    <row r="2223" customFormat="false" ht="15" hidden="false" customHeight="true" outlineLevel="0" collapsed="false">
      <c r="A2223" s="12"/>
      <c r="B2223" s="10"/>
      <c r="C2223" s="15" t="str">
        <f aca="false">IF($B2223="","",IFERROR(INDEX(회원명부!$B$3:$B$502,MATCH($B2223,회원명부!$A$3:$A$502,0)),"미등록회원"))</f>
        <v/>
      </c>
      <c r="D2223" s="13"/>
      <c r="E2223" s="10"/>
      <c r="F2223" s="10"/>
      <c r="G2223" s="10"/>
    </row>
    <row r="2224" customFormat="false" ht="15" hidden="false" customHeight="true" outlineLevel="0" collapsed="false">
      <c r="A2224" s="12"/>
      <c r="B2224" s="10"/>
      <c r="C2224" s="15" t="str">
        <f aca="false">IF($B2224="","",IFERROR(INDEX(회원명부!$B$3:$B$502,MATCH($B2224,회원명부!$A$3:$A$502,0)),"미등록회원"))</f>
        <v/>
      </c>
      <c r="D2224" s="13"/>
      <c r="E2224" s="10"/>
      <c r="F2224" s="10"/>
      <c r="G2224" s="10"/>
    </row>
    <row r="2225" customFormat="false" ht="15" hidden="false" customHeight="true" outlineLevel="0" collapsed="false">
      <c r="A2225" s="12"/>
      <c r="B2225" s="10"/>
      <c r="C2225" s="15" t="str">
        <f aca="false">IF($B2225="","",IFERROR(INDEX(회원명부!$B$3:$B$502,MATCH($B2225,회원명부!$A$3:$A$502,0)),"미등록회원"))</f>
        <v/>
      </c>
      <c r="D2225" s="13"/>
      <c r="E2225" s="10"/>
      <c r="F2225" s="10"/>
      <c r="G2225" s="10"/>
    </row>
    <row r="2226" customFormat="false" ht="15" hidden="false" customHeight="true" outlineLevel="0" collapsed="false">
      <c r="A2226" s="12"/>
      <c r="B2226" s="10"/>
      <c r="C2226" s="15" t="str">
        <f aca="false">IF($B2226="","",IFERROR(INDEX(회원명부!$B$3:$B$502,MATCH($B2226,회원명부!$A$3:$A$502,0)),"미등록회원"))</f>
        <v/>
      </c>
      <c r="D2226" s="13"/>
      <c r="E2226" s="10"/>
      <c r="F2226" s="10"/>
      <c r="G2226" s="10"/>
    </row>
    <row r="2227" customFormat="false" ht="15" hidden="false" customHeight="true" outlineLevel="0" collapsed="false">
      <c r="A2227" s="12"/>
      <c r="B2227" s="10"/>
      <c r="C2227" s="15" t="str">
        <f aca="false">IF($B2227="","",IFERROR(INDEX(회원명부!$B$3:$B$502,MATCH($B2227,회원명부!$A$3:$A$502,0)),"미등록회원"))</f>
        <v/>
      </c>
      <c r="D2227" s="13"/>
      <c r="E2227" s="10"/>
      <c r="F2227" s="10"/>
      <c r="G2227" s="10"/>
    </row>
    <row r="2228" customFormat="false" ht="15" hidden="false" customHeight="true" outlineLevel="0" collapsed="false">
      <c r="A2228" s="12"/>
      <c r="B2228" s="10"/>
      <c r="C2228" s="15" t="str">
        <f aca="false">IF($B2228="","",IFERROR(INDEX(회원명부!$B$3:$B$502,MATCH($B2228,회원명부!$A$3:$A$502,0)),"미등록회원"))</f>
        <v/>
      </c>
      <c r="D2228" s="13"/>
      <c r="E2228" s="10"/>
      <c r="F2228" s="10"/>
      <c r="G2228" s="10"/>
    </row>
    <row r="2229" customFormat="false" ht="15" hidden="false" customHeight="true" outlineLevel="0" collapsed="false">
      <c r="A2229" s="12"/>
      <c r="B2229" s="10"/>
      <c r="C2229" s="15" t="str">
        <f aca="false">IF($B2229="","",IFERROR(INDEX(회원명부!$B$3:$B$502,MATCH($B2229,회원명부!$A$3:$A$502,0)),"미등록회원"))</f>
        <v/>
      </c>
      <c r="D2229" s="13"/>
      <c r="E2229" s="10"/>
      <c r="F2229" s="10"/>
      <c r="G2229" s="10"/>
    </row>
    <row r="2230" customFormat="false" ht="15" hidden="false" customHeight="true" outlineLevel="0" collapsed="false">
      <c r="A2230" s="12"/>
      <c r="B2230" s="10"/>
      <c r="C2230" s="15" t="str">
        <f aca="false">IF($B2230="","",IFERROR(INDEX(회원명부!$B$3:$B$502,MATCH($B2230,회원명부!$A$3:$A$502,0)),"미등록회원"))</f>
        <v/>
      </c>
      <c r="D2230" s="13"/>
      <c r="E2230" s="10"/>
      <c r="F2230" s="10"/>
      <c r="G2230" s="10"/>
    </row>
    <row r="2231" customFormat="false" ht="15" hidden="false" customHeight="true" outlineLevel="0" collapsed="false">
      <c r="A2231" s="12"/>
      <c r="B2231" s="10"/>
      <c r="C2231" s="15" t="str">
        <f aca="false">IF($B2231="","",IFERROR(INDEX(회원명부!$B$3:$B$502,MATCH($B2231,회원명부!$A$3:$A$502,0)),"미등록회원"))</f>
        <v/>
      </c>
      <c r="D2231" s="13"/>
      <c r="E2231" s="10"/>
      <c r="F2231" s="10"/>
      <c r="G2231" s="10"/>
    </row>
    <row r="2232" customFormat="false" ht="15" hidden="false" customHeight="true" outlineLevel="0" collapsed="false">
      <c r="A2232" s="12"/>
      <c r="B2232" s="10"/>
      <c r="C2232" s="15" t="str">
        <f aca="false">IF($B2232="","",IFERROR(INDEX(회원명부!$B$3:$B$502,MATCH($B2232,회원명부!$A$3:$A$502,0)),"미등록회원"))</f>
        <v/>
      </c>
      <c r="D2232" s="13"/>
      <c r="E2232" s="10"/>
      <c r="F2232" s="10"/>
      <c r="G2232" s="10"/>
    </row>
    <row r="2233" customFormat="false" ht="15" hidden="false" customHeight="true" outlineLevel="0" collapsed="false">
      <c r="A2233" s="12"/>
      <c r="B2233" s="10"/>
      <c r="C2233" s="15" t="str">
        <f aca="false">IF($B2233="","",IFERROR(INDEX(회원명부!$B$3:$B$502,MATCH($B2233,회원명부!$A$3:$A$502,0)),"미등록회원"))</f>
        <v/>
      </c>
      <c r="D2233" s="13"/>
      <c r="E2233" s="10"/>
      <c r="F2233" s="10"/>
      <c r="G2233" s="10"/>
    </row>
    <row r="2234" customFormat="false" ht="15" hidden="false" customHeight="true" outlineLevel="0" collapsed="false">
      <c r="A2234" s="12"/>
      <c r="B2234" s="10"/>
      <c r="C2234" s="15" t="str">
        <f aca="false">IF($B2234="","",IFERROR(INDEX(회원명부!$B$3:$B$502,MATCH($B2234,회원명부!$A$3:$A$502,0)),"미등록회원"))</f>
        <v/>
      </c>
      <c r="D2234" s="13"/>
      <c r="E2234" s="10"/>
      <c r="F2234" s="10"/>
      <c r="G2234" s="10"/>
    </row>
    <row r="2235" customFormat="false" ht="15" hidden="false" customHeight="true" outlineLevel="0" collapsed="false">
      <c r="A2235" s="12"/>
      <c r="B2235" s="10"/>
      <c r="C2235" s="15" t="str">
        <f aca="false">IF($B2235="","",IFERROR(INDEX(회원명부!$B$3:$B$502,MATCH($B2235,회원명부!$A$3:$A$502,0)),"미등록회원"))</f>
        <v/>
      </c>
      <c r="D2235" s="13"/>
      <c r="E2235" s="10"/>
      <c r="F2235" s="10"/>
      <c r="G2235" s="10"/>
    </row>
    <row r="2236" customFormat="false" ht="15" hidden="false" customHeight="true" outlineLevel="0" collapsed="false">
      <c r="A2236" s="12"/>
      <c r="B2236" s="10"/>
      <c r="C2236" s="15" t="str">
        <f aca="false">IF($B2236="","",IFERROR(INDEX(회원명부!$B$3:$B$502,MATCH($B2236,회원명부!$A$3:$A$502,0)),"미등록회원"))</f>
        <v/>
      </c>
      <c r="D2236" s="13"/>
      <c r="E2236" s="10"/>
      <c r="F2236" s="10"/>
      <c r="G2236" s="10"/>
    </row>
    <row r="2237" customFormat="false" ht="15" hidden="false" customHeight="true" outlineLevel="0" collapsed="false">
      <c r="A2237" s="12"/>
      <c r="B2237" s="10"/>
      <c r="C2237" s="15" t="str">
        <f aca="false">IF($B2237="","",IFERROR(INDEX(회원명부!$B$3:$B$502,MATCH($B2237,회원명부!$A$3:$A$502,0)),"미등록회원"))</f>
        <v/>
      </c>
      <c r="D2237" s="13"/>
      <c r="E2237" s="10"/>
      <c r="F2237" s="10"/>
      <c r="G2237" s="10"/>
    </row>
    <row r="2238" customFormat="false" ht="15" hidden="false" customHeight="true" outlineLevel="0" collapsed="false">
      <c r="A2238" s="12"/>
      <c r="B2238" s="10"/>
      <c r="C2238" s="15" t="str">
        <f aca="false">IF($B2238="","",IFERROR(INDEX(회원명부!$B$3:$B$502,MATCH($B2238,회원명부!$A$3:$A$502,0)),"미등록회원"))</f>
        <v/>
      </c>
      <c r="D2238" s="13"/>
      <c r="E2238" s="10"/>
      <c r="F2238" s="10"/>
      <c r="G2238" s="10"/>
    </row>
    <row r="2239" customFormat="false" ht="15" hidden="false" customHeight="true" outlineLevel="0" collapsed="false">
      <c r="A2239" s="12"/>
      <c r="B2239" s="10"/>
      <c r="C2239" s="15" t="str">
        <f aca="false">IF($B2239="","",IFERROR(INDEX(회원명부!$B$3:$B$502,MATCH($B2239,회원명부!$A$3:$A$502,0)),"미등록회원"))</f>
        <v/>
      </c>
      <c r="D2239" s="13"/>
      <c r="E2239" s="10"/>
      <c r="F2239" s="10"/>
      <c r="G2239" s="10"/>
    </row>
    <row r="2240" customFormat="false" ht="15" hidden="false" customHeight="true" outlineLevel="0" collapsed="false">
      <c r="A2240" s="12"/>
      <c r="B2240" s="10"/>
      <c r="C2240" s="15" t="str">
        <f aca="false">IF($B2240="","",IFERROR(INDEX(회원명부!$B$3:$B$502,MATCH($B2240,회원명부!$A$3:$A$502,0)),"미등록회원"))</f>
        <v/>
      </c>
      <c r="D2240" s="13"/>
      <c r="E2240" s="10"/>
      <c r="F2240" s="10"/>
      <c r="G2240" s="10"/>
    </row>
    <row r="2241" customFormat="false" ht="15" hidden="false" customHeight="true" outlineLevel="0" collapsed="false">
      <c r="A2241" s="12"/>
      <c r="B2241" s="10"/>
      <c r="C2241" s="15" t="str">
        <f aca="false">IF($B2241="","",IFERROR(INDEX(회원명부!$B$3:$B$502,MATCH($B2241,회원명부!$A$3:$A$502,0)),"미등록회원"))</f>
        <v/>
      </c>
      <c r="D2241" s="13"/>
      <c r="E2241" s="10"/>
      <c r="F2241" s="10"/>
      <c r="G2241" s="10"/>
    </row>
    <row r="2242" customFormat="false" ht="15" hidden="false" customHeight="true" outlineLevel="0" collapsed="false">
      <c r="A2242" s="12"/>
      <c r="B2242" s="10"/>
      <c r="C2242" s="15" t="str">
        <f aca="false">IF($B2242="","",IFERROR(INDEX(회원명부!$B$3:$B$502,MATCH($B2242,회원명부!$A$3:$A$502,0)),"미등록회원"))</f>
        <v/>
      </c>
      <c r="D2242" s="13"/>
      <c r="E2242" s="10"/>
      <c r="F2242" s="10"/>
      <c r="G2242" s="10"/>
    </row>
    <row r="2243" customFormat="false" ht="15" hidden="false" customHeight="true" outlineLevel="0" collapsed="false">
      <c r="A2243" s="12"/>
      <c r="B2243" s="10"/>
      <c r="C2243" s="15" t="str">
        <f aca="false">IF($B2243="","",IFERROR(INDEX(회원명부!$B$3:$B$502,MATCH($B2243,회원명부!$A$3:$A$502,0)),"미등록회원"))</f>
        <v/>
      </c>
      <c r="D2243" s="13"/>
      <c r="E2243" s="10"/>
      <c r="F2243" s="10"/>
      <c r="G2243" s="10"/>
    </row>
    <row r="2244" customFormat="false" ht="15" hidden="false" customHeight="true" outlineLevel="0" collapsed="false">
      <c r="A2244" s="12"/>
      <c r="B2244" s="10"/>
      <c r="C2244" s="15" t="str">
        <f aca="false">IF($B2244="","",IFERROR(INDEX(회원명부!$B$3:$B$502,MATCH($B2244,회원명부!$A$3:$A$502,0)),"미등록회원"))</f>
        <v/>
      </c>
      <c r="D2244" s="13"/>
      <c r="E2244" s="10"/>
      <c r="F2244" s="10"/>
      <c r="G2244" s="10"/>
    </row>
    <row r="2245" customFormat="false" ht="15" hidden="false" customHeight="true" outlineLevel="0" collapsed="false">
      <c r="A2245" s="12"/>
      <c r="B2245" s="10"/>
      <c r="C2245" s="15" t="str">
        <f aca="false">IF($B2245="","",IFERROR(INDEX(회원명부!$B$3:$B$502,MATCH($B2245,회원명부!$A$3:$A$502,0)),"미등록회원"))</f>
        <v/>
      </c>
      <c r="D2245" s="13"/>
      <c r="E2245" s="10"/>
      <c r="F2245" s="10"/>
      <c r="G2245" s="10"/>
    </row>
    <row r="2246" customFormat="false" ht="15" hidden="false" customHeight="true" outlineLevel="0" collapsed="false">
      <c r="A2246" s="12"/>
      <c r="B2246" s="10"/>
      <c r="C2246" s="15" t="str">
        <f aca="false">IF($B2246="","",IFERROR(INDEX(회원명부!$B$3:$B$502,MATCH($B2246,회원명부!$A$3:$A$502,0)),"미등록회원"))</f>
        <v/>
      </c>
      <c r="D2246" s="13"/>
      <c r="E2246" s="10"/>
      <c r="F2246" s="10"/>
      <c r="G2246" s="10"/>
    </row>
    <row r="2247" customFormat="false" ht="15" hidden="false" customHeight="true" outlineLevel="0" collapsed="false">
      <c r="A2247" s="12"/>
      <c r="B2247" s="10"/>
      <c r="C2247" s="15" t="str">
        <f aca="false">IF($B2247="","",IFERROR(INDEX(회원명부!$B$3:$B$502,MATCH($B2247,회원명부!$A$3:$A$502,0)),"미등록회원"))</f>
        <v/>
      </c>
      <c r="D2247" s="13"/>
      <c r="E2247" s="10"/>
      <c r="F2247" s="10"/>
      <c r="G2247" s="10"/>
    </row>
    <row r="2248" customFormat="false" ht="15" hidden="false" customHeight="true" outlineLevel="0" collapsed="false">
      <c r="A2248" s="12"/>
      <c r="B2248" s="10"/>
      <c r="C2248" s="15" t="str">
        <f aca="false">IF($B2248="","",IFERROR(INDEX(회원명부!$B$3:$B$502,MATCH($B2248,회원명부!$A$3:$A$502,0)),"미등록회원"))</f>
        <v/>
      </c>
      <c r="D2248" s="13"/>
      <c r="E2248" s="10"/>
      <c r="F2248" s="10"/>
      <c r="G2248" s="10"/>
    </row>
    <row r="2249" customFormat="false" ht="15" hidden="false" customHeight="true" outlineLevel="0" collapsed="false">
      <c r="A2249" s="12"/>
      <c r="B2249" s="10"/>
      <c r="C2249" s="15" t="str">
        <f aca="false">IF($B2249="","",IFERROR(INDEX(회원명부!$B$3:$B$502,MATCH($B2249,회원명부!$A$3:$A$502,0)),"미등록회원"))</f>
        <v/>
      </c>
      <c r="D2249" s="13"/>
      <c r="E2249" s="10"/>
      <c r="F2249" s="10"/>
      <c r="G2249" s="10"/>
    </row>
    <row r="2250" customFormat="false" ht="15" hidden="false" customHeight="true" outlineLevel="0" collapsed="false">
      <c r="A2250" s="12"/>
      <c r="B2250" s="10"/>
      <c r="C2250" s="15" t="str">
        <f aca="false">IF($B2250="","",IFERROR(INDEX(회원명부!$B$3:$B$502,MATCH($B2250,회원명부!$A$3:$A$502,0)),"미등록회원"))</f>
        <v/>
      </c>
      <c r="D2250" s="13"/>
      <c r="E2250" s="10"/>
      <c r="F2250" s="10"/>
      <c r="G2250" s="10"/>
    </row>
    <row r="2251" customFormat="false" ht="15" hidden="false" customHeight="true" outlineLevel="0" collapsed="false">
      <c r="A2251" s="12"/>
      <c r="B2251" s="10"/>
      <c r="C2251" s="15" t="str">
        <f aca="false">IF($B2251="","",IFERROR(INDEX(회원명부!$B$3:$B$502,MATCH($B2251,회원명부!$A$3:$A$502,0)),"미등록회원"))</f>
        <v/>
      </c>
      <c r="D2251" s="13"/>
      <c r="E2251" s="10"/>
      <c r="F2251" s="10"/>
      <c r="G2251" s="10"/>
    </row>
    <row r="2252" customFormat="false" ht="15" hidden="false" customHeight="true" outlineLevel="0" collapsed="false">
      <c r="A2252" s="12"/>
      <c r="B2252" s="10"/>
      <c r="C2252" s="15" t="str">
        <f aca="false">IF($B2252="","",IFERROR(INDEX(회원명부!$B$3:$B$502,MATCH($B2252,회원명부!$A$3:$A$502,0)),"미등록회원"))</f>
        <v/>
      </c>
      <c r="D2252" s="13"/>
      <c r="E2252" s="10"/>
      <c r="F2252" s="10"/>
      <c r="G2252" s="10"/>
    </row>
    <row r="2253" customFormat="false" ht="15" hidden="false" customHeight="true" outlineLevel="0" collapsed="false">
      <c r="A2253" s="12"/>
      <c r="B2253" s="10"/>
      <c r="C2253" s="15" t="str">
        <f aca="false">IF($B2253="","",IFERROR(INDEX(회원명부!$B$3:$B$502,MATCH($B2253,회원명부!$A$3:$A$502,0)),"미등록회원"))</f>
        <v/>
      </c>
      <c r="D2253" s="13"/>
      <c r="E2253" s="10"/>
      <c r="F2253" s="10"/>
      <c r="G2253" s="10"/>
    </row>
    <row r="2254" customFormat="false" ht="15" hidden="false" customHeight="true" outlineLevel="0" collapsed="false">
      <c r="A2254" s="12"/>
      <c r="B2254" s="10"/>
      <c r="C2254" s="15" t="str">
        <f aca="false">IF($B2254="","",IFERROR(INDEX(회원명부!$B$3:$B$502,MATCH($B2254,회원명부!$A$3:$A$502,0)),"미등록회원"))</f>
        <v/>
      </c>
      <c r="D2254" s="13"/>
      <c r="E2254" s="10"/>
      <c r="F2254" s="10"/>
      <c r="G2254" s="10"/>
    </row>
    <row r="2255" customFormat="false" ht="15" hidden="false" customHeight="true" outlineLevel="0" collapsed="false">
      <c r="A2255" s="12"/>
      <c r="B2255" s="10"/>
      <c r="C2255" s="15" t="str">
        <f aca="false">IF($B2255="","",IFERROR(INDEX(회원명부!$B$3:$B$502,MATCH($B2255,회원명부!$A$3:$A$502,0)),"미등록회원"))</f>
        <v/>
      </c>
      <c r="D2255" s="13"/>
      <c r="E2255" s="10"/>
      <c r="F2255" s="10"/>
      <c r="G2255" s="10"/>
    </row>
    <row r="2256" customFormat="false" ht="15" hidden="false" customHeight="true" outlineLevel="0" collapsed="false">
      <c r="A2256" s="12"/>
      <c r="B2256" s="10"/>
      <c r="C2256" s="15" t="str">
        <f aca="false">IF($B2256="","",IFERROR(INDEX(회원명부!$B$3:$B$502,MATCH($B2256,회원명부!$A$3:$A$502,0)),"미등록회원"))</f>
        <v/>
      </c>
      <c r="D2256" s="13"/>
      <c r="E2256" s="10"/>
      <c r="F2256" s="10"/>
      <c r="G2256" s="10"/>
    </row>
    <row r="2257" customFormat="false" ht="15" hidden="false" customHeight="true" outlineLevel="0" collapsed="false">
      <c r="A2257" s="12"/>
      <c r="B2257" s="10"/>
      <c r="C2257" s="15" t="str">
        <f aca="false">IF($B2257="","",IFERROR(INDEX(회원명부!$B$3:$B$502,MATCH($B2257,회원명부!$A$3:$A$502,0)),"미등록회원"))</f>
        <v/>
      </c>
      <c r="D2257" s="13"/>
      <c r="E2257" s="10"/>
      <c r="F2257" s="10"/>
      <c r="G2257" s="10"/>
    </row>
    <row r="2258" customFormat="false" ht="15" hidden="false" customHeight="true" outlineLevel="0" collapsed="false">
      <c r="A2258" s="12"/>
      <c r="B2258" s="10"/>
      <c r="C2258" s="15" t="str">
        <f aca="false">IF($B2258="","",IFERROR(INDEX(회원명부!$B$3:$B$502,MATCH($B2258,회원명부!$A$3:$A$502,0)),"미등록회원"))</f>
        <v/>
      </c>
      <c r="D2258" s="13"/>
      <c r="E2258" s="10"/>
      <c r="F2258" s="10"/>
      <c r="G2258" s="10"/>
    </row>
    <row r="2259" customFormat="false" ht="15" hidden="false" customHeight="true" outlineLevel="0" collapsed="false">
      <c r="A2259" s="12"/>
      <c r="B2259" s="10"/>
      <c r="C2259" s="15" t="str">
        <f aca="false">IF($B2259="","",IFERROR(INDEX(회원명부!$B$3:$B$502,MATCH($B2259,회원명부!$A$3:$A$502,0)),"미등록회원"))</f>
        <v/>
      </c>
      <c r="D2259" s="13"/>
      <c r="E2259" s="10"/>
      <c r="F2259" s="10"/>
      <c r="G2259" s="10"/>
    </row>
    <row r="2260" customFormat="false" ht="15" hidden="false" customHeight="true" outlineLevel="0" collapsed="false">
      <c r="A2260" s="12"/>
      <c r="B2260" s="10"/>
      <c r="C2260" s="15" t="str">
        <f aca="false">IF($B2260="","",IFERROR(INDEX(회원명부!$B$3:$B$502,MATCH($B2260,회원명부!$A$3:$A$502,0)),"미등록회원"))</f>
        <v/>
      </c>
      <c r="D2260" s="13"/>
      <c r="E2260" s="10"/>
      <c r="F2260" s="10"/>
      <c r="G2260" s="10"/>
    </row>
    <row r="2261" customFormat="false" ht="15" hidden="false" customHeight="true" outlineLevel="0" collapsed="false">
      <c r="A2261" s="12"/>
      <c r="B2261" s="10"/>
      <c r="C2261" s="15" t="str">
        <f aca="false">IF($B2261="","",IFERROR(INDEX(회원명부!$B$3:$B$502,MATCH($B2261,회원명부!$A$3:$A$502,0)),"미등록회원"))</f>
        <v/>
      </c>
      <c r="D2261" s="13"/>
      <c r="E2261" s="10"/>
      <c r="F2261" s="10"/>
      <c r="G2261" s="10"/>
    </row>
    <row r="2262" customFormat="false" ht="15" hidden="false" customHeight="true" outlineLevel="0" collapsed="false">
      <c r="A2262" s="12"/>
      <c r="B2262" s="10"/>
      <c r="C2262" s="15" t="str">
        <f aca="false">IF($B2262="","",IFERROR(INDEX(회원명부!$B$3:$B$502,MATCH($B2262,회원명부!$A$3:$A$502,0)),"미등록회원"))</f>
        <v/>
      </c>
      <c r="D2262" s="13"/>
      <c r="E2262" s="10"/>
      <c r="F2262" s="10"/>
      <c r="G2262" s="10"/>
    </row>
    <row r="2263" customFormat="false" ht="15" hidden="false" customHeight="true" outlineLevel="0" collapsed="false">
      <c r="A2263" s="12"/>
      <c r="B2263" s="10"/>
      <c r="C2263" s="15" t="str">
        <f aca="false">IF($B2263="","",IFERROR(INDEX(회원명부!$B$3:$B$502,MATCH($B2263,회원명부!$A$3:$A$502,0)),"미등록회원"))</f>
        <v/>
      </c>
      <c r="D2263" s="13"/>
      <c r="E2263" s="10"/>
      <c r="F2263" s="10"/>
      <c r="G2263" s="10"/>
    </row>
    <row r="2264" customFormat="false" ht="15" hidden="false" customHeight="true" outlineLevel="0" collapsed="false">
      <c r="A2264" s="12"/>
      <c r="B2264" s="10"/>
      <c r="C2264" s="15" t="str">
        <f aca="false">IF($B2264="","",IFERROR(INDEX(회원명부!$B$3:$B$502,MATCH($B2264,회원명부!$A$3:$A$502,0)),"미등록회원"))</f>
        <v/>
      </c>
      <c r="D2264" s="13"/>
      <c r="E2264" s="10"/>
      <c r="F2264" s="10"/>
      <c r="G2264" s="10"/>
    </row>
    <row r="2265" customFormat="false" ht="15" hidden="false" customHeight="true" outlineLevel="0" collapsed="false">
      <c r="A2265" s="12"/>
      <c r="B2265" s="10"/>
      <c r="C2265" s="15" t="str">
        <f aca="false">IF($B2265="","",IFERROR(INDEX(회원명부!$B$3:$B$502,MATCH($B2265,회원명부!$A$3:$A$502,0)),"미등록회원"))</f>
        <v/>
      </c>
      <c r="D2265" s="13"/>
      <c r="E2265" s="10"/>
      <c r="F2265" s="10"/>
      <c r="G2265" s="10"/>
    </row>
    <row r="2266" customFormat="false" ht="15" hidden="false" customHeight="true" outlineLevel="0" collapsed="false">
      <c r="A2266" s="12"/>
      <c r="B2266" s="10"/>
      <c r="C2266" s="15" t="str">
        <f aca="false">IF($B2266="","",IFERROR(INDEX(회원명부!$B$3:$B$502,MATCH($B2266,회원명부!$A$3:$A$502,0)),"미등록회원"))</f>
        <v/>
      </c>
      <c r="D2266" s="13"/>
      <c r="E2266" s="10"/>
      <c r="F2266" s="10"/>
      <c r="G2266" s="10"/>
    </row>
    <row r="2267" customFormat="false" ht="15" hidden="false" customHeight="true" outlineLevel="0" collapsed="false">
      <c r="A2267" s="12"/>
      <c r="B2267" s="10"/>
      <c r="C2267" s="15" t="str">
        <f aca="false">IF($B2267="","",IFERROR(INDEX(회원명부!$B$3:$B$502,MATCH($B2267,회원명부!$A$3:$A$502,0)),"미등록회원"))</f>
        <v/>
      </c>
      <c r="D2267" s="13"/>
      <c r="E2267" s="10"/>
      <c r="F2267" s="10"/>
      <c r="G2267" s="10"/>
    </row>
    <row r="2268" customFormat="false" ht="15" hidden="false" customHeight="true" outlineLevel="0" collapsed="false">
      <c r="A2268" s="12"/>
      <c r="B2268" s="10"/>
      <c r="C2268" s="15" t="str">
        <f aca="false">IF($B2268="","",IFERROR(INDEX(회원명부!$B$3:$B$502,MATCH($B2268,회원명부!$A$3:$A$502,0)),"미등록회원"))</f>
        <v/>
      </c>
      <c r="D2268" s="13"/>
      <c r="E2268" s="10"/>
      <c r="F2268" s="10"/>
      <c r="G2268" s="10"/>
    </row>
    <row r="2269" customFormat="false" ht="15" hidden="false" customHeight="true" outlineLevel="0" collapsed="false">
      <c r="A2269" s="12"/>
      <c r="B2269" s="10"/>
      <c r="C2269" s="15" t="str">
        <f aca="false">IF($B2269="","",IFERROR(INDEX(회원명부!$B$3:$B$502,MATCH($B2269,회원명부!$A$3:$A$502,0)),"미등록회원"))</f>
        <v/>
      </c>
      <c r="D2269" s="13"/>
      <c r="E2269" s="10"/>
      <c r="F2269" s="10"/>
      <c r="G2269" s="10"/>
    </row>
    <row r="2270" customFormat="false" ht="15" hidden="false" customHeight="true" outlineLevel="0" collapsed="false">
      <c r="A2270" s="12"/>
      <c r="B2270" s="10"/>
      <c r="C2270" s="15" t="str">
        <f aca="false">IF($B2270="","",IFERROR(INDEX(회원명부!$B$3:$B$502,MATCH($B2270,회원명부!$A$3:$A$502,0)),"미등록회원"))</f>
        <v/>
      </c>
      <c r="D2270" s="13"/>
      <c r="E2270" s="10"/>
      <c r="F2270" s="10"/>
      <c r="G2270" s="10"/>
    </row>
    <row r="2271" customFormat="false" ht="15" hidden="false" customHeight="true" outlineLevel="0" collapsed="false">
      <c r="A2271" s="12"/>
      <c r="B2271" s="10"/>
      <c r="C2271" s="15" t="str">
        <f aca="false">IF($B2271="","",IFERROR(INDEX(회원명부!$B$3:$B$502,MATCH($B2271,회원명부!$A$3:$A$502,0)),"미등록회원"))</f>
        <v/>
      </c>
      <c r="D2271" s="13"/>
      <c r="E2271" s="10"/>
      <c r="F2271" s="10"/>
      <c r="G2271" s="10"/>
    </row>
    <row r="2272" customFormat="false" ht="15" hidden="false" customHeight="true" outlineLevel="0" collapsed="false">
      <c r="A2272" s="12"/>
      <c r="B2272" s="10"/>
      <c r="C2272" s="15" t="str">
        <f aca="false">IF($B2272="","",IFERROR(INDEX(회원명부!$B$3:$B$502,MATCH($B2272,회원명부!$A$3:$A$502,0)),"미등록회원"))</f>
        <v/>
      </c>
      <c r="D2272" s="13"/>
      <c r="E2272" s="10"/>
      <c r="F2272" s="10"/>
      <c r="G2272" s="10"/>
    </row>
    <row r="2273" customFormat="false" ht="15" hidden="false" customHeight="true" outlineLevel="0" collapsed="false">
      <c r="A2273" s="12"/>
      <c r="B2273" s="10"/>
      <c r="C2273" s="15" t="str">
        <f aca="false">IF($B2273="","",IFERROR(INDEX(회원명부!$B$3:$B$502,MATCH($B2273,회원명부!$A$3:$A$502,0)),"미등록회원"))</f>
        <v/>
      </c>
      <c r="D2273" s="13"/>
      <c r="E2273" s="10"/>
      <c r="F2273" s="10"/>
      <c r="G2273" s="10"/>
    </row>
    <row r="2274" customFormat="false" ht="15" hidden="false" customHeight="true" outlineLevel="0" collapsed="false">
      <c r="A2274" s="12"/>
      <c r="B2274" s="10"/>
      <c r="C2274" s="15" t="str">
        <f aca="false">IF($B2274="","",IFERROR(INDEX(회원명부!$B$3:$B$502,MATCH($B2274,회원명부!$A$3:$A$502,0)),"미등록회원"))</f>
        <v/>
      </c>
      <c r="D2274" s="13"/>
      <c r="E2274" s="10"/>
      <c r="F2274" s="10"/>
      <c r="G2274" s="10"/>
    </row>
    <row r="2275" customFormat="false" ht="15" hidden="false" customHeight="true" outlineLevel="0" collapsed="false">
      <c r="A2275" s="12"/>
      <c r="B2275" s="10"/>
      <c r="C2275" s="15" t="str">
        <f aca="false">IF($B2275="","",IFERROR(INDEX(회원명부!$B$3:$B$502,MATCH($B2275,회원명부!$A$3:$A$502,0)),"미등록회원"))</f>
        <v/>
      </c>
      <c r="D2275" s="13"/>
      <c r="E2275" s="10"/>
      <c r="F2275" s="10"/>
      <c r="G2275" s="10"/>
    </row>
    <row r="2276" customFormat="false" ht="15" hidden="false" customHeight="true" outlineLevel="0" collapsed="false">
      <c r="A2276" s="12"/>
      <c r="B2276" s="10"/>
      <c r="C2276" s="15" t="str">
        <f aca="false">IF($B2276="","",IFERROR(INDEX(회원명부!$B$3:$B$502,MATCH($B2276,회원명부!$A$3:$A$502,0)),"미등록회원"))</f>
        <v/>
      </c>
      <c r="D2276" s="13"/>
      <c r="E2276" s="10"/>
      <c r="F2276" s="10"/>
      <c r="G2276" s="10"/>
    </row>
    <row r="2277" customFormat="false" ht="15" hidden="false" customHeight="true" outlineLevel="0" collapsed="false">
      <c r="A2277" s="12"/>
      <c r="B2277" s="10"/>
      <c r="C2277" s="15" t="str">
        <f aca="false">IF($B2277="","",IFERROR(INDEX(회원명부!$B$3:$B$502,MATCH($B2277,회원명부!$A$3:$A$502,0)),"미등록회원"))</f>
        <v/>
      </c>
      <c r="D2277" s="13"/>
      <c r="E2277" s="10"/>
      <c r="F2277" s="10"/>
      <c r="G2277" s="10"/>
    </row>
    <row r="2278" customFormat="false" ht="15" hidden="false" customHeight="true" outlineLevel="0" collapsed="false">
      <c r="A2278" s="12"/>
      <c r="B2278" s="10"/>
      <c r="C2278" s="15" t="str">
        <f aca="false">IF($B2278="","",IFERROR(INDEX(회원명부!$B$3:$B$502,MATCH($B2278,회원명부!$A$3:$A$502,0)),"미등록회원"))</f>
        <v/>
      </c>
      <c r="D2278" s="13"/>
      <c r="E2278" s="10"/>
      <c r="F2278" s="10"/>
      <c r="G2278" s="10"/>
    </row>
    <row r="2279" customFormat="false" ht="15" hidden="false" customHeight="true" outlineLevel="0" collapsed="false">
      <c r="A2279" s="12"/>
      <c r="B2279" s="10"/>
      <c r="C2279" s="15" t="str">
        <f aca="false">IF($B2279="","",IFERROR(INDEX(회원명부!$B$3:$B$502,MATCH($B2279,회원명부!$A$3:$A$502,0)),"미등록회원"))</f>
        <v/>
      </c>
      <c r="D2279" s="13"/>
      <c r="E2279" s="10"/>
      <c r="F2279" s="10"/>
      <c r="G2279" s="10"/>
    </row>
    <row r="2280" customFormat="false" ht="15" hidden="false" customHeight="true" outlineLevel="0" collapsed="false">
      <c r="A2280" s="12"/>
      <c r="B2280" s="10"/>
      <c r="C2280" s="15" t="str">
        <f aca="false">IF($B2280="","",IFERROR(INDEX(회원명부!$B$3:$B$502,MATCH($B2280,회원명부!$A$3:$A$502,0)),"미등록회원"))</f>
        <v/>
      </c>
      <c r="D2280" s="13"/>
      <c r="E2280" s="10"/>
      <c r="F2280" s="10"/>
      <c r="G2280" s="10"/>
    </row>
    <row r="2281" customFormat="false" ht="15" hidden="false" customHeight="true" outlineLevel="0" collapsed="false">
      <c r="A2281" s="12"/>
      <c r="B2281" s="10"/>
      <c r="C2281" s="15" t="str">
        <f aca="false">IF($B2281="","",IFERROR(INDEX(회원명부!$B$3:$B$502,MATCH($B2281,회원명부!$A$3:$A$502,0)),"미등록회원"))</f>
        <v/>
      </c>
      <c r="D2281" s="13"/>
      <c r="E2281" s="10"/>
      <c r="F2281" s="10"/>
      <c r="G2281" s="10"/>
    </row>
    <row r="2282" customFormat="false" ht="15" hidden="false" customHeight="true" outlineLevel="0" collapsed="false">
      <c r="A2282" s="12"/>
      <c r="B2282" s="10"/>
      <c r="C2282" s="15" t="str">
        <f aca="false">IF($B2282="","",IFERROR(INDEX(회원명부!$B$3:$B$502,MATCH($B2282,회원명부!$A$3:$A$502,0)),"미등록회원"))</f>
        <v/>
      </c>
      <c r="D2282" s="13"/>
      <c r="E2282" s="10"/>
      <c r="F2282" s="10"/>
      <c r="G2282" s="10"/>
    </row>
    <row r="2283" customFormat="false" ht="15" hidden="false" customHeight="true" outlineLevel="0" collapsed="false">
      <c r="A2283" s="12"/>
      <c r="B2283" s="10"/>
      <c r="C2283" s="15" t="str">
        <f aca="false">IF($B2283="","",IFERROR(INDEX(회원명부!$B$3:$B$502,MATCH($B2283,회원명부!$A$3:$A$502,0)),"미등록회원"))</f>
        <v/>
      </c>
      <c r="D2283" s="13"/>
      <c r="E2283" s="10"/>
      <c r="F2283" s="10"/>
      <c r="G2283" s="10"/>
    </row>
    <row r="2284" customFormat="false" ht="15" hidden="false" customHeight="true" outlineLevel="0" collapsed="false">
      <c r="A2284" s="12"/>
      <c r="B2284" s="10"/>
      <c r="C2284" s="15" t="str">
        <f aca="false">IF($B2284="","",IFERROR(INDEX(회원명부!$B$3:$B$502,MATCH($B2284,회원명부!$A$3:$A$502,0)),"미등록회원"))</f>
        <v/>
      </c>
      <c r="D2284" s="13"/>
      <c r="E2284" s="10"/>
      <c r="F2284" s="10"/>
      <c r="G2284" s="10"/>
    </row>
    <row r="2285" customFormat="false" ht="15" hidden="false" customHeight="true" outlineLevel="0" collapsed="false">
      <c r="A2285" s="12"/>
      <c r="B2285" s="10"/>
      <c r="C2285" s="15" t="str">
        <f aca="false">IF($B2285="","",IFERROR(INDEX(회원명부!$B$3:$B$502,MATCH($B2285,회원명부!$A$3:$A$502,0)),"미등록회원"))</f>
        <v/>
      </c>
      <c r="D2285" s="13"/>
      <c r="E2285" s="10"/>
      <c r="F2285" s="10"/>
      <c r="G2285" s="10"/>
    </row>
    <row r="2286" customFormat="false" ht="15" hidden="false" customHeight="true" outlineLevel="0" collapsed="false">
      <c r="A2286" s="12"/>
      <c r="B2286" s="10"/>
      <c r="C2286" s="15" t="str">
        <f aca="false">IF($B2286="","",IFERROR(INDEX(회원명부!$B$3:$B$502,MATCH($B2286,회원명부!$A$3:$A$502,0)),"미등록회원"))</f>
        <v/>
      </c>
      <c r="D2286" s="13"/>
      <c r="E2286" s="10"/>
      <c r="F2286" s="10"/>
      <c r="G2286" s="10"/>
    </row>
    <row r="2287" customFormat="false" ht="15" hidden="false" customHeight="true" outlineLevel="0" collapsed="false">
      <c r="A2287" s="12"/>
      <c r="B2287" s="10"/>
      <c r="C2287" s="15" t="str">
        <f aca="false">IF($B2287="","",IFERROR(INDEX(회원명부!$B$3:$B$502,MATCH($B2287,회원명부!$A$3:$A$502,0)),"미등록회원"))</f>
        <v/>
      </c>
      <c r="D2287" s="13"/>
      <c r="E2287" s="10"/>
      <c r="F2287" s="10"/>
      <c r="G2287" s="10"/>
    </row>
    <row r="2288" customFormat="false" ht="15" hidden="false" customHeight="true" outlineLevel="0" collapsed="false">
      <c r="A2288" s="12"/>
      <c r="B2288" s="10"/>
      <c r="C2288" s="15" t="str">
        <f aca="false">IF($B2288="","",IFERROR(INDEX(회원명부!$B$3:$B$502,MATCH($B2288,회원명부!$A$3:$A$502,0)),"미등록회원"))</f>
        <v/>
      </c>
      <c r="D2288" s="13"/>
      <c r="E2288" s="10"/>
      <c r="F2288" s="10"/>
      <c r="G2288" s="10"/>
    </row>
    <row r="2289" customFormat="false" ht="15" hidden="false" customHeight="true" outlineLevel="0" collapsed="false">
      <c r="A2289" s="12"/>
      <c r="B2289" s="10"/>
      <c r="C2289" s="15" t="str">
        <f aca="false">IF($B2289="","",IFERROR(INDEX(회원명부!$B$3:$B$502,MATCH($B2289,회원명부!$A$3:$A$502,0)),"미등록회원"))</f>
        <v/>
      </c>
      <c r="D2289" s="13"/>
      <c r="E2289" s="10"/>
      <c r="F2289" s="10"/>
      <c r="G2289" s="10"/>
    </row>
    <row r="2290" customFormat="false" ht="15" hidden="false" customHeight="true" outlineLevel="0" collapsed="false">
      <c r="A2290" s="12"/>
      <c r="B2290" s="10"/>
      <c r="C2290" s="15" t="str">
        <f aca="false">IF($B2290="","",IFERROR(INDEX(회원명부!$B$3:$B$502,MATCH($B2290,회원명부!$A$3:$A$502,0)),"미등록회원"))</f>
        <v/>
      </c>
      <c r="D2290" s="13"/>
      <c r="E2290" s="10"/>
      <c r="F2290" s="10"/>
      <c r="G2290" s="10"/>
    </row>
    <row r="2291" customFormat="false" ht="15" hidden="false" customHeight="true" outlineLevel="0" collapsed="false">
      <c r="A2291" s="12"/>
      <c r="B2291" s="10"/>
      <c r="C2291" s="15" t="str">
        <f aca="false">IF($B2291="","",IFERROR(INDEX(회원명부!$B$3:$B$502,MATCH($B2291,회원명부!$A$3:$A$502,0)),"미등록회원"))</f>
        <v/>
      </c>
      <c r="D2291" s="13"/>
      <c r="E2291" s="10"/>
      <c r="F2291" s="10"/>
      <c r="G2291" s="10"/>
    </row>
    <row r="2292" customFormat="false" ht="15" hidden="false" customHeight="true" outlineLevel="0" collapsed="false">
      <c r="A2292" s="12"/>
      <c r="B2292" s="10"/>
      <c r="C2292" s="15" t="str">
        <f aca="false">IF($B2292="","",IFERROR(INDEX(회원명부!$B$3:$B$502,MATCH($B2292,회원명부!$A$3:$A$502,0)),"미등록회원"))</f>
        <v/>
      </c>
      <c r="D2292" s="13"/>
      <c r="E2292" s="10"/>
      <c r="F2292" s="10"/>
      <c r="G2292" s="10"/>
    </row>
    <row r="2293" customFormat="false" ht="15" hidden="false" customHeight="true" outlineLevel="0" collapsed="false">
      <c r="A2293" s="12"/>
      <c r="B2293" s="10"/>
      <c r="C2293" s="15" t="str">
        <f aca="false">IF($B2293="","",IFERROR(INDEX(회원명부!$B$3:$B$502,MATCH($B2293,회원명부!$A$3:$A$502,0)),"미등록회원"))</f>
        <v/>
      </c>
      <c r="D2293" s="13"/>
      <c r="E2293" s="10"/>
      <c r="F2293" s="10"/>
      <c r="G2293" s="10"/>
    </row>
    <row r="2294" customFormat="false" ht="15" hidden="false" customHeight="true" outlineLevel="0" collapsed="false">
      <c r="A2294" s="12"/>
      <c r="B2294" s="10"/>
      <c r="C2294" s="15" t="str">
        <f aca="false">IF($B2294="","",IFERROR(INDEX(회원명부!$B$3:$B$502,MATCH($B2294,회원명부!$A$3:$A$502,0)),"미등록회원"))</f>
        <v/>
      </c>
      <c r="D2294" s="13"/>
      <c r="E2294" s="10"/>
      <c r="F2294" s="10"/>
      <c r="G2294" s="10"/>
    </row>
    <row r="2295" customFormat="false" ht="15" hidden="false" customHeight="true" outlineLevel="0" collapsed="false">
      <c r="A2295" s="12"/>
      <c r="B2295" s="10"/>
      <c r="C2295" s="15" t="str">
        <f aca="false">IF($B2295="","",IFERROR(INDEX(회원명부!$B$3:$B$502,MATCH($B2295,회원명부!$A$3:$A$502,0)),"미등록회원"))</f>
        <v/>
      </c>
      <c r="D2295" s="13"/>
      <c r="E2295" s="10"/>
      <c r="F2295" s="10"/>
      <c r="G2295" s="10"/>
    </row>
    <row r="2296" customFormat="false" ht="15" hidden="false" customHeight="true" outlineLevel="0" collapsed="false">
      <c r="A2296" s="12"/>
      <c r="B2296" s="10"/>
      <c r="C2296" s="15" t="str">
        <f aca="false">IF($B2296="","",IFERROR(INDEX(회원명부!$B$3:$B$502,MATCH($B2296,회원명부!$A$3:$A$502,0)),"미등록회원"))</f>
        <v/>
      </c>
      <c r="D2296" s="13"/>
      <c r="E2296" s="10"/>
      <c r="F2296" s="10"/>
      <c r="G2296" s="10"/>
    </row>
    <row r="2297" customFormat="false" ht="15" hidden="false" customHeight="true" outlineLevel="0" collapsed="false">
      <c r="A2297" s="12"/>
      <c r="B2297" s="10"/>
      <c r="C2297" s="15" t="str">
        <f aca="false">IF($B2297="","",IFERROR(INDEX(회원명부!$B$3:$B$502,MATCH($B2297,회원명부!$A$3:$A$502,0)),"미등록회원"))</f>
        <v/>
      </c>
      <c r="D2297" s="13"/>
      <c r="E2297" s="10"/>
      <c r="F2297" s="10"/>
      <c r="G2297" s="10"/>
    </row>
    <row r="2298" customFormat="false" ht="15" hidden="false" customHeight="true" outlineLevel="0" collapsed="false">
      <c r="A2298" s="12"/>
      <c r="B2298" s="10"/>
      <c r="C2298" s="15" t="str">
        <f aca="false">IF($B2298="","",IFERROR(INDEX(회원명부!$B$3:$B$502,MATCH($B2298,회원명부!$A$3:$A$502,0)),"미등록회원"))</f>
        <v/>
      </c>
      <c r="D2298" s="13"/>
      <c r="E2298" s="10"/>
      <c r="F2298" s="10"/>
      <c r="G2298" s="10"/>
    </row>
    <row r="2299" customFormat="false" ht="15" hidden="false" customHeight="true" outlineLevel="0" collapsed="false">
      <c r="A2299" s="12"/>
      <c r="B2299" s="10"/>
      <c r="C2299" s="15" t="str">
        <f aca="false">IF($B2299="","",IFERROR(INDEX(회원명부!$B$3:$B$502,MATCH($B2299,회원명부!$A$3:$A$502,0)),"미등록회원"))</f>
        <v/>
      </c>
      <c r="D2299" s="13"/>
      <c r="E2299" s="10"/>
      <c r="F2299" s="10"/>
      <c r="G2299" s="10"/>
    </row>
    <row r="2300" customFormat="false" ht="15" hidden="false" customHeight="true" outlineLevel="0" collapsed="false">
      <c r="A2300" s="12"/>
      <c r="B2300" s="10"/>
      <c r="C2300" s="15" t="str">
        <f aca="false">IF($B2300="","",IFERROR(INDEX(회원명부!$B$3:$B$502,MATCH($B2300,회원명부!$A$3:$A$502,0)),"미등록회원"))</f>
        <v/>
      </c>
      <c r="D2300" s="13"/>
      <c r="E2300" s="10"/>
      <c r="F2300" s="10"/>
      <c r="G2300" s="10"/>
    </row>
    <row r="2301" customFormat="false" ht="15" hidden="false" customHeight="true" outlineLevel="0" collapsed="false">
      <c r="A2301" s="12"/>
      <c r="B2301" s="10"/>
      <c r="C2301" s="15" t="str">
        <f aca="false">IF($B2301="","",IFERROR(INDEX(회원명부!$B$3:$B$502,MATCH($B2301,회원명부!$A$3:$A$502,0)),"미등록회원"))</f>
        <v/>
      </c>
      <c r="D2301" s="13"/>
      <c r="E2301" s="10"/>
      <c r="F2301" s="10"/>
      <c r="G2301" s="10"/>
    </row>
    <row r="2302" customFormat="false" ht="15" hidden="false" customHeight="true" outlineLevel="0" collapsed="false">
      <c r="A2302" s="12"/>
      <c r="B2302" s="10"/>
      <c r="C2302" s="15" t="str">
        <f aca="false">IF($B2302="","",IFERROR(INDEX(회원명부!$B$3:$B$502,MATCH($B2302,회원명부!$A$3:$A$502,0)),"미등록회원"))</f>
        <v/>
      </c>
      <c r="D2302" s="13"/>
      <c r="E2302" s="10"/>
      <c r="F2302" s="10"/>
      <c r="G2302" s="10"/>
    </row>
    <row r="2303" customFormat="false" ht="15" hidden="false" customHeight="true" outlineLevel="0" collapsed="false">
      <c r="A2303" s="12"/>
      <c r="B2303" s="10"/>
      <c r="C2303" s="15" t="str">
        <f aca="false">IF($B2303="","",IFERROR(INDEX(회원명부!$B$3:$B$502,MATCH($B2303,회원명부!$A$3:$A$502,0)),"미등록회원"))</f>
        <v/>
      </c>
      <c r="D2303" s="13"/>
      <c r="E2303" s="10"/>
      <c r="F2303" s="10"/>
      <c r="G2303" s="10"/>
    </row>
    <row r="2304" customFormat="false" ht="15" hidden="false" customHeight="true" outlineLevel="0" collapsed="false">
      <c r="A2304" s="12"/>
      <c r="B2304" s="10"/>
      <c r="C2304" s="15" t="str">
        <f aca="false">IF($B2304="","",IFERROR(INDEX(회원명부!$B$3:$B$502,MATCH($B2304,회원명부!$A$3:$A$502,0)),"미등록회원"))</f>
        <v/>
      </c>
      <c r="D2304" s="13"/>
      <c r="E2304" s="10"/>
      <c r="F2304" s="10"/>
      <c r="G2304" s="10"/>
    </row>
    <row r="2305" customFormat="false" ht="15" hidden="false" customHeight="true" outlineLevel="0" collapsed="false">
      <c r="A2305" s="12"/>
      <c r="B2305" s="10"/>
      <c r="C2305" s="15" t="str">
        <f aca="false">IF($B2305="","",IFERROR(INDEX(회원명부!$B$3:$B$502,MATCH($B2305,회원명부!$A$3:$A$502,0)),"미등록회원"))</f>
        <v/>
      </c>
      <c r="D2305" s="13"/>
      <c r="E2305" s="10"/>
      <c r="F2305" s="10"/>
      <c r="G2305" s="10"/>
    </row>
    <row r="2306" customFormat="false" ht="15" hidden="false" customHeight="true" outlineLevel="0" collapsed="false">
      <c r="A2306" s="12"/>
      <c r="B2306" s="10"/>
      <c r="C2306" s="15" t="str">
        <f aca="false">IF($B2306="","",IFERROR(INDEX(회원명부!$B$3:$B$502,MATCH($B2306,회원명부!$A$3:$A$502,0)),"미등록회원"))</f>
        <v/>
      </c>
      <c r="D2306" s="13"/>
      <c r="E2306" s="10"/>
      <c r="F2306" s="10"/>
      <c r="G2306" s="10"/>
    </row>
    <row r="2307" customFormat="false" ht="15" hidden="false" customHeight="true" outlineLevel="0" collapsed="false">
      <c r="A2307" s="12"/>
      <c r="B2307" s="10"/>
      <c r="C2307" s="15" t="str">
        <f aca="false">IF($B2307="","",IFERROR(INDEX(회원명부!$B$3:$B$502,MATCH($B2307,회원명부!$A$3:$A$502,0)),"미등록회원"))</f>
        <v/>
      </c>
      <c r="D2307" s="13"/>
      <c r="E2307" s="10"/>
      <c r="F2307" s="10"/>
      <c r="G2307" s="10"/>
    </row>
    <row r="2308" customFormat="false" ht="15" hidden="false" customHeight="true" outlineLevel="0" collapsed="false">
      <c r="A2308" s="12"/>
      <c r="B2308" s="10"/>
      <c r="C2308" s="15" t="str">
        <f aca="false">IF($B2308="","",IFERROR(INDEX(회원명부!$B$3:$B$502,MATCH($B2308,회원명부!$A$3:$A$502,0)),"미등록회원"))</f>
        <v/>
      </c>
      <c r="D2308" s="13"/>
      <c r="E2308" s="10"/>
      <c r="F2308" s="10"/>
      <c r="G2308" s="10"/>
    </row>
    <row r="2309" customFormat="false" ht="15" hidden="false" customHeight="true" outlineLevel="0" collapsed="false">
      <c r="A2309" s="12"/>
      <c r="B2309" s="10"/>
      <c r="C2309" s="15" t="str">
        <f aca="false">IF($B2309="","",IFERROR(INDEX(회원명부!$B$3:$B$502,MATCH($B2309,회원명부!$A$3:$A$502,0)),"미등록회원"))</f>
        <v/>
      </c>
      <c r="D2309" s="13"/>
      <c r="E2309" s="10"/>
      <c r="F2309" s="10"/>
      <c r="G2309" s="10"/>
    </row>
    <row r="2310" customFormat="false" ht="15" hidden="false" customHeight="true" outlineLevel="0" collapsed="false">
      <c r="A2310" s="12"/>
      <c r="B2310" s="10"/>
      <c r="C2310" s="15" t="str">
        <f aca="false">IF($B2310="","",IFERROR(INDEX(회원명부!$B$3:$B$502,MATCH($B2310,회원명부!$A$3:$A$502,0)),"미등록회원"))</f>
        <v/>
      </c>
      <c r="D2310" s="13"/>
      <c r="E2310" s="10"/>
      <c r="F2310" s="10"/>
      <c r="G2310" s="10"/>
    </row>
    <row r="2311" customFormat="false" ht="15" hidden="false" customHeight="true" outlineLevel="0" collapsed="false">
      <c r="A2311" s="12"/>
      <c r="B2311" s="10"/>
      <c r="C2311" s="15" t="str">
        <f aca="false">IF($B2311="","",IFERROR(INDEX(회원명부!$B$3:$B$502,MATCH($B2311,회원명부!$A$3:$A$502,0)),"미등록회원"))</f>
        <v/>
      </c>
      <c r="D2311" s="13"/>
      <c r="E2311" s="10"/>
      <c r="F2311" s="10"/>
      <c r="G2311" s="10"/>
    </row>
    <row r="2312" customFormat="false" ht="15" hidden="false" customHeight="true" outlineLevel="0" collapsed="false">
      <c r="A2312" s="12"/>
      <c r="B2312" s="10"/>
      <c r="C2312" s="15" t="str">
        <f aca="false">IF($B2312="","",IFERROR(INDEX(회원명부!$B$3:$B$502,MATCH($B2312,회원명부!$A$3:$A$502,0)),"미등록회원"))</f>
        <v/>
      </c>
      <c r="D2312" s="13"/>
      <c r="E2312" s="10"/>
      <c r="F2312" s="10"/>
      <c r="G2312" s="10"/>
    </row>
    <row r="2313" customFormat="false" ht="15" hidden="false" customHeight="true" outlineLevel="0" collapsed="false">
      <c r="A2313" s="12"/>
      <c r="B2313" s="10"/>
      <c r="C2313" s="15" t="str">
        <f aca="false">IF($B2313="","",IFERROR(INDEX(회원명부!$B$3:$B$502,MATCH($B2313,회원명부!$A$3:$A$502,0)),"미등록회원"))</f>
        <v/>
      </c>
      <c r="D2313" s="13"/>
      <c r="E2313" s="10"/>
      <c r="F2313" s="10"/>
      <c r="G2313" s="10"/>
    </row>
    <row r="2314" customFormat="false" ht="15" hidden="false" customHeight="true" outlineLevel="0" collapsed="false">
      <c r="A2314" s="12"/>
      <c r="B2314" s="10"/>
      <c r="C2314" s="15" t="str">
        <f aca="false">IF($B2314="","",IFERROR(INDEX(회원명부!$B$3:$B$502,MATCH($B2314,회원명부!$A$3:$A$502,0)),"미등록회원"))</f>
        <v/>
      </c>
      <c r="D2314" s="13"/>
      <c r="E2314" s="10"/>
      <c r="F2314" s="10"/>
      <c r="G2314" s="10"/>
    </row>
    <row r="2315" customFormat="false" ht="15" hidden="false" customHeight="true" outlineLevel="0" collapsed="false">
      <c r="A2315" s="12"/>
      <c r="B2315" s="10"/>
      <c r="C2315" s="15" t="str">
        <f aca="false">IF($B2315="","",IFERROR(INDEX(회원명부!$B$3:$B$502,MATCH($B2315,회원명부!$A$3:$A$502,0)),"미등록회원"))</f>
        <v/>
      </c>
      <c r="D2315" s="13"/>
      <c r="E2315" s="10"/>
      <c r="F2315" s="10"/>
      <c r="G2315" s="10"/>
    </row>
    <row r="2316" customFormat="false" ht="15" hidden="false" customHeight="true" outlineLevel="0" collapsed="false">
      <c r="A2316" s="12"/>
      <c r="B2316" s="10"/>
      <c r="C2316" s="15" t="str">
        <f aca="false">IF($B2316="","",IFERROR(INDEX(회원명부!$B$3:$B$502,MATCH($B2316,회원명부!$A$3:$A$502,0)),"미등록회원"))</f>
        <v/>
      </c>
      <c r="D2316" s="13"/>
      <c r="E2316" s="10"/>
      <c r="F2316" s="10"/>
      <c r="G2316" s="10"/>
    </row>
    <row r="2317" customFormat="false" ht="15" hidden="false" customHeight="true" outlineLevel="0" collapsed="false">
      <c r="A2317" s="12"/>
      <c r="B2317" s="10"/>
      <c r="C2317" s="15" t="str">
        <f aca="false">IF($B2317="","",IFERROR(INDEX(회원명부!$B$3:$B$502,MATCH($B2317,회원명부!$A$3:$A$502,0)),"미등록회원"))</f>
        <v/>
      </c>
      <c r="D2317" s="13"/>
      <c r="E2317" s="10"/>
      <c r="F2317" s="10"/>
      <c r="G2317" s="10"/>
    </row>
    <row r="2318" customFormat="false" ht="15" hidden="false" customHeight="true" outlineLevel="0" collapsed="false">
      <c r="A2318" s="12"/>
      <c r="B2318" s="10"/>
      <c r="C2318" s="15" t="str">
        <f aca="false">IF($B2318="","",IFERROR(INDEX(회원명부!$B$3:$B$502,MATCH($B2318,회원명부!$A$3:$A$502,0)),"미등록회원"))</f>
        <v/>
      </c>
      <c r="D2318" s="13"/>
      <c r="E2318" s="10"/>
      <c r="F2318" s="10"/>
      <c r="G2318" s="10"/>
    </row>
    <row r="2319" customFormat="false" ht="15" hidden="false" customHeight="true" outlineLevel="0" collapsed="false">
      <c r="A2319" s="12"/>
      <c r="B2319" s="10"/>
      <c r="C2319" s="15" t="str">
        <f aca="false">IF($B2319="","",IFERROR(INDEX(회원명부!$B$3:$B$502,MATCH($B2319,회원명부!$A$3:$A$502,0)),"미등록회원"))</f>
        <v/>
      </c>
      <c r="D2319" s="13"/>
      <c r="E2319" s="10"/>
      <c r="F2319" s="10"/>
      <c r="G2319" s="10"/>
    </row>
    <row r="2320" customFormat="false" ht="15" hidden="false" customHeight="true" outlineLevel="0" collapsed="false">
      <c r="A2320" s="12"/>
      <c r="B2320" s="10"/>
      <c r="C2320" s="15" t="str">
        <f aca="false">IF($B2320="","",IFERROR(INDEX(회원명부!$B$3:$B$502,MATCH($B2320,회원명부!$A$3:$A$502,0)),"미등록회원"))</f>
        <v/>
      </c>
      <c r="D2320" s="13"/>
      <c r="E2320" s="10"/>
      <c r="F2320" s="10"/>
      <c r="G2320" s="10"/>
    </row>
    <row r="2321" customFormat="false" ht="15" hidden="false" customHeight="true" outlineLevel="0" collapsed="false">
      <c r="A2321" s="12"/>
      <c r="B2321" s="10"/>
      <c r="C2321" s="15" t="str">
        <f aca="false">IF($B2321="","",IFERROR(INDEX(회원명부!$B$3:$B$502,MATCH($B2321,회원명부!$A$3:$A$502,0)),"미등록회원"))</f>
        <v/>
      </c>
      <c r="D2321" s="13"/>
      <c r="E2321" s="10"/>
      <c r="F2321" s="10"/>
      <c r="G2321" s="10"/>
    </row>
    <row r="2322" customFormat="false" ht="15" hidden="false" customHeight="true" outlineLevel="0" collapsed="false">
      <c r="A2322" s="12"/>
      <c r="B2322" s="10"/>
      <c r="C2322" s="15" t="str">
        <f aca="false">IF($B2322="","",IFERROR(INDEX(회원명부!$B$3:$B$502,MATCH($B2322,회원명부!$A$3:$A$502,0)),"미등록회원"))</f>
        <v/>
      </c>
      <c r="D2322" s="13"/>
      <c r="E2322" s="10"/>
      <c r="F2322" s="10"/>
      <c r="G2322" s="10"/>
    </row>
    <row r="2323" customFormat="false" ht="15" hidden="false" customHeight="true" outlineLevel="0" collapsed="false">
      <c r="A2323" s="12"/>
      <c r="B2323" s="10"/>
      <c r="C2323" s="15" t="str">
        <f aca="false">IF($B2323="","",IFERROR(INDEX(회원명부!$B$3:$B$502,MATCH($B2323,회원명부!$A$3:$A$502,0)),"미등록회원"))</f>
        <v/>
      </c>
      <c r="D2323" s="13"/>
      <c r="E2323" s="10"/>
      <c r="F2323" s="10"/>
      <c r="G2323" s="10"/>
    </row>
    <row r="2324" customFormat="false" ht="15" hidden="false" customHeight="true" outlineLevel="0" collapsed="false">
      <c r="A2324" s="12"/>
      <c r="B2324" s="10"/>
      <c r="C2324" s="15" t="str">
        <f aca="false">IF($B2324="","",IFERROR(INDEX(회원명부!$B$3:$B$502,MATCH($B2324,회원명부!$A$3:$A$502,0)),"미등록회원"))</f>
        <v/>
      </c>
      <c r="D2324" s="13"/>
      <c r="E2324" s="10"/>
      <c r="F2324" s="10"/>
      <c r="G2324" s="10"/>
    </row>
    <row r="2325" customFormat="false" ht="15" hidden="false" customHeight="true" outlineLevel="0" collapsed="false">
      <c r="A2325" s="12"/>
      <c r="B2325" s="10"/>
      <c r="C2325" s="15" t="str">
        <f aca="false">IF($B2325="","",IFERROR(INDEX(회원명부!$B$3:$B$502,MATCH($B2325,회원명부!$A$3:$A$502,0)),"미등록회원"))</f>
        <v/>
      </c>
      <c r="D2325" s="13"/>
      <c r="E2325" s="10"/>
      <c r="F2325" s="10"/>
      <c r="G2325" s="10"/>
    </row>
    <row r="2326" customFormat="false" ht="15" hidden="false" customHeight="true" outlineLevel="0" collapsed="false">
      <c r="A2326" s="12"/>
      <c r="B2326" s="10"/>
      <c r="C2326" s="15" t="str">
        <f aca="false">IF($B2326="","",IFERROR(INDEX(회원명부!$B$3:$B$502,MATCH($B2326,회원명부!$A$3:$A$502,0)),"미등록회원"))</f>
        <v/>
      </c>
      <c r="D2326" s="13"/>
      <c r="E2326" s="10"/>
      <c r="F2326" s="10"/>
      <c r="G2326" s="10"/>
    </row>
    <row r="2327" customFormat="false" ht="15" hidden="false" customHeight="true" outlineLevel="0" collapsed="false">
      <c r="A2327" s="12"/>
      <c r="B2327" s="10"/>
      <c r="C2327" s="15" t="str">
        <f aca="false">IF($B2327="","",IFERROR(INDEX(회원명부!$B$3:$B$502,MATCH($B2327,회원명부!$A$3:$A$502,0)),"미등록회원"))</f>
        <v/>
      </c>
      <c r="D2327" s="13"/>
      <c r="E2327" s="10"/>
      <c r="F2327" s="10"/>
      <c r="G2327" s="10"/>
    </row>
    <row r="2328" customFormat="false" ht="15" hidden="false" customHeight="true" outlineLevel="0" collapsed="false">
      <c r="A2328" s="12"/>
      <c r="B2328" s="10"/>
      <c r="C2328" s="15" t="str">
        <f aca="false">IF($B2328="","",IFERROR(INDEX(회원명부!$B$3:$B$502,MATCH($B2328,회원명부!$A$3:$A$502,0)),"미등록회원"))</f>
        <v/>
      </c>
      <c r="D2328" s="13"/>
      <c r="E2328" s="10"/>
      <c r="F2328" s="10"/>
      <c r="G2328" s="10"/>
    </row>
    <row r="2329" customFormat="false" ht="15" hidden="false" customHeight="true" outlineLevel="0" collapsed="false">
      <c r="A2329" s="12"/>
      <c r="B2329" s="10"/>
      <c r="C2329" s="15" t="str">
        <f aca="false">IF($B2329="","",IFERROR(INDEX(회원명부!$B$3:$B$502,MATCH($B2329,회원명부!$A$3:$A$502,0)),"미등록회원"))</f>
        <v/>
      </c>
      <c r="D2329" s="13"/>
      <c r="E2329" s="10"/>
      <c r="F2329" s="10"/>
      <c r="G2329" s="10"/>
    </row>
    <row r="2330" customFormat="false" ht="15" hidden="false" customHeight="true" outlineLevel="0" collapsed="false">
      <c r="A2330" s="12"/>
      <c r="B2330" s="10"/>
      <c r="C2330" s="15" t="str">
        <f aca="false">IF($B2330="","",IFERROR(INDEX(회원명부!$B$3:$B$502,MATCH($B2330,회원명부!$A$3:$A$502,0)),"미등록회원"))</f>
        <v/>
      </c>
      <c r="D2330" s="13"/>
      <c r="E2330" s="10"/>
      <c r="F2330" s="10"/>
      <c r="G2330" s="10"/>
    </row>
    <row r="2331" customFormat="false" ht="15" hidden="false" customHeight="true" outlineLevel="0" collapsed="false">
      <c r="A2331" s="12"/>
      <c r="B2331" s="10"/>
      <c r="C2331" s="15" t="str">
        <f aca="false">IF($B2331="","",IFERROR(INDEX(회원명부!$B$3:$B$502,MATCH($B2331,회원명부!$A$3:$A$502,0)),"미등록회원"))</f>
        <v/>
      </c>
      <c r="D2331" s="13"/>
      <c r="E2331" s="10"/>
      <c r="F2331" s="10"/>
      <c r="G2331" s="10"/>
    </row>
    <row r="2332" customFormat="false" ht="15" hidden="false" customHeight="true" outlineLevel="0" collapsed="false">
      <c r="A2332" s="12"/>
      <c r="B2332" s="10"/>
      <c r="C2332" s="15" t="str">
        <f aca="false">IF($B2332="","",IFERROR(INDEX(회원명부!$B$3:$B$502,MATCH($B2332,회원명부!$A$3:$A$502,0)),"미등록회원"))</f>
        <v/>
      </c>
      <c r="D2332" s="13"/>
      <c r="E2332" s="10"/>
      <c r="F2332" s="10"/>
      <c r="G2332" s="10"/>
    </row>
    <row r="2333" customFormat="false" ht="15" hidden="false" customHeight="true" outlineLevel="0" collapsed="false">
      <c r="A2333" s="12"/>
      <c r="B2333" s="10"/>
      <c r="C2333" s="15" t="str">
        <f aca="false">IF($B2333="","",IFERROR(INDEX(회원명부!$B$3:$B$502,MATCH($B2333,회원명부!$A$3:$A$502,0)),"미등록회원"))</f>
        <v/>
      </c>
      <c r="D2333" s="13"/>
      <c r="E2333" s="10"/>
      <c r="F2333" s="10"/>
      <c r="G2333" s="10"/>
    </row>
    <row r="2334" customFormat="false" ht="15" hidden="false" customHeight="true" outlineLevel="0" collapsed="false">
      <c r="A2334" s="12"/>
      <c r="B2334" s="10"/>
      <c r="C2334" s="15" t="str">
        <f aca="false">IF($B2334="","",IFERROR(INDEX(회원명부!$B$3:$B$502,MATCH($B2334,회원명부!$A$3:$A$502,0)),"미등록회원"))</f>
        <v/>
      </c>
      <c r="D2334" s="13"/>
      <c r="E2334" s="10"/>
      <c r="F2334" s="10"/>
      <c r="G2334" s="10"/>
    </row>
    <row r="2335" customFormat="false" ht="15" hidden="false" customHeight="true" outlineLevel="0" collapsed="false">
      <c r="A2335" s="12"/>
      <c r="B2335" s="10"/>
      <c r="C2335" s="15" t="str">
        <f aca="false">IF($B2335="","",IFERROR(INDEX(회원명부!$B$3:$B$502,MATCH($B2335,회원명부!$A$3:$A$502,0)),"미등록회원"))</f>
        <v/>
      </c>
      <c r="D2335" s="13"/>
      <c r="E2335" s="10"/>
      <c r="F2335" s="10"/>
      <c r="G2335" s="10"/>
    </row>
    <row r="2336" customFormat="false" ht="15" hidden="false" customHeight="true" outlineLevel="0" collapsed="false">
      <c r="A2336" s="12"/>
      <c r="B2336" s="10"/>
      <c r="C2336" s="15" t="str">
        <f aca="false">IF($B2336="","",IFERROR(INDEX(회원명부!$B$3:$B$502,MATCH($B2336,회원명부!$A$3:$A$502,0)),"미등록회원"))</f>
        <v/>
      </c>
      <c r="D2336" s="13"/>
      <c r="E2336" s="10"/>
      <c r="F2336" s="10"/>
      <c r="G2336" s="10"/>
    </row>
    <row r="2337" customFormat="false" ht="15" hidden="false" customHeight="true" outlineLevel="0" collapsed="false">
      <c r="A2337" s="12"/>
      <c r="B2337" s="10"/>
      <c r="C2337" s="15" t="str">
        <f aca="false">IF($B2337="","",IFERROR(INDEX(회원명부!$B$3:$B$502,MATCH($B2337,회원명부!$A$3:$A$502,0)),"미등록회원"))</f>
        <v/>
      </c>
      <c r="D2337" s="13"/>
      <c r="E2337" s="10"/>
      <c r="F2337" s="10"/>
      <c r="G2337" s="10"/>
    </row>
    <row r="2338" customFormat="false" ht="15" hidden="false" customHeight="true" outlineLevel="0" collapsed="false">
      <c r="A2338" s="12"/>
      <c r="B2338" s="10"/>
      <c r="C2338" s="15" t="str">
        <f aca="false">IF($B2338="","",IFERROR(INDEX(회원명부!$B$3:$B$502,MATCH($B2338,회원명부!$A$3:$A$502,0)),"미등록회원"))</f>
        <v/>
      </c>
      <c r="D2338" s="13"/>
      <c r="E2338" s="10"/>
      <c r="F2338" s="10"/>
      <c r="G2338" s="10"/>
    </row>
    <row r="2339" customFormat="false" ht="15" hidden="false" customHeight="true" outlineLevel="0" collapsed="false">
      <c r="A2339" s="12"/>
      <c r="B2339" s="10"/>
      <c r="C2339" s="15" t="str">
        <f aca="false">IF($B2339="","",IFERROR(INDEX(회원명부!$B$3:$B$502,MATCH($B2339,회원명부!$A$3:$A$502,0)),"미등록회원"))</f>
        <v/>
      </c>
      <c r="D2339" s="13"/>
      <c r="E2339" s="10"/>
      <c r="F2339" s="10"/>
      <c r="G2339" s="10"/>
    </row>
    <row r="2340" customFormat="false" ht="15" hidden="false" customHeight="true" outlineLevel="0" collapsed="false">
      <c r="A2340" s="12"/>
      <c r="B2340" s="10"/>
      <c r="C2340" s="15" t="str">
        <f aca="false">IF($B2340="","",IFERROR(INDEX(회원명부!$B$3:$B$502,MATCH($B2340,회원명부!$A$3:$A$502,0)),"미등록회원"))</f>
        <v/>
      </c>
      <c r="D2340" s="13"/>
      <c r="E2340" s="10"/>
      <c r="F2340" s="10"/>
      <c r="G2340" s="10"/>
    </row>
    <row r="2341" customFormat="false" ht="15" hidden="false" customHeight="true" outlineLevel="0" collapsed="false">
      <c r="A2341" s="12"/>
      <c r="B2341" s="10"/>
      <c r="C2341" s="15" t="str">
        <f aca="false">IF($B2341="","",IFERROR(INDEX(회원명부!$B$3:$B$502,MATCH($B2341,회원명부!$A$3:$A$502,0)),"미등록회원"))</f>
        <v/>
      </c>
      <c r="D2341" s="13"/>
      <c r="E2341" s="10"/>
      <c r="F2341" s="10"/>
      <c r="G2341" s="10"/>
    </row>
    <row r="2342" customFormat="false" ht="15" hidden="false" customHeight="true" outlineLevel="0" collapsed="false">
      <c r="A2342" s="12"/>
      <c r="B2342" s="10"/>
      <c r="C2342" s="15" t="str">
        <f aca="false">IF($B2342="","",IFERROR(INDEX(회원명부!$B$3:$B$502,MATCH($B2342,회원명부!$A$3:$A$502,0)),"미등록회원"))</f>
        <v/>
      </c>
      <c r="D2342" s="13"/>
      <c r="E2342" s="10"/>
      <c r="F2342" s="10"/>
      <c r="G2342" s="10"/>
    </row>
    <row r="2343" customFormat="false" ht="15" hidden="false" customHeight="true" outlineLevel="0" collapsed="false">
      <c r="A2343" s="12"/>
      <c r="B2343" s="10"/>
      <c r="C2343" s="15" t="str">
        <f aca="false">IF($B2343="","",IFERROR(INDEX(회원명부!$B$3:$B$502,MATCH($B2343,회원명부!$A$3:$A$502,0)),"미등록회원"))</f>
        <v/>
      </c>
      <c r="D2343" s="13"/>
      <c r="E2343" s="10"/>
      <c r="F2343" s="10"/>
      <c r="G2343" s="10"/>
    </row>
    <row r="2344" customFormat="false" ht="15" hidden="false" customHeight="true" outlineLevel="0" collapsed="false">
      <c r="A2344" s="12"/>
      <c r="B2344" s="10"/>
      <c r="C2344" s="15" t="str">
        <f aca="false">IF($B2344="","",IFERROR(INDEX(회원명부!$B$3:$B$502,MATCH($B2344,회원명부!$A$3:$A$502,0)),"미등록회원"))</f>
        <v/>
      </c>
      <c r="D2344" s="13"/>
      <c r="E2344" s="10"/>
      <c r="F2344" s="10"/>
      <c r="G2344" s="10"/>
    </row>
    <row r="2345" customFormat="false" ht="15" hidden="false" customHeight="true" outlineLevel="0" collapsed="false">
      <c r="A2345" s="12"/>
      <c r="B2345" s="10"/>
      <c r="C2345" s="15" t="str">
        <f aca="false">IF($B2345="","",IFERROR(INDEX(회원명부!$B$3:$B$502,MATCH($B2345,회원명부!$A$3:$A$502,0)),"미등록회원"))</f>
        <v/>
      </c>
      <c r="D2345" s="13"/>
      <c r="E2345" s="10"/>
      <c r="F2345" s="10"/>
      <c r="G2345" s="10"/>
    </row>
    <row r="2346" customFormat="false" ht="15" hidden="false" customHeight="true" outlineLevel="0" collapsed="false">
      <c r="A2346" s="12"/>
      <c r="B2346" s="10"/>
      <c r="C2346" s="15" t="str">
        <f aca="false">IF($B2346="","",IFERROR(INDEX(회원명부!$B$3:$B$502,MATCH($B2346,회원명부!$A$3:$A$502,0)),"미등록회원"))</f>
        <v/>
      </c>
      <c r="D2346" s="13"/>
      <c r="E2346" s="10"/>
      <c r="F2346" s="10"/>
      <c r="G2346" s="10"/>
    </row>
    <row r="2347" customFormat="false" ht="15" hidden="false" customHeight="true" outlineLevel="0" collapsed="false">
      <c r="A2347" s="12"/>
      <c r="B2347" s="10"/>
      <c r="C2347" s="15" t="str">
        <f aca="false">IF($B2347="","",IFERROR(INDEX(회원명부!$B$3:$B$502,MATCH($B2347,회원명부!$A$3:$A$502,0)),"미등록회원"))</f>
        <v/>
      </c>
      <c r="D2347" s="13"/>
      <c r="E2347" s="10"/>
      <c r="F2347" s="10"/>
      <c r="G2347" s="10"/>
    </row>
    <row r="2348" customFormat="false" ht="15" hidden="false" customHeight="true" outlineLevel="0" collapsed="false">
      <c r="A2348" s="12"/>
      <c r="B2348" s="10"/>
      <c r="C2348" s="15" t="str">
        <f aca="false">IF($B2348="","",IFERROR(INDEX(회원명부!$B$3:$B$502,MATCH($B2348,회원명부!$A$3:$A$502,0)),"미등록회원"))</f>
        <v/>
      </c>
      <c r="D2348" s="13"/>
      <c r="E2348" s="10"/>
      <c r="F2348" s="10"/>
      <c r="G2348" s="10"/>
    </row>
    <row r="2349" customFormat="false" ht="15" hidden="false" customHeight="true" outlineLevel="0" collapsed="false">
      <c r="A2349" s="12"/>
      <c r="B2349" s="10"/>
      <c r="C2349" s="15" t="str">
        <f aca="false">IF($B2349="","",IFERROR(INDEX(회원명부!$B$3:$B$502,MATCH($B2349,회원명부!$A$3:$A$502,0)),"미등록회원"))</f>
        <v/>
      </c>
      <c r="D2349" s="13"/>
      <c r="E2349" s="10"/>
      <c r="F2349" s="10"/>
      <c r="G2349" s="10"/>
    </row>
    <row r="2350" customFormat="false" ht="15" hidden="false" customHeight="true" outlineLevel="0" collapsed="false">
      <c r="A2350" s="12"/>
      <c r="B2350" s="10"/>
      <c r="C2350" s="15" t="str">
        <f aca="false">IF($B2350="","",IFERROR(INDEX(회원명부!$B$3:$B$502,MATCH($B2350,회원명부!$A$3:$A$502,0)),"미등록회원"))</f>
        <v/>
      </c>
      <c r="D2350" s="13"/>
      <c r="E2350" s="10"/>
      <c r="F2350" s="10"/>
      <c r="G2350" s="10"/>
    </row>
    <row r="2351" customFormat="false" ht="15" hidden="false" customHeight="true" outlineLevel="0" collapsed="false">
      <c r="A2351" s="12"/>
      <c r="B2351" s="10"/>
      <c r="C2351" s="15" t="str">
        <f aca="false">IF($B2351="","",IFERROR(INDEX(회원명부!$B$3:$B$502,MATCH($B2351,회원명부!$A$3:$A$502,0)),"미등록회원"))</f>
        <v/>
      </c>
      <c r="D2351" s="13"/>
      <c r="E2351" s="10"/>
      <c r="F2351" s="10"/>
      <c r="G2351" s="10"/>
    </row>
    <row r="2352" customFormat="false" ht="15" hidden="false" customHeight="true" outlineLevel="0" collapsed="false">
      <c r="A2352" s="12"/>
      <c r="B2352" s="10"/>
      <c r="C2352" s="15" t="str">
        <f aca="false">IF($B2352="","",IFERROR(INDEX(회원명부!$B$3:$B$502,MATCH($B2352,회원명부!$A$3:$A$502,0)),"미등록회원"))</f>
        <v/>
      </c>
      <c r="D2352" s="13"/>
      <c r="E2352" s="10"/>
      <c r="F2352" s="10"/>
      <c r="G2352" s="10"/>
    </row>
    <row r="2353" customFormat="false" ht="15" hidden="false" customHeight="true" outlineLevel="0" collapsed="false">
      <c r="A2353" s="12"/>
      <c r="B2353" s="10"/>
      <c r="C2353" s="15" t="str">
        <f aca="false">IF($B2353="","",IFERROR(INDEX(회원명부!$B$3:$B$502,MATCH($B2353,회원명부!$A$3:$A$502,0)),"미등록회원"))</f>
        <v/>
      </c>
      <c r="D2353" s="13"/>
      <c r="E2353" s="10"/>
      <c r="F2353" s="10"/>
      <c r="G2353" s="10"/>
    </row>
    <row r="2354" customFormat="false" ht="15" hidden="false" customHeight="true" outlineLevel="0" collapsed="false">
      <c r="A2354" s="12"/>
      <c r="B2354" s="10"/>
      <c r="C2354" s="15" t="str">
        <f aca="false">IF($B2354="","",IFERROR(INDEX(회원명부!$B$3:$B$502,MATCH($B2354,회원명부!$A$3:$A$502,0)),"미등록회원"))</f>
        <v/>
      </c>
      <c r="D2354" s="13"/>
      <c r="E2354" s="10"/>
      <c r="F2354" s="10"/>
      <c r="G2354" s="10"/>
    </row>
    <row r="2355" customFormat="false" ht="15" hidden="false" customHeight="true" outlineLevel="0" collapsed="false">
      <c r="A2355" s="12"/>
      <c r="B2355" s="10"/>
      <c r="C2355" s="15" t="str">
        <f aca="false">IF($B2355="","",IFERROR(INDEX(회원명부!$B$3:$B$502,MATCH($B2355,회원명부!$A$3:$A$502,0)),"미등록회원"))</f>
        <v/>
      </c>
      <c r="D2355" s="13"/>
      <c r="E2355" s="10"/>
      <c r="F2355" s="10"/>
      <c r="G2355" s="10"/>
    </row>
    <row r="2356" customFormat="false" ht="15" hidden="false" customHeight="true" outlineLevel="0" collapsed="false">
      <c r="A2356" s="12"/>
      <c r="B2356" s="10"/>
      <c r="C2356" s="15" t="str">
        <f aca="false">IF($B2356="","",IFERROR(INDEX(회원명부!$B$3:$B$502,MATCH($B2356,회원명부!$A$3:$A$502,0)),"미등록회원"))</f>
        <v/>
      </c>
      <c r="D2356" s="13"/>
      <c r="E2356" s="10"/>
      <c r="F2356" s="10"/>
      <c r="G2356" s="10"/>
    </row>
    <row r="2357" customFormat="false" ht="15" hidden="false" customHeight="true" outlineLevel="0" collapsed="false">
      <c r="A2357" s="12"/>
      <c r="B2357" s="10"/>
      <c r="C2357" s="15" t="str">
        <f aca="false">IF($B2357="","",IFERROR(INDEX(회원명부!$B$3:$B$502,MATCH($B2357,회원명부!$A$3:$A$502,0)),"미등록회원"))</f>
        <v/>
      </c>
      <c r="D2357" s="13"/>
      <c r="E2357" s="10"/>
      <c r="F2357" s="10"/>
      <c r="G2357" s="10"/>
    </row>
    <row r="2358" customFormat="false" ht="15" hidden="false" customHeight="true" outlineLevel="0" collapsed="false">
      <c r="A2358" s="12"/>
      <c r="B2358" s="10"/>
      <c r="C2358" s="15" t="str">
        <f aca="false">IF($B2358="","",IFERROR(INDEX(회원명부!$B$3:$B$502,MATCH($B2358,회원명부!$A$3:$A$502,0)),"미등록회원"))</f>
        <v/>
      </c>
      <c r="D2358" s="13"/>
      <c r="E2358" s="10"/>
      <c r="F2358" s="10"/>
      <c r="G2358" s="10"/>
    </row>
    <row r="2359" customFormat="false" ht="15" hidden="false" customHeight="true" outlineLevel="0" collapsed="false">
      <c r="A2359" s="12"/>
      <c r="B2359" s="10"/>
      <c r="C2359" s="15" t="str">
        <f aca="false">IF($B2359="","",IFERROR(INDEX(회원명부!$B$3:$B$502,MATCH($B2359,회원명부!$A$3:$A$502,0)),"미등록회원"))</f>
        <v/>
      </c>
      <c r="D2359" s="13"/>
      <c r="E2359" s="10"/>
      <c r="F2359" s="10"/>
      <c r="G2359" s="10"/>
    </row>
    <row r="2360" customFormat="false" ht="15" hidden="false" customHeight="true" outlineLevel="0" collapsed="false">
      <c r="A2360" s="12"/>
      <c r="B2360" s="10"/>
      <c r="C2360" s="15" t="str">
        <f aca="false">IF($B2360="","",IFERROR(INDEX(회원명부!$B$3:$B$502,MATCH($B2360,회원명부!$A$3:$A$502,0)),"미등록회원"))</f>
        <v/>
      </c>
      <c r="D2360" s="13"/>
      <c r="E2360" s="10"/>
      <c r="F2360" s="10"/>
      <c r="G2360" s="10"/>
    </row>
    <row r="2361" customFormat="false" ht="15" hidden="false" customHeight="true" outlineLevel="0" collapsed="false">
      <c r="A2361" s="12"/>
      <c r="B2361" s="10"/>
      <c r="C2361" s="15" t="str">
        <f aca="false">IF($B2361="","",IFERROR(INDEX(회원명부!$B$3:$B$502,MATCH($B2361,회원명부!$A$3:$A$502,0)),"미등록회원"))</f>
        <v/>
      </c>
      <c r="D2361" s="13"/>
      <c r="E2361" s="10"/>
      <c r="F2361" s="10"/>
      <c r="G2361" s="10"/>
    </row>
    <row r="2362" customFormat="false" ht="15" hidden="false" customHeight="true" outlineLevel="0" collapsed="false">
      <c r="A2362" s="12"/>
      <c r="B2362" s="10"/>
      <c r="C2362" s="15" t="str">
        <f aca="false">IF($B2362="","",IFERROR(INDEX(회원명부!$B$3:$B$502,MATCH($B2362,회원명부!$A$3:$A$502,0)),"미등록회원"))</f>
        <v/>
      </c>
      <c r="D2362" s="13"/>
      <c r="E2362" s="10"/>
      <c r="F2362" s="10"/>
      <c r="G2362" s="10"/>
    </row>
    <row r="2363" customFormat="false" ht="15" hidden="false" customHeight="true" outlineLevel="0" collapsed="false">
      <c r="A2363" s="12"/>
      <c r="B2363" s="10"/>
      <c r="C2363" s="15" t="str">
        <f aca="false">IF($B2363="","",IFERROR(INDEX(회원명부!$B$3:$B$502,MATCH($B2363,회원명부!$A$3:$A$502,0)),"미등록회원"))</f>
        <v/>
      </c>
      <c r="D2363" s="13"/>
      <c r="E2363" s="10"/>
      <c r="F2363" s="10"/>
      <c r="G2363" s="10"/>
    </row>
    <row r="2364" customFormat="false" ht="15" hidden="false" customHeight="true" outlineLevel="0" collapsed="false">
      <c r="A2364" s="12"/>
      <c r="B2364" s="10"/>
      <c r="C2364" s="15" t="str">
        <f aca="false">IF($B2364="","",IFERROR(INDEX(회원명부!$B$3:$B$502,MATCH($B2364,회원명부!$A$3:$A$502,0)),"미등록회원"))</f>
        <v/>
      </c>
      <c r="D2364" s="13"/>
      <c r="E2364" s="10"/>
      <c r="F2364" s="10"/>
      <c r="G2364" s="10"/>
    </row>
    <row r="2365" customFormat="false" ht="15" hidden="false" customHeight="true" outlineLevel="0" collapsed="false">
      <c r="A2365" s="12"/>
      <c r="B2365" s="10"/>
      <c r="C2365" s="15" t="str">
        <f aca="false">IF($B2365="","",IFERROR(INDEX(회원명부!$B$3:$B$502,MATCH($B2365,회원명부!$A$3:$A$502,0)),"미등록회원"))</f>
        <v/>
      </c>
      <c r="D2365" s="13"/>
      <c r="E2365" s="10"/>
      <c r="F2365" s="10"/>
      <c r="G2365" s="10"/>
    </row>
    <row r="2366" customFormat="false" ht="15" hidden="false" customHeight="true" outlineLevel="0" collapsed="false">
      <c r="A2366" s="12"/>
      <c r="B2366" s="10"/>
      <c r="C2366" s="15" t="str">
        <f aca="false">IF($B2366="","",IFERROR(INDEX(회원명부!$B$3:$B$502,MATCH($B2366,회원명부!$A$3:$A$502,0)),"미등록회원"))</f>
        <v/>
      </c>
      <c r="D2366" s="13"/>
      <c r="E2366" s="10"/>
      <c r="F2366" s="10"/>
      <c r="G2366" s="10"/>
    </row>
    <row r="2367" customFormat="false" ht="15" hidden="false" customHeight="true" outlineLevel="0" collapsed="false">
      <c r="A2367" s="12"/>
      <c r="B2367" s="10"/>
      <c r="C2367" s="15" t="str">
        <f aca="false">IF($B2367="","",IFERROR(INDEX(회원명부!$B$3:$B$502,MATCH($B2367,회원명부!$A$3:$A$502,0)),"미등록회원"))</f>
        <v/>
      </c>
      <c r="D2367" s="13"/>
      <c r="E2367" s="10"/>
      <c r="F2367" s="10"/>
      <c r="G2367" s="10"/>
    </row>
    <row r="2368" customFormat="false" ht="15" hidden="false" customHeight="true" outlineLevel="0" collapsed="false">
      <c r="A2368" s="12"/>
      <c r="B2368" s="10"/>
      <c r="C2368" s="15" t="str">
        <f aca="false">IF($B2368="","",IFERROR(INDEX(회원명부!$B$3:$B$502,MATCH($B2368,회원명부!$A$3:$A$502,0)),"미등록회원"))</f>
        <v/>
      </c>
      <c r="D2368" s="13"/>
      <c r="E2368" s="10"/>
      <c r="F2368" s="10"/>
      <c r="G2368" s="10"/>
    </row>
    <row r="2369" customFormat="false" ht="15" hidden="false" customHeight="true" outlineLevel="0" collapsed="false">
      <c r="A2369" s="12"/>
      <c r="B2369" s="10"/>
      <c r="C2369" s="15" t="str">
        <f aca="false">IF($B2369="","",IFERROR(INDEX(회원명부!$B$3:$B$502,MATCH($B2369,회원명부!$A$3:$A$502,0)),"미등록회원"))</f>
        <v/>
      </c>
      <c r="D2369" s="13"/>
      <c r="E2369" s="10"/>
      <c r="F2369" s="10"/>
      <c r="G2369" s="10"/>
    </row>
    <row r="2370" customFormat="false" ht="15" hidden="false" customHeight="true" outlineLevel="0" collapsed="false">
      <c r="A2370" s="12"/>
      <c r="B2370" s="10"/>
      <c r="C2370" s="15" t="str">
        <f aca="false">IF($B2370="","",IFERROR(INDEX(회원명부!$B$3:$B$502,MATCH($B2370,회원명부!$A$3:$A$502,0)),"미등록회원"))</f>
        <v/>
      </c>
      <c r="D2370" s="13"/>
      <c r="E2370" s="10"/>
      <c r="F2370" s="10"/>
      <c r="G2370" s="10"/>
    </row>
    <row r="2371" customFormat="false" ht="15" hidden="false" customHeight="true" outlineLevel="0" collapsed="false">
      <c r="A2371" s="12"/>
      <c r="B2371" s="10"/>
      <c r="C2371" s="15" t="str">
        <f aca="false">IF($B2371="","",IFERROR(INDEX(회원명부!$B$3:$B$502,MATCH($B2371,회원명부!$A$3:$A$502,0)),"미등록회원"))</f>
        <v/>
      </c>
      <c r="D2371" s="13"/>
      <c r="E2371" s="10"/>
      <c r="F2371" s="10"/>
      <c r="G2371" s="10"/>
    </row>
    <row r="2372" customFormat="false" ht="15" hidden="false" customHeight="true" outlineLevel="0" collapsed="false">
      <c r="A2372" s="12"/>
      <c r="B2372" s="10"/>
      <c r="C2372" s="15" t="str">
        <f aca="false">IF($B2372="","",IFERROR(INDEX(회원명부!$B$3:$B$502,MATCH($B2372,회원명부!$A$3:$A$502,0)),"미등록회원"))</f>
        <v/>
      </c>
      <c r="D2372" s="13"/>
      <c r="E2372" s="10"/>
      <c r="F2372" s="10"/>
      <c r="G2372" s="10"/>
    </row>
    <row r="2373" customFormat="false" ht="15" hidden="false" customHeight="true" outlineLevel="0" collapsed="false">
      <c r="A2373" s="12"/>
      <c r="B2373" s="10"/>
      <c r="C2373" s="15" t="str">
        <f aca="false">IF($B2373="","",IFERROR(INDEX(회원명부!$B$3:$B$502,MATCH($B2373,회원명부!$A$3:$A$502,0)),"미등록회원"))</f>
        <v/>
      </c>
      <c r="D2373" s="13"/>
      <c r="E2373" s="10"/>
      <c r="F2373" s="10"/>
      <c r="G2373" s="10"/>
    </row>
    <row r="2374" customFormat="false" ht="15" hidden="false" customHeight="true" outlineLevel="0" collapsed="false">
      <c r="A2374" s="12"/>
      <c r="B2374" s="10"/>
      <c r="C2374" s="15" t="str">
        <f aca="false">IF($B2374="","",IFERROR(INDEX(회원명부!$B$3:$B$502,MATCH($B2374,회원명부!$A$3:$A$502,0)),"미등록회원"))</f>
        <v/>
      </c>
      <c r="D2374" s="13"/>
      <c r="E2374" s="10"/>
      <c r="F2374" s="10"/>
      <c r="G2374" s="10"/>
    </row>
    <row r="2375" customFormat="false" ht="15" hidden="false" customHeight="true" outlineLevel="0" collapsed="false">
      <c r="A2375" s="12"/>
      <c r="B2375" s="10"/>
      <c r="C2375" s="15" t="str">
        <f aca="false">IF($B2375="","",IFERROR(INDEX(회원명부!$B$3:$B$502,MATCH($B2375,회원명부!$A$3:$A$502,0)),"미등록회원"))</f>
        <v/>
      </c>
      <c r="D2375" s="13"/>
      <c r="E2375" s="10"/>
      <c r="F2375" s="10"/>
      <c r="G2375" s="10"/>
    </row>
    <row r="2376" customFormat="false" ht="15" hidden="false" customHeight="true" outlineLevel="0" collapsed="false">
      <c r="A2376" s="12"/>
      <c r="B2376" s="10"/>
      <c r="C2376" s="15" t="str">
        <f aca="false">IF($B2376="","",IFERROR(INDEX(회원명부!$B$3:$B$502,MATCH($B2376,회원명부!$A$3:$A$502,0)),"미등록회원"))</f>
        <v/>
      </c>
      <c r="D2376" s="13"/>
      <c r="E2376" s="10"/>
      <c r="F2376" s="10"/>
      <c r="G2376" s="10"/>
    </row>
    <row r="2377" customFormat="false" ht="15" hidden="false" customHeight="true" outlineLevel="0" collapsed="false">
      <c r="A2377" s="12"/>
      <c r="B2377" s="10"/>
      <c r="C2377" s="15" t="str">
        <f aca="false">IF($B2377="","",IFERROR(INDEX(회원명부!$B$3:$B$502,MATCH($B2377,회원명부!$A$3:$A$502,0)),"미등록회원"))</f>
        <v/>
      </c>
      <c r="D2377" s="13"/>
      <c r="E2377" s="10"/>
      <c r="F2377" s="10"/>
      <c r="G2377" s="10"/>
    </row>
    <row r="2378" customFormat="false" ht="15" hidden="false" customHeight="true" outlineLevel="0" collapsed="false">
      <c r="A2378" s="12"/>
      <c r="B2378" s="10"/>
      <c r="C2378" s="15" t="str">
        <f aca="false">IF($B2378="","",IFERROR(INDEX(회원명부!$B$3:$B$502,MATCH($B2378,회원명부!$A$3:$A$502,0)),"미등록회원"))</f>
        <v/>
      </c>
      <c r="D2378" s="13"/>
      <c r="E2378" s="10"/>
      <c r="F2378" s="10"/>
      <c r="G2378" s="10"/>
    </row>
    <row r="2379" customFormat="false" ht="15" hidden="false" customHeight="true" outlineLevel="0" collapsed="false">
      <c r="A2379" s="12"/>
      <c r="B2379" s="10"/>
      <c r="C2379" s="15" t="str">
        <f aca="false">IF($B2379="","",IFERROR(INDEX(회원명부!$B$3:$B$502,MATCH($B2379,회원명부!$A$3:$A$502,0)),"미등록회원"))</f>
        <v/>
      </c>
      <c r="D2379" s="13"/>
      <c r="E2379" s="10"/>
      <c r="F2379" s="10"/>
      <c r="G2379" s="10"/>
    </row>
    <row r="2380" customFormat="false" ht="15" hidden="false" customHeight="true" outlineLevel="0" collapsed="false">
      <c r="A2380" s="12"/>
      <c r="B2380" s="10"/>
      <c r="C2380" s="15" t="str">
        <f aca="false">IF($B2380="","",IFERROR(INDEX(회원명부!$B$3:$B$502,MATCH($B2380,회원명부!$A$3:$A$502,0)),"미등록회원"))</f>
        <v/>
      </c>
      <c r="D2380" s="13"/>
      <c r="E2380" s="10"/>
      <c r="F2380" s="10"/>
      <c r="G2380" s="10"/>
    </row>
    <row r="2381" customFormat="false" ht="15" hidden="false" customHeight="true" outlineLevel="0" collapsed="false">
      <c r="A2381" s="12"/>
      <c r="B2381" s="10"/>
      <c r="C2381" s="15" t="str">
        <f aca="false">IF($B2381="","",IFERROR(INDEX(회원명부!$B$3:$B$502,MATCH($B2381,회원명부!$A$3:$A$502,0)),"미등록회원"))</f>
        <v/>
      </c>
      <c r="D2381" s="13"/>
      <c r="E2381" s="10"/>
      <c r="F2381" s="10"/>
      <c r="G2381" s="10"/>
    </row>
    <row r="2382" customFormat="false" ht="15" hidden="false" customHeight="true" outlineLevel="0" collapsed="false">
      <c r="A2382" s="12"/>
      <c r="B2382" s="10"/>
      <c r="C2382" s="15" t="str">
        <f aca="false">IF($B2382="","",IFERROR(INDEX(회원명부!$B$3:$B$502,MATCH($B2382,회원명부!$A$3:$A$502,0)),"미등록회원"))</f>
        <v/>
      </c>
      <c r="D2382" s="13"/>
      <c r="E2382" s="10"/>
      <c r="F2382" s="10"/>
      <c r="G2382" s="10"/>
    </row>
    <row r="2383" customFormat="false" ht="15" hidden="false" customHeight="true" outlineLevel="0" collapsed="false">
      <c r="A2383" s="12"/>
      <c r="B2383" s="10"/>
      <c r="C2383" s="15" t="str">
        <f aca="false">IF($B2383="","",IFERROR(INDEX(회원명부!$B$3:$B$502,MATCH($B2383,회원명부!$A$3:$A$502,0)),"미등록회원"))</f>
        <v/>
      </c>
      <c r="D2383" s="13"/>
      <c r="E2383" s="10"/>
      <c r="F2383" s="10"/>
      <c r="G2383" s="10"/>
    </row>
    <row r="2384" customFormat="false" ht="15" hidden="false" customHeight="true" outlineLevel="0" collapsed="false">
      <c r="A2384" s="12"/>
      <c r="B2384" s="10"/>
      <c r="C2384" s="15" t="str">
        <f aca="false">IF($B2384="","",IFERROR(INDEX(회원명부!$B$3:$B$502,MATCH($B2384,회원명부!$A$3:$A$502,0)),"미등록회원"))</f>
        <v/>
      </c>
      <c r="D2384" s="13"/>
      <c r="E2384" s="10"/>
      <c r="F2384" s="10"/>
      <c r="G2384" s="10"/>
    </row>
    <row r="2385" customFormat="false" ht="15" hidden="false" customHeight="true" outlineLevel="0" collapsed="false">
      <c r="A2385" s="12"/>
      <c r="B2385" s="10"/>
      <c r="C2385" s="15" t="str">
        <f aca="false">IF($B2385="","",IFERROR(INDEX(회원명부!$B$3:$B$502,MATCH($B2385,회원명부!$A$3:$A$502,0)),"미등록회원"))</f>
        <v/>
      </c>
      <c r="D2385" s="13"/>
      <c r="E2385" s="10"/>
      <c r="F2385" s="10"/>
      <c r="G2385" s="10"/>
    </row>
    <row r="2386" customFormat="false" ht="15" hidden="false" customHeight="true" outlineLevel="0" collapsed="false">
      <c r="A2386" s="12"/>
      <c r="B2386" s="10"/>
      <c r="C2386" s="15" t="str">
        <f aca="false">IF($B2386="","",IFERROR(INDEX(회원명부!$B$3:$B$502,MATCH($B2386,회원명부!$A$3:$A$502,0)),"미등록회원"))</f>
        <v/>
      </c>
      <c r="D2386" s="13"/>
      <c r="E2386" s="10"/>
      <c r="F2386" s="10"/>
      <c r="G2386" s="10"/>
    </row>
    <row r="2387" customFormat="false" ht="15" hidden="false" customHeight="true" outlineLevel="0" collapsed="false">
      <c r="A2387" s="12"/>
      <c r="B2387" s="10"/>
      <c r="C2387" s="15" t="str">
        <f aca="false">IF($B2387="","",IFERROR(INDEX(회원명부!$B$3:$B$502,MATCH($B2387,회원명부!$A$3:$A$502,0)),"미등록회원"))</f>
        <v/>
      </c>
      <c r="D2387" s="13"/>
      <c r="E2387" s="10"/>
      <c r="F2387" s="10"/>
      <c r="G2387" s="10"/>
    </row>
    <row r="2388" customFormat="false" ht="15" hidden="false" customHeight="true" outlineLevel="0" collapsed="false">
      <c r="A2388" s="12"/>
      <c r="B2388" s="10"/>
      <c r="C2388" s="15" t="str">
        <f aca="false">IF($B2388="","",IFERROR(INDEX(회원명부!$B$3:$B$502,MATCH($B2388,회원명부!$A$3:$A$502,0)),"미등록회원"))</f>
        <v/>
      </c>
      <c r="D2388" s="13"/>
      <c r="E2388" s="10"/>
      <c r="F2388" s="10"/>
      <c r="G2388" s="10"/>
    </row>
    <row r="2389" customFormat="false" ht="15" hidden="false" customHeight="true" outlineLevel="0" collapsed="false">
      <c r="A2389" s="12"/>
      <c r="B2389" s="10"/>
      <c r="C2389" s="15" t="str">
        <f aca="false">IF($B2389="","",IFERROR(INDEX(회원명부!$B$3:$B$502,MATCH($B2389,회원명부!$A$3:$A$502,0)),"미등록회원"))</f>
        <v/>
      </c>
      <c r="D2389" s="13"/>
      <c r="E2389" s="10"/>
      <c r="F2389" s="10"/>
      <c r="G2389" s="10"/>
    </row>
    <row r="2390" customFormat="false" ht="15" hidden="false" customHeight="true" outlineLevel="0" collapsed="false">
      <c r="A2390" s="12"/>
      <c r="B2390" s="10"/>
      <c r="C2390" s="15" t="str">
        <f aca="false">IF($B2390="","",IFERROR(INDEX(회원명부!$B$3:$B$502,MATCH($B2390,회원명부!$A$3:$A$502,0)),"미등록회원"))</f>
        <v/>
      </c>
      <c r="D2390" s="13"/>
      <c r="E2390" s="10"/>
      <c r="F2390" s="10"/>
      <c r="G2390" s="10"/>
    </row>
    <row r="2391" customFormat="false" ht="15" hidden="false" customHeight="true" outlineLevel="0" collapsed="false">
      <c r="A2391" s="12"/>
      <c r="B2391" s="10"/>
      <c r="C2391" s="15" t="str">
        <f aca="false">IF($B2391="","",IFERROR(INDEX(회원명부!$B$3:$B$502,MATCH($B2391,회원명부!$A$3:$A$502,0)),"미등록회원"))</f>
        <v/>
      </c>
      <c r="D2391" s="13"/>
      <c r="E2391" s="10"/>
      <c r="F2391" s="10"/>
      <c r="G2391" s="10"/>
    </row>
    <row r="2392" customFormat="false" ht="15" hidden="false" customHeight="true" outlineLevel="0" collapsed="false">
      <c r="A2392" s="12"/>
      <c r="B2392" s="10"/>
      <c r="C2392" s="15" t="str">
        <f aca="false">IF($B2392="","",IFERROR(INDEX(회원명부!$B$3:$B$502,MATCH($B2392,회원명부!$A$3:$A$502,0)),"미등록회원"))</f>
        <v/>
      </c>
      <c r="D2392" s="13"/>
      <c r="E2392" s="10"/>
      <c r="F2392" s="10"/>
      <c r="G2392" s="10"/>
    </row>
    <row r="2393" customFormat="false" ht="15" hidden="false" customHeight="true" outlineLevel="0" collapsed="false">
      <c r="A2393" s="12"/>
      <c r="B2393" s="10"/>
      <c r="C2393" s="15" t="str">
        <f aca="false">IF($B2393="","",IFERROR(INDEX(회원명부!$B$3:$B$502,MATCH($B2393,회원명부!$A$3:$A$502,0)),"미등록회원"))</f>
        <v/>
      </c>
      <c r="D2393" s="13"/>
      <c r="E2393" s="10"/>
      <c r="F2393" s="10"/>
      <c r="G2393" s="10"/>
    </row>
    <row r="2394" customFormat="false" ht="15" hidden="false" customHeight="true" outlineLevel="0" collapsed="false">
      <c r="A2394" s="12"/>
      <c r="B2394" s="10"/>
      <c r="C2394" s="15" t="str">
        <f aca="false">IF($B2394="","",IFERROR(INDEX(회원명부!$B$3:$B$502,MATCH($B2394,회원명부!$A$3:$A$502,0)),"미등록회원"))</f>
        <v/>
      </c>
      <c r="D2394" s="13"/>
      <c r="E2394" s="10"/>
      <c r="F2394" s="10"/>
      <c r="G2394" s="10"/>
    </row>
    <row r="2395" customFormat="false" ht="15" hidden="false" customHeight="true" outlineLevel="0" collapsed="false">
      <c r="A2395" s="12"/>
      <c r="B2395" s="10"/>
      <c r="C2395" s="15" t="str">
        <f aca="false">IF($B2395="","",IFERROR(INDEX(회원명부!$B$3:$B$502,MATCH($B2395,회원명부!$A$3:$A$502,0)),"미등록회원"))</f>
        <v/>
      </c>
      <c r="D2395" s="13"/>
      <c r="E2395" s="10"/>
      <c r="F2395" s="10"/>
      <c r="G2395" s="10"/>
    </row>
    <row r="2396" customFormat="false" ht="15" hidden="false" customHeight="true" outlineLevel="0" collapsed="false">
      <c r="A2396" s="12"/>
      <c r="B2396" s="10"/>
      <c r="C2396" s="15" t="str">
        <f aca="false">IF($B2396="","",IFERROR(INDEX(회원명부!$B$3:$B$502,MATCH($B2396,회원명부!$A$3:$A$502,0)),"미등록회원"))</f>
        <v/>
      </c>
      <c r="D2396" s="13"/>
      <c r="E2396" s="10"/>
      <c r="F2396" s="10"/>
      <c r="G2396" s="10"/>
    </row>
    <row r="2397" customFormat="false" ht="15" hidden="false" customHeight="true" outlineLevel="0" collapsed="false">
      <c r="A2397" s="12"/>
      <c r="B2397" s="10"/>
      <c r="C2397" s="15" t="str">
        <f aca="false">IF($B2397="","",IFERROR(INDEX(회원명부!$B$3:$B$502,MATCH($B2397,회원명부!$A$3:$A$502,0)),"미등록회원"))</f>
        <v/>
      </c>
      <c r="D2397" s="13"/>
      <c r="E2397" s="10"/>
      <c r="F2397" s="10"/>
      <c r="G2397" s="10"/>
    </row>
    <row r="2398" customFormat="false" ht="15" hidden="false" customHeight="true" outlineLevel="0" collapsed="false">
      <c r="A2398" s="12"/>
      <c r="B2398" s="10"/>
      <c r="C2398" s="15" t="str">
        <f aca="false">IF($B2398="","",IFERROR(INDEX(회원명부!$B$3:$B$502,MATCH($B2398,회원명부!$A$3:$A$502,0)),"미등록회원"))</f>
        <v/>
      </c>
      <c r="D2398" s="13"/>
      <c r="E2398" s="10"/>
      <c r="F2398" s="10"/>
      <c r="G2398" s="10"/>
    </row>
    <row r="2399" customFormat="false" ht="15" hidden="false" customHeight="true" outlineLevel="0" collapsed="false">
      <c r="A2399" s="12"/>
      <c r="B2399" s="10"/>
      <c r="C2399" s="15" t="str">
        <f aca="false">IF($B2399="","",IFERROR(INDEX(회원명부!$B$3:$B$502,MATCH($B2399,회원명부!$A$3:$A$502,0)),"미등록회원"))</f>
        <v/>
      </c>
      <c r="D2399" s="13"/>
      <c r="E2399" s="10"/>
      <c r="F2399" s="10"/>
      <c r="G2399" s="10"/>
    </row>
    <row r="2400" customFormat="false" ht="15" hidden="false" customHeight="true" outlineLevel="0" collapsed="false">
      <c r="A2400" s="12"/>
      <c r="B2400" s="10"/>
      <c r="C2400" s="15" t="str">
        <f aca="false">IF($B2400="","",IFERROR(INDEX(회원명부!$B$3:$B$502,MATCH($B2400,회원명부!$A$3:$A$502,0)),"미등록회원"))</f>
        <v/>
      </c>
      <c r="D2400" s="13"/>
      <c r="E2400" s="10"/>
      <c r="F2400" s="10"/>
      <c r="G2400" s="10"/>
    </row>
    <row r="2401" customFormat="false" ht="15" hidden="false" customHeight="true" outlineLevel="0" collapsed="false">
      <c r="A2401" s="12"/>
      <c r="B2401" s="10"/>
      <c r="C2401" s="15" t="str">
        <f aca="false">IF($B2401="","",IFERROR(INDEX(회원명부!$B$3:$B$502,MATCH($B2401,회원명부!$A$3:$A$502,0)),"미등록회원"))</f>
        <v/>
      </c>
      <c r="D2401" s="13"/>
      <c r="E2401" s="10"/>
      <c r="F2401" s="10"/>
      <c r="G2401" s="10"/>
    </row>
    <row r="2402" customFormat="false" ht="15" hidden="false" customHeight="true" outlineLevel="0" collapsed="false">
      <c r="A2402" s="12"/>
      <c r="B2402" s="10"/>
      <c r="C2402" s="15" t="str">
        <f aca="false">IF($B2402="","",IFERROR(INDEX(회원명부!$B$3:$B$502,MATCH($B2402,회원명부!$A$3:$A$502,0)),"미등록회원"))</f>
        <v/>
      </c>
      <c r="D2402" s="13"/>
      <c r="E2402" s="10"/>
      <c r="F2402" s="10"/>
      <c r="G2402" s="10"/>
    </row>
    <row r="2403" customFormat="false" ht="15" hidden="false" customHeight="true" outlineLevel="0" collapsed="false">
      <c r="A2403" s="12"/>
      <c r="B2403" s="10"/>
      <c r="C2403" s="15" t="str">
        <f aca="false">IF($B2403="","",IFERROR(INDEX(회원명부!$B$3:$B$502,MATCH($B2403,회원명부!$A$3:$A$502,0)),"미등록회원"))</f>
        <v/>
      </c>
      <c r="D2403" s="13"/>
      <c r="E2403" s="10"/>
      <c r="F2403" s="10"/>
      <c r="G2403" s="10"/>
    </row>
    <row r="2404" customFormat="false" ht="15" hidden="false" customHeight="true" outlineLevel="0" collapsed="false">
      <c r="A2404" s="12"/>
      <c r="B2404" s="10"/>
      <c r="C2404" s="15" t="str">
        <f aca="false">IF($B2404="","",IFERROR(INDEX(회원명부!$B$3:$B$502,MATCH($B2404,회원명부!$A$3:$A$502,0)),"미등록회원"))</f>
        <v/>
      </c>
      <c r="D2404" s="13"/>
      <c r="E2404" s="10"/>
      <c r="F2404" s="10"/>
      <c r="G2404" s="10"/>
    </row>
    <row r="2405" customFormat="false" ht="15" hidden="false" customHeight="true" outlineLevel="0" collapsed="false">
      <c r="A2405" s="12"/>
      <c r="B2405" s="10"/>
      <c r="C2405" s="15" t="str">
        <f aca="false">IF($B2405="","",IFERROR(INDEX(회원명부!$B$3:$B$502,MATCH($B2405,회원명부!$A$3:$A$502,0)),"미등록회원"))</f>
        <v/>
      </c>
      <c r="D2405" s="13"/>
      <c r="E2405" s="10"/>
      <c r="F2405" s="10"/>
      <c r="G2405" s="10"/>
    </row>
    <row r="2406" customFormat="false" ht="15" hidden="false" customHeight="true" outlineLevel="0" collapsed="false">
      <c r="A2406" s="12"/>
      <c r="B2406" s="10"/>
      <c r="C2406" s="15" t="str">
        <f aca="false">IF($B2406="","",IFERROR(INDEX(회원명부!$B$3:$B$502,MATCH($B2406,회원명부!$A$3:$A$502,0)),"미등록회원"))</f>
        <v/>
      </c>
      <c r="D2406" s="13"/>
      <c r="E2406" s="10"/>
      <c r="F2406" s="10"/>
      <c r="G2406" s="10"/>
    </row>
    <row r="2407" customFormat="false" ht="15" hidden="false" customHeight="true" outlineLevel="0" collapsed="false">
      <c r="A2407" s="12"/>
      <c r="B2407" s="10"/>
      <c r="C2407" s="15" t="str">
        <f aca="false">IF($B2407="","",IFERROR(INDEX(회원명부!$B$3:$B$502,MATCH($B2407,회원명부!$A$3:$A$502,0)),"미등록회원"))</f>
        <v/>
      </c>
      <c r="D2407" s="13"/>
      <c r="E2407" s="10"/>
      <c r="F2407" s="10"/>
      <c r="G2407" s="10"/>
    </row>
    <row r="2408" customFormat="false" ht="15" hidden="false" customHeight="true" outlineLevel="0" collapsed="false">
      <c r="A2408" s="12"/>
      <c r="B2408" s="10"/>
      <c r="C2408" s="15" t="str">
        <f aca="false">IF($B2408="","",IFERROR(INDEX(회원명부!$B$3:$B$502,MATCH($B2408,회원명부!$A$3:$A$502,0)),"미등록회원"))</f>
        <v/>
      </c>
      <c r="D2408" s="13"/>
      <c r="E2408" s="10"/>
      <c r="F2408" s="10"/>
      <c r="G2408" s="10"/>
    </row>
    <row r="2409" customFormat="false" ht="15" hidden="false" customHeight="true" outlineLevel="0" collapsed="false">
      <c r="A2409" s="12"/>
      <c r="B2409" s="10"/>
      <c r="C2409" s="15" t="str">
        <f aca="false">IF($B2409="","",IFERROR(INDEX(회원명부!$B$3:$B$502,MATCH($B2409,회원명부!$A$3:$A$502,0)),"미등록회원"))</f>
        <v/>
      </c>
      <c r="D2409" s="13"/>
      <c r="E2409" s="10"/>
      <c r="F2409" s="10"/>
      <c r="G2409" s="10"/>
    </row>
    <row r="2410" customFormat="false" ht="15" hidden="false" customHeight="true" outlineLevel="0" collapsed="false">
      <c r="A2410" s="12"/>
      <c r="B2410" s="10"/>
      <c r="C2410" s="15" t="str">
        <f aca="false">IF($B2410="","",IFERROR(INDEX(회원명부!$B$3:$B$502,MATCH($B2410,회원명부!$A$3:$A$502,0)),"미등록회원"))</f>
        <v/>
      </c>
      <c r="D2410" s="13"/>
      <c r="E2410" s="10"/>
      <c r="F2410" s="10"/>
      <c r="G2410" s="10"/>
    </row>
    <row r="2411" customFormat="false" ht="15" hidden="false" customHeight="true" outlineLevel="0" collapsed="false">
      <c r="A2411" s="12"/>
      <c r="B2411" s="10"/>
      <c r="C2411" s="15" t="str">
        <f aca="false">IF($B2411="","",IFERROR(INDEX(회원명부!$B$3:$B$502,MATCH($B2411,회원명부!$A$3:$A$502,0)),"미등록회원"))</f>
        <v/>
      </c>
      <c r="D2411" s="13"/>
      <c r="E2411" s="10"/>
      <c r="F2411" s="10"/>
      <c r="G2411" s="10"/>
    </row>
    <row r="2412" customFormat="false" ht="15" hidden="false" customHeight="true" outlineLevel="0" collapsed="false">
      <c r="A2412" s="12"/>
      <c r="B2412" s="10"/>
      <c r="C2412" s="15" t="str">
        <f aca="false">IF($B2412="","",IFERROR(INDEX(회원명부!$B$3:$B$502,MATCH($B2412,회원명부!$A$3:$A$502,0)),"미등록회원"))</f>
        <v/>
      </c>
      <c r="D2412" s="13"/>
      <c r="E2412" s="10"/>
      <c r="F2412" s="10"/>
      <c r="G2412" s="10"/>
    </row>
    <row r="2413" customFormat="false" ht="15" hidden="false" customHeight="true" outlineLevel="0" collapsed="false">
      <c r="A2413" s="12"/>
      <c r="B2413" s="10"/>
      <c r="C2413" s="15" t="str">
        <f aca="false">IF($B2413="","",IFERROR(INDEX(회원명부!$B$3:$B$502,MATCH($B2413,회원명부!$A$3:$A$502,0)),"미등록회원"))</f>
        <v/>
      </c>
      <c r="D2413" s="13"/>
      <c r="E2413" s="10"/>
      <c r="F2413" s="10"/>
      <c r="G2413" s="10"/>
    </row>
    <row r="2414" customFormat="false" ht="15" hidden="false" customHeight="true" outlineLevel="0" collapsed="false">
      <c r="A2414" s="12"/>
      <c r="B2414" s="10"/>
      <c r="C2414" s="15" t="str">
        <f aca="false">IF($B2414="","",IFERROR(INDEX(회원명부!$B$3:$B$502,MATCH($B2414,회원명부!$A$3:$A$502,0)),"미등록회원"))</f>
        <v/>
      </c>
      <c r="D2414" s="13"/>
      <c r="E2414" s="10"/>
      <c r="F2414" s="10"/>
      <c r="G2414" s="10"/>
    </row>
    <row r="2415" customFormat="false" ht="15" hidden="false" customHeight="true" outlineLevel="0" collapsed="false">
      <c r="A2415" s="12"/>
      <c r="B2415" s="10"/>
      <c r="C2415" s="15" t="str">
        <f aca="false">IF($B2415="","",IFERROR(INDEX(회원명부!$B$3:$B$502,MATCH($B2415,회원명부!$A$3:$A$502,0)),"미등록회원"))</f>
        <v/>
      </c>
      <c r="D2415" s="13"/>
      <c r="E2415" s="10"/>
      <c r="F2415" s="10"/>
      <c r="G2415" s="10"/>
    </row>
    <row r="2416" customFormat="false" ht="15" hidden="false" customHeight="true" outlineLevel="0" collapsed="false">
      <c r="A2416" s="12"/>
      <c r="B2416" s="10"/>
      <c r="C2416" s="15" t="str">
        <f aca="false">IF($B2416="","",IFERROR(INDEX(회원명부!$B$3:$B$502,MATCH($B2416,회원명부!$A$3:$A$502,0)),"미등록회원"))</f>
        <v/>
      </c>
      <c r="D2416" s="13"/>
      <c r="E2416" s="10"/>
      <c r="F2416" s="10"/>
      <c r="G2416" s="10"/>
    </row>
    <row r="2417" customFormat="false" ht="15" hidden="false" customHeight="true" outlineLevel="0" collapsed="false">
      <c r="A2417" s="12"/>
      <c r="B2417" s="10"/>
      <c r="C2417" s="15" t="str">
        <f aca="false">IF($B2417="","",IFERROR(INDEX(회원명부!$B$3:$B$502,MATCH($B2417,회원명부!$A$3:$A$502,0)),"미등록회원"))</f>
        <v/>
      </c>
      <c r="D2417" s="13"/>
      <c r="E2417" s="10"/>
      <c r="F2417" s="10"/>
      <c r="G2417" s="10"/>
    </row>
    <row r="2418" customFormat="false" ht="15" hidden="false" customHeight="true" outlineLevel="0" collapsed="false">
      <c r="A2418" s="12"/>
      <c r="B2418" s="10"/>
      <c r="C2418" s="15" t="str">
        <f aca="false">IF($B2418="","",IFERROR(INDEX(회원명부!$B$3:$B$502,MATCH($B2418,회원명부!$A$3:$A$502,0)),"미등록회원"))</f>
        <v/>
      </c>
      <c r="D2418" s="13"/>
      <c r="E2418" s="10"/>
      <c r="F2418" s="10"/>
      <c r="G2418" s="10"/>
    </row>
    <row r="2419" customFormat="false" ht="15" hidden="false" customHeight="true" outlineLevel="0" collapsed="false">
      <c r="A2419" s="12"/>
      <c r="B2419" s="10"/>
      <c r="C2419" s="15" t="str">
        <f aca="false">IF($B2419="","",IFERROR(INDEX(회원명부!$B$3:$B$502,MATCH($B2419,회원명부!$A$3:$A$502,0)),"미등록회원"))</f>
        <v/>
      </c>
      <c r="D2419" s="13"/>
      <c r="E2419" s="10"/>
      <c r="F2419" s="10"/>
      <c r="G2419" s="10"/>
    </row>
    <row r="2420" customFormat="false" ht="15" hidden="false" customHeight="true" outlineLevel="0" collapsed="false">
      <c r="A2420" s="12"/>
      <c r="B2420" s="10"/>
      <c r="C2420" s="15" t="str">
        <f aca="false">IF($B2420="","",IFERROR(INDEX(회원명부!$B$3:$B$502,MATCH($B2420,회원명부!$A$3:$A$502,0)),"미등록회원"))</f>
        <v/>
      </c>
      <c r="D2420" s="13"/>
      <c r="E2420" s="10"/>
      <c r="F2420" s="10"/>
      <c r="G2420" s="10"/>
    </row>
    <row r="2421" customFormat="false" ht="15" hidden="false" customHeight="true" outlineLevel="0" collapsed="false">
      <c r="A2421" s="12"/>
      <c r="B2421" s="10"/>
      <c r="C2421" s="15" t="str">
        <f aca="false">IF($B2421="","",IFERROR(INDEX(회원명부!$B$3:$B$502,MATCH($B2421,회원명부!$A$3:$A$502,0)),"미등록회원"))</f>
        <v/>
      </c>
      <c r="D2421" s="13"/>
      <c r="E2421" s="10"/>
      <c r="F2421" s="10"/>
      <c r="G2421" s="10"/>
    </row>
    <row r="2422" customFormat="false" ht="15" hidden="false" customHeight="true" outlineLevel="0" collapsed="false">
      <c r="A2422" s="12"/>
      <c r="B2422" s="10"/>
      <c r="C2422" s="15" t="str">
        <f aca="false">IF($B2422="","",IFERROR(INDEX(회원명부!$B$3:$B$502,MATCH($B2422,회원명부!$A$3:$A$502,0)),"미등록회원"))</f>
        <v/>
      </c>
      <c r="D2422" s="13"/>
      <c r="E2422" s="10"/>
      <c r="F2422" s="10"/>
      <c r="G2422" s="10"/>
    </row>
    <row r="2423" customFormat="false" ht="15" hidden="false" customHeight="true" outlineLevel="0" collapsed="false">
      <c r="A2423" s="12"/>
      <c r="B2423" s="10"/>
      <c r="C2423" s="15" t="str">
        <f aca="false">IF($B2423="","",IFERROR(INDEX(회원명부!$B$3:$B$502,MATCH($B2423,회원명부!$A$3:$A$502,0)),"미등록회원"))</f>
        <v/>
      </c>
      <c r="D2423" s="13"/>
      <c r="E2423" s="10"/>
      <c r="F2423" s="10"/>
      <c r="G2423" s="10"/>
    </row>
    <row r="2424" customFormat="false" ht="15" hidden="false" customHeight="true" outlineLevel="0" collapsed="false">
      <c r="A2424" s="12"/>
      <c r="B2424" s="10"/>
      <c r="C2424" s="15" t="str">
        <f aca="false">IF($B2424="","",IFERROR(INDEX(회원명부!$B$3:$B$502,MATCH($B2424,회원명부!$A$3:$A$502,0)),"미등록회원"))</f>
        <v/>
      </c>
      <c r="D2424" s="13"/>
      <c r="E2424" s="10"/>
      <c r="F2424" s="10"/>
      <c r="G2424" s="10"/>
    </row>
    <row r="2425" customFormat="false" ht="15" hidden="false" customHeight="true" outlineLevel="0" collapsed="false">
      <c r="A2425" s="12"/>
      <c r="B2425" s="10"/>
      <c r="C2425" s="15" t="str">
        <f aca="false">IF($B2425="","",IFERROR(INDEX(회원명부!$B$3:$B$502,MATCH($B2425,회원명부!$A$3:$A$502,0)),"미등록회원"))</f>
        <v/>
      </c>
      <c r="D2425" s="13"/>
      <c r="E2425" s="10"/>
      <c r="F2425" s="10"/>
      <c r="G2425" s="10"/>
    </row>
    <row r="2426" customFormat="false" ht="15" hidden="false" customHeight="true" outlineLevel="0" collapsed="false">
      <c r="A2426" s="12"/>
      <c r="B2426" s="10"/>
      <c r="C2426" s="15" t="str">
        <f aca="false">IF($B2426="","",IFERROR(INDEX(회원명부!$B$3:$B$502,MATCH($B2426,회원명부!$A$3:$A$502,0)),"미등록회원"))</f>
        <v/>
      </c>
      <c r="D2426" s="13"/>
      <c r="E2426" s="10"/>
      <c r="F2426" s="10"/>
      <c r="G2426" s="10"/>
    </row>
    <row r="2427" customFormat="false" ht="15" hidden="false" customHeight="true" outlineLevel="0" collapsed="false">
      <c r="A2427" s="12"/>
      <c r="B2427" s="10"/>
      <c r="C2427" s="15" t="str">
        <f aca="false">IF($B2427="","",IFERROR(INDEX(회원명부!$B$3:$B$502,MATCH($B2427,회원명부!$A$3:$A$502,0)),"미등록회원"))</f>
        <v/>
      </c>
      <c r="D2427" s="13"/>
      <c r="E2427" s="10"/>
      <c r="F2427" s="10"/>
      <c r="G2427" s="10"/>
    </row>
    <row r="2428" customFormat="false" ht="15" hidden="false" customHeight="true" outlineLevel="0" collapsed="false">
      <c r="A2428" s="12"/>
      <c r="B2428" s="10"/>
      <c r="C2428" s="15" t="str">
        <f aca="false">IF($B2428="","",IFERROR(INDEX(회원명부!$B$3:$B$502,MATCH($B2428,회원명부!$A$3:$A$502,0)),"미등록회원"))</f>
        <v/>
      </c>
      <c r="D2428" s="13"/>
      <c r="E2428" s="10"/>
      <c r="F2428" s="10"/>
      <c r="G2428" s="10"/>
    </row>
    <row r="2429" customFormat="false" ht="15" hidden="false" customHeight="true" outlineLevel="0" collapsed="false">
      <c r="A2429" s="12"/>
      <c r="B2429" s="10"/>
      <c r="C2429" s="15" t="str">
        <f aca="false">IF($B2429="","",IFERROR(INDEX(회원명부!$B$3:$B$502,MATCH($B2429,회원명부!$A$3:$A$502,0)),"미등록회원"))</f>
        <v/>
      </c>
      <c r="D2429" s="13"/>
      <c r="E2429" s="10"/>
      <c r="F2429" s="10"/>
      <c r="G2429" s="10"/>
    </row>
    <row r="2430" customFormat="false" ht="15" hidden="false" customHeight="true" outlineLevel="0" collapsed="false">
      <c r="A2430" s="12"/>
      <c r="B2430" s="10"/>
      <c r="C2430" s="15" t="str">
        <f aca="false">IF($B2430="","",IFERROR(INDEX(회원명부!$B$3:$B$502,MATCH($B2430,회원명부!$A$3:$A$502,0)),"미등록회원"))</f>
        <v/>
      </c>
      <c r="D2430" s="13"/>
      <c r="E2430" s="10"/>
      <c r="F2430" s="10"/>
      <c r="G2430" s="10"/>
    </row>
    <row r="2431" customFormat="false" ht="15" hidden="false" customHeight="true" outlineLevel="0" collapsed="false">
      <c r="A2431" s="12"/>
      <c r="B2431" s="10"/>
      <c r="C2431" s="15" t="str">
        <f aca="false">IF($B2431="","",IFERROR(INDEX(회원명부!$B$3:$B$502,MATCH($B2431,회원명부!$A$3:$A$502,0)),"미등록회원"))</f>
        <v/>
      </c>
      <c r="D2431" s="13"/>
      <c r="E2431" s="10"/>
      <c r="F2431" s="10"/>
      <c r="G2431" s="10"/>
    </row>
    <row r="2432" customFormat="false" ht="15" hidden="false" customHeight="true" outlineLevel="0" collapsed="false">
      <c r="A2432" s="12"/>
      <c r="B2432" s="10"/>
      <c r="C2432" s="15" t="str">
        <f aca="false">IF($B2432="","",IFERROR(INDEX(회원명부!$B$3:$B$502,MATCH($B2432,회원명부!$A$3:$A$502,0)),"미등록회원"))</f>
        <v/>
      </c>
      <c r="D2432" s="13"/>
      <c r="E2432" s="10"/>
      <c r="F2432" s="10"/>
      <c r="G2432" s="10"/>
    </row>
    <row r="2433" customFormat="false" ht="15" hidden="false" customHeight="true" outlineLevel="0" collapsed="false">
      <c r="A2433" s="12"/>
      <c r="B2433" s="10"/>
      <c r="C2433" s="15" t="str">
        <f aca="false">IF($B2433="","",IFERROR(INDEX(회원명부!$B$3:$B$502,MATCH($B2433,회원명부!$A$3:$A$502,0)),"미등록회원"))</f>
        <v/>
      </c>
      <c r="D2433" s="13"/>
      <c r="E2433" s="10"/>
      <c r="F2433" s="10"/>
      <c r="G2433" s="10"/>
    </row>
    <row r="2434" customFormat="false" ht="15" hidden="false" customHeight="true" outlineLevel="0" collapsed="false">
      <c r="A2434" s="12"/>
      <c r="B2434" s="10"/>
      <c r="C2434" s="15" t="str">
        <f aca="false">IF($B2434="","",IFERROR(INDEX(회원명부!$B$3:$B$502,MATCH($B2434,회원명부!$A$3:$A$502,0)),"미등록회원"))</f>
        <v/>
      </c>
      <c r="D2434" s="13"/>
      <c r="E2434" s="10"/>
      <c r="F2434" s="10"/>
      <c r="G2434" s="10"/>
    </row>
    <row r="2435" customFormat="false" ht="15" hidden="false" customHeight="true" outlineLevel="0" collapsed="false">
      <c r="A2435" s="12"/>
      <c r="B2435" s="10"/>
      <c r="C2435" s="15" t="str">
        <f aca="false">IF($B2435="","",IFERROR(INDEX(회원명부!$B$3:$B$502,MATCH($B2435,회원명부!$A$3:$A$502,0)),"미등록회원"))</f>
        <v/>
      </c>
      <c r="D2435" s="13"/>
      <c r="E2435" s="10"/>
      <c r="F2435" s="10"/>
      <c r="G2435" s="10"/>
    </row>
    <row r="2436" customFormat="false" ht="15" hidden="false" customHeight="true" outlineLevel="0" collapsed="false">
      <c r="A2436" s="12"/>
      <c r="B2436" s="10"/>
      <c r="C2436" s="15" t="str">
        <f aca="false">IF($B2436="","",IFERROR(INDEX(회원명부!$B$3:$B$502,MATCH($B2436,회원명부!$A$3:$A$502,0)),"미등록회원"))</f>
        <v/>
      </c>
      <c r="D2436" s="13"/>
      <c r="E2436" s="10"/>
      <c r="F2436" s="10"/>
      <c r="G2436" s="10"/>
    </row>
    <row r="2437" customFormat="false" ht="15" hidden="false" customHeight="true" outlineLevel="0" collapsed="false">
      <c r="A2437" s="12"/>
      <c r="B2437" s="10"/>
      <c r="C2437" s="15" t="str">
        <f aca="false">IF($B2437="","",IFERROR(INDEX(회원명부!$B$3:$B$502,MATCH($B2437,회원명부!$A$3:$A$502,0)),"미등록회원"))</f>
        <v/>
      </c>
      <c r="D2437" s="13"/>
      <c r="E2437" s="10"/>
      <c r="F2437" s="10"/>
      <c r="G2437" s="10"/>
    </row>
    <row r="2438" customFormat="false" ht="15" hidden="false" customHeight="true" outlineLevel="0" collapsed="false">
      <c r="A2438" s="12"/>
      <c r="B2438" s="10"/>
      <c r="C2438" s="15" t="str">
        <f aca="false">IF($B2438="","",IFERROR(INDEX(회원명부!$B$3:$B$502,MATCH($B2438,회원명부!$A$3:$A$502,0)),"미등록회원"))</f>
        <v/>
      </c>
      <c r="D2438" s="13"/>
      <c r="E2438" s="10"/>
      <c r="F2438" s="10"/>
      <c r="G2438" s="10"/>
    </row>
    <row r="2439" customFormat="false" ht="15" hidden="false" customHeight="true" outlineLevel="0" collapsed="false">
      <c r="A2439" s="12"/>
      <c r="B2439" s="10"/>
      <c r="C2439" s="15" t="str">
        <f aca="false">IF($B2439="","",IFERROR(INDEX(회원명부!$B$3:$B$502,MATCH($B2439,회원명부!$A$3:$A$502,0)),"미등록회원"))</f>
        <v/>
      </c>
      <c r="D2439" s="13"/>
      <c r="E2439" s="10"/>
      <c r="F2439" s="10"/>
      <c r="G2439" s="10"/>
    </row>
    <row r="2440" customFormat="false" ht="15" hidden="false" customHeight="true" outlineLevel="0" collapsed="false">
      <c r="A2440" s="12"/>
      <c r="B2440" s="10"/>
      <c r="C2440" s="15" t="str">
        <f aca="false">IF($B2440="","",IFERROR(INDEX(회원명부!$B$3:$B$502,MATCH($B2440,회원명부!$A$3:$A$502,0)),"미등록회원"))</f>
        <v/>
      </c>
      <c r="D2440" s="13"/>
      <c r="E2440" s="10"/>
      <c r="F2440" s="10"/>
      <c r="G2440" s="10"/>
    </row>
    <row r="2441" customFormat="false" ht="15" hidden="false" customHeight="true" outlineLevel="0" collapsed="false">
      <c r="A2441" s="12"/>
      <c r="B2441" s="10"/>
      <c r="C2441" s="15" t="str">
        <f aca="false">IF($B2441="","",IFERROR(INDEX(회원명부!$B$3:$B$502,MATCH($B2441,회원명부!$A$3:$A$502,0)),"미등록회원"))</f>
        <v/>
      </c>
      <c r="D2441" s="13"/>
      <c r="E2441" s="10"/>
      <c r="F2441" s="10"/>
      <c r="G2441" s="10"/>
    </row>
    <row r="2442" customFormat="false" ht="15" hidden="false" customHeight="true" outlineLevel="0" collapsed="false">
      <c r="A2442" s="12"/>
      <c r="B2442" s="10"/>
      <c r="C2442" s="15" t="str">
        <f aca="false">IF($B2442="","",IFERROR(INDEX(회원명부!$B$3:$B$502,MATCH($B2442,회원명부!$A$3:$A$502,0)),"미등록회원"))</f>
        <v/>
      </c>
      <c r="D2442" s="13"/>
      <c r="E2442" s="10"/>
      <c r="F2442" s="10"/>
      <c r="G2442" s="10"/>
    </row>
    <row r="2443" customFormat="false" ht="15" hidden="false" customHeight="true" outlineLevel="0" collapsed="false">
      <c r="A2443" s="12"/>
      <c r="B2443" s="10"/>
      <c r="C2443" s="15" t="str">
        <f aca="false">IF($B2443="","",IFERROR(INDEX(회원명부!$B$3:$B$502,MATCH($B2443,회원명부!$A$3:$A$502,0)),"미등록회원"))</f>
        <v/>
      </c>
      <c r="D2443" s="13"/>
      <c r="E2443" s="10"/>
      <c r="F2443" s="10"/>
      <c r="G2443" s="10"/>
    </row>
    <row r="2444" customFormat="false" ht="15" hidden="false" customHeight="true" outlineLevel="0" collapsed="false">
      <c r="A2444" s="12"/>
      <c r="B2444" s="10"/>
      <c r="C2444" s="15" t="str">
        <f aca="false">IF($B2444="","",IFERROR(INDEX(회원명부!$B$3:$B$502,MATCH($B2444,회원명부!$A$3:$A$502,0)),"미등록회원"))</f>
        <v/>
      </c>
      <c r="D2444" s="13"/>
      <c r="E2444" s="10"/>
      <c r="F2444" s="10"/>
      <c r="G2444" s="10"/>
    </row>
    <row r="2445" customFormat="false" ht="15" hidden="false" customHeight="true" outlineLevel="0" collapsed="false">
      <c r="A2445" s="12"/>
      <c r="B2445" s="10"/>
      <c r="C2445" s="15" t="str">
        <f aca="false">IF($B2445="","",IFERROR(INDEX(회원명부!$B$3:$B$502,MATCH($B2445,회원명부!$A$3:$A$502,0)),"미등록회원"))</f>
        <v/>
      </c>
      <c r="D2445" s="13"/>
      <c r="E2445" s="10"/>
      <c r="F2445" s="10"/>
      <c r="G2445" s="10"/>
    </row>
    <row r="2446" customFormat="false" ht="15" hidden="false" customHeight="true" outlineLevel="0" collapsed="false">
      <c r="A2446" s="12"/>
      <c r="B2446" s="10"/>
      <c r="C2446" s="15" t="str">
        <f aca="false">IF($B2446="","",IFERROR(INDEX(회원명부!$B$3:$B$502,MATCH($B2446,회원명부!$A$3:$A$502,0)),"미등록회원"))</f>
        <v/>
      </c>
      <c r="D2446" s="13"/>
      <c r="E2446" s="10"/>
      <c r="F2446" s="10"/>
      <c r="G2446" s="10"/>
    </row>
    <row r="2447" customFormat="false" ht="15" hidden="false" customHeight="true" outlineLevel="0" collapsed="false">
      <c r="A2447" s="12"/>
      <c r="B2447" s="10"/>
      <c r="C2447" s="15" t="str">
        <f aca="false">IF($B2447="","",IFERROR(INDEX(회원명부!$B$3:$B$502,MATCH($B2447,회원명부!$A$3:$A$502,0)),"미등록회원"))</f>
        <v/>
      </c>
      <c r="D2447" s="13"/>
      <c r="E2447" s="10"/>
      <c r="F2447" s="10"/>
      <c r="G2447" s="10"/>
    </row>
    <row r="2448" customFormat="false" ht="15" hidden="false" customHeight="true" outlineLevel="0" collapsed="false">
      <c r="A2448" s="12"/>
      <c r="B2448" s="10"/>
      <c r="C2448" s="15" t="str">
        <f aca="false">IF($B2448="","",IFERROR(INDEX(회원명부!$B$3:$B$502,MATCH($B2448,회원명부!$A$3:$A$502,0)),"미등록회원"))</f>
        <v/>
      </c>
      <c r="D2448" s="13"/>
      <c r="E2448" s="10"/>
      <c r="F2448" s="10"/>
      <c r="G2448" s="10"/>
    </row>
    <row r="2449" customFormat="false" ht="15" hidden="false" customHeight="true" outlineLevel="0" collapsed="false">
      <c r="A2449" s="12"/>
      <c r="B2449" s="10"/>
      <c r="C2449" s="15" t="str">
        <f aca="false">IF($B2449="","",IFERROR(INDEX(회원명부!$B$3:$B$502,MATCH($B2449,회원명부!$A$3:$A$502,0)),"미등록회원"))</f>
        <v/>
      </c>
      <c r="D2449" s="13"/>
      <c r="E2449" s="10"/>
      <c r="F2449" s="10"/>
      <c r="G2449" s="10"/>
    </row>
    <row r="2450" customFormat="false" ht="15" hidden="false" customHeight="true" outlineLevel="0" collapsed="false">
      <c r="A2450" s="12"/>
      <c r="B2450" s="10"/>
      <c r="C2450" s="15" t="str">
        <f aca="false">IF($B2450="","",IFERROR(INDEX(회원명부!$B$3:$B$502,MATCH($B2450,회원명부!$A$3:$A$502,0)),"미등록회원"))</f>
        <v/>
      </c>
      <c r="D2450" s="13"/>
      <c r="E2450" s="10"/>
      <c r="F2450" s="10"/>
      <c r="G2450" s="10"/>
    </row>
    <row r="2451" customFormat="false" ht="15" hidden="false" customHeight="true" outlineLevel="0" collapsed="false">
      <c r="A2451" s="12"/>
      <c r="B2451" s="10"/>
      <c r="C2451" s="15" t="str">
        <f aca="false">IF($B2451="","",IFERROR(INDEX(회원명부!$B$3:$B$502,MATCH($B2451,회원명부!$A$3:$A$502,0)),"미등록회원"))</f>
        <v/>
      </c>
      <c r="D2451" s="13"/>
      <c r="E2451" s="10"/>
      <c r="F2451" s="10"/>
      <c r="G2451" s="10"/>
    </row>
    <row r="2452" customFormat="false" ht="15" hidden="false" customHeight="true" outlineLevel="0" collapsed="false">
      <c r="A2452" s="12"/>
      <c r="B2452" s="10"/>
      <c r="C2452" s="15" t="str">
        <f aca="false">IF($B2452="","",IFERROR(INDEX(회원명부!$B$3:$B$502,MATCH($B2452,회원명부!$A$3:$A$502,0)),"미등록회원"))</f>
        <v/>
      </c>
      <c r="D2452" s="13"/>
      <c r="E2452" s="10"/>
      <c r="F2452" s="10"/>
      <c r="G2452" s="10"/>
    </row>
    <row r="2453" customFormat="false" ht="15" hidden="false" customHeight="true" outlineLevel="0" collapsed="false">
      <c r="A2453" s="12"/>
      <c r="B2453" s="10"/>
      <c r="C2453" s="15" t="str">
        <f aca="false">IF($B2453="","",IFERROR(INDEX(회원명부!$B$3:$B$502,MATCH($B2453,회원명부!$A$3:$A$502,0)),"미등록회원"))</f>
        <v/>
      </c>
      <c r="D2453" s="13"/>
      <c r="E2453" s="10"/>
      <c r="F2453" s="10"/>
      <c r="G2453" s="10"/>
    </row>
    <row r="2454" customFormat="false" ht="15" hidden="false" customHeight="true" outlineLevel="0" collapsed="false">
      <c r="A2454" s="12"/>
      <c r="B2454" s="10"/>
      <c r="C2454" s="15" t="str">
        <f aca="false">IF($B2454="","",IFERROR(INDEX(회원명부!$B$3:$B$502,MATCH($B2454,회원명부!$A$3:$A$502,0)),"미등록회원"))</f>
        <v/>
      </c>
      <c r="D2454" s="13"/>
      <c r="E2454" s="10"/>
      <c r="F2454" s="10"/>
      <c r="G2454" s="10"/>
    </row>
    <row r="2455" customFormat="false" ht="15" hidden="false" customHeight="true" outlineLevel="0" collapsed="false">
      <c r="A2455" s="12"/>
      <c r="B2455" s="10"/>
      <c r="C2455" s="15" t="str">
        <f aca="false">IF($B2455="","",IFERROR(INDEX(회원명부!$B$3:$B$502,MATCH($B2455,회원명부!$A$3:$A$502,0)),"미등록회원"))</f>
        <v/>
      </c>
      <c r="D2455" s="13"/>
      <c r="E2455" s="10"/>
      <c r="F2455" s="10"/>
      <c r="G2455" s="10"/>
    </row>
    <row r="2456" customFormat="false" ht="15" hidden="false" customHeight="true" outlineLevel="0" collapsed="false">
      <c r="A2456" s="12"/>
      <c r="B2456" s="10"/>
      <c r="C2456" s="15" t="str">
        <f aca="false">IF($B2456="","",IFERROR(INDEX(회원명부!$B$3:$B$502,MATCH($B2456,회원명부!$A$3:$A$502,0)),"미등록회원"))</f>
        <v/>
      </c>
      <c r="D2456" s="13"/>
      <c r="E2456" s="10"/>
      <c r="F2456" s="10"/>
      <c r="G2456" s="10"/>
    </row>
    <row r="2457" customFormat="false" ht="15" hidden="false" customHeight="true" outlineLevel="0" collapsed="false">
      <c r="A2457" s="12"/>
      <c r="B2457" s="10"/>
      <c r="C2457" s="15" t="str">
        <f aca="false">IF($B2457="","",IFERROR(INDEX(회원명부!$B$3:$B$502,MATCH($B2457,회원명부!$A$3:$A$502,0)),"미등록회원"))</f>
        <v/>
      </c>
      <c r="D2457" s="13"/>
      <c r="E2457" s="10"/>
      <c r="F2457" s="10"/>
      <c r="G2457" s="10"/>
    </row>
    <row r="2458" customFormat="false" ht="15" hidden="false" customHeight="true" outlineLevel="0" collapsed="false">
      <c r="A2458" s="12"/>
      <c r="B2458" s="10"/>
      <c r="C2458" s="15" t="str">
        <f aca="false">IF($B2458="","",IFERROR(INDEX(회원명부!$B$3:$B$502,MATCH($B2458,회원명부!$A$3:$A$502,0)),"미등록회원"))</f>
        <v/>
      </c>
      <c r="D2458" s="13"/>
      <c r="E2458" s="10"/>
      <c r="F2458" s="10"/>
      <c r="G2458" s="10"/>
    </row>
    <row r="2459" customFormat="false" ht="15" hidden="false" customHeight="true" outlineLevel="0" collapsed="false">
      <c r="A2459" s="12"/>
      <c r="B2459" s="10"/>
      <c r="C2459" s="15" t="str">
        <f aca="false">IF($B2459="","",IFERROR(INDEX(회원명부!$B$3:$B$502,MATCH($B2459,회원명부!$A$3:$A$502,0)),"미등록회원"))</f>
        <v/>
      </c>
      <c r="D2459" s="13"/>
      <c r="E2459" s="10"/>
      <c r="F2459" s="10"/>
      <c r="G2459" s="10"/>
    </row>
    <row r="2460" customFormat="false" ht="15" hidden="false" customHeight="true" outlineLevel="0" collapsed="false">
      <c r="A2460" s="12"/>
      <c r="B2460" s="10"/>
      <c r="C2460" s="15" t="str">
        <f aca="false">IF($B2460="","",IFERROR(INDEX(회원명부!$B$3:$B$502,MATCH($B2460,회원명부!$A$3:$A$502,0)),"미등록회원"))</f>
        <v/>
      </c>
      <c r="D2460" s="13"/>
      <c r="E2460" s="10"/>
      <c r="F2460" s="10"/>
      <c r="G2460" s="10"/>
    </row>
    <row r="2461" customFormat="false" ht="15" hidden="false" customHeight="true" outlineLevel="0" collapsed="false">
      <c r="A2461" s="12"/>
      <c r="B2461" s="10"/>
      <c r="C2461" s="15" t="str">
        <f aca="false">IF($B2461="","",IFERROR(INDEX(회원명부!$B$3:$B$502,MATCH($B2461,회원명부!$A$3:$A$502,0)),"미등록회원"))</f>
        <v/>
      </c>
      <c r="D2461" s="13"/>
      <c r="E2461" s="10"/>
      <c r="F2461" s="10"/>
      <c r="G2461" s="10"/>
    </row>
    <row r="2462" customFormat="false" ht="15" hidden="false" customHeight="true" outlineLevel="0" collapsed="false">
      <c r="A2462" s="12"/>
      <c r="B2462" s="10"/>
      <c r="C2462" s="15" t="str">
        <f aca="false">IF($B2462="","",IFERROR(INDEX(회원명부!$B$3:$B$502,MATCH($B2462,회원명부!$A$3:$A$502,0)),"미등록회원"))</f>
        <v/>
      </c>
      <c r="D2462" s="13"/>
      <c r="E2462" s="10"/>
      <c r="F2462" s="10"/>
      <c r="G2462" s="10"/>
    </row>
    <row r="2463" customFormat="false" ht="15" hidden="false" customHeight="true" outlineLevel="0" collapsed="false">
      <c r="A2463" s="12"/>
      <c r="B2463" s="10"/>
      <c r="C2463" s="15" t="str">
        <f aca="false">IF($B2463="","",IFERROR(INDEX(회원명부!$B$3:$B$502,MATCH($B2463,회원명부!$A$3:$A$502,0)),"미등록회원"))</f>
        <v/>
      </c>
      <c r="D2463" s="13"/>
      <c r="E2463" s="10"/>
      <c r="F2463" s="10"/>
      <c r="G2463" s="10"/>
    </row>
    <row r="2464" customFormat="false" ht="15" hidden="false" customHeight="true" outlineLevel="0" collapsed="false">
      <c r="A2464" s="12"/>
      <c r="B2464" s="10"/>
      <c r="C2464" s="15" t="str">
        <f aca="false">IF($B2464="","",IFERROR(INDEX(회원명부!$B$3:$B$502,MATCH($B2464,회원명부!$A$3:$A$502,0)),"미등록회원"))</f>
        <v/>
      </c>
      <c r="D2464" s="13"/>
      <c r="E2464" s="10"/>
      <c r="F2464" s="10"/>
      <c r="G2464" s="10"/>
    </row>
    <row r="2465" customFormat="false" ht="15" hidden="false" customHeight="true" outlineLevel="0" collapsed="false">
      <c r="A2465" s="12"/>
      <c r="B2465" s="10"/>
      <c r="C2465" s="15" t="str">
        <f aca="false">IF($B2465="","",IFERROR(INDEX(회원명부!$B$3:$B$502,MATCH($B2465,회원명부!$A$3:$A$502,0)),"미등록회원"))</f>
        <v/>
      </c>
      <c r="D2465" s="13"/>
      <c r="E2465" s="10"/>
      <c r="F2465" s="10"/>
      <c r="G2465" s="10"/>
    </row>
    <row r="2466" customFormat="false" ht="15" hidden="false" customHeight="true" outlineLevel="0" collapsed="false">
      <c r="A2466" s="12"/>
      <c r="B2466" s="10"/>
      <c r="C2466" s="15" t="str">
        <f aca="false">IF($B2466="","",IFERROR(INDEX(회원명부!$B$3:$B$502,MATCH($B2466,회원명부!$A$3:$A$502,0)),"미등록회원"))</f>
        <v/>
      </c>
      <c r="D2466" s="13"/>
      <c r="E2466" s="10"/>
      <c r="F2466" s="10"/>
      <c r="G2466" s="10"/>
    </row>
    <row r="2467" customFormat="false" ht="15" hidden="false" customHeight="true" outlineLevel="0" collapsed="false">
      <c r="A2467" s="12"/>
      <c r="B2467" s="10"/>
      <c r="C2467" s="15" t="str">
        <f aca="false">IF($B2467="","",IFERROR(INDEX(회원명부!$B$3:$B$502,MATCH($B2467,회원명부!$A$3:$A$502,0)),"미등록회원"))</f>
        <v/>
      </c>
      <c r="D2467" s="13"/>
      <c r="E2467" s="10"/>
      <c r="F2467" s="10"/>
      <c r="G2467" s="10"/>
    </row>
    <row r="2468" customFormat="false" ht="15" hidden="false" customHeight="true" outlineLevel="0" collapsed="false">
      <c r="A2468" s="12"/>
      <c r="B2468" s="10"/>
      <c r="C2468" s="15" t="str">
        <f aca="false">IF($B2468="","",IFERROR(INDEX(회원명부!$B$3:$B$502,MATCH($B2468,회원명부!$A$3:$A$502,0)),"미등록회원"))</f>
        <v/>
      </c>
      <c r="D2468" s="13"/>
      <c r="E2468" s="10"/>
      <c r="F2468" s="10"/>
      <c r="G2468" s="10"/>
    </row>
    <row r="2469" customFormat="false" ht="15" hidden="false" customHeight="true" outlineLevel="0" collapsed="false">
      <c r="A2469" s="12"/>
      <c r="B2469" s="10"/>
      <c r="C2469" s="15" t="str">
        <f aca="false">IF($B2469="","",IFERROR(INDEX(회원명부!$B$3:$B$502,MATCH($B2469,회원명부!$A$3:$A$502,0)),"미등록회원"))</f>
        <v/>
      </c>
      <c r="D2469" s="13"/>
      <c r="E2469" s="10"/>
      <c r="F2469" s="10"/>
      <c r="G2469" s="10"/>
    </row>
    <row r="2470" customFormat="false" ht="15" hidden="false" customHeight="true" outlineLevel="0" collapsed="false">
      <c r="A2470" s="12"/>
      <c r="B2470" s="10"/>
      <c r="C2470" s="15" t="str">
        <f aca="false">IF($B2470="","",IFERROR(INDEX(회원명부!$B$3:$B$502,MATCH($B2470,회원명부!$A$3:$A$502,0)),"미등록회원"))</f>
        <v/>
      </c>
      <c r="D2470" s="13"/>
      <c r="E2470" s="10"/>
      <c r="F2470" s="10"/>
      <c r="G2470" s="10"/>
    </row>
    <row r="2471" customFormat="false" ht="15" hidden="false" customHeight="true" outlineLevel="0" collapsed="false">
      <c r="A2471" s="12"/>
      <c r="B2471" s="10"/>
      <c r="C2471" s="15" t="str">
        <f aca="false">IF($B2471="","",IFERROR(INDEX(회원명부!$B$3:$B$502,MATCH($B2471,회원명부!$A$3:$A$502,0)),"미등록회원"))</f>
        <v/>
      </c>
      <c r="D2471" s="13"/>
      <c r="E2471" s="10"/>
      <c r="F2471" s="10"/>
      <c r="G2471" s="10"/>
    </row>
    <row r="2472" customFormat="false" ht="15" hidden="false" customHeight="true" outlineLevel="0" collapsed="false">
      <c r="A2472" s="12"/>
      <c r="B2472" s="10"/>
      <c r="C2472" s="15" t="str">
        <f aca="false">IF($B2472="","",IFERROR(INDEX(회원명부!$B$3:$B$502,MATCH($B2472,회원명부!$A$3:$A$502,0)),"미등록회원"))</f>
        <v/>
      </c>
      <c r="D2472" s="13"/>
      <c r="E2472" s="10"/>
      <c r="F2472" s="10"/>
      <c r="G2472" s="10"/>
    </row>
    <row r="2473" customFormat="false" ht="15" hidden="false" customHeight="true" outlineLevel="0" collapsed="false">
      <c r="A2473" s="12"/>
      <c r="B2473" s="10"/>
      <c r="C2473" s="15" t="str">
        <f aca="false">IF($B2473="","",IFERROR(INDEX(회원명부!$B$3:$B$502,MATCH($B2473,회원명부!$A$3:$A$502,0)),"미등록회원"))</f>
        <v/>
      </c>
      <c r="D2473" s="13"/>
      <c r="E2473" s="10"/>
      <c r="F2473" s="10"/>
      <c r="G2473" s="10"/>
    </row>
    <row r="2474" customFormat="false" ht="15" hidden="false" customHeight="true" outlineLevel="0" collapsed="false">
      <c r="A2474" s="12"/>
      <c r="B2474" s="10"/>
      <c r="C2474" s="15" t="str">
        <f aca="false">IF($B2474="","",IFERROR(INDEX(회원명부!$B$3:$B$502,MATCH($B2474,회원명부!$A$3:$A$502,0)),"미등록회원"))</f>
        <v/>
      </c>
      <c r="D2474" s="13"/>
      <c r="E2474" s="10"/>
      <c r="F2474" s="10"/>
      <c r="G2474" s="10"/>
    </row>
    <row r="2475" customFormat="false" ht="15" hidden="false" customHeight="true" outlineLevel="0" collapsed="false">
      <c r="A2475" s="12"/>
      <c r="B2475" s="10"/>
      <c r="C2475" s="15" t="str">
        <f aca="false">IF($B2475="","",IFERROR(INDEX(회원명부!$B$3:$B$502,MATCH($B2475,회원명부!$A$3:$A$502,0)),"미등록회원"))</f>
        <v/>
      </c>
      <c r="D2475" s="13"/>
      <c r="E2475" s="10"/>
      <c r="F2475" s="10"/>
      <c r="G2475" s="10"/>
    </row>
    <row r="2476" customFormat="false" ht="15" hidden="false" customHeight="true" outlineLevel="0" collapsed="false">
      <c r="A2476" s="12"/>
      <c r="B2476" s="10"/>
      <c r="C2476" s="15" t="str">
        <f aca="false">IF($B2476="","",IFERROR(INDEX(회원명부!$B$3:$B$502,MATCH($B2476,회원명부!$A$3:$A$502,0)),"미등록회원"))</f>
        <v/>
      </c>
      <c r="D2476" s="13"/>
      <c r="E2476" s="10"/>
      <c r="F2476" s="10"/>
      <c r="G2476" s="10"/>
    </row>
    <row r="2477" customFormat="false" ht="15" hidden="false" customHeight="true" outlineLevel="0" collapsed="false">
      <c r="A2477" s="12"/>
      <c r="B2477" s="10"/>
      <c r="C2477" s="15" t="str">
        <f aca="false">IF($B2477="","",IFERROR(INDEX(회원명부!$B$3:$B$502,MATCH($B2477,회원명부!$A$3:$A$502,0)),"미등록회원"))</f>
        <v/>
      </c>
      <c r="D2477" s="13"/>
      <c r="E2477" s="10"/>
      <c r="F2477" s="10"/>
      <c r="G2477" s="10"/>
    </row>
    <row r="2478" customFormat="false" ht="15" hidden="false" customHeight="true" outlineLevel="0" collapsed="false">
      <c r="A2478" s="12"/>
      <c r="B2478" s="10"/>
      <c r="C2478" s="15" t="str">
        <f aca="false">IF($B2478="","",IFERROR(INDEX(회원명부!$B$3:$B$502,MATCH($B2478,회원명부!$A$3:$A$502,0)),"미등록회원"))</f>
        <v/>
      </c>
      <c r="D2478" s="13"/>
      <c r="E2478" s="10"/>
      <c r="F2478" s="10"/>
      <c r="G2478" s="10"/>
    </row>
    <row r="2479" customFormat="false" ht="15" hidden="false" customHeight="true" outlineLevel="0" collapsed="false">
      <c r="A2479" s="12"/>
      <c r="B2479" s="10"/>
      <c r="C2479" s="15" t="str">
        <f aca="false">IF($B2479="","",IFERROR(INDEX(회원명부!$B$3:$B$502,MATCH($B2479,회원명부!$A$3:$A$502,0)),"미등록회원"))</f>
        <v/>
      </c>
      <c r="D2479" s="13"/>
      <c r="E2479" s="10"/>
      <c r="F2479" s="10"/>
      <c r="G2479" s="10"/>
    </row>
    <row r="2480" customFormat="false" ht="15" hidden="false" customHeight="true" outlineLevel="0" collapsed="false">
      <c r="A2480" s="12"/>
      <c r="B2480" s="10"/>
      <c r="C2480" s="15" t="str">
        <f aca="false">IF($B2480="","",IFERROR(INDEX(회원명부!$B$3:$B$502,MATCH($B2480,회원명부!$A$3:$A$502,0)),"미등록회원"))</f>
        <v/>
      </c>
      <c r="D2480" s="13"/>
      <c r="E2480" s="10"/>
      <c r="F2480" s="10"/>
      <c r="G2480" s="10"/>
    </row>
    <row r="2481" customFormat="false" ht="15" hidden="false" customHeight="true" outlineLevel="0" collapsed="false">
      <c r="A2481" s="12"/>
      <c r="B2481" s="10"/>
      <c r="C2481" s="15" t="str">
        <f aca="false">IF($B2481="","",IFERROR(INDEX(회원명부!$B$3:$B$502,MATCH($B2481,회원명부!$A$3:$A$502,0)),"미등록회원"))</f>
        <v/>
      </c>
      <c r="D2481" s="13"/>
      <c r="E2481" s="10"/>
      <c r="F2481" s="10"/>
      <c r="G2481" s="10"/>
    </row>
    <row r="2482" customFormat="false" ht="15" hidden="false" customHeight="true" outlineLevel="0" collapsed="false">
      <c r="A2482" s="12"/>
      <c r="B2482" s="10"/>
      <c r="C2482" s="15" t="str">
        <f aca="false">IF($B2482="","",IFERROR(INDEX(회원명부!$B$3:$B$502,MATCH($B2482,회원명부!$A$3:$A$502,0)),"미등록회원"))</f>
        <v/>
      </c>
      <c r="D2482" s="13"/>
      <c r="E2482" s="10"/>
      <c r="F2482" s="10"/>
      <c r="G2482" s="10"/>
    </row>
    <row r="2483" customFormat="false" ht="15" hidden="false" customHeight="true" outlineLevel="0" collapsed="false">
      <c r="A2483" s="12"/>
      <c r="B2483" s="10"/>
      <c r="C2483" s="15" t="str">
        <f aca="false">IF($B2483="","",IFERROR(INDEX(회원명부!$B$3:$B$502,MATCH($B2483,회원명부!$A$3:$A$502,0)),"미등록회원"))</f>
        <v/>
      </c>
      <c r="D2483" s="13"/>
      <c r="E2483" s="10"/>
      <c r="F2483" s="10"/>
      <c r="G2483" s="10"/>
    </row>
    <row r="2484" customFormat="false" ht="15" hidden="false" customHeight="true" outlineLevel="0" collapsed="false">
      <c r="A2484" s="12"/>
      <c r="B2484" s="10"/>
      <c r="C2484" s="15" t="str">
        <f aca="false">IF($B2484="","",IFERROR(INDEX(회원명부!$B$3:$B$502,MATCH($B2484,회원명부!$A$3:$A$502,0)),"미등록회원"))</f>
        <v/>
      </c>
      <c r="D2484" s="13"/>
      <c r="E2484" s="10"/>
      <c r="F2484" s="10"/>
      <c r="G2484" s="10"/>
    </row>
    <row r="2485" customFormat="false" ht="15" hidden="false" customHeight="true" outlineLevel="0" collapsed="false">
      <c r="A2485" s="12"/>
      <c r="B2485" s="10"/>
      <c r="C2485" s="15" t="str">
        <f aca="false">IF($B2485="","",IFERROR(INDEX(회원명부!$B$3:$B$502,MATCH($B2485,회원명부!$A$3:$A$502,0)),"미등록회원"))</f>
        <v/>
      </c>
      <c r="D2485" s="13"/>
      <c r="E2485" s="10"/>
      <c r="F2485" s="10"/>
      <c r="G2485" s="10"/>
    </row>
    <row r="2486" customFormat="false" ht="15" hidden="false" customHeight="true" outlineLevel="0" collapsed="false">
      <c r="A2486" s="12"/>
      <c r="B2486" s="10"/>
      <c r="C2486" s="15" t="str">
        <f aca="false">IF($B2486="","",IFERROR(INDEX(회원명부!$B$3:$B$502,MATCH($B2486,회원명부!$A$3:$A$502,0)),"미등록회원"))</f>
        <v/>
      </c>
      <c r="D2486" s="13"/>
      <c r="E2486" s="10"/>
      <c r="F2486" s="10"/>
      <c r="G2486" s="10"/>
    </row>
    <row r="2487" customFormat="false" ht="15" hidden="false" customHeight="true" outlineLevel="0" collapsed="false">
      <c r="A2487" s="12"/>
      <c r="B2487" s="10"/>
      <c r="C2487" s="15" t="str">
        <f aca="false">IF($B2487="","",IFERROR(INDEX(회원명부!$B$3:$B$502,MATCH($B2487,회원명부!$A$3:$A$502,0)),"미등록회원"))</f>
        <v/>
      </c>
      <c r="D2487" s="13"/>
      <c r="E2487" s="10"/>
      <c r="F2487" s="10"/>
      <c r="G2487" s="10"/>
    </row>
    <row r="2488" customFormat="false" ht="15" hidden="false" customHeight="true" outlineLevel="0" collapsed="false">
      <c r="A2488" s="12"/>
      <c r="B2488" s="10"/>
      <c r="C2488" s="15" t="str">
        <f aca="false">IF($B2488="","",IFERROR(INDEX(회원명부!$B$3:$B$502,MATCH($B2488,회원명부!$A$3:$A$502,0)),"미등록회원"))</f>
        <v/>
      </c>
      <c r="D2488" s="13"/>
      <c r="E2488" s="10"/>
      <c r="F2488" s="10"/>
      <c r="G2488" s="10"/>
    </row>
    <row r="2489" customFormat="false" ht="15" hidden="false" customHeight="true" outlineLevel="0" collapsed="false">
      <c r="A2489" s="12"/>
      <c r="B2489" s="10"/>
      <c r="C2489" s="15" t="str">
        <f aca="false">IF($B2489="","",IFERROR(INDEX(회원명부!$B$3:$B$502,MATCH($B2489,회원명부!$A$3:$A$502,0)),"미등록회원"))</f>
        <v/>
      </c>
      <c r="D2489" s="13"/>
      <c r="E2489" s="10"/>
      <c r="F2489" s="10"/>
      <c r="G2489" s="10"/>
    </row>
    <row r="2490" customFormat="false" ht="15" hidden="false" customHeight="true" outlineLevel="0" collapsed="false">
      <c r="A2490" s="12"/>
      <c r="B2490" s="10"/>
      <c r="C2490" s="15" t="str">
        <f aca="false">IF($B2490="","",IFERROR(INDEX(회원명부!$B$3:$B$502,MATCH($B2490,회원명부!$A$3:$A$502,0)),"미등록회원"))</f>
        <v/>
      </c>
      <c r="D2490" s="13"/>
      <c r="E2490" s="10"/>
      <c r="F2490" s="10"/>
      <c r="G2490" s="10"/>
    </row>
    <row r="2491" customFormat="false" ht="15" hidden="false" customHeight="true" outlineLevel="0" collapsed="false">
      <c r="A2491" s="12"/>
      <c r="B2491" s="10"/>
      <c r="C2491" s="15" t="str">
        <f aca="false">IF($B2491="","",IFERROR(INDEX(회원명부!$B$3:$B$502,MATCH($B2491,회원명부!$A$3:$A$502,0)),"미등록회원"))</f>
        <v/>
      </c>
      <c r="D2491" s="13"/>
      <c r="E2491" s="10"/>
      <c r="F2491" s="10"/>
      <c r="G2491" s="10"/>
    </row>
    <row r="2492" customFormat="false" ht="15" hidden="false" customHeight="true" outlineLevel="0" collapsed="false">
      <c r="A2492" s="12"/>
      <c r="B2492" s="10"/>
      <c r="C2492" s="15" t="str">
        <f aca="false">IF($B2492="","",IFERROR(INDEX(회원명부!$B$3:$B$502,MATCH($B2492,회원명부!$A$3:$A$502,0)),"미등록회원"))</f>
        <v/>
      </c>
      <c r="D2492" s="13"/>
      <c r="E2492" s="10"/>
      <c r="F2492" s="10"/>
      <c r="G2492" s="10"/>
    </row>
    <row r="2493" customFormat="false" ht="15" hidden="false" customHeight="true" outlineLevel="0" collapsed="false">
      <c r="A2493" s="12"/>
      <c r="B2493" s="10"/>
      <c r="C2493" s="15" t="str">
        <f aca="false">IF($B2493="","",IFERROR(INDEX(회원명부!$B$3:$B$502,MATCH($B2493,회원명부!$A$3:$A$502,0)),"미등록회원"))</f>
        <v/>
      </c>
      <c r="D2493" s="13"/>
      <c r="E2493" s="10"/>
      <c r="F2493" s="10"/>
      <c r="G2493" s="10"/>
    </row>
    <row r="2494" customFormat="false" ht="15" hidden="false" customHeight="true" outlineLevel="0" collapsed="false">
      <c r="A2494" s="12"/>
      <c r="B2494" s="10"/>
      <c r="C2494" s="15" t="str">
        <f aca="false">IF($B2494="","",IFERROR(INDEX(회원명부!$B$3:$B$502,MATCH($B2494,회원명부!$A$3:$A$502,0)),"미등록회원"))</f>
        <v/>
      </c>
      <c r="D2494" s="13"/>
      <c r="E2494" s="10"/>
      <c r="F2494" s="10"/>
      <c r="G2494" s="10"/>
    </row>
    <row r="2495" customFormat="false" ht="15" hidden="false" customHeight="true" outlineLevel="0" collapsed="false">
      <c r="A2495" s="12"/>
      <c r="B2495" s="10"/>
      <c r="C2495" s="15" t="str">
        <f aca="false">IF($B2495="","",IFERROR(INDEX(회원명부!$B$3:$B$502,MATCH($B2495,회원명부!$A$3:$A$502,0)),"미등록회원"))</f>
        <v/>
      </c>
      <c r="D2495" s="13"/>
      <c r="E2495" s="10"/>
      <c r="F2495" s="10"/>
      <c r="G2495" s="10"/>
    </row>
    <row r="2496" customFormat="false" ht="15" hidden="false" customHeight="true" outlineLevel="0" collapsed="false">
      <c r="A2496" s="12"/>
      <c r="B2496" s="10"/>
      <c r="C2496" s="15" t="str">
        <f aca="false">IF($B2496="","",IFERROR(INDEX(회원명부!$B$3:$B$502,MATCH($B2496,회원명부!$A$3:$A$502,0)),"미등록회원"))</f>
        <v/>
      </c>
      <c r="D2496" s="13"/>
      <c r="E2496" s="10"/>
      <c r="F2496" s="10"/>
      <c r="G2496" s="10"/>
    </row>
    <row r="2497" customFormat="false" ht="15" hidden="false" customHeight="true" outlineLevel="0" collapsed="false">
      <c r="A2497" s="12"/>
      <c r="B2497" s="10"/>
      <c r="C2497" s="15" t="str">
        <f aca="false">IF($B2497="","",IFERROR(INDEX(회원명부!$B$3:$B$502,MATCH($B2497,회원명부!$A$3:$A$502,0)),"미등록회원"))</f>
        <v/>
      </c>
      <c r="D2497" s="13"/>
      <c r="E2497" s="10"/>
      <c r="F2497" s="10"/>
      <c r="G2497" s="10"/>
    </row>
    <row r="2498" customFormat="false" ht="15" hidden="false" customHeight="true" outlineLevel="0" collapsed="false">
      <c r="A2498" s="12"/>
      <c r="B2498" s="10"/>
      <c r="C2498" s="15" t="str">
        <f aca="false">IF($B2498="","",IFERROR(INDEX(회원명부!$B$3:$B$502,MATCH($B2498,회원명부!$A$3:$A$502,0)),"미등록회원"))</f>
        <v/>
      </c>
      <c r="D2498" s="13"/>
      <c r="E2498" s="10"/>
      <c r="F2498" s="10"/>
      <c r="G2498" s="10"/>
    </row>
    <row r="2499" customFormat="false" ht="15" hidden="false" customHeight="true" outlineLevel="0" collapsed="false">
      <c r="A2499" s="12"/>
      <c r="B2499" s="10"/>
      <c r="C2499" s="15" t="str">
        <f aca="false">IF($B2499="","",IFERROR(INDEX(회원명부!$B$3:$B$502,MATCH($B2499,회원명부!$A$3:$A$502,0)),"미등록회원"))</f>
        <v/>
      </c>
      <c r="D2499" s="13"/>
      <c r="E2499" s="10"/>
      <c r="F2499" s="10"/>
      <c r="G2499" s="10"/>
    </row>
    <row r="2500" customFormat="false" ht="15" hidden="false" customHeight="true" outlineLevel="0" collapsed="false">
      <c r="A2500" s="12"/>
      <c r="B2500" s="10"/>
      <c r="C2500" s="15" t="str">
        <f aca="false">IF($B2500="","",IFERROR(INDEX(회원명부!$B$3:$B$502,MATCH($B2500,회원명부!$A$3:$A$502,0)),"미등록회원"))</f>
        <v/>
      </c>
      <c r="D2500" s="13"/>
      <c r="E2500" s="10"/>
      <c r="F2500" s="10"/>
      <c r="G2500" s="10"/>
    </row>
    <row r="2501" customFormat="false" ht="15" hidden="false" customHeight="true" outlineLevel="0" collapsed="false">
      <c r="A2501" s="12"/>
      <c r="B2501" s="10"/>
      <c r="C2501" s="15" t="str">
        <f aca="false">IF($B2501="","",IFERROR(INDEX(회원명부!$B$3:$B$502,MATCH($B2501,회원명부!$A$3:$A$502,0)),"미등록회원"))</f>
        <v/>
      </c>
      <c r="D2501" s="13"/>
      <c r="E2501" s="10"/>
      <c r="F2501" s="10"/>
      <c r="G2501" s="10"/>
    </row>
    <row r="2502" customFormat="false" ht="15" hidden="false" customHeight="true" outlineLevel="0" collapsed="false">
      <c r="A2502" s="12"/>
      <c r="B2502" s="10"/>
      <c r="C2502" s="15" t="str">
        <f aca="false">IF($B2502="","",IFERROR(INDEX(회원명부!$B$3:$B$502,MATCH($B2502,회원명부!$A$3:$A$502,0)),"미등록회원"))</f>
        <v/>
      </c>
      <c r="D2502" s="13"/>
      <c r="E2502" s="10"/>
      <c r="F2502" s="10"/>
      <c r="G2502" s="10"/>
    </row>
    <row r="2503" customFormat="false" ht="15" hidden="false" customHeight="true" outlineLevel="0" collapsed="false">
      <c r="A2503" s="12"/>
      <c r="B2503" s="10"/>
      <c r="C2503" s="15" t="str">
        <f aca="false">IF($B2503="","",IFERROR(INDEX(회원명부!$B$3:$B$502,MATCH($B2503,회원명부!$A$3:$A$502,0)),"미등록회원"))</f>
        <v/>
      </c>
      <c r="D2503" s="13"/>
      <c r="E2503" s="10"/>
      <c r="F2503" s="10"/>
      <c r="G2503" s="10"/>
    </row>
    <row r="2504" customFormat="false" ht="15" hidden="false" customHeight="true" outlineLevel="0" collapsed="false">
      <c r="A2504" s="12"/>
      <c r="B2504" s="10"/>
      <c r="C2504" s="15" t="str">
        <f aca="false">IF($B2504="","",IFERROR(INDEX(회원명부!$B$3:$B$502,MATCH($B2504,회원명부!$A$3:$A$502,0)),"미등록회원"))</f>
        <v/>
      </c>
      <c r="D2504" s="13"/>
      <c r="E2504" s="10"/>
      <c r="F2504" s="10"/>
      <c r="G2504" s="10"/>
    </row>
    <row r="2505" customFormat="false" ht="15" hidden="false" customHeight="true" outlineLevel="0" collapsed="false">
      <c r="A2505" s="12"/>
      <c r="B2505" s="10"/>
      <c r="C2505" s="15" t="str">
        <f aca="false">IF($B2505="","",IFERROR(INDEX(회원명부!$B$3:$B$502,MATCH($B2505,회원명부!$A$3:$A$502,0)),"미등록회원"))</f>
        <v/>
      </c>
      <c r="D2505" s="13"/>
      <c r="E2505" s="10"/>
      <c r="F2505" s="10"/>
      <c r="G2505" s="10"/>
    </row>
    <row r="2506" customFormat="false" ht="15" hidden="false" customHeight="true" outlineLevel="0" collapsed="false">
      <c r="A2506" s="12"/>
      <c r="B2506" s="10"/>
      <c r="C2506" s="15" t="str">
        <f aca="false">IF($B2506="","",IFERROR(INDEX(회원명부!$B$3:$B$502,MATCH($B2506,회원명부!$A$3:$A$502,0)),"미등록회원"))</f>
        <v/>
      </c>
      <c r="D2506" s="13"/>
      <c r="E2506" s="10"/>
      <c r="F2506" s="10"/>
      <c r="G2506" s="10"/>
    </row>
    <row r="2507" customFormat="false" ht="15" hidden="false" customHeight="true" outlineLevel="0" collapsed="false">
      <c r="A2507" s="12"/>
      <c r="B2507" s="10"/>
      <c r="C2507" s="15" t="str">
        <f aca="false">IF($B2507="","",IFERROR(INDEX(회원명부!$B$3:$B$502,MATCH($B2507,회원명부!$A$3:$A$502,0)),"미등록회원"))</f>
        <v/>
      </c>
      <c r="D2507" s="13"/>
      <c r="E2507" s="10"/>
      <c r="F2507" s="10"/>
      <c r="G2507" s="10"/>
    </row>
    <row r="2508" customFormat="false" ht="15" hidden="false" customHeight="true" outlineLevel="0" collapsed="false">
      <c r="A2508" s="12"/>
      <c r="B2508" s="10"/>
      <c r="C2508" s="15" t="str">
        <f aca="false">IF($B2508="","",IFERROR(INDEX(회원명부!$B$3:$B$502,MATCH($B2508,회원명부!$A$3:$A$502,0)),"미등록회원"))</f>
        <v/>
      </c>
      <c r="D2508" s="13"/>
      <c r="E2508" s="10"/>
      <c r="F2508" s="10"/>
      <c r="G2508" s="10"/>
    </row>
    <row r="2509" customFormat="false" ht="15" hidden="false" customHeight="true" outlineLevel="0" collapsed="false">
      <c r="A2509" s="12"/>
      <c r="B2509" s="10"/>
      <c r="C2509" s="15" t="str">
        <f aca="false">IF($B2509="","",IFERROR(INDEX(회원명부!$B$3:$B$502,MATCH($B2509,회원명부!$A$3:$A$502,0)),"미등록회원"))</f>
        <v/>
      </c>
      <c r="D2509" s="13"/>
      <c r="E2509" s="10"/>
      <c r="F2509" s="10"/>
      <c r="G2509" s="10"/>
    </row>
    <row r="2510" customFormat="false" ht="15" hidden="false" customHeight="true" outlineLevel="0" collapsed="false">
      <c r="A2510" s="12"/>
      <c r="B2510" s="10"/>
      <c r="C2510" s="15" t="str">
        <f aca="false">IF($B2510="","",IFERROR(INDEX(회원명부!$B$3:$B$502,MATCH($B2510,회원명부!$A$3:$A$502,0)),"미등록회원"))</f>
        <v/>
      </c>
      <c r="D2510" s="13"/>
      <c r="E2510" s="10"/>
      <c r="F2510" s="10"/>
      <c r="G2510" s="10"/>
    </row>
    <row r="2511" customFormat="false" ht="15" hidden="false" customHeight="true" outlineLevel="0" collapsed="false">
      <c r="A2511" s="12"/>
      <c r="B2511" s="10"/>
      <c r="C2511" s="15" t="str">
        <f aca="false">IF($B2511="","",IFERROR(INDEX(회원명부!$B$3:$B$502,MATCH($B2511,회원명부!$A$3:$A$502,0)),"미등록회원"))</f>
        <v/>
      </c>
      <c r="D2511" s="13"/>
      <c r="E2511" s="10"/>
      <c r="F2511" s="10"/>
      <c r="G2511" s="10"/>
    </row>
    <row r="2512" customFormat="false" ht="15" hidden="false" customHeight="true" outlineLevel="0" collapsed="false">
      <c r="A2512" s="12"/>
      <c r="B2512" s="10"/>
      <c r="C2512" s="15" t="str">
        <f aca="false">IF($B2512="","",IFERROR(INDEX(회원명부!$B$3:$B$502,MATCH($B2512,회원명부!$A$3:$A$502,0)),"미등록회원"))</f>
        <v/>
      </c>
      <c r="D2512" s="13"/>
      <c r="E2512" s="10"/>
      <c r="F2512" s="10"/>
      <c r="G2512" s="10"/>
    </row>
    <row r="2513" customFormat="false" ht="15" hidden="false" customHeight="true" outlineLevel="0" collapsed="false">
      <c r="A2513" s="12"/>
      <c r="B2513" s="10"/>
      <c r="C2513" s="15" t="str">
        <f aca="false">IF($B2513="","",IFERROR(INDEX(회원명부!$B$3:$B$502,MATCH($B2513,회원명부!$A$3:$A$502,0)),"미등록회원"))</f>
        <v/>
      </c>
      <c r="D2513" s="13"/>
      <c r="E2513" s="10"/>
      <c r="F2513" s="10"/>
      <c r="G2513" s="10"/>
    </row>
    <row r="2514" customFormat="false" ht="15" hidden="false" customHeight="true" outlineLevel="0" collapsed="false">
      <c r="A2514" s="12"/>
      <c r="B2514" s="10"/>
      <c r="C2514" s="15" t="str">
        <f aca="false">IF($B2514="","",IFERROR(INDEX(회원명부!$B$3:$B$502,MATCH($B2514,회원명부!$A$3:$A$502,0)),"미등록회원"))</f>
        <v/>
      </c>
      <c r="D2514" s="13"/>
      <c r="E2514" s="10"/>
      <c r="F2514" s="10"/>
      <c r="G2514" s="10"/>
    </row>
    <row r="2515" customFormat="false" ht="15" hidden="false" customHeight="true" outlineLevel="0" collapsed="false">
      <c r="A2515" s="12"/>
      <c r="B2515" s="10"/>
      <c r="C2515" s="15" t="str">
        <f aca="false">IF($B2515="","",IFERROR(INDEX(회원명부!$B$3:$B$502,MATCH($B2515,회원명부!$A$3:$A$502,0)),"미등록회원"))</f>
        <v/>
      </c>
      <c r="D2515" s="13"/>
      <c r="E2515" s="10"/>
      <c r="F2515" s="10"/>
      <c r="G2515" s="10"/>
    </row>
    <row r="2516" customFormat="false" ht="15" hidden="false" customHeight="true" outlineLevel="0" collapsed="false">
      <c r="A2516" s="12"/>
      <c r="B2516" s="10"/>
      <c r="C2516" s="15" t="str">
        <f aca="false">IF($B2516="","",IFERROR(INDEX(회원명부!$B$3:$B$502,MATCH($B2516,회원명부!$A$3:$A$502,0)),"미등록회원"))</f>
        <v/>
      </c>
      <c r="D2516" s="13"/>
      <c r="E2516" s="10"/>
      <c r="F2516" s="10"/>
      <c r="G2516" s="10"/>
    </row>
    <row r="2517" customFormat="false" ht="15" hidden="false" customHeight="true" outlineLevel="0" collapsed="false">
      <c r="A2517" s="12"/>
      <c r="B2517" s="10"/>
      <c r="C2517" s="15" t="str">
        <f aca="false">IF($B2517="","",IFERROR(INDEX(회원명부!$B$3:$B$502,MATCH($B2517,회원명부!$A$3:$A$502,0)),"미등록회원"))</f>
        <v/>
      </c>
      <c r="D2517" s="13"/>
      <c r="E2517" s="10"/>
      <c r="F2517" s="10"/>
      <c r="G2517" s="10"/>
    </row>
    <row r="2518" customFormat="false" ht="15" hidden="false" customHeight="true" outlineLevel="0" collapsed="false">
      <c r="A2518" s="12"/>
      <c r="B2518" s="10"/>
      <c r="C2518" s="15" t="str">
        <f aca="false">IF($B2518="","",IFERROR(INDEX(회원명부!$B$3:$B$502,MATCH($B2518,회원명부!$A$3:$A$502,0)),"미등록회원"))</f>
        <v/>
      </c>
      <c r="D2518" s="13"/>
      <c r="E2518" s="10"/>
      <c r="F2518" s="10"/>
      <c r="G2518" s="10"/>
    </row>
    <row r="2519" customFormat="false" ht="15" hidden="false" customHeight="true" outlineLevel="0" collapsed="false">
      <c r="A2519" s="12"/>
      <c r="B2519" s="10"/>
      <c r="C2519" s="15" t="str">
        <f aca="false">IF($B2519="","",IFERROR(INDEX(회원명부!$B$3:$B$502,MATCH($B2519,회원명부!$A$3:$A$502,0)),"미등록회원"))</f>
        <v/>
      </c>
      <c r="D2519" s="13"/>
      <c r="E2519" s="10"/>
      <c r="F2519" s="10"/>
      <c r="G2519" s="10"/>
    </row>
    <row r="2520" customFormat="false" ht="15" hidden="false" customHeight="true" outlineLevel="0" collapsed="false">
      <c r="A2520" s="12"/>
      <c r="B2520" s="10"/>
      <c r="C2520" s="15" t="str">
        <f aca="false">IF($B2520="","",IFERROR(INDEX(회원명부!$B$3:$B$502,MATCH($B2520,회원명부!$A$3:$A$502,0)),"미등록회원"))</f>
        <v/>
      </c>
      <c r="D2520" s="13"/>
      <c r="E2520" s="10"/>
      <c r="F2520" s="10"/>
      <c r="G2520" s="10"/>
    </row>
    <row r="2521" customFormat="false" ht="15" hidden="false" customHeight="true" outlineLevel="0" collapsed="false">
      <c r="A2521" s="12"/>
      <c r="B2521" s="10"/>
      <c r="C2521" s="15" t="str">
        <f aca="false">IF($B2521="","",IFERROR(INDEX(회원명부!$B$3:$B$502,MATCH($B2521,회원명부!$A$3:$A$502,0)),"미등록회원"))</f>
        <v/>
      </c>
      <c r="D2521" s="13"/>
      <c r="E2521" s="10"/>
      <c r="F2521" s="10"/>
      <c r="G2521" s="10"/>
    </row>
    <row r="2522" customFormat="false" ht="15" hidden="false" customHeight="true" outlineLevel="0" collapsed="false">
      <c r="A2522" s="12"/>
      <c r="B2522" s="10"/>
      <c r="C2522" s="15" t="str">
        <f aca="false">IF($B2522="","",IFERROR(INDEX(회원명부!$B$3:$B$502,MATCH($B2522,회원명부!$A$3:$A$502,0)),"미등록회원"))</f>
        <v/>
      </c>
      <c r="D2522" s="13"/>
      <c r="E2522" s="10"/>
      <c r="F2522" s="10"/>
      <c r="G2522" s="10"/>
    </row>
    <row r="2523" customFormat="false" ht="15" hidden="false" customHeight="true" outlineLevel="0" collapsed="false">
      <c r="A2523" s="12"/>
      <c r="B2523" s="10"/>
      <c r="C2523" s="15" t="str">
        <f aca="false">IF($B2523="","",IFERROR(INDEX(회원명부!$B$3:$B$502,MATCH($B2523,회원명부!$A$3:$A$502,0)),"미등록회원"))</f>
        <v/>
      </c>
      <c r="D2523" s="13"/>
      <c r="E2523" s="10"/>
      <c r="F2523" s="10"/>
      <c r="G2523" s="10"/>
    </row>
    <row r="2524" customFormat="false" ht="15" hidden="false" customHeight="true" outlineLevel="0" collapsed="false">
      <c r="A2524" s="12"/>
      <c r="B2524" s="10"/>
      <c r="C2524" s="15" t="str">
        <f aca="false">IF($B2524="","",IFERROR(INDEX(회원명부!$B$3:$B$502,MATCH($B2524,회원명부!$A$3:$A$502,0)),"미등록회원"))</f>
        <v/>
      </c>
      <c r="D2524" s="13"/>
      <c r="E2524" s="10"/>
      <c r="F2524" s="10"/>
      <c r="G2524" s="10"/>
    </row>
    <row r="2525" customFormat="false" ht="15" hidden="false" customHeight="true" outlineLevel="0" collapsed="false">
      <c r="A2525" s="12"/>
      <c r="B2525" s="10"/>
      <c r="C2525" s="15" t="str">
        <f aca="false">IF($B2525="","",IFERROR(INDEX(회원명부!$B$3:$B$502,MATCH($B2525,회원명부!$A$3:$A$502,0)),"미등록회원"))</f>
        <v/>
      </c>
      <c r="D2525" s="13"/>
      <c r="E2525" s="10"/>
      <c r="F2525" s="10"/>
      <c r="G2525" s="10"/>
    </row>
    <row r="2526" customFormat="false" ht="15" hidden="false" customHeight="true" outlineLevel="0" collapsed="false">
      <c r="A2526" s="12"/>
      <c r="B2526" s="10"/>
      <c r="C2526" s="15" t="str">
        <f aca="false">IF($B2526="","",IFERROR(INDEX(회원명부!$B$3:$B$502,MATCH($B2526,회원명부!$A$3:$A$502,0)),"미등록회원"))</f>
        <v/>
      </c>
      <c r="D2526" s="13"/>
      <c r="E2526" s="10"/>
      <c r="F2526" s="10"/>
      <c r="G2526" s="10"/>
    </row>
    <row r="2527" customFormat="false" ht="15" hidden="false" customHeight="true" outlineLevel="0" collapsed="false">
      <c r="A2527" s="12"/>
      <c r="B2527" s="10"/>
      <c r="C2527" s="15" t="str">
        <f aca="false">IF($B2527="","",IFERROR(INDEX(회원명부!$B$3:$B$502,MATCH($B2527,회원명부!$A$3:$A$502,0)),"미등록회원"))</f>
        <v/>
      </c>
      <c r="D2527" s="13"/>
      <c r="E2527" s="10"/>
      <c r="F2527" s="10"/>
      <c r="G2527" s="10"/>
    </row>
    <row r="2528" customFormat="false" ht="15" hidden="false" customHeight="true" outlineLevel="0" collapsed="false">
      <c r="A2528" s="12"/>
      <c r="B2528" s="10"/>
      <c r="C2528" s="15" t="str">
        <f aca="false">IF($B2528="","",IFERROR(INDEX(회원명부!$B$3:$B$502,MATCH($B2528,회원명부!$A$3:$A$502,0)),"미등록회원"))</f>
        <v/>
      </c>
      <c r="D2528" s="13"/>
      <c r="E2528" s="10"/>
      <c r="F2528" s="10"/>
      <c r="G2528" s="10"/>
    </row>
    <row r="2529" customFormat="false" ht="15" hidden="false" customHeight="true" outlineLevel="0" collapsed="false">
      <c r="A2529" s="12"/>
      <c r="B2529" s="10"/>
      <c r="C2529" s="15" t="str">
        <f aca="false">IF($B2529="","",IFERROR(INDEX(회원명부!$B$3:$B$502,MATCH($B2529,회원명부!$A$3:$A$502,0)),"미등록회원"))</f>
        <v/>
      </c>
      <c r="D2529" s="13"/>
      <c r="E2529" s="10"/>
      <c r="F2529" s="10"/>
      <c r="G2529" s="10"/>
    </row>
    <row r="2530" customFormat="false" ht="15" hidden="false" customHeight="true" outlineLevel="0" collapsed="false">
      <c r="A2530" s="12"/>
      <c r="B2530" s="10"/>
      <c r="C2530" s="15" t="str">
        <f aca="false">IF($B2530="","",IFERROR(INDEX(회원명부!$B$3:$B$502,MATCH($B2530,회원명부!$A$3:$A$502,0)),"미등록회원"))</f>
        <v/>
      </c>
      <c r="D2530" s="13"/>
      <c r="E2530" s="10"/>
      <c r="F2530" s="10"/>
      <c r="G2530" s="10"/>
    </row>
    <row r="2531" customFormat="false" ht="15" hidden="false" customHeight="true" outlineLevel="0" collapsed="false">
      <c r="A2531" s="12"/>
      <c r="B2531" s="10"/>
      <c r="C2531" s="15" t="str">
        <f aca="false">IF($B2531="","",IFERROR(INDEX(회원명부!$B$3:$B$502,MATCH($B2531,회원명부!$A$3:$A$502,0)),"미등록회원"))</f>
        <v/>
      </c>
      <c r="D2531" s="13"/>
      <c r="E2531" s="10"/>
      <c r="F2531" s="10"/>
      <c r="G2531" s="10"/>
    </row>
    <row r="2532" customFormat="false" ht="15" hidden="false" customHeight="true" outlineLevel="0" collapsed="false">
      <c r="A2532" s="12"/>
      <c r="B2532" s="10"/>
      <c r="C2532" s="15" t="str">
        <f aca="false">IF($B2532="","",IFERROR(INDEX(회원명부!$B$3:$B$502,MATCH($B2532,회원명부!$A$3:$A$502,0)),"미등록회원"))</f>
        <v/>
      </c>
      <c r="D2532" s="13"/>
      <c r="E2532" s="10"/>
      <c r="F2532" s="10"/>
      <c r="G2532" s="10"/>
    </row>
    <row r="2533" customFormat="false" ht="15" hidden="false" customHeight="true" outlineLevel="0" collapsed="false">
      <c r="A2533" s="12"/>
      <c r="B2533" s="10"/>
      <c r="C2533" s="15" t="str">
        <f aca="false">IF($B2533="","",IFERROR(INDEX(회원명부!$B$3:$B$502,MATCH($B2533,회원명부!$A$3:$A$502,0)),"미등록회원"))</f>
        <v/>
      </c>
      <c r="D2533" s="13"/>
      <c r="E2533" s="10"/>
      <c r="F2533" s="10"/>
      <c r="G2533" s="10"/>
    </row>
    <row r="2534" customFormat="false" ht="15" hidden="false" customHeight="true" outlineLevel="0" collapsed="false">
      <c r="A2534" s="12"/>
      <c r="B2534" s="10"/>
      <c r="C2534" s="15" t="str">
        <f aca="false">IF($B2534="","",IFERROR(INDEX(회원명부!$B$3:$B$502,MATCH($B2534,회원명부!$A$3:$A$502,0)),"미등록회원"))</f>
        <v/>
      </c>
      <c r="D2534" s="13"/>
      <c r="E2534" s="10"/>
      <c r="F2534" s="10"/>
      <c r="G2534" s="10"/>
    </row>
    <row r="2535" customFormat="false" ht="15" hidden="false" customHeight="true" outlineLevel="0" collapsed="false">
      <c r="A2535" s="12"/>
      <c r="B2535" s="10"/>
      <c r="C2535" s="15" t="str">
        <f aca="false">IF($B2535="","",IFERROR(INDEX(회원명부!$B$3:$B$502,MATCH($B2535,회원명부!$A$3:$A$502,0)),"미등록회원"))</f>
        <v/>
      </c>
      <c r="D2535" s="13"/>
      <c r="E2535" s="10"/>
      <c r="F2535" s="10"/>
      <c r="G2535" s="10"/>
    </row>
    <row r="2536" customFormat="false" ht="15" hidden="false" customHeight="true" outlineLevel="0" collapsed="false">
      <c r="A2536" s="12"/>
      <c r="B2536" s="10"/>
      <c r="C2536" s="15" t="str">
        <f aca="false">IF($B2536="","",IFERROR(INDEX(회원명부!$B$3:$B$502,MATCH($B2536,회원명부!$A$3:$A$502,0)),"미등록회원"))</f>
        <v/>
      </c>
      <c r="D2536" s="13"/>
      <c r="E2536" s="10"/>
      <c r="F2536" s="10"/>
      <c r="G2536" s="10"/>
    </row>
    <row r="2537" customFormat="false" ht="15" hidden="false" customHeight="true" outlineLevel="0" collapsed="false">
      <c r="A2537" s="12"/>
      <c r="B2537" s="10"/>
      <c r="C2537" s="15" t="str">
        <f aca="false">IF($B2537="","",IFERROR(INDEX(회원명부!$B$3:$B$502,MATCH($B2537,회원명부!$A$3:$A$502,0)),"미등록회원"))</f>
        <v/>
      </c>
      <c r="D2537" s="13"/>
      <c r="E2537" s="10"/>
      <c r="F2537" s="10"/>
      <c r="G2537" s="10"/>
    </row>
    <row r="2538" customFormat="false" ht="15" hidden="false" customHeight="true" outlineLevel="0" collapsed="false">
      <c r="A2538" s="12"/>
      <c r="B2538" s="10"/>
      <c r="C2538" s="15" t="str">
        <f aca="false">IF($B2538="","",IFERROR(INDEX(회원명부!$B$3:$B$502,MATCH($B2538,회원명부!$A$3:$A$502,0)),"미등록회원"))</f>
        <v/>
      </c>
      <c r="D2538" s="13"/>
      <c r="E2538" s="10"/>
      <c r="F2538" s="10"/>
      <c r="G2538" s="10"/>
    </row>
    <row r="2539" customFormat="false" ht="15" hidden="false" customHeight="true" outlineLevel="0" collapsed="false">
      <c r="A2539" s="12"/>
      <c r="B2539" s="10"/>
      <c r="C2539" s="15" t="str">
        <f aca="false">IF($B2539="","",IFERROR(INDEX(회원명부!$B$3:$B$502,MATCH($B2539,회원명부!$A$3:$A$502,0)),"미등록회원"))</f>
        <v/>
      </c>
      <c r="D2539" s="13"/>
      <c r="E2539" s="10"/>
      <c r="F2539" s="10"/>
      <c r="G2539" s="10"/>
    </row>
    <row r="2540" customFormat="false" ht="15" hidden="false" customHeight="true" outlineLevel="0" collapsed="false">
      <c r="A2540" s="12"/>
      <c r="B2540" s="10"/>
      <c r="C2540" s="15" t="str">
        <f aca="false">IF($B2540="","",IFERROR(INDEX(회원명부!$B$3:$B$502,MATCH($B2540,회원명부!$A$3:$A$502,0)),"미등록회원"))</f>
        <v/>
      </c>
      <c r="D2540" s="13"/>
      <c r="E2540" s="10"/>
      <c r="F2540" s="10"/>
      <c r="G2540" s="10"/>
    </row>
    <row r="2541" customFormat="false" ht="15" hidden="false" customHeight="true" outlineLevel="0" collapsed="false">
      <c r="A2541" s="12"/>
      <c r="B2541" s="10"/>
      <c r="C2541" s="15" t="str">
        <f aca="false">IF($B2541="","",IFERROR(INDEX(회원명부!$B$3:$B$502,MATCH($B2541,회원명부!$A$3:$A$502,0)),"미등록회원"))</f>
        <v/>
      </c>
      <c r="D2541" s="13"/>
      <c r="E2541" s="10"/>
      <c r="F2541" s="10"/>
      <c r="G2541" s="10"/>
    </row>
    <row r="2542" customFormat="false" ht="15" hidden="false" customHeight="true" outlineLevel="0" collapsed="false">
      <c r="A2542" s="12"/>
      <c r="B2542" s="10"/>
      <c r="C2542" s="15" t="str">
        <f aca="false">IF($B2542="","",IFERROR(INDEX(회원명부!$B$3:$B$502,MATCH($B2542,회원명부!$A$3:$A$502,0)),"미등록회원"))</f>
        <v/>
      </c>
      <c r="D2542" s="13"/>
      <c r="E2542" s="10"/>
      <c r="F2542" s="10"/>
      <c r="G2542" s="10"/>
    </row>
    <row r="2543" customFormat="false" ht="15" hidden="false" customHeight="true" outlineLevel="0" collapsed="false">
      <c r="A2543" s="12"/>
      <c r="B2543" s="10"/>
      <c r="C2543" s="15" t="str">
        <f aca="false">IF($B2543="","",IFERROR(INDEX(회원명부!$B$3:$B$502,MATCH($B2543,회원명부!$A$3:$A$502,0)),"미등록회원"))</f>
        <v/>
      </c>
      <c r="D2543" s="13"/>
      <c r="E2543" s="10"/>
      <c r="F2543" s="10"/>
      <c r="G2543" s="10"/>
    </row>
    <row r="2544" customFormat="false" ht="15" hidden="false" customHeight="true" outlineLevel="0" collapsed="false">
      <c r="A2544" s="12"/>
      <c r="B2544" s="10"/>
      <c r="C2544" s="15" t="str">
        <f aca="false">IF($B2544="","",IFERROR(INDEX(회원명부!$B$3:$B$502,MATCH($B2544,회원명부!$A$3:$A$502,0)),"미등록회원"))</f>
        <v/>
      </c>
      <c r="D2544" s="13"/>
      <c r="E2544" s="10"/>
      <c r="F2544" s="10"/>
      <c r="G2544" s="10"/>
    </row>
    <row r="2545" customFormat="false" ht="15" hidden="false" customHeight="true" outlineLevel="0" collapsed="false">
      <c r="A2545" s="12"/>
      <c r="B2545" s="10"/>
      <c r="C2545" s="15" t="str">
        <f aca="false">IF($B2545="","",IFERROR(INDEX(회원명부!$B$3:$B$502,MATCH($B2545,회원명부!$A$3:$A$502,0)),"미등록회원"))</f>
        <v/>
      </c>
      <c r="D2545" s="13"/>
      <c r="E2545" s="10"/>
      <c r="F2545" s="10"/>
      <c r="G2545" s="10"/>
    </row>
    <row r="2546" customFormat="false" ht="15" hidden="false" customHeight="true" outlineLevel="0" collapsed="false">
      <c r="A2546" s="12"/>
      <c r="B2546" s="10"/>
      <c r="C2546" s="15" t="str">
        <f aca="false">IF($B2546="","",IFERROR(INDEX(회원명부!$B$3:$B$502,MATCH($B2546,회원명부!$A$3:$A$502,0)),"미등록회원"))</f>
        <v/>
      </c>
      <c r="D2546" s="13"/>
      <c r="E2546" s="10"/>
      <c r="F2546" s="10"/>
      <c r="G2546" s="10"/>
    </row>
    <row r="2547" customFormat="false" ht="15" hidden="false" customHeight="true" outlineLevel="0" collapsed="false">
      <c r="A2547" s="12"/>
      <c r="B2547" s="10"/>
      <c r="C2547" s="15" t="str">
        <f aca="false">IF($B2547="","",IFERROR(INDEX(회원명부!$B$3:$B$502,MATCH($B2547,회원명부!$A$3:$A$502,0)),"미등록회원"))</f>
        <v/>
      </c>
      <c r="D2547" s="13"/>
      <c r="E2547" s="10"/>
      <c r="F2547" s="10"/>
      <c r="G2547" s="10"/>
    </row>
    <row r="2548" customFormat="false" ht="15" hidden="false" customHeight="true" outlineLevel="0" collapsed="false">
      <c r="A2548" s="12"/>
      <c r="B2548" s="10"/>
      <c r="C2548" s="15" t="str">
        <f aca="false">IF($B2548="","",IFERROR(INDEX(회원명부!$B$3:$B$502,MATCH($B2548,회원명부!$A$3:$A$502,0)),"미등록회원"))</f>
        <v/>
      </c>
      <c r="D2548" s="13"/>
      <c r="E2548" s="10"/>
      <c r="F2548" s="10"/>
      <c r="G2548" s="10"/>
    </row>
    <row r="2549" customFormat="false" ht="15" hidden="false" customHeight="true" outlineLevel="0" collapsed="false">
      <c r="A2549" s="12"/>
      <c r="B2549" s="10"/>
      <c r="C2549" s="15" t="str">
        <f aca="false">IF($B2549="","",IFERROR(INDEX(회원명부!$B$3:$B$502,MATCH($B2549,회원명부!$A$3:$A$502,0)),"미등록회원"))</f>
        <v/>
      </c>
      <c r="D2549" s="13"/>
      <c r="E2549" s="10"/>
      <c r="F2549" s="10"/>
      <c r="G2549" s="10"/>
    </row>
    <row r="2550" customFormat="false" ht="15" hidden="false" customHeight="true" outlineLevel="0" collapsed="false">
      <c r="A2550" s="12"/>
      <c r="B2550" s="10"/>
      <c r="C2550" s="15" t="str">
        <f aca="false">IF($B2550="","",IFERROR(INDEX(회원명부!$B$3:$B$502,MATCH($B2550,회원명부!$A$3:$A$502,0)),"미등록회원"))</f>
        <v/>
      </c>
      <c r="D2550" s="13"/>
      <c r="E2550" s="10"/>
      <c r="F2550" s="10"/>
      <c r="G2550" s="10"/>
    </row>
    <row r="2551" customFormat="false" ht="15" hidden="false" customHeight="true" outlineLevel="0" collapsed="false">
      <c r="A2551" s="12"/>
      <c r="B2551" s="10"/>
      <c r="C2551" s="15" t="str">
        <f aca="false">IF($B2551="","",IFERROR(INDEX(회원명부!$B$3:$B$502,MATCH($B2551,회원명부!$A$3:$A$502,0)),"미등록회원"))</f>
        <v/>
      </c>
      <c r="D2551" s="13"/>
      <c r="E2551" s="10"/>
      <c r="F2551" s="10"/>
      <c r="G2551" s="10"/>
    </row>
    <row r="2552" customFormat="false" ht="15" hidden="false" customHeight="true" outlineLevel="0" collapsed="false">
      <c r="A2552" s="12"/>
      <c r="B2552" s="10"/>
      <c r="C2552" s="15" t="str">
        <f aca="false">IF($B2552="","",IFERROR(INDEX(회원명부!$B$3:$B$502,MATCH($B2552,회원명부!$A$3:$A$502,0)),"미등록회원"))</f>
        <v/>
      </c>
      <c r="D2552" s="13"/>
      <c r="E2552" s="10"/>
      <c r="F2552" s="10"/>
      <c r="G2552" s="10"/>
    </row>
    <row r="2553" customFormat="false" ht="15" hidden="false" customHeight="true" outlineLevel="0" collapsed="false">
      <c r="A2553" s="12"/>
      <c r="B2553" s="10"/>
      <c r="C2553" s="15" t="str">
        <f aca="false">IF($B2553="","",IFERROR(INDEX(회원명부!$B$3:$B$502,MATCH($B2553,회원명부!$A$3:$A$502,0)),"미등록회원"))</f>
        <v/>
      </c>
      <c r="D2553" s="13"/>
      <c r="E2553" s="10"/>
      <c r="F2553" s="10"/>
      <c r="G2553" s="10"/>
    </row>
    <row r="2554" customFormat="false" ht="15" hidden="false" customHeight="true" outlineLevel="0" collapsed="false">
      <c r="A2554" s="12"/>
      <c r="B2554" s="10"/>
      <c r="C2554" s="15" t="str">
        <f aca="false">IF($B2554="","",IFERROR(INDEX(회원명부!$B$3:$B$502,MATCH($B2554,회원명부!$A$3:$A$502,0)),"미등록회원"))</f>
        <v/>
      </c>
      <c r="D2554" s="13"/>
      <c r="E2554" s="10"/>
      <c r="F2554" s="10"/>
      <c r="G2554" s="10"/>
    </row>
    <row r="2555" customFormat="false" ht="15" hidden="false" customHeight="true" outlineLevel="0" collapsed="false">
      <c r="A2555" s="12"/>
      <c r="B2555" s="10"/>
      <c r="C2555" s="15" t="str">
        <f aca="false">IF($B2555="","",IFERROR(INDEX(회원명부!$B$3:$B$502,MATCH($B2555,회원명부!$A$3:$A$502,0)),"미등록회원"))</f>
        <v/>
      </c>
      <c r="D2555" s="13"/>
      <c r="E2555" s="10"/>
      <c r="F2555" s="10"/>
      <c r="G2555" s="10"/>
    </row>
    <row r="2556" customFormat="false" ht="15" hidden="false" customHeight="true" outlineLevel="0" collapsed="false">
      <c r="A2556" s="12"/>
      <c r="B2556" s="10"/>
      <c r="C2556" s="15" t="str">
        <f aca="false">IF($B2556="","",IFERROR(INDEX(회원명부!$B$3:$B$502,MATCH($B2556,회원명부!$A$3:$A$502,0)),"미등록회원"))</f>
        <v/>
      </c>
      <c r="D2556" s="13"/>
      <c r="E2556" s="10"/>
      <c r="F2556" s="10"/>
      <c r="G2556" s="10"/>
    </row>
    <row r="2557" customFormat="false" ht="15" hidden="false" customHeight="true" outlineLevel="0" collapsed="false">
      <c r="A2557" s="12"/>
      <c r="B2557" s="10"/>
      <c r="C2557" s="15" t="str">
        <f aca="false">IF($B2557="","",IFERROR(INDEX(회원명부!$B$3:$B$502,MATCH($B2557,회원명부!$A$3:$A$502,0)),"미등록회원"))</f>
        <v/>
      </c>
      <c r="D2557" s="13"/>
      <c r="E2557" s="10"/>
      <c r="F2557" s="10"/>
      <c r="G2557" s="10"/>
    </row>
    <row r="2558" customFormat="false" ht="15" hidden="false" customHeight="true" outlineLevel="0" collapsed="false">
      <c r="A2558" s="12"/>
      <c r="B2558" s="10"/>
      <c r="C2558" s="15" t="str">
        <f aca="false">IF($B2558="","",IFERROR(INDEX(회원명부!$B$3:$B$502,MATCH($B2558,회원명부!$A$3:$A$502,0)),"미등록회원"))</f>
        <v/>
      </c>
      <c r="D2558" s="13"/>
      <c r="E2558" s="10"/>
      <c r="F2558" s="10"/>
      <c r="G2558" s="10"/>
    </row>
    <row r="2559" customFormat="false" ht="15" hidden="false" customHeight="true" outlineLevel="0" collapsed="false">
      <c r="A2559" s="12"/>
      <c r="B2559" s="10"/>
      <c r="C2559" s="15" t="str">
        <f aca="false">IF($B2559="","",IFERROR(INDEX(회원명부!$B$3:$B$502,MATCH($B2559,회원명부!$A$3:$A$502,0)),"미등록회원"))</f>
        <v/>
      </c>
      <c r="D2559" s="13"/>
      <c r="E2559" s="10"/>
      <c r="F2559" s="10"/>
      <c r="G2559" s="10"/>
    </row>
    <row r="2560" customFormat="false" ht="15" hidden="false" customHeight="true" outlineLevel="0" collapsed="false">
      <c r="A2560" s="12"/>
      <c r="B2560" s="10"/>
      <c r="C2560" s="15" t="str">
        <f aca="false">IF($B2560="","",IFERROR(INDEX(회원명부!$B$3:$B$502,MATCH($B2560,회원명부!$A$3:$A$502,0)),"미등록회원"))</f>
        <v/>
      </c>
      <c r="D2560" s="13"/>
      <c r="E2560" s="10"/>
      <c r="F2560" s="10"/>
      <c r="G2560" s="10"/>
    </row>
    <row r="2561" customFormat="false" ht="15" hidden="false" customHeight="true" outlineLevel="0" collapsed="false">
      <c r="A2561" s="12"/>
      <c r="B2561" s="10"/>
      <c r="C2561" s="15" t="str">
        <f aca="false">IF($B2561="","",IFERROR(INDEX(회원명부!$B$3:$B$502,MATCH($B2561,회원명부!$A$3:$A$502,0)),"미등록회원"))</f>
        <v/>
      </c>
      <c r="D2561" s="13"/>
      <c r="E2561" s="10"/>
      <c r="F2561" s="10"/>
      <c r="G2561" s="10"/>
    </row>
    <row r="2562" customFormat="false" ht="15" hidden="false" customHeight="true" outlineLevel="0" collapsed="false">
      <c r="A2562" s="12"/>
      <c r="B2562" s="10"/>
      <c r="C2562" s="15" t="str">
        <f aca="false">IF($B2562="","",IFERROR(INDEX(회원명부!$B$3:$B$502,MATCH($B2562,회원명부!$A$3:$A$502,0)),"미등록회원"))</f>
        <v/>
      </c>
      <c r="D2562" s="13"/>
      <c r="E2562" s="10"/>
      <c r="F2562" s="10"/>
      <c r="G2562" s="10"/>
    </row>
    <row r="2563" customFormat="false" ht="15" hidden="false" customHeight="true" outlineLevel="0" collapsed="false">
      <c r="A2563" s="12"/>
      <c r="B2563" s="10"/>
      <c r="C2563" s="15" t="str">
        <f aca="false">IF($B2563="","",IFERROR(INDEX(회원명부!$B$3:$B$502,MATCH($B2563,회원명부!$A$3:$A$502,0)),"미등록회원"))</f>
        <v/>
      </c>
      <c r="D2563" s="13"/>
      <c r="E2563" s="10"/>
      <c r="F2563" s="10"/>
      <c r="G2563" s="10"/>
    </row>
    <row r="2564" customFormat="false" ht="15" hidden="false" customHeight="true" outlineLevel="0" collapsed="false">
      <c r="A2564" s="12"/>
      <c r="B2564" s="10"/>
      <c r="C2564" s="15" t="str">
        <f aca="false">IF($B2564="","",IFERROR(INDEX(회원명부!$B$3:$B$502,MATCH($B2564,회원명부!$A$3:$A$502,0)),"미등록회원"))</f>
        <v/>
      </c>
      <c r="D2564" s="13"/>
      <c r="E2564" s="10"/>
      <c r="F2564" s="10"/>
      <c r="G2564" s="10"/>
    </row>
    <row r="2565" customFormat="false" ht="15" hidden="false" customHeight="true" outlineLevel="0" collapsed="false">
      <c r="A2565" s="12"/>
      <c r="B2565" s="10"/>
      <c r="C2565" s="15" t="str">
        <f aca="false">IF($B2565="","",IFERROR(INDEX(회원명부!$B$3:$B$502,MATCH($B2565,회원명부!$A$3:$A$502,0)),"미등록회원"))</f>
        <v/>
      </c>
      <c r="D2565" s="13"/>
      <c r="E2565" s="10"/>
      <c r="F2565" s="10"/>
      <c r="G2565" s="10"/>
    </row>
    <row r="2566" customFormat="false" ht="15" hidden="false" customHeight="true" outlineLevel="0" collapsed="false">
      <c r="A2566" s="12"/>
      <c r="B2566" s="10"/>
      <c r="C2566" s="15" t="str">
        <f aca="false">IF($B2566="","",IFERROR(INDEX(회원명부!$B$3:$B$502,MATCH($B2566,회원명부!$A$3:$A$502,0)),"미등록회원"))</f>
        <v/>
      </c>
      <c r="D2566" s="13"/>
      <c r="E2566" s="10"/>
      <c r="F2566" s="10"/>
      <c r="G2566" s="10"/>
    </row>
    <row r="2567" customFormat="false" ht="15" hidden="false" customHeight="true" outlineLevel="0" collapsed="false">
      <c r="A2567" s="12"/>
      <c r="B2567" s="10"/>
      <c r="C2567" s="15" t="str">
        <f aca="false">IF($B2567="","",IFERROR(INDEX(회원명부!$B$3:$B$502,MATCH($B2567,회원명부!$A$3:$A$502,0)),"미등록회원"))</f>
        <v/>
      </c>
      <c r="D2567" s="13"/>
      <c r="E2567" s="10"/>
      <c r="F2567" s="10"/>
      <c r="G2567" s="10"/>
    </row>
    <row r="2568" customFormat="false" ht="15" hidden="false" customHeight="true" outlineLevel="0" collapsed="false">
      <c r="A2568" s="12"/>
      <c r="B2568" s="10"/>
      <c r="C2568" s="15" t="str">
        <f aca="false">IF($B2568="","",IFERROR(INDEX(회원명부!$B$3:$B$502,MATCH($B2568,회원명부!$A$3:$A$502,0)),"미등록회원"))</f>
        <v/>
      </c>
      <c r="D2568" s="13"/>
      <c r="E2568" s="10"/>
      <c r="F2568" s="10"/>
      <c r="G2568" s="10"/>
    </row>
    <row r="2569" customFormat="false" ht="15" hidden="false" customHeight="true" outlineLevel="0" collapsed="false">
      <c r="A2569" s="12"/>
      <c r="B2569" s="10"/>
      <c r="C2569" s="15" t="str">
        <f aca="false">IF($B2569="","",IFERROR(INDEX(회원명부!$B$3:$B$502,MATCH($B2569,회원명부!$A$3:$A$502,0)),"미등록회원"))</f>
        <v/>
      </c>
      <c r="D2569" s="13"/>
      <c r="E2569" s="10"/>
      <c r="F2569" s="10"/>
      <c r="G2569" s="10"/>
    </row>
    <row r="2570" customFormat="false" ht="15" hidden="false" customHeight="true" outlineLevel="0" collapsed="false">
      <c r="A2570" s="12"/>
      <c r="B2570" s="10"/>
      <c r="C2570" s="15" t="str">
        <f aca="false">IF($B2570="","",IFERROR(INDEX(회원명부!$B$3:$B$502,MATCH($B2570,회원명부!$A$3:$A$502,0)),"미등록회원"))</f>
        <v/>
      </c>
      <c r="D2570" s="13"/>
      <c r="E2570" s="10"/>
      <c r="F2570" s="10"/>
      <c r="G2570" s="10"/>
    </row>
    <row r="2571" customFormat="false" ht="15" hidden="false" customHeight="true" outlineLevel="0" collapsed="false">
      <c r="A2571" s="12"/>
      <c r="B2571" s="10"/>
      <c r="C2571" s="15" t="str">
        <f aca="false">IF($B2571="","",IFERROR(INDEX(회원명부!$B$3:$B$502,MATCH($B2571,회원명부!$A$3:$A$502,0)),"미등록회원"))</f>
        <v/>
      </c>
      <c r="D2571" s="13"/>
      <c r="E2571" s="10"/>
      <c r="F2571" s="10"/>
      <c r="G2571" s="10"/>
    </row>
    <row r="2572" customFormat="false" ht="15" hidden="false" customHeight="true" outlineLevel="0" collapsed="false">
      <c r="A2572" s="12"/>
      <c r="B2572" s="10"/>
      <c r="C2572" s="15" t="str">
        <f aca="false">IF($B2572="","",IFERROR(INDEX(회원명부!$B$3:$B$502,MATCH($B2572,회원명부!$A$3:$A$502,0)),"미등록회원"))</f>
        <v/>
      </c>
      <c r="D2572" s="13"/>
      <c r="E2572" s="10"/>
      <c r="F2572" s="10"/>
      <c r="G2572" s="10"/>
    </row>
    <row r="2573" customFormat="false" ht="15" hidden="false" customHeight="true" outlineLevel="0" collapsed="false">
      <c r="A2573" s="12"/>
      <c r="B2573" s="10"/>
      <c r="C2573" s="15" t="str">
        <f aca="false">IF($B2573="","",IFERROR(INDEX(회원명부!$B$3:$B$502,MATCH($B2573,회원명부!$A$3:$A$502,0)),"미등록회원"))</f>
        <v/>
      </c>
      <c r="D2573" s="13"/>
      <c r="E2573" s="10"/>
      <c r="F2573" s="10"/>
      <c r="G2573" s="10"/>
    </row>
    <row r="2574" customFormat="false" ht="15" hidden="false" customHeight="true" outlineLevel="0" collapsed="false">
      <c r="A2574" s="12"/>
      <c r="B2574" s="10"/>
      <c r="C2574" s="15" t="str">
        <f aca="false">IF($B2574="","",IFERROR(INDEX(회원명부!$B$3:$B$502,MATCH($B2574,회원명부!$A$3:$A$502,0)),"미등록회원"))</f>
        <v/>
      </c>
      <c r="D2574" s="13"/>
      <c r="E2574" s="10"/>
      <c r="F2574" s="10"/>
      <c r="G2574" s="10"/>
    </row>
    <row r="2575" customFormat="false" ht="15" hidden="false" customHeight="true" outlineLevel="0" collapsed="false">
      <c r="A2575" s="12"/>
      <c r="B2575" s="10"/>
      <c r="C2575" s="15" t="str">
        <f aca="false">IF($B2575="","",IFERROR(INDEX(회원명부!$B$3:$B$502,MATCH($B2575,회원명부!$A$3:$A$502,0)),"미등록회원"))</f>
        <v/>
      </c>
      <c r="D2575" s="13"/>
      <c r="E2575" s="10"/>
      <c r="F2575" s="10"/>
      <c r="G2575" s="10"/>
    </row>
    <row r="2576" customFormat="false" ht="15" hidden="false" customHeight="true" outlineLevel="0" collapsed="false">
      <c r="A2576" s="12"/>
      <c r="B2576" s="10"/>
      <c r="C2576" s="15" t="str">
        <f aca="false">IF($B2576="","",IFERROR(INDEX(회원명부!$B$3:$B$502,MATCH($B2576,회원명부!$A$3:$A$502,0)),"미등록회원"))</f>
        <v/>
      </c>
      <c r="D2576" s="13"/>
      <c r="E2576" s="10"/>
      <c r="F2576" s="10"/>
      <c r="G2576" s="10"/>
    </row>
    <row r="2577" customFormat="false" ht="15" hidden="false" customHeight="true" outlineLevel="0" collapsed="false">
      <c r="A2577" s="12"/>
      <c r="B2577" s="10"/>
      <c r="C2577" s="15" t="str">
        <f aca="false">IF($B2577="","",IFERROR(INDEX(회원명부!$B$3:$B$502,MATCH($B2577,회원명부!$A$3:$A$502,0)),"미등록회원"))</f>
        <v/>
      </c>
      <c r="D2577" s="13"/>
      <c r="E2577" s="10"/>
      <c r="F2577" s="10"/>
      <c r="G2577" s="10"/>
    </row>
    <row r="2578" customFormat="false" ht="15" hidden="false" customHeight="true" outlineLevel="0" collapsed="false">
      <c r="A2578" s="12"/>
      <c r="B2578" s="10"/>
      <c r="C2578" s="15" t="str">
        <f aca="false">IF($B2578="","",IFERROR(INDEX(회원명부!$B$3:$B$502,MATCH($B2578,회원명부!$A$3:$A$502,0)),"미등록회원"))</f>
        <v/>
      </c>
      <c r="D2578" s="13"/>
      <c r="E2578" s="10"/>
      <c r="F2578" s="10"/>
      <c r="G2578" s="10"/>
    </row>
    <row r="2579" customFormat="false" ht="15" hidden="false" customHeight="true" outlineLevel="0" collapsed="false">
      <c r="A2579" s="12"/>
      <c r="B2579" s="10"/>
      <c r="C2579" s="15" t="str">
        <f aca="false">IF($B2579="","",IFERROR(INDEX(회원명부!$B$3:$B$502,MATCH($B2579,회원명부!$A$3:$A$502,0)),"미등록회원"))</f>
        <v/>
      </c>
      <c r="D2579" s="13"/>
      <c r="E2579" s="10"/>
      <c r="F2579" s="10"/>
      <c r="G2579" s="10"/>
    </row>
    <row r="2580" customFormat="false" ht="15" hidden="false" customHeight="true" outlineLevel="0" collapsed="false">
      <c r="A2580" s="12"/>
      <c r="B2580" s="10"/>
      <c r="C2580" s="15" t="str">
        <f aca="false">IF($B2580="","",IFERROR(INDEX(회원명부!$B$3:$B$502,MATCH($B2580,회원명부!$A$3:$A$502,0)),"미등록회원"))</f>
        <v/>
      </c>
      <c r="D2580" s="13"/>
      <c r="E2580" s="10"/>
      <c r="F2580" s="10"/>
      <c r="G2580" s="10"/>
    </row>
    <row r="2581" customFormat="false" ht="15" hidden="false" customHeight="true" outlineLevel="0" collapsed="false">
      <c r="A2581" s="12"/>
      <c r="B2581" s="10"/>
      <c r="C2581" s="15" t="str">
        <f aca="false">IF($B2581="","",IFERROR(INDEX(회원명부!$B$3:$B$502,MATCH($B2581,회원명부!$A$3:$A$502,0)),"미등록회원"))</f>
        <v/>
      </c>
      <c r="D2581" s="13"/>
      <c r="E2581" s="10"/>
      <c r="F2581" s="10"/>
      <c r="G2581" s="10"/>
    </row>
    <row r="2582" customFormat="false" ht="15" hidden="false" customHeight="true" outlineLevel="0" collapsed="false">
      <c r="A2582" s="12"/>
      <c r="B2582" s="10"/>
      <c r="C2582" s="15" t="str">
        <f aca="false">IF($B2582="","",IFERROR(INDEX(회원명부!$B$3:$B$502,MATCH($B2582,회원명부!$A$3:$A$502,0)),"미등록회원"))</f>
        <v/>
      </c>
      <c r="D2582" s="13"/>
      <c r="E2582" s="10"/>
      <c r="F2582" s="10"/>
      <c r="G2582" s="10"/>
    </row>
    <row r="2583" customFormat="false" ht="15" hidden="false" customHeight="true" outlineLevel="0" collapsed="false">
      <c r="A2583" s="12"/>
      <c r="B2583" s="10"/>
      <c r="C2583" s="15" t="str">
        <f aca="false">IF($B2583="","",IFERROR(INDEX(회원명부!$B$3:$B$502,MATCH($B2583,회원명부!$A$3:$A$502,0)),"미등록회원"))</f>
        <v/>
      </c>
      <c r="D2583" s="13"/>
      <c r="E2583" s="10"/>
      <c r="F2583" s="10"/>
      <c r="G2583" s="10"/>
    </row>
    <row r="2584" customFormat="false" ht="15" hidden="false" customHeight="true" outlineLevel="0" collapsed="false">
      <c r="A2584" s="12"/>
      <c r="B2584" s="10"/>
      <c r="C2584" s="15" t="str">
        <f aca="false">IF($B2584="","",IFERROR(INDEX(회원명부!$B$3:$B$502,MATCH($B2584,회원명부!$A$3:$A$502,0)),"미등록회원"))</f>
        <v/>
      </c>
      <c r="D2584" s="13"/>
      <c r="E2584" s="10"/>
      <c r="F2584" s="10"/>
      <c r="G2584" s="10"/>
    </row>
    <row r="2585" customFormat="false" ht="15" hidden="false" customHeight="true" outlineLevel="0" collapsed="false">
      <c r="A2585" s="12"/>
      <c r="B2585" s="10"/>
      <c r="C2585" s="15" t="str">
        <f aca="false">IF($B2585="","",IFERROR(INDEX(회원명부!$B$3:$B$502,MATCH($B2585,회원명부!$A$3:$A$502,0)),"미등록회원"))</f>
        <v/>
      </c>
      <c r="D2585" s="13"/>
      <c r="E2585" s="10"/>
      <c r="F2585" s="10"/>
      <c r="G2585" s="10"/>
    </row>
    <row r="2586" customFormat="false" ht="15" hidden="false" customHeight="true" outlineLevel="0" collapsed="false">
      <c r="A2586" s="12"/>
      <c r="B2586" s="10"/>
      <c r="C2586" s="15" t="str">
        <f aca="false">IF($B2586="","",IFERROR(INDEX(회원명부!$B$3:$B$502,MATCH($B2586,회원명부!$A$3:$A$502,0)),"미등록회원"))</f>
        <v/>
      </c>
      <c r="D2586" s="13"/>
      <c r="E2586" s="10"/>
      <c r="F2586" s="10"/>
      <c r="G2586" s="10"/>
    </row>
    <row r="2587" customFormat="false" ht="15" hidden="false" customHeight="true" outlineLevel="0" collapsed="false">
      <c r="A2587" s="12"/>
      <c r="B2587" s="10"/>
      <c r="C2587" s="15" t="str">
        <f aca="false">IF($B2587="","",IFERROR(INDEX(회원명부!$B$3:$B$502,MATCH($B2587,회원명부!$A$3:$A$502,0)),"미등록회원"))</f>
        <v/>
      </c>
      <c r="D2587" s="13"/>
      <c r="E2587" s="10"/>
      <c r="F2587" s="10"/>
      <c r="G2587" s="10"/>
    </row>
    <row r="2588" customFormat="false" ht="15" hidden="false" customHeight="true" outlineLevel="0" collapsed="false">
      <c r="A2588" s="12"/>
      <c r="B2588" s="10"/>
      <c r="C2588" s="15" t="str">
        <f aca="false">IF($B2588="","",IFERROR(INDEX(회원명부!$B$3:$B$502,MATCH($B2588,회원명부!$A$3:$A$502,0)),"미등록회원"))</f>
        <v/>
      </c>
      <c r="D2588" s="13"/>
      <c r="E2588" s="10"/>
      <c r="F2588" s="10"/>
      <c r="G2588" s="10"/>
    </row>
    <row r="2589" customFormat="false" ht="15" hidden="false" customHeight="true" outlineLevel="0" collapsed="false">
      <c r="A2589" s="12"/>
      <c r="B2589" s="10"/>
      <c r="C2589" s="15" t="str">
        <f aca="false">IF($B2589="","",IFERROR(INDEX(회원명부!$B$3:$B$502,MATCH($B2589,회원명부!$A$3:$A$502,0)),"미등록회원"))</f>
        <v/>
      </c>
      <c r="D2589" s="13"/>
      <c r="E2589" s="10"/>
      <c r="F2589" s="10"/>
      <c r="G2589" s="10"/>
    </row>
    <row r="2590" customFormat="false" ht="15" hidden="false" customHeight="true" outlineLevel="0" collapsed="false">
      <c r="A2590" s="12"/>
      <c r="B2590" s="10"/>
      <c r="C2590" s="15" t="str">
        <f aca="false">IF($B2590="","",IFERROR(INDEX(회원명부!$B$3:$B$502,MATCH($B2590,회원명부!$A$3:$A$502,0)),"미등록회원"))</f>
        <v/>
      </c>
      <c r="D2590" s="13"/>
      <c r="E2590" s="10"/>
      <c r="F2590" s="10"/>
      <c r="G2590" s="10"/>
    </row>
    <row r="2591" customFormat="false" ht="15" hidden="false" customHeight="true" outlineLevel="0" collapsed="false">
      <c r="A2591" s="12"/>
      <c r="B2591" s="10"/>
      <c r="C2591" s="15" t="str">
        <f aca="false">IF($B2591="","",IFERROR(INDEX(회원명부!$B$3:$B$502,MATCH($B2591,회원명부!$A$3:$A$502,0)),"미등록회원"))</f>
        <v/>
      </c>
      <c r="D2591" s="13"/>
      <c r="E2591" s="10"/>
      <c r="F2591" s="10"/>
      <c r="G2591" s="10"/>
    </row>
    <row r="2592" customFormat="false" ht="15" hidden="false" customHeight="true" outlineLevel="0" collapsed="false">
      <c r="A2592" s="12"/>
      <c r="B2592" s="10"/>
      <c r="C2592" s="15" t="str">
        <f aca="false">IF($B2592="","",IFERROR(INDEX(회원명부!$B$3:$B$502,MATCH($B2592,회원명부!$A$3:$A$502,0)),"미등록회원"))</f>
        <v/>
      </c>
      <c r="D2592" s="13"/>
      <c r="E2592" s="10"/>
      <c r="F2592" s="10"/>
      <c r="G2592" s="10"/>
    </row>
    <row r="2593" customFormat="false" ht="15" hidden="false" customHeight="true" outlineLevel="0" collapsed="false">
      <c r="A2593" s="12"/>
      <c r="B2593" s="10"/>
      <c r="C2593" s="15" t="str">
        <f aca="false">IF($B2593="","",IFERROR(INDEX(회원명부!$B$3:$B$502,MATCH($B2593,회원명부!$A$3:$A$502,0)),"미등록회원"))</f>
        <v/>
      </c>
      <c r="D2593" s="13"/>
      <c r="E2593" s="10"/>
      <c r="F2593" s="10"/>
      <c r="G2593" s="10"/>
    </row>
    <row r="2594" customFormat="false" ht="15" hidden="false" customHeight="true" outlineLevel="0" collapsed="false">
      <c r="A2594" s="12"/>
      <c r="B2594" s="10"/>
      <c r="C2594" s="15" t="str">
        <f aca="false">IF($B2594="","",IFERROR(INDEX(회원명부!$B$3:$B$502,MATCH($B2594,회원명부!$A$3:$A$502,0)),"미등록회원"))</f>
        <v/>
      </c>
      <c r="D2594" s="13"/>
      <c r="E2594" s="10"/>
      <c r="F2594" s="10"/>
      <c r="G2594" s="10"/>
    </row>
    <row r="2595" customFormat="false" ht="15" hidden="false" customHeight="true" outlineLevel="0" collapsed="false">
      <c r="A2595" s="12"/>
      <c r="B2595" s="10"/>
      <c r="C2595" s="15" t="str">
        <f aca="false">IF($B2595="","",IFERROR(INDEX(회원명부!$B$3:$B$502,MATCH($B2595,회원명부!$A$3:$A$502,0)),"미등록회원"))</f>
        <v/>
      </c>
      <c r="D2595" s="13"/>
      <c r="E2595" s="10"/>
      <c r="F2595" s="10"/>
      <c r="G2595" s="10"/>
    </row>
    <row r="2596" customFormat="false" ht="15" hidden="false" customHeight="true" outlineLevel="0" collapsed="false">
      <c r="A2596" s="12"/>
      <c r="B2596" s="10"/>
      <c r="C2596" s="15" t="str">
        <f aca="false">IF($B2596="","",IFERROR(INDEX(회원명부!$B$3:$B$502,MATCH($B2596,회원명부!$A$3:$A$502,0)),"미등록회원"))</f>
        <v/>
      </c>
      <c r="D2596" s="13"/>
      <c r="E2596" s="10"/>
      <c r="F2596" s="10"/>
      <c r="G2596" s="10"/>
    </row>
    <row r="2597" customFormat="false" ht="15" hidden="false" customHeight="true" outlineLevel="0" collapsed="false">
      <c r="A2597" s="12"/>
      <c r="B2597" s="10"/>
      <c r="C2597" s="15" t="str">
        <f aca="false">IF($B2597="","",IFERROR(INDEX(회원명부!$B$3:$B$502,MATCH($B2597,회원명부!$A$3:$A$502,0)),"미등록회원"))</f>
        <v/>
      </c>
      <c r="D2597" s="13"/>
      <c r="E2597" s="10"/>
      <c r="F2597" s="10"/>
      <c r="G2597" s="10"/>
    </row>
    <row r="2598" customFormat="false" ht="15" hidden="false" customHeight="true" outlineLevel="0" collapsed="false">
      <c r="A2598" s="12"/>
      <c r="B2598" s="10"/>
      <c r="C2598" s="15" t="str">
        <f aca="false">IF($B2598="","",IFERROR(INDEX(회원명부!$B$3:$B$502,MATCH($B2598,회원명부!$A$3:$A$502,0)),"미등록회원"))</f>
        <v/>
      </c>
      <c r="D2598" s="13"/>
      <c r="E2598" s="10"/>
      <c r="F2598" s="10"/>
      <c r="G2598" s="10"/>
    </row>
    <row r="2599" customFormat="false" ht="15" hidden="false" customHeight="true" outlineLevel="0" collapsed="false">
      <c r="A2599" s="12"/>
      <c r="B2599" s="10"/>
      <c r="C2599" s="15" t="str">
        <f aca="false">IF($B2599="","",IFERROR(INDEX(회원명부!$B$3:$B$502,MATCH($B2599,회원명부!$A$3:$A$502,0)),"미등록회원"))</f>
        <v/>
      </c>
      <c r="D2599" s="13"/>
      <c r="E2599" s="10"/>
      <c r="F2599" s="10"/>
      <c r="G2599" s="10"/>
    </row>
    <row r="2600" customFormat="false" ht="15" hidden="false" customHeight="true" outlineLevel="0" collapsed="false">
      <c r="A2600" s="12"/>
      <c r="B2600" s="10"/>
      <c r="C2600" s="15" t="str">
        <f aca="false">IF($B2600="","",IFERROR(INDEX(회원명부!$B$3:$B$502,MATCH($B2600,회원명부!$A$3:$A$502,0)),"미등록회원"))</f>
        <v/>
      </c>
      <c r="D2600" s="13"/>
      <c r="E2600" s="10"/>
      <c r="F2600" s="10"/>
      <c r="G2600" s="10"/>
    </row>
    <row r="2601" customFormat="false" ht="15" hidden="false" customHeight="true" outlineLevel="0" collapsed="false">
      <c r="A2601" s="12"/>
      <c r="B2601" s="10"/>
      <c r="C2601" s="15" t="str">
        <f aca="false">IF($B2601="","",IFERROR(INDEX(회원명부!$B$3:$B$502,MATCH($B2601,회원명부!$A$3:$A$502,0)),"미등록회원"))</f>
        <v/>
      </c>
      <c r="D2601" s="13"/>
      <c r="E2601" s="10"/>
      <c r="F2601" s="10"/>
      <c r="G2601" s="10"/>
    </row>
    <row r="2602" customFormat="false" ht="15" hidden="false" customHeight="true" outlineLevel="0" collapsed="false">
      <c r="A2602" s="12"/>
      <c r="B2602" s="10"/>
      <c r="C2602" s="15" t="str">
        <f aca="false">IF($B2602="","",IFERROR(INDEX(회원명부!$B$3:$B$502,MATCH($B2602,회원명부!$A$3:$A$502,0)),"미등록회원"))</f>
        <v/>
      </c>
      <c r="D2602" s="13"/>
      <c r="E2602" s="10"/>
      <c r="F2602" s="10"/>
      <c r="G2602" s="10"/>
    </row>
    <row r="2603" customFormat="false" ht="15" hidden="false" customHeight="true" outlineLevel="0" collapsed="false">
      <c r="A2603" s="12"/>
      <c r="B2603" s="10"/>
      <c r="C2603" s="15" t="str">
        <f aca="false">IF($B2603="","",IFERROR(INDEX(회원명부!$B$3:$B$502,MATCH($B2603,회원명부!$A$3:$A$502,0)),"미등록회원"))</f>
        <v/>
      </c>
      <c r="D2603" s="13"/>
      <c r="E2603" s="10"/>
      <c r="F2603" s="10"/>
      <c r="G2603" s="10"/>
    </row>
    <row r="2604" customFormat="false" ht="15" hidden="false" customHeight="true" outlineLevel="0" collapsed="false">
      <c r="A2604" s="12"/>
      <c r="B2604" s="10"/>
      <c r="C2604" s="15" t="str">
        <f aca="false">IF($B2604="","",IFERROR(INDEX(회원명부!$B$3:$B$502,MATCH($B2604,회원명부!$A$3:$A$502,0)),"미등록회원"))</f>
        <v/>
      </c>
      <c r="D2604" s="13"/>
      <c r="E2604" s="10"/>
      <c r="F2604" s="10"/>
      <c r="G2604" s="10"/>
    </row>
    <row r="2605" customFormat="false" ht="15" hidden="false" customHeight="true" outlineLevel="0" collapsed="false">
      <c r="A2605" s="12"/>
      <c r="B2605" s="10"/>
      <c r="C2605" s="15" t="str">
        <f aca="false">IF($B2605="","",IFERROR(INDEX(회원명부!$B$3:$B$502,MATCH($B2605,회원명부!$A$3:$A$502,0)),"미등록회원"))</f>
        <v/>
      </c>
      <c r="D2605" s="13"/>
      <c r="E2605" s="10"/>
      <c r="F2605" s="10"/>
      <c r="G2605" s="10"/>
    </row>
    <row r="2606" customFormat="false" ht="15" hidden="false" customHeight="true" outlineLevel="0" collapsed="false">
      <c r="A2606" s="12"/>
      <c r="B2606" s="10"/>
      <c r="C2606" s="15" t="str">
        <f aca="false">IF($B2606="","",IFERROR(INDEX(회원명부!$B$3:$B$502,MATCH($B2606,회원명부!$A$3:$A$502,0)),"미등록회원"))</f>
        <v/>
      </c>
      <c r="D2606" s="13"/>
      <c r="E2606" s="10"/>
      <c r="F2606" s="10"/>
      <c r="G2606" s="10"/>
    </row>
    <row r="2607" customFormat="false" ht="15" hidden="false" customHeight="true" outlineLevel="0" collapsed="false">
      <c r="A2607" s="12"/>
      <c r="B2607" s="10"/>
      <c r="C2607" s="15" t="str">
        <f aca="false">IF($B2607="","",IFERROR(INDEX(회원명부!$B$3:$B$502,MATCH($B2607,회원명부!$A$3:$A$502,0)),"미등록회원"))</f>
        <v/>
      </c>
      <c r="D2607" s="13"/>
      <c r="E2607" s="10"/>
      <c r="F2607" s="10"/>
      <c r="G2607" s="10"/>
    </row>
    <row r="2608" customFormat="false" ht="15" hidden="false" customHeight="true" outlineLevel="0" collapsed="false">
      <c r="A2608" s="12"/>
      <c r="B2608" s="10"/>
      <c r="C2608" s="15" t="str">
        <f aca="false">IF($B2608="","",IFERROR(INDEX(회원명부!$B$3:$B$502,MATCH($B2608,회원명부!$A$3:$A$502,0)),"미등록회원"))</f>
        <v/>
      </c>
      <c r="D2608" s="13"/>
      <c r="E2608" s="10"/>
      <c r="F2608" s="10"/>
      <c r="G2608" s="10"/>
    </row>
    <row r="2609" customFormat="false" ht="15" hidden="false" customHeight="true" outlineLevel="0" collapsed="false">
      <c r="A2609" s="12"/>
      <c r="B2609" s="10"/>
      <c r="C2609" s="15" t="str">
        <f aca="false">IF($B2609="","",IFERROR(INDEX(회원명부!$B$3:$B$502,MATCH($B2609,회원명부!$A$3:$A$502,0)),"미등록회원"))</f>
        <v/>
      </c>
      <c r="D2609" s="13"/>
      <c r="E2609" s="10"/>
      <c r="F2609" s="10"/>
      <c r="G2609" s="10"/>
    </row>
    <row r="2610" customFormat="false" ht="15" hidden="false" customHeight="true" outlineLevel="0" collapsed="false">
      <c r="A2610" s="12"/>
      <c r="B2610" s="10"/>
      <c r="C2610" s="15" t="str">
        <f aca="false">IF($B2610="","",IFERROR(INDEX(회원명부!$B$3:$B$502,MATCH($B2610,회원명부!$A$3:$A$502,0)),"미등록회원"))</f>
        <v/>
      </c>
      <c r="D2610" s="13"/>
      <c r="E2610" s="10"/>
      <c r="F2610" s="10"/>
      <c r="G2610" s="10"/>
    </row>
    <row r="2611" customFormat="false" ht="15" hidden="false" customHeight="true" outlineLevel="0" collapsed="false">
      <c r="A2611" s="12"/>
      <c r="B2611" s="10"/>
      <c r="C2611" s="15" t="str">
        <f aca="false">IF($B2611="","",IFERROR(INDEX(회원명부!$B$3:$B$502,MATCH($B2611,회원명부!$A$3:$A$502,0)),"미등록회원"))</f>
        <v/>
      </c>
      <c r="D2611" s="13"/>
      <c r="E2611" s="10"/>
      <c r="F2611" s="10"/>
      <c r="G2611" s="10"/>
    </row>
    <row r="2612" customFormat="false" ht="15" hidden="false" customHeight="true" outlineLevel="0" collapsed="false">
      <c r="A2612" s="12"/>
      <c r="B2612" s="10"/>
      <c r="C2612" s="15" t="str">
        <f aca="false">IF($B2612="","",IFERROR(INDEX(회원명부!$B$3:$B$502,MATCH($B2612,회원명부!$A$3:$A$502,0)),"미등록회원"))</f>
        <v/>
      </c>
      <c r="D2612" s="13"/>
      <c r="E2612" s="10"/>
      <c r="F2612" s="10"/>
      <c r="G2612" s="10"/>
    </row>
    <row r="2613" customFormat="false" ht="15" hidden="false" customHeight="true" outlineLevel="0" collapsed="false">
      <c r="A2613" s="12"/>
      <c r="B2613" s="10"/>
      <c r="C2613" s="15" t="str">
        <f aca="false">IF($B2613="","",IFERROR(INDEX(회원명부!$B$3:$B$502,MATCH($B2613,회원명부!$A$3:$A$502,0)),"미등록회원"))</f>
        <v/>
      </c>
      <c r="D2613" s="13"/>
      <c r="E2613" s="10"/>
      <c r="F2613" s="10"/>
      <c r="G2613" s="10"/>
    </row>
    <row r="2614" customFormat="false" ht="15" hidden="false" customHeight="true" outlineLevel="0" collapsed="false">
      <c r="A2614" s="12"/>
      <c r="B2614" s="10"/>
      <c r="C2614" s="15" t="str">
        <f aca="false">IF($B2614="","",IFERROR(INDEX(회원명부!$B$3:$B$502,MATCH($B2614,회원명부!$A$3:$A$502,0)),"미등록회원"))</f>
        <v/>
      </c>
      <c r="D2614" s="13"/>
      <c r="E2614" s="10"/>
      <c r="F2614" s="10"/>
      <c r="G2614" s="10"/>
    </row>
    <row r="2615" customFormat="false" ht="15" hidden="false" customHeight="true" outlineLevel="0" collapsed="false">
      <c r="A2615" s="12"/>
      <c r="B2615" s="10"/>
      <c r="C2615" s="15" t="str">
        <f aca="false">IF($B2615="","",IFERROR(INDEX(회원명부!$B$3:$B$502,MATCH($B2615,회원명부!$A$3:$A$502,0)),"미등록회원"))</f>
        <v/>
      </c>
      <c r="D2615" s="13"/>
      <c r="E2615" s="10"/>
      <c r="F2615" s="10"/>
      <c r="G2615" s="10"/>
    </row>
    <row r="2616" customFormat="false" ht="15" hidden="false" customHeight="true" outlineLevel="0" collapsed="false">
      <c r="A2616" s="12"/>
      <c r="B2616" s="10"/>
      <c r="C2616" s="15" t="str">
        <f aca="false">IF($B2616="","",IFERROR(INDEX(회원명부!$B$3:$B$502,MATCH($B2616,회원명부!$A$3:$A$502,0)),"미등록회원"))</f>
        <v/>
      </c>
      <c r="D2616" s="13"/>
      <c r="E2616" s="10"/>
      <c r="F2616" s="10"/>
      <c r="G2616" s="10"/>
    </row>
    <row r="2617" customFormat="false" ht="15" hidden="false" customHeight="true" outlineLevel="0" collapsed="false">
      <c r="A2617" s="12"/>
      <c r="B2617" s="10"/>
      <c r="C2617" s="15" t="str">
        <f aca="false">IF($B2617="","",IFERROR(INDEX(회원명부!$B$3:$B$502,MATCH($B2617,회원명부!$A$3:$A$502,0)),"미등록회원"))</f>
        <v/>
      </c>
      <c r="D2617" s="13"/>
      <c r="E2617" s="10"/>
      <c r="F2617" s="10"/>
      <c r="G2617" s="10"/>
    </row>
    <row r="2618" customFormat="false" ht="15" hidden="false" customHeight="true" outlineLevel="0" collapsed="false">
      <c r="A2618" s="12"/>
      <c r="B2618" s="10"/>
      <c r="C2618" s="15" t="str">
        <f aca="false">IF($B2618="","",IFERROR(INDEX(회원명부!$B$3:$B$502,MATCH($B2618,회원명부!$A$3:$A$502,0)),"미등록회원"))</f>
        <v/>
      </c>
      <c r="D2618" s="13"/>
      <c r="E2618" s="10"/>
      <c r="F2618" s="10"/>
      <c r="G2618" s="10"/>
    </row>
    <row r="2619" customFormat="false" ht="15" hidden="false" customHeight="true" outlineLevel="0" collapsed="false">
      <c r="A2619" s="12"/>
      <c r="B2619" s="10"/>
      <c r="C2619" s="15" t="str">
        <f aca="false">IF($B2619="","",IFERROR(INDEX(회원명부!$B$3:$B$502,MATCH($B2619,회원명부!$A$3:$A$502,0)),"미등록회원"))</f>
        <v/>
      </c>
      <c r="D2619" s="13"/>
      <c r="E2619" s="10"/>
      <c r="F2619" s="10"/>
      <c r="G2619" s="10"/>
    </row>
    <row r="2620" customFormat="false" ht="15" hidden="false" customHeight="true" outlineLevel="0" collapsed="false">
      <c r="A2620" s="12"/>
      <c r="B2620" s="10"/>
      <c r="C2620" s="15" t="str">
        <f aca="false">IF($B2620="","",IFERROR(INDEX(회원명부!$B$3:$B$502,MATCH($B2620,회원명부!$A$3:$A$502,0)),"미등록회원"))</f>
        <v/>
      </c>
      <c r="D2620" s="13"/>
      <c r="E2620" s="10"/>
      <c r="F2620" s="10"/>
      <c r="G2620" s="10"/>
    </row>
    <row r="2621" customFormat="false" ht="15" hidden="false" customHeight="true" outlineLevel="0" collapsed="false">
      <c r="A2621" s="12"/>
      <c r="B2621" s="10"/>
      <c r="C2621" s="15" t="str">
        <f aca="false">IF($B2621="","",IFERROR(INDEX(회원명부!$B$3:$B$502,MATCH($B2621,회원명부!$A$3:$A$502,0)),"미등록회원"))</f>
        <v/>
      </c>
      <c r="D2621" s="13"/>
      <c r="E2621" s="10"/>
      <c r="F2621" s="10"/>
      <c r="G2621" s="10"/>
    </row>
    <row r="2622" customFormat="false" ht="15" hidden="false" customHeight="true" outlineLevel="0" collapsed="false">
      <c r="A2622" s="12"/>
      <c r="B2622" s="10"/>
      <c r="C2622" s="15" t="str">
        <f aca="false">IF($B2622="","",IFERROR(INDEX(회원명부!$B$3:$B$502,MATCH($B2622,회원명부!$A$3:$A$502,0)),"미등록회원"))</f>
        <v/>
      </c>
      <c r="D2622" s="13"/>
      <c r="E2622" s="10"/>
      <c r="F2622" s="10"/>
      <c r="G2622" s="10"/>
    </row>
    <row r="2623" customFormat="false" ht="15" hidden="false" customHeight="true" outlineLevel="0" collapsed="false">
      <c r="A2623" s="12"/>
      <c r="B2623" s="10"/>
      <c r="C2623" s="15" t="str">
        <f aca="false">IF($B2623="","",IFERROR(INDEX(회원명부!$B$3:$B$502,MATCH($B2623,회원명부!$A$3:$A$502,0)),"미등록회원"))</f>
        <v/>
      </c>
      <c r="D2623" s="13"/>
      <c r="E2623" s="10"/>
      <c r="F2623" s="10"/>
      <c r="G2623" s="10"/>
    </row>
    <row r="2624" customFormat="false" ht="15" hidden="false" customHeight="true" outlineLevel="0" collapsed="false">
      <c r="A2624" s="12"/>
      <c r="B2624" s="10"/>
      <c r="C2624" s="15" t="str">
        <f aca="false">IF($B2624="","",IFERROR(INDEX(회원명부!$B$3:$B$502,MATCH($B2624,회원명부!$A$3:$A$502,0)),"미등록회원"))</f>
        <v/>
      </c>
      <c r="D2624" s="13"/>
      <c r="E2624" s="10"/>
      <c r="F2624" s="10"/>
      <c r="G2624" s="10"/>
    </row>
    <row r="2625" customFormat="false" ht="15" hidden="false" customHeight="true" outlineLevel="0" collapsed="false">
      <c r="A2625" s="12"/>
      <c r="B2625" s="10"/>
      <c r="C2625" s="15" t="str">
        <f aca="false">IF($B2625="","",IFERROR(INDEX(회원명부!$B$3:$B$502,MATCH($B2625,회원명부!$A$3:$A$502,0)),"미등록회원"))</f>
        <v/>
      </c>
      <c r="D2625" s="13"/>
      <c r="E2625" s="10"/>
      <c r="F2625" s="10"/>
      <c r="G2625" s="10"/>
    </row>
    <row r="2626" customFormat="false" ht="15" hidden="false" customHeight="true" outlineLevel="0" collapsed="false">
      <c r="A2626" s="12"/>
      <c r="B2626" s="10"/>
      <c r="C2626" s="15" t="str">
        <f aca="false">IF($B2626="","",IFERROR(INDEX(회원명부!$B$3:$B$502,MATCH($B2626,회원명부!$A$3:$A$502,0)),"미등록회원"))</f>
        <v/>
      </c>
      <c r="D2626" s="13"/>
      <c r="E2626" s="10"/>
      <c r="F2626" s="10"/>
      <c r="G2626" s="10"/>
    </row>
    <row r="2627" customFormat="false" ht="15" hidden="false" customHeight="true" outlineLevel="0" collapsed="false">
      <c r="A2627" s="12"/>
      <c r="B2627" s="10"/>
      <c r="C2627" s="15" t="str">
        <f aca="false">IF($B2627="","",IFERROR(INDEX(회원명부!$B$3:$B$502,MATCH($B2627,회원명부!$A$3:$A$502,0)),"미등록회원"))</f>
        <v/>
      </c>
      <c r="D2627" s="13"/>
      <c r="E2627" s="10"/>
      <c r="F2627" s="10"/>
      <c r="G2627" s="10"/>
    </row>
    <row r="2628" customFormat="false" ht="15" hidden="false" customHeight="true" outlineLevel="0" collapsed="false">
      <c r="A2628" s="12"/>
      <c r="B2628" s="10"/>
      <c r="C2628" s="15" t="str">
        <f aca="false">IF($B2628="","",IFERROR(INDEX(회원명부!$B$3:$B$502,MATCH($B2628,회원명부!$A$3:$A$502,0)),"미등록회원"))</f>
        <v/>
      </c>
      <c r="D2628" s="13"/>
      <c r="E2628" s="10"/>
      <c r="F2628" s="10"/>
      <c r="G2628" s="10"/>
    </row>
    <row r="2629" customFormat="false" ht="15" hidden="false" customHeight="true" outlineLevel="0" collapsed="false">
      <c r="A2629" s="12"/>
      <c r="B2629" s="10"/>
      <c r="C2629" s="15" t="str">
        <f aca="false">IF($B2629="","",IFERROR(INDEX(회원명부!$B$3:$B$502,MATCH($B2629,회원명부!$A$3:$A$502,0)),"미등록회원"))</f>
        <v/>
      </c>
      <c r="D2629" s="13"/>
      <c r="E2629" s="10"/>
      <c r="F2629" s="10"/>
      <c r="G2629" s="10"/>
    </row>
    <row r="2630" customFormat="false" ht="15" hidden="false" customHeight="true" outlineLevel="0" collapsed="false">
      <c r="A2630" s="12"/>
      <c r="B2630" s="10"/>
      <c r="C2630" s="15" t="str">
        <f aca="false">IF($B2630="","",IFERROR(INDEX(회원명부!$B$3:$B$502,MATCH($B2630,회원명부!$A$3:$A$502,0)),"미등록회원"))</f>
        <v/>
      </c>
      <c r="D2630" s="13"/>
      <c r="E2630" s="10"/>
      <c r="F2630" s="10"/>
      <c r="G2630" s="10"/>
    </row>
    <row r="2631" customFormat="false" ht="15" hidden="false" customHeight="true" outlineLevel="0" collapsed="false">
      <c r="A2631" s="12"/>
      <c r="B2631" s="10"/>
      <c r="C2631" s="15" t="str">
        <f aca="false">IF($B2631="","",IFERROR(INDEX(회원명부!$B$3:$B$502,MATCH($B2631,회원명부!$A$3:$A$502,0)),"미등록회원"))</f>
        <v/>
      </c>
      <c r="D2631" s="13"/>
      <c r="E2631" s="10"/>
      <c r="F2631" s="10"/>
      <c r="G2631" s="10"/>
    </row>
    <row r="2632" customFormat="false" ht="15" hidden="false" customHeight="true" outlineLevel="0" collapsed="false">
      <c r="A2632" s="12"/>
      <c r="B2632" s="10"/>
      <c r="C2632" s="15" t="str">
        <f aca="false">IF($B2632="","",IFERROR(INDEX(회원명부!$B$3:$B$502,MATCH($B2632,회원명부!$A$3:$A$502,0)),"미등록회원"))</f>
        <v/>
      </c>
      <c r="D2632" s="13"/>
      <c r="E2632" s="10"/>
      <c r="F2632" s="10"/>
      <c r="G2632" s="10"/>
    </row>
    <row r="2633" customFormat="false" ht="15" hidden="false" customHeight="true" outlineLevel="0" collapsed="false">
      <c r="A2633" s="12"/>
      <c r="B2633" s="10"/>
      <c r="C2633" s="15" t="str">
        <f aca="false">IF($B2633="","",IFERROR(INDEX(회원명부!$B$3:$B$502,MATCH($B2633,회원명부!$A$3:$A$502,0)),"미등록회원"))</f>
        <v/>
      </c>
      <c r="D2633" s="13"/>
      <c r="E2633" s="10"/>
      <c r="F2633" s="10"/>
      <c r="G2633" s="10"/>
    </row>
    <row r="2634" customFormat="false" ht="15" hidden="false" customHeight="true" outlineLevel="0" collapsed="false">
      <c r="A2634" s="12"/>
      <c r="B2634" s="10"/>
      <c r="C2634" s="15" t="str">
        <f aca="false">IF($B2634="","",IFERROR(INDEX(회원명부!$B$3:$B$502,MATCH($B2634,회원명부!$A$3:$A$502,0)),"미등록회원"))</f>
        <v/>
      </c>
      <c r="D2634" s="13"/>
      <c r="E2634" s="10"/>
      <c r="F2634" s="10"/>
      <c r="G2634" s="10"/>
    </row>
    <row r="2635" customFormat="false" ht="15" hidden="false" customHeight="true" outlineLevel="0" collapsed="false">
      <c r="A2635" s="12"/>
      <c r="B2635" s="10"/>
      <c r="C2635" s="15" t="str">
        <f aca="false">IF($B2635="","",IFERROR(INDEX(회원명부!$B$3:$B$502,MATCH($B2635,회원명부!$A$3:$A$502,0)),"미등록회원"))</f>
        <v/>
      </c>
      <c r="D2635" s="13"/>
      <c r="E2635" s="10"/>
      <c r="F2635" s="10"/>
      <c r="G2635" s="10"/>
    </row>
    <row r="2636" customFormat="false" ht="15" hidden="false" customHeight="true" outlineLevel="0" collapsed="false">
      <c r="A2636" s="12"/>
      <c r="B2636" s="10"/>
      <c r="C2636" s="15" t="str">
        <f aca="false">IF($B2636="","",IFERROR(INDEX(회원명부!$B$3:$B$502,MATCH($B2636,회원명부!$A$3:$A$502,0)),"미등록회원"))</f>
        <v/>
      </c>
      <c r="D2636" s="13"/>
      <c r="E2636" s="10"/>
      <c r="F2636" s="10"/>
      <c r="G2636" s="10"/>
    </row>
    <row r="2637" customFormat="false" ht="15" hidden="false" customHeight="true" outlineLevel="0" collapsed="false">
      <c r="A2637" s="12"/>
      <c r="B2637" s="10"/>
      <c r="C2637" s="15" t="str">
        <f aca="false">IF($B2637="","",IFERROR(INDEX(회원명부!$B$3:$B$502,MATCH($B2637,회원명부!$A$3:$A$502,0)),"미등록회원"))</f>
        <v/>
      </c>
      <c r="D2637" s="13"/>
      <c r="E2637" s="10"/>
      <c r="F2637" s="10"/>
      <c r="G2637" s="10"/>
    </row>
    <row r="2638" customFormat="false" ht="15" hidden="false" customHeight="true" outlineLevel="0" collapsed="false">
      <c r="A2638" s="12"/>
      <c r="B2638" s="10"/>
      <c r="C2638" s="15" t="str">
        <f aca="false">IF($B2638="","",IFERROR(INDEX(회원명부!$B$3:$B$502,MATCH($B2638,회원명부!$A$3:$A$502,0)),"미등록회원"))</f>
        <v/>
      </c>
      <c r="D2638" s="13"/>
      <c r="E2638" s="10"/>
      <c r="F2638" s="10"/>
      <c r="G2638" s="10"/>
    </row>
    <row r="2639" customFormat="false" ht="15" hidden="false" customHeight="true" outlineLevel="0" collapsed="false">
      <c r="A2639" s="12"/>
      <c r="B2639" s="10"/>
      <c r="C2639" s="15" t="str">
        <f aca="false">IF($B2639="","",IFERROR(INDEX(회원명부!$B$3:$B$502,MATCH($B2639,회원명부!$A$3:$A$502,0)),"미등록회원"))</f>
        <v/>
      </c>
      <c r="D2639" s="13"/>
      <c r="E2639" s="10"/>
      <c r="F2639" s="10"/>
      <c r="G2639" s="10"/>
    </row>
    <row r="2640" customFormat="false" ht="15" hidden="false" customHeight="true" outlineLevel="0" collapsed="false">
      <c r="A2640" s="12"/>
      <c r="B2640" s="10"/>
      <c r="C2640" s="15" t="str">
        <f aca="false">IF($B2640="","",IFERROR(INDEX(회원명부!$B$3:$B$502,MATCH($B2640,회원명부!$A$3:$A$502,0)),"미등록회원"))</f>
        <v/>
      </c>
      <c r="D2640" s="13"/>
      <c r="E2640" s="10"/>
      <c r="F2640" s="10"/>
      <c r="G2640" s="10"/>
    </row>
    <row r="2641" customFormat="false" ht="15" hidden="false" customHeight="true" outlineLevel="0" collapsed="false">
      <c r="A2641" s="12"/>
      <c r="B2641" s="10"/>
      <c r="C2641" s="15" t="str">
        <f aca="false">IF($B2641="","",IFERROR(INDEX(회원명부!$B$3:$B$502,MATCH($B2641,회원명부!$A$3:$A$502,0)),"미등록회원"))</f>
        <v/>
      </c>
      <c r="D2641" s="13"/>
      <c r="E2641" s="10"/>
      <c r="F2641" s="10"/>
      <c r="G2641" s="10"/>
    </row>
    <row r="2642" customFormat="false" ht="15" hidden="false" customHeight="true" outlineLevel="0" collapsed="false">
      <c r="A2642" s="12"/>
      <c r="B2642" s="10"/>
      <c r="C2642" s="15" t="str">
        <f aca="false">IF($B2642="","",IFERROR(INDEX(회원명부!$B$3:$B$502,MATCH($B2642,회원명부!$A$3:$A$502,0)),"미등록회원"))</f>
        <v/>
      </c>
      <c r="D2642" s="13"/>
      <c r="E2642" s="10"/>
      <c r="F2642" s="10"/>
      <c r="G2642" s="10"/>
    </row>
    <row r="2643" customFormat="false" ht="15" hidden="false" customHeight="true" outlineLevel="0" collapsed="false">
      <c r="A2643" s="12"/>
      <c r="B2643" s="10"/>
      <c r="C2643" s="15" t="str">
        <f aca="false">IF($B2643="","",IFERROR(INDEX(회원명부!$B$3:$B$502,MATCH($B2643,회원명부!$A$3:$A$502,0)),"미등록회원"))</f>
        <v/>
      </c>
      <c r="D2643" s="13"/>
      <c r="E2643" s="10"/>
      <c r="F2643" s="10"/>
      <c r="G2643" s="10"/>
    </row>
    <row r="2644" customFormat="false" ht="15" hidden="false" customHeight="true" outlineLevel="0" collapsed="false">
      <c r="A2644" s="12"/>
      <c r="B2644" s="10"/>
      <c r="C2644" s="15" t="str">
        <f aca="false">IF($B2644="","",IFERROR(INDEX(회원명부!$B$3:$B$502,MATCH($B2644,회원명부!$A$3:$A$502,0)),"미등록회원"))</f>
        <v/>
      </c>
      <c r="D2644" s="13"/>
      <c r="E2644" s="10"/>
      <c r="F2644" s="10"/>
      <c r="G2644" s="10"/>
    </row>
    <row r="2645" customFormat="false" ht="15" hidden="false" customHeight="true" outlineLevel="0" collapsed="false">
      <c r="A2645" s="12"/>
      <c r="B2645" s="10"/>
      <c r="C2645" s="15" t="str">
        <f aca="false">IF($B2645="","",IFERROR(INDEX(회원명부!$B$3:$B$502,MATCH($B2645,회원명부!$A$3:$A$502,0)),"미등록회원"))</f>
        <v/>
      </c>
      <c r="D2645" s="13"/>
      <c r="E2645" s="10"/>
      <c r="F2645" s="10"/>
      <c r="G2645" s="10"/>
    </row>
    <row r="2646" customFormat="false" ht="15" hidden="false" customHeight="true" outlineLevel="0" collapsed="false">
      <c r="A2646" s="12"/>
      <c r="B2646" s="10"/>
      <c r="C2646" s="15" t="str">
        <f aca="false">IF($B2646="","",IFERROR(INDEX(회원명부!$B$3:$B$502,MATCH($B2646,회원명부!$A$3:$A$502,0)),"미등록회원"))</f>
        <v/>
      </c>
      <c r="D2646" s="13"/>
      <c r="E2646" s="10"/>
      <c r="F2646" s="10"/>
      <c r="G2646" s="10"/>
    </row>
    <row r="2647" customFormat="false" ht="15" hidden="false" customHeight="true" outlineLevel="0" collapsed="false">
      <c r="A2647" s="12"/>
      <c r="B2647" s="10"/>
      <c r="C2647" s="15" t="str">
        <f aca="false">IF($B2647="","",IFERROR(INDEX(회원명부!$B$3:$B$502,MATCH($B2647,회원명부!$A$3:$A$502,0)),"미등록회원"))</f>
        <v/>
      </c>
      <c r="D2647" s="13"/>
      <c r="E2647" s="10"/>
      <c r="F2647" s="10"/>
      <c r="G2647" s="10"/>
    </row>
    <row r="2648" customFormat="false" ht="15" hidden="false" customHeight="true" outlineLevel="0" collapsed="false">
      <c r="A2648" s="12"/>
      <c r="B2648" s="10"/>
      <c r="C2648" s="15" t="str">
        <f aca="false">IF($B2648="","",IFERROR(INDEX(회원명부!$B$3:$B$502,MATCH($B2648,회원명부!$A$3:$A$502,0)),"미등록회원"))</f>
        <v/>
      </c>
      <c r="D2648" s="13"/>
      <c r="E2648" s="10"/>
      <c r="F2648" s="10"/>
      <c r="G2648" s="10"/>
    </row>
    <row r="2649" customFormat="false" ht="15" hidden="false" customHeight="true" outlineLevel="0" collapsed="false">
      <c r="A2649" s="12"/>
      <c r="B2649" s="10"/>
      <c r="C2649" s="15" t="str">
        <f aca="false">IF($B2649="","",IFERROR(INDEX(회원명부!$B$3:$B$502,MATCH($B2649,회원명부!$A$3:$A$502,0)),"미등록회원"))</f>
        <v/>
      </c>
      <c r="D2649" s="13"/>
      <c r="E2649" s="10"/>
      <c r="F2649" s="10"/>
      <c r="G2649" s="10"/>
    </row>
    <row r="2650" customFormat="false" ht="15" hidden="false" customHeight="true" outlineLevel="0" collapsed="false">
      <c r="A2650" s="12"/>
      <c r="B2650" s="10"/>
      <c r="C2650" s="15" t="str">
        <f aca="false">IF($B2650="","",IFERROR(INDEX(회원명부!$B$3:$B$502,MATCH($B2650,회원명부!$A$3:$A$502,0)),"미등록회원"))</f>
        <v/>
      </c>
      <c r="D2650" s="13"/>
      <c r="E2650" s="10"/>
      <c r="F2650" s="10"/>
      <c r="G2650" s="10"/>
    </row>
    <row r="2651" customFormat="false" ht="15" hidden="false" customHeight="true" outlineLevel="0" collapsed="false">
      <c r="A2651" s="12"/>
      <c r="B2651" s="10"/>
      <c r="C2651" s="15" t="str">
        <f aca="false">IF($B2651="","",IFERROR(INDEX(회원명부!$B$3:$B$502,MATCH($B2651,회원명부!$A$3:$A$502,0)),"미등록회원"))</f>
        <v/>
      </c>
      <c r="D2651" s="13"/>
      <c r="E2651" s="10"/>
      <c r="F2651" s="10"/>
      <c r="G2651" s="10"/>
    </row>
    <row r="2652" customFormat="false" ht="15" hidden="false" customHeight="true" outlineLevel="0" collapsed="false">
      <c r="A2652" s="12"/>
      <c r="B2652" s="10"/>
      <c r="C2652" s="15" t="str">
        <f aca="false">IF($B2652="","",IFERROR(INDEX(회원명부!$B$3:$B$502,MATCH($B2652,회원명부!$A$3:$A$502,0)),"미등록회원"))</f>
        <v/>
      </c>
      <c r="D2652" s="13"/>
      <c r="E2652" s="10"/>
      <c r="F2652" s="10"/>
      <c r="G2652" s="10"/>
    </row>
    <row r="2653" customFormat="false" ht="15" hidden="false" customHeight="true" outlineLevel="0" collapsed="false">
      <c r="A2653" s="12"/>
      <c r="B2653" s="10"/>
      <c r="C2653" s="15" t="str">
        <f aca="false">IF($B2653="","",IFERROR(INDEX(회원명부!$B$3:$B$502,MATCH($B2653,회원명부!$A$3:$A$502,0)),"미등록회원"))</f>
        <v/>
      </c>
      <c r="D2653" s="13"/>
      <c r="E2653" s="10"/>
      <c r="F2653" s="10"/>
      <c r="G2653" s="10"/>
    </row>
    <row r="2654" customFormat="false" ht="15" hidden="false" customHeight="true" outlineLevel="0" collapsed="false">
      <c r="A2654" s="12"/>
      <c r="B2654" s="10"/>
      <c r="C2654" s="15" t="str">
        <f aca="false">IF($B2654="","",IFERROR(INDEX(회원명부!$B$3:$B$502,MATCH($B2654,회원명부!$A$3:$A$502,0)),"미등록회원"))</f>
        <v/>
      </c>
      <c r="D2654" s="13"/>
      <c r="E2654" s="10"/>
      <c r="F2654" s="10"/>
      <c r="G2654" s="10"/>
    </row>
    <row r="2655" customFormat="false" ht="15" hidden="false" customHeight="true" outlineLevel="0" collapsed="false">
      <c r="A2655" s="12"/>
      <c r="B2655" s="10"/>
      <c r="C2655" s="15" t="str">
        <f aca="false">IF($B2655="","",IFERROR(INDEX(회원명부!$B$3:$B$502,MATCH($B2655,회원명부!$A$3:$A$502,0)),"미등록회원"))</f>
        <v/>
      </c>
      <c r="D2655" s="13"/>
      <c r="E2655" s="10"/>
      <c r="F2655" s="10"/>
      <c r="G2655" s="10"/>
    </row>
    <row r="2656" customFormat="false" ht="15" hidden="false" customHeight="true" outlineLevel="0" collapsed="false">
      <c r="A2656" s="12"/>
      <c r="B2656" s="10"/>
      <c r="C2656" s="15" t="str">
        <f aca="false">IF($B2656="","",IFERROR(INDEX(회원명부!$B$3:$B$502,MATCH($B2656,회원명부!$A$3:$A$502,0)),"미등록회원"))</f>
        <v/>
      </c>
      <c r="D2656" s="13"/>
      <c r="E2656" s="10"/>
      <c r="F2656" s="10"/>
      <c r="G2656" s="10"/>
    </row>
    <row r="2657" customFormat="false" ht="15" hidden="false" customHeight="true" outlineLevel="0" collapsed="false">
      <c r="A2657" s="12"/>
      <c r="B2657" s="10"/>
      <c r="C2657" s="15" t="str">
        <f aca="false">IF($B2657="","",IFERROR(INDEX(회원명부!$B$3:$B$502,MATCH($B2657,회원명부!$A$3:$A$502,0)),"미등록회원"))</f>
        <v/>
      </c>
      <c r="D2657" s="13"/>
      <c r="E2657" s="10"/>
      <c r="F2657" s="10"/>
      <c r="G2657" s="10"/>
    </row>
    <row r="2658" customFormat="false" ht="15" hidden="false" customHeight="true" outlineLevel="0" collapsed="false">
      <c r="A2658" s="12"/>
      <c r="B2658" s="10"/>
      <c r="C2658" s="15" t="str">
        <f aca="false">IF($B2658="","",IFERROR(INDEX(회원명부!$B$3:$B$502,MATCH($B2658,회원명부!$A$3:$A$502,0)),"미등록회원"))</f>
        <v/>
      </c>
      <c r="D2658" s="13"/>
      <c r="E2658" s="10"/>
      <c r="F2658" s="10"/>
      <c r="G2658" s="10"/>
    </row>
    <row r="2659" customFormat="false" ht="15" hidden="false" customHeight="true" outlineLevel="0" collapsed="false">
      <c r="A2659" s="12"/>
      <c r="B2659" s="10"/>
      <c r="C2659" s="15" t="str">
        <f aca="false">IF($B2659="","",IFERROR(INDEX(회원명부!$B$3:$B$502,MATCH($B2659,회원명부!$A$3:$A$502,0)),"미등록회원"))</f>
        <v/>
      </c>
      <c r="D2659" s="13"/>
      <c r="E2659" s="10"/>
      <c r="F2659" s="10"/>
      <c r="G2659" s="10"/>
    </row>
    <row r="2660" customFormat="false" ht="15" hidden="false" customHeight="true" outlineLevel="0" collapsed="false">
      <c r="A2660" s="12"/>
      <c r="B2660" s="10"/>
      <c r="C2660" s="15" t="str">
        <f aca="false">IF($B2660="","",IFERROR(INDEX(회원명부!$B$3:$B$502,MATCH($B2660,회원명부!$A$3:$A$502,0)),"미등록회원"))</f>
        <v/>
      </c>
      <c r="D2660" s="13"/>
      <c r="E2660" s="10"/>
      <c r="F2660" s="10"/>
      <c r="G2660" s="10"/>
    </row>
    <row r="2661" customFormat="false" ht="15" hidden="false" customHeight="true" outlineLevel="0" collapsed="false">
      <c r="A2661" s="12"/>
      <c r="B2661" s="10"/>
      <c r="C2661" s="15" t="str">
        <f aca="false">IF($B2661="","",IFERROR(INDEX(회원명부!$B$3:$B$502,MATCH($B2661,회원명부!$A$3:$A$502,0)),"미등록회원"))</f>
        <v/>
      </c>
      <c r="D2661" s="13"/>
      <c r="E2661" s="10"/>
      <c r="F2661" s="10"/>
      <c r="G2661" s="10"/>
    </row>
    <row r="2662" customFormat="false" ht="15" hidden="false" customHeight="true" outlineLevel="0" collapsed="false">
      <c r="A2662" s="12"/>
      <c r="B2662" s="10"/>
      <c r="C2662" s="15" t="str">
        <f aca="false">IF($B2662="","",IFERROR(INDEX(회원명부!$B$3:$B$502,MATCH($B2662,회원명부!$A$3:$A$502,0)),"미등록회원"))</f>
        <v/>
      </c>
      <c r="D2662" s="13"/>
      <c r="E2662" s="10"/>
      <c r="F2662" s="10"/>
      <c r="G2662" s="10"/>
    </row>
    <row r="2663" customFormat="false" ht="15" hidden="false" customHeight="true" outlineLevel="0" collapsed="false">
      <c r="A2663" s="12"/>
      <c r="B2663" s="10"/>
      <c r="C2663" s="15" t="str">
        <f aca="false">IF($B2663="","",IFERROR(INDEX(회원명부!$B$3:$B$502,MATCH($B2663,회원명부!$A$3:$A$502,0)),"미등록회원"))</f>
        <v/>
      </c>
      <c r="D2663" s="13"/>
      <c r="E2663" s="10"/>
      <c r="F2663" s="10"/>
      <c r="G2663" s="10"/>
    </row>
    <row r="2664" customFormat="false" ht="15" hidden="false" customHeight="true" outlineLevel="0" collapsed="false">
      <c r="A2664" s="12"/>
      <c r="B2664" s="10"/>
      <c r="C2664" s="15" t="str">
        <f aca="false">IF($B2664="","",IFERROR(INDEX(회원명부!$B$3:$B$502,MATCH($B2664,회원명부!$A$3:$A$502,0)),"미등록회원"))</f>
        <v/>
      </c>
      <c r="D2664" s="13"/>
      <c r="E2664" s="10"/>
      <c r="F2664" s="10"/>
      <c r="G2664" s="10"/>
    </row>
    <row r="2665" customFormat="false" ht="15" hidden="false" customHeight="true" outlineLevel="0" collapsed="false">
      <c r="A2665" s="12"/>
      <c r="B2665" s="10"/>
      <c r="C2665" s="15" t="str">
        <f aca="false">IF($B2665="","",IFERROR(INDEX(회원명부!$B$3:$B$502,MATCH($B2665,회원명부!$A$3:$A$502,0)),"미등록회원"))</f>
        <v/>
      </c>
      <c r="D2665" s="13"/>
      <c r="E2665" s="10"/>
      <c r="F2665" s="10"/>
      <c r="G2665" s="10"/>
    </row>
    <row r="2666" customFormat="false" ht="15" hidden="false" customHeight="true" outlineLevel="0" collapsed="false">
      <c r="A2666" s="12"/>
      <c r="B2666" s="10"/>
      <c r="C2666" s="15" t="str">
        <f aca="false">IF($B2666="","",IFERROR(INDEX(회원명부!$B$3:$B$502,MATCH($B2666,회원명부!$A$3:$A$502,0)),"미등록회원"))</f>
        <v/>
      </c>
      <c r="D2666" s="13"/>
      <c r="E2666" s="10"/>
      <c r="F2666" s="10"/>
      <c r="G2666" s="10"/>
    </row>
    <row r="2667" customFormat="false" ht="15" hidden="false" customHeight="true" outlineLevel="0" collapsed="false">
      <c r="A2667" s="12"/>
      <c r="B2667" s="10"/>
      <c r="C2667" s="15" t="str">
        <f aca="false">IF($B2667="","",IFERROR(INDEX(회원명부!$B$3:$B$502,MATCH($B2667,회원명부!$A$3:$A$502,0)),"미등록회원"))</f>
        <v/>
      </c>
      <c r="D2667" s="13"/>
      <c r="E2667" s="10"/>
      <c r="F2667" s="10"/>
      <c r="G2667" s="10"/>
    </row>
    <row r="2668" customFormat="false" ht="15" hidden="false" customHeight="true" outlineLevel="0" collapsed="false">
      <c r="A2668" s="12"/>
      <c r="B2668" s="10"/>
      <c r="C2668" s="15" t="str">
        <f aca="false">IF($B2668="","",IFERROR(INDEX(회원명부!$B$3:$B$502,MATCH($B2668,회원명부!$A$3:$A$502,0)),"미등록회원"))</f>
        <v/>
      </c>
      <c r="D2668" s="13"/>
      <c r="E2668" s="10"/>
      <c r="F2668" s="10"/>
      <c r="G2668" s="10"/>
    </row>
    <row r="2669" customFormat="false" ht="15" hidden="false" customHeight="true" outlineLevel="0" collapsed="false">
      <c r="A2669" s="12"/>
      <c r="B2669" s="10"/>
      <c r="C2669" s="15" t="str">
        <f aca="false">IF($B2669="","",IFERROR(INDEX(회원명부!$B$3:$B$502,MATCH($B2669,회원명부!$A$3:$A$502,0)),"미등록회원"))</f>
        <v/>
      </c>
      <c r="D2669" s="13"/>
      <c r="E2669" s="10"/>
      <c r="F2669" s="10"/>
      <c r="G2669" s="10"/>
    </row>
    <row r="2670" customFormat="false" ht="15" hidden="false" customHeight="true" outlineLevel="0" collapsed="false">
      <c r="A2670" s="12"/>
      <c r="B2670" s="10"/>
      <c r="C2670" s="15" t="str">
        <f aca="false">IF($B2670="","",IFERROR(INDEX(회원명부!$B$3:$B$502,MATCH($B2670,회원명부!$A$3:$A$502,0)),"미등록회원"))</f>
        <v/>
      </c>
      <c r="D2670" s="13"/>
      <c r="E2670" s="10"/>
      <c r="F2670" s="10"/>
      <c r="G2670" s="10"/>
    </row>
    <row r="2671" customFormat="false" ht="15" hidden="false" customHeight="true" outlineLevel="0" collapsed="false">
      <c r="A2671" s="12"/>
      <c r="B2671" s="10"/>
      <c r="C2671" s="15" t="str">
        <f aca="false">IF($B2671="","",IFERROR(INDEX(회원명부!$B$3:$B$502,MATCH($B2671,회원명부!$A$3:$A$502,0)),"미등록회원"))</f>
        <v/>
      </c>
      <c r="D2671" s="13"/>
      <c r="E2671" s="10"/>
      <c r="F2671" s="10"/>
      <c r="G2671" s="10"/>
    </row>
    <row r="2672" customFormat="false" ht="15" hidden="false" customHeight="true" outlineLevel="0" collapsed="false">
      <c r="A2672" s="12"/>
      <c r="B2672" s="10"/>
      <c r="C2672" s="15" t="str">
        <f aca="false">IF($B2672="","",IFERROR(INDEX(회원명부!$B$3:$B$502,MATCH($B2672,회원명부!$A$3:$A$502,0)),"미등록회원"))</f>
        <v/>
      </c>
      <c r="D2672" s="13"/>
      <c r="E2672" s="10"/>
      <c r="F2672" s="10"/>
      <c r="G2672" s="10"/>
    </row>
    <row r="2673" customFormat="false" ht="15" hidden="false" customHeight="true" outlineLevel="0" collapsed="false">
      <c r="A2673" s="12"/>
      <c r="B2673" s="10"/>
      <c r="C2673" s="15" t="str">
        <f aca="false">IF($B2673="","",IFERROR(INDEX(회원명부!$B$3:$B$502,MATCH($B2673,회원명부!$A$3:$A$502,0)),"미등록회원"))</f>
        <v/>
      </c>
      <c r="D2673" s="13"/>
      <c r="E2673" s="10"/>
      <c r="F2673" s="10"/>
      <c r="G2673" s="10"/>
    </row>
    <row r="2674" customFormat="false" ht="15" hidden="false" customHeight="true" outlineLevel="0" collapsed="false">
      <c r="A2674" s="12"/>
      <c r="B2674" s="10"/>
      <c r="C2674" s="15" t="str">
        <f aca="false">IF($B2674="","",IFERROR(INDEX(회원명부!$B$3:$B$502,MATCH($B2674,회원명부!$A$3:$A$502,0)),"미등록회원"))</f>
        <v/>
      </c>
      <c r="D2674" s="13"/>
      <c r="E2674" s="10"/>
      <c r="F2674" s="10"/>
      <c r="G2674" s="10"/>
    </row>
    <row r="2675" customFormat="false" ht="15" hidden="false" customHeight="true" outlineLevel="0" collapsed="false">
      <c r="A2675" s="12"/>
      <c r="B2675" s="10"/>
      <c r="C2675" s="15" t="str">
        <f aca="false">IF($B2675="","",IFERROR(INDEX(회원명부!$B$3:$B$502,MATCH($B2675,회원명부!$A$3:$A$502,0)),"미등록회원"))</f>
        <v/>
      </c>
      <c r="D2675" s="13"/>
      <c r="E2675" s="10"/>
      <c r="F2675" s="10"/>
      <c r="G2675" s="10"/>
    </row>
    <row r="2676" customFormat="false" ht="15" hidden="false" customHeight="true" outlineLevel="0" collapsed="false">
      <c r="A2676" s="12"/>
      <c r="B2676" s="10"/>
      <c r="C2676" s="15" t="str">
        <f aca="false">IF($B2676="","",IFERROR(INDEX(회원명부!$B$3:$B$502,MATCH($B2676,회원명부!$A$3:$A$502,0)),"미등록회원"))</f>
        <v/>
      </c>
      <c r="D2676" s="13"/>
      <c r="E2676" s="10"/>
      <c r="F2676" s="10"/>
      <c r="G2676" s="10"/>
    </row>
    <row r="2677" customFormat="false" ht="15" hidden="false" customHeight="true" outlineLevel="0" collapsed="false">
      <c r="A2677" s="12"/>
      <c r="B2677" s="10"/>
      <c r="C2677" s="15" t="str">
        <f aca="false">IF($B2677="","",IFERROR(INDEX(회원명부!$B$3:$B$502,MATCH($B2677,회원명부!$A$3:$A$502,0)),"미등록회원"))</f>
        <v/>
      </c>
      <c r="D2677" s="13"/>
      <c r="E2677" s="10"/>
      <c r="F2677" s="10"/>
      <c r="G2677" s="10"/>
    </row>
    <row r="2678" customFormat="false" ht="15" hidden="false" customHeight="true" outlineLevel="0" collapsed="false">
      <c r="A2678" s="12"/>
      <c r="B2678" s="10"/>
      <c r="C2678" s="15" t="str">
        <f aca="false">IF($B2678="","",IFERROR(INDEX(회원명부!$B$3:$B$502,MATCH($B2678,회원명부!$A$3:$A$502,0)),"미등록회원"))</f>
        <v/>
      </c>
      <c r="D2678" s="13"/>
      <c r="E2678" s="10"/>
      <c r="F2678" s="10"/>
      <c r="G2678" s="10"/>
    </row>
    <row r="2679" customFormat="false" ht="15" hidden="false" customHeight="true" outlineLevel="0" collapsed="false">
      <c r="A2679" s="12"/>
      <c r="B2679" s="10"/>
      <c r="C2679" s="15" t="str">
        <f aca="false">IF($B2679="","",IFERROR(INDEX(회원명부!$B$3:$B$502,MATCH($B2679,회원명부!$A$3:$A$502,0)),"미등록회원"))</f>
        <v/>
      </c>
      <c r="D2679" s="13"/>
      <c r="E2679" s="10"/>
      <c r="F2679" s="10"/>
      <c r="G2679" s="10"/>
    </row>
    <row r="2680" customFormat="false" ht="15" hidden="false" customHeight="true" outlineLevel="0" collapsed="false">
      <c r="A2680" s="12"/>
      <c r="B2680" s="10"/>
      <c r="C2680" s="15" t="str">
        <f aca="false">IF($B2680="","",IFERROR(INDEX(회원명부!$B$3:$B$502,MATCH($B2680,회원명부!$A$3:$A$502,0)),"미등록회원"))</f>
        <v/>
      </c>
      <c r="D2680" s="13"/>
      <c r="E2680" s="10"/>
      <c r="F2680" s="10"/>
      <c r="G2680" s="10"/>
    </row>
    <row r="2681" customFormat="false" ht="15" hidden="false" customHeight="true" outlineLevel="0" collapsed="false">
      <c r="A2681" s="12"/>
      <c r="B2681" s="10"/>
      <c r="C2681" s="15" t="str">
        <f aca="false">IF($B2681="","",IFERROR(INDEX(회원명부!$B$3:$B$502,MATCH($B2681,회원명부!$A$3:$A$502,0)),"미등록회원"))</f>
        <v/>
      </c>
      <c r="D2681" s="13"/>
      <c r="E2681" s="10"/>
      <c r="F2681" s="10"/>
      <c r="G2681" s="10"/>
    </row>
    <row r="2682" customFormat="false" ht="15" hidden="false" customHeight="true" outlineLevel="0" collapsed="false">
      <c r="A2682" s="12"/>
      <c r="B2682" s="10"/>
      <c r="C2682" s="15" t="str">
        <f aca="false">IF($B2682="","",IFERROR(INDEX(회원명부!$B$3:$B$502,MATCH($B2682,회원명부!$A$3:$A$502,0)),"미등록회원"))</f>
        <v/>
      </c>
      <c r="D2682" s="13"/>
      <c r="E2682" s="10"/>
      <c r="F2682" s="10"/>
      <c r="G2682" s="10"/>
    </row>
    <row r="2683" customFormat="false" ht="15" hidden="false" customHeight="true" outlineLevel="0" collapsed="false">
      <c r="A2683" s="12"/>
      <c r="B2683" s="10"/>
      <c r="C2683" s="15" t="str">
        <f aca="false">IF($B2683="","",IFERROR(INDEX(회원명부!$B$3:$B$502,MATCH($B2683,회원명부!$A$3:$A$502,0)),"미등록회원"))</f>
        <v/>
      </c>
      <c r="D2683" s="13"/>
      <c r="E2683" s="10"/>
      <c r="F2683" s="10"/>
      <c r="G2683" s="10"/>
    </row>
    <row r="2684" customFormat="false" ht="15" hidden="false" customHeight="true" outlineLevel="0" collapsed="false">
      <c r="A2684" s="12"/>
      <c r="B2684" s="10"/>
      <c r="C2684" s="15" t="str">
        <f aca="false">IF($B2684="","",IFERROR(INDEX(회원명부!$B$3:$B$502,MATCH($B2684,회원명부!$A$3:$A$502,0)),"미등록회원"))</f>
        <v/>
      </c>
      <c r="D2684" s="13"/>
      <c r="E2684" s="10"/>
      <c r="F2684" s="10"/>
      <c r="G2684" s="10"/>
    </row>
    <row r="2685" customFormat="false" ht="15" hidden="false" customHeight="true" outlineLevel="0" collapsed="false">
      <c r="A2685" s="12"/>
      <c r="B2685" s="10"/>
      <c r="C2685" s="15" t="str">
        <f aca="false">IF($B2685="","",IFERROR(INDEX(회원명부!$B$3:$B$502,MATCH($B2685,회원명부!$A$3:$A$502,0)),"미등록회원"))</f>
        <v/>
      </c>
      <c r="D2685" s="13"/>
      <c r="E2685" s="10"/>
      <c r="F2685" s="10"/>
      <c r="G2685" s="10"/>
    </row>
    <row r="2686" customFormat="false" ht="15" hidden="false" customHeight="true" outlineLevel="0" collapsed="false">
      <c r="A2686" s="12"/>
      <c r="B2686" s="10"/>
      <c r="C2686" s="15" t="str">
        <f aca="false">IF($B2686="","",IFERROR(INDEX(회원명부!$B$3:$B$502,MATCH($B2686,회원명부!$A$3:$A$502,0)),"미등록회원"))</f>
        <v/>
      </c>
      <c r="D2686" s="13"/>
      <c r="E2686" s="10"/>
      <c r="F2686" s="10"/>
      <c r="G2686" s="10"/>
    </row>
    <row r="2687" customFormat="false" ht="15" hidden="false" customHeight="true" outlineLevel="0" collapsed="false">
      <c r="A2687" s="12"/>
      <c r="B2687" s="10"/>
      <c r="C2687" s="15" t="str">
        <f aca="false">IF($B2687="","",IFERROR(INDEX(회원명부!$B$3:$B$502,MATCH($B2687,회원명부!$A$3:$A$502,0)),"미등록회원"))</f>
        <v/>
      </c>
      <c r="D2687" s="13"/>
      <c r="E2687" s="10"/>
      <c r="F2687" s="10"/>
      <c r="G2687" s="10"/>
    </row>
    <row r="2688" customFormat="false" ht="15" hidden="false" customHeight="true" outlineLevel="0" collapsed="false">
      <c r="A2688" s="12"/>
      <c r="B2688" s="10"/>
      <c r="C2688" s="15" t="str">
        <f aca="false">IF($B2688="","",IFERROR(INDEX(회원명부!$B$3:$B$502,MATCH($B2688,회원명부!$A$3:$A$502,0)),"미등록회원"))</f>
        <v/>
      </c>
      <c r="D2688" s="13"/>
      <c r="E2688" s="10"/>
      <c r="F2688" s="10"/>
      <c r="G2688" s="10"/>
    </row>
    <row r="2689" customFormat="false" ht="15" hidden="false" customHeight="true" outlineLevel="0" collapsed="false">
      <c r="A2689" s="12"/>
      <c r="B2689" s="10"/>
      <c r="C2689" s="15" t="str">
        <f aca="false">IF($B2689="","",IFERROR(INDEX(회원명부!$B$3:$B$502,MATCH($B2689,회원명부!$A$3:$A$502,0)),"미등록회원"))</f>
        <v/>
      </c>
      <c r="D2689" s="13"/>
      <c r="E2689" s="10"/>
      <c r="F2689" s="10"/>
      <c r="G2689" s="10"/>
    </row>
    <row r="2690" customFormat="false" ht="15" hidden="false" customHeight="true" outlineLevel="0" collapsed="false">
      <c r="A2690" s="12"/>
      <c r="B2690" s="10"/>
      <c r="C2690" s="15" t="str">
        <f aca="false">IF($B2690="","",IFERROR(INDEX(회원명부!$B$3:$B$502,MATCH($B2690,회원명부!$A$3:$A$502,0)),"미등록회원"))</f>
        <v/>
      </c>
      <c r="D2690" s="13"/>
      <c r="E2690" s="10"/>
      <c r="F2690" s="10"/>
      <c r="G2690" s="10"/>
    </row>
    <row r="2691" customFormat="false" ht="15" hidden="false" customHeight="true" outlineLevel="0" collapsed="false">
      <c r="A2691" s="12"/>
      <c r="B2691" s="10"/>
      <c r="C2691" s="15" t="str">
        <f aca="false">IF($B2691="","",IFERROR(INDEX(회원명부!$B$3:$B$502,MATCH($B2691,회원명부!$A$3:$A$502,0)),"미등록회원"))</f>
        <v/>
      </c>
      <c r="D2691" s="13"/>
      <c r="E2691" s="10"/>
      <c r="F2691" s="10"/>
      <c r="G2691" s="10"/>
    </row>
    <row r="2692" customFormat="false" ht="15" hidden="false" customHeight="true" outlineLevel="0" collapsed="false">
      <c r="A2692" s="12"/>
      <c r="B2692" s="10"/>
      <c r="C2692" s="15" t="str">
        <f aca="false">IF($B2692="","",IFERROR(INDEX(회원명부!$B$3:$B$502,MATCH($B2692,회원명부!$A$3:$A$502,0)),"미등록회원"))</f>
        <v/>
      </c>
      <c r="D2692" s="13"/>
      <c r="E2692" s="10"/>
      <c r="F2692" s="10"/>
      <c r="G2692" s="10"/>
    </row>
    <row r="2693" customFormat="false" ht="15" hidden="false" customHeight="true" outlineLevel="0" collapsed="false">
      <c r="A2693" s="12"/>
      <c r="B2693" s="10"/>
      <c r="C2693" s="15" t="str">
        <f aca="false">IF($B2693="","",IFERROR(INDEX(회원명부!$B$3:$B$502,MATCH($B2693,회원명부!$A$3:$A$502,0)),"미등록회원"))</f>
        <v/>
      </c>
      <c r="D2693" s="13"/>
      <c r="E2693" s="10"/>
      <c r="F2693" s="10"/>
      <c r="G2693" s="10"/>
    </row>
    <row r="2694" customFormat="false" ht="15" hidden="false" customHeight="true" outlineLevel="0" collapsed="false">
      <c r="A2694" s="12"/>
      <c r="B2694" s="10"/>
      <c r="C2694" s="15" t="str">
        <f aca="false">IF($B2694="","",IFERROR(INDEX(회원명부!$B$3:$B$502,MATCH($B2694,회원명부!$A$3:$A$502,0)),"미등록회원"))</f>
        <v/>
      </c>
      <c r="D2694" s="13"/>
      <c r="E2694" s="10"/>
      <c r="F2694" s="10"/>
      <c r="G2694" s="10"/>
    </row>
    <row r="2695" customFormat="false" ht="15" hidden="false" customHeight="true" outlineLevel="0" collapsed="false">
      <c r="A2695" s="12"/>
      <c r="B2695" s="10"/>
      <c r="C2695" s="15" t="str">
        <f aca="false">IF($B2695="","",IFERROR(INDEX(회원명부!$B$3:$B$502,MATCH($B2695,회원명부!$A$3:$A$502,0)),"미등록회원"))</f>
        <v/>
      </c>
      <c r="D2695" s="13"/>
      <c r="E2695" s="10"/>
      <c r="F2695" s="10"/>
      <c r="G2695" s="10"/>
    </row>
    <row r="2696" customFormat="false" ht="15" hidden="false" customHeight="true" outlineLevel="0" collapsed="false">
      <c r="A2696" s="12"/>
      <c r="B2696" s="10"/>
      <c r="C2696" s="15" t="str">
        <f aca="false">IF($B2696="","",IFERROR(INDEX(회원명부!$B$3:$B$502,MATCH($B2696,회원명부!$A$3:$A$502,0)),"미등록회원"))</f>
        <v/>
      </c>
      <c r="D2696" s="13"/>
      <c r="E2696" s="10"/>
      <c r="F2696" s="10"/>
      <c r="G2696" s="10"/>
    </row>
    <row r="2697" customFormat="false" ht="15" hidden="false" customHeight="true" outlineLevel="0" collapsed="false">
      <c r="A2697" s="12"/>
      <c r="B2697" s="10"/>
      <c r="C2697" s="15" t="str">
        <f aca="false">IF($B2697="","",IFERROR(INDEX(회원명부!$B$3:$B$502,MATCH($B2697,회원명부!$A$3:$A$502,0)),"미등록회원"))</f>
        <v/>
      </c>
      <c r="D2697" s="13"/>
      <c r="E2697" s="10"/>
      <c r="F2697" s="10"/>
      <c r="G2697" s="10"/>
    </row>
    <row r="2698" customFormat="false" ht="15" hidden="false" customHeight="true" outlineLevel="0" collapsed="false">
      <c r="A2698" s="12"/>
      <c r="B2698" s="10"/>
      <c r="C2698" s="15" t="str">
        <f aca="false">IF($B2698="","",IFERROR(INDEX(회원명부!$B$3:$B$502,MATCH($B2698,회원명부!$A$3:$A$502,0)),"미등록회원"))</f>
        <v/>
      </c>
      <c r="D2698" s="13"/>
      <c r="E2698" s="10"/>
      <c r="F2698" s="10"/>
      <c r="G2698" s="10"/>
    </row>
    <row r="2699" customFormat="false" ht="15" hidden="false" customHeight="true" outlineLevel="0" collapsed="false">
      <c r="A2699" s="12"/>
      <c r="B2699" s="10"/>
      <c r="C2699" s="15" t="str">
        <f aca="false">IF($B2699="","",IFERROR(INDEX(회원명부!$B$3:$B$502,MATCH($B2699,회원명부!$A$3:$A$502,0)),"미등록회원"))</f>
        <v/>
      </c>
      <c r="D2699" s="13"/>
      <c r="E2699" s="10"/>
      <c r="F2699" s="10"/>
      <c r="G2699" s="10"/>
    </row>
    <row r="2700" customFormat="false" ht="15" hidden="false" customHeight="true" outlineLevel="0" collapsed="false">
      <c r="A2700" s="12"/>
      <c r="B2700" s="10"/>
      <c r="C2700" s="15" t="str">
        <f aca="false">IF($B2700="","",IFERROR(INDEX(회원명부!$B$3:$B$502,MATCH($B2700,회원명부!$A$3:$A$502,0)),"미등록회원"))</f>
        <v/>
      </c>
      <c r="D2700" s="13"/>
      <c r="E2700" s="10"/>
      <c r="F2700" s="10"/>
      <c r="G2700" s="10"/>
    </row>
    <row r="2701" customFormat="false" ht="15" hidden="false" customHeight="true" outlineLevel="0" collapsed="false">
      <c r="A2701" s="12"/>
      <c r="B2701" s="10"/>
      <c r="C2701" s="15" t="str">
        <f aca="false">IF($B2701="","",IFERROR(INDEX(회원명부!$B$3:$B$502,MATCH($B2701,회원명부!$A$3:$A$502,0)),"미등록회원"))</f>
        <v/>
      </c>
      <c r="D2701" s="13"/>
      <c r="E2701" s="10"/>
      <c r="F2701" s="10"/>
      <c r="G2701" s="10"/>
    </row>
    <row r="2702" customFormat="false" ht="15" hidden="false" customHeight="true" outlineLevel="0" collapsed="false">
      <c r="A2702" s="12"/>
      <c r="B2702" s="10"/>
      <c r="C2702" s="15" t="str">
        <f aca="false">IF($B2702="","",IFERROR(INDEX(회원명부!$B$3:$B$502,MATCH($B2702,회원명부!$A$3:$A$502,0)),"미등록회원"))</f>
        <v/>
      </c>
      <c r="D2702" s="13"/>
      <c r="E2702" s="10"/>
      <c r="F2702" s="10"/>
      <c r="G2702" s="10"/>
    </row>
    <row r="2703" customFormat="false" ht="15" hidden="false" customHeight="true" outlineLevel="0" collapsed="false">
      <c r="A2703" s="12"/>
      <c r="B2703" s="10"/>
      <c r="C2703" s="15" t="str">
        <f aca="false">IF($B2703="","",IFERROR(INDEX(회원명부!$B$3:$B$502,MATCH($B2703,회원명부!$A$3:$A$502,0)),"미등록회원"))</f>
        <v/>
      </c>
      <c r="D2703" s="13"/>
      <c r="E2703" s="10"/>
      <c r="F2703" s="10"/>
      <c r="G2703" s="10"/>
    </row>
    <row r="2704" customFormat="false" ht="15" hidden="false" customHeight="true" outlineLevel="0" collapsed="false">
      <c r="A2704" s="12"/>
      <c r="B2704" s="10"/>
      <c r="C2704" s="15" t="str">
        <f aca="false">IF($B2704="","",IFERROR(INDEX(회원명부!$B$3:$B$502,MATCH($B2704,회원명부!$A$3:$A$502,0)),"미등록회원"))</f>
        <v/>
      </c>
      <c r="D2704" s="13"/>
      <c r="E2704" s="10"/>
      <c r="F2704" s="10"/>
      <c r="G2704" s="10"/>
    </row>
    <row r="2705" customFormat="false" ht="15" hidden="false" customHeight="true" outlineLevel="0" collapsed="false">
      <c r="A2705" s="12"/>
      <c r="B2705" s="10"/>
      <c r="C2705" s="15" t="str">
        <f aca="false">IF($B2705="","",IFERROR(INDEX(회원명부!$B$3:$B$502,MATCH($B2705,회원명부!$A$3:$A$502,0)),"미등록회원"))</f>
        <v/>
      </c>
      <c r="D2705" s="13"/>
      <c r="E2705" s="10"/>
      <c r="F2705" s="10"/>
      <c r="G2705" s="10"/>
    </row>
    <row r="2706" customFormat="false" ht="15" hidden="false" customHeight="true" outlineLevel="0" collapsed="false">
      <c r="A2706" s="12"/>
      <c r="B2706" s="10"/>
      <c r="C2706" s="15" t="str">
        <f aca="false">IF($B2706="","",IFERROR(INDEX(회원명부!$B$3:$B$502,MATCH($B2706,회원명부!$A$3:$A$502,0)),"미등록회원"))</f>
        <v/>
      </c>
      <c r="D2706" s="13"/>
      <c r="E2706" s="10"/>
      <c r="F2706" s="10"/>
      <c r="G2706" s="10"/>
    </row>
    <row r="2707" customFormat="false" ht="15" hidden="false" customHeight="true" outlineLevel="0" collapsed="false">
      <c r="A2707" s="12"/>
      <c r="B2707" s="10"/>
      <c r="C2707" s="15" t="str">
        <f aca="false">IF($B2707="","",IFERROR(INDEX(회원명부!$B$3:$B$502,MATCH($B2707,회원명부!$A$3:$A$502,0)),"미등록회원"))</f>
        <v/>
      </c>
      <c r="D2707" s="13"/>
      <c r="E2707" s="10"/>
      <c r="F2707" s="10"/>
      <c r="G2707" s="10"/>
    </row>
    <row r="2708" customFormat="false" ht="15" hidden="false" customHeight="true" outlineLevel="0" collapsed="false">
      <c r="A2708" s="12"/>
      <c r="B2708" s="10"/>
      <c r="C2708" s="15" t="str">
        <f aca="false">IF($B2708="","",IFERROR(INDEX(회원명부!$B$3:$B$502,MATCH($B2708,회원명부!$A$3:$A$502,0)),"미등록회원"))</f>
        <v/>
      </c>
      <c r="D2708" s="13"/>
      <c r="E2708" s="10"/>
      <c r="F2708" s="10"/>
      <c r="G2708" s="10"/>
    </row>
    <row r="2709" customFormat="false" ht="15" hidden="false" customHeight="true" outlineLevel="0" collapsed="false">
      <c r="A2709" s="12"/>
      <c r="B2709" s="10"/>
      <c r="C2709" s="15" t="str">
        <f aca="false">IF($B2709="","",IFERROR(INDEX(회원명부!$B$3:$B$502,MATCH($B2709,회원명부!$A$3:$A$502,0)),"미등록회원"))</f>
        <v/>
      </c>
      <c r="D2709" s="13"/>
      <c r="E2709" s="10"/>
      <c r="F2709" s="10"/>
      <c r="G2709" s="10"/>
    </row>
    <row r="2710" customFormat="false" ht="15" hidden="false" customHeight="true" outlineLevel="0" collapsed="false">
      <c r="A2710" s="12"/>
      <c r="B2710" s="10"/>
      <c r="C2710" s="15" t="str">
        <f aca="false">IF($B2710="","",IFERROR(INDEX(회원명부!$B$3:$B$502,MATCH($B2710,회원명부!$A$3:$A$502,0)),"미등록회원"))</f>
        <v/>
      </c>
      <c r="D2710" s="13"/>
      <c r="E2710" s="10"/>
      <c r="F2710" s="10"/>
      <c r="G2710" s="10"/>
    </row>
    <row r="2711" customFormat="false" ht="15" hidden="false" customHeight="true" outlineLevel="0" collapsed="false">
      <c r="A2711" s="12"/>
      <c r="B2711" s="10"/>
      <c r="C2711" s="15" t="str">
        <f aca="false">IF($B2711="","",IFERROR(INDEX(회원명부!$B$3:$B$502,MATCH($B2711,회원명부!$A$3:$A$502,0)),"미등록회원"))</f>
        <v/>
      </c>
      <c r="D2711" s="13"/>
      <c r="E2711" s="10"/>
      <c r="F2711" s="10"/>
      <c r="G2711" s="10"/>
    </row>
    <row r="2712" customFormat="false" ht="15" hidden="false" customHeight="true" outlineLevel="0" collapsed="false">
      <c r="A2712" s="12"/>
      <c r="B2712" s="10"/>
      <c r="C2712" s="15" t="str">
        <f aca="false">IF($B2712="","",IFERROR(INDEX(회원명부!$B$3:$B$502,MATCH($B2712,회원명부!$A$3:$A$502,0)),"미등록회원"))</f>
        <v/>
      </c>
      <c r="D2712" s="13"/>
      <c r="E2712" s="10"/>
      <c r="F2712" s="10"/>
      <c r="G2712" s="10"/>
    </row>
    <row r="2713" customFormat="false" ht="15" hidden="false" customHeight="true" outlineLevel="0" collapsed="false">
      <c r="A2713" s="12"/>
      <c r="B2713" s="10"/>
      <c r="C2713" s="15" t="str">
        <f aca="false">IF($B2713="","",IFERROR(INDEX(회원명부!$B$3:$B$502,MATCH($B2713,회원명부!$A$3:$A$502,0)),"미등록회원"))</f>
        <v/>
      </c>
      <c r="D2713" s="13"/>
      <c r="E2713" s="10"/>
      <c r="F2713" s="10"/>
      <c r="G2713" s="10"/>
    </row>
    <row r="2714" customFormat="false" ht="15" hidden="false" customHeight="true" outlineLevel="0" collapsed="false">
      <c r="A2714" s="12"/>
      <c r="B2714" s="10"/>
      <c r="C2714" s="15" t="str">
        <f aca="false">IF($B2714="","",IFERROR(INDEX(회원명부!$B$3:$B$502,MATCH($B2714,회원명부!$A$3:$A$502,0)),"미등록회원"))</f>
        <v/>
      </c>
      <c r="D2714" s="13"/>
      <c r="E2714" s="10"/>
      <c r="F2714" s="10"/>
      <c r="G2714" s="10"/>
    </row>
    <row r="2715" customFormat="false" ht="15" hidden="false" customHeight="true" outlineLevel="0" collapsed="false">
      <c r="A2715" s="12"/>
      <c r="B2715" s="10"/>
      <c r="C2715" s="15" t="str">
        <f aca="false">IF($B2715="","",IFERROR(INDEX(회원명부!$B$3:$B$502,MATCH($B2715,회원명부!$A$3:$A$502,0)),"미등록회원"))</f>
        <v/>
      </c>
      <c r="D2715" s="13"/>
      <c r="E2715" s="10"/>
      <c r="F2715" s="10"/>
      <c r="G2715" s="10"/>
    </row>
    <row r="2716" customFormat="false" ht="15" hidden="false" customHeight="true" outlineLevel="0" collapsed="false">
      <c r="A2716" s="12"/>
      <c r="B2716" s="10"/>
      <c r="C2716" s="15" t="str">
        <f aca="false">IF($B2716="","",IFERROR(INDEX(회원명부!$B$3:$B$502,MATCH($B2716,회원명부!$A$3:$A$502,0)),"미등록회원"))</f>
        <v/>
      </c>
      <c r="D2716" s="13"/>
      <c r="E2716" s="10"/>
      <c r="F2716" s="10"/>
      <c r="G2716" s="10"/>
    </row>
    <row r="2717" customFormat="false" ht="15" hidden="false" customHeight="true" outlineLevel="0" collapsed="false">
      <c r="A2717" s="12"/>
      <c r="B2717" s="10"/>
      <c r="C2717" s="15" t="str">
        <f aca="false">IF($B2717="","",IFERROR(INDEX(회원명부!$B$3:$B$502,MATCH($B2717,회원명부!$A$3:$A$502,0)),"미등록회원"))</f>
        <v/>
      </c>
      <c r="D2717" s="13"/>
      <c r="E2717" s="10"/>
      <c r="F2717" s="10"/>
      <c r="G2717" s="10"/>
    </row>
    <row r="2718" customFormat="false" ht="15" hidden="false" customHeight="true" outlineLevel="0" collapsed="false">
      <c r="A2718" s="12"/>
      <c r="B2718" s="10"/>
      <c r="C2718" s="15" t="str">
        <f aca="false">IF($B2718="","",IFERROR(INDEX(회원명부!$B$3:$B$502,MATCH($B2718,회원명부!$A$3:$A$502,0)),"미등록회원"))</f>
        <v/>
      </c>
      <c r="D2718" s="13"/>
      <c r="E2718" s="10"/>
      <c r="F2718" s="10"/>
      <c r="G2718" s="10"/>
    </row>
    <row r="2719" customFormat="false" ht="15" hidden="false" customHeight="true" outlineLevel="0" collapsed="false">
      <c r="A2719" s="12"/>
      <c r="B2719" s="10"/>
      <c r="C2719" s="15" t="str">
        <f aca="false">IF($B2719="","",IFERROR(INDEX(회원명부!$B$3:$B$502,MATCH($B2719,회원명부!$A$3:$A$502,0)),"미등록회원"))</f>
        <v/>
      </c>
      <c r="D2719" s="13"/>
      <c r="E2719" s="10"/>
      <c r="F2719" s="10"/>
      <c r="G2719" s="10"/>
    </row>
    <row r="2720" customFormat="false" ht="15" hidden="false" customHeight="true" outlineLevel="0" collapsed="false">
      <c r="A2720" s="12"/>
      <c r="B2720" s="10"/>
      <c r="C2720" s="15" t="str">
        <f aca="false">IF($B2720="","",IFERROR(INDEX(회원명부!$B$3:$B$502,MATCH($B2720,회원명부!$A$3:$A$502,0)),"미등록회원"))</f>
        <v/>
      </c>
      <c r="D2720" s="13"/>
      <c r="E2720" s="10"/>
      <c r="F2720" s="10"/>
      <c r="G2720" s="10"/>
    </row>
    <row r="2721" customFormat="false" ht="15" hidden="false" customHeight="true" outlineLevel="0" collapsed="false">
      <c r="A2721" s="12"/>
      <c r="B2721" s="10"/>
      <c r="C2721" s="15" t="str">
        <f aca="false">IF($B2721="","",IFERROR(INDEX(회원명부!$B$3:$B$502,MATCH($B2721,회원명부!$A$3:$A$502,0)),"미등록회원"))</f>
        <v/>
      </c>
      <c r="D2721" s="13"/>
      <c r="E2721" s="10"/>
      <c r="F2721" s="10"/>
      <c r="G2721" s="10"/>
    </row>
    <row r="2722" customFormat="false" ht="15" hidden="false" customHeight="true" outlineLevel="0" collapsed="false">
      <c r="A2722" s="12"/>
      <c r="B2722" s="10"/>
      <c r="C2722" s="15" t="str">
        <f aca="false">IF($B2722="","",IFERROR(INDEX(회원명부!$B$3:$B$502,MATCH($B2722,회원명부!$A$3:$A$502,0)),"미등록회원"))</f>
        <v/>
      </c>
      <c r="D2722" s="13"/>
      <c r="E2722" s="10"/>
      <c r="F2722" s="10"/>
      <c r="G2722" s="10"/>
    </row>
    <row r="2723" customFormat="false" ht="15" hidden="false" customHeight="true" outlineLevel="0" collapsed="false">
      <c r="A2723" s="12"/>
      <c r="B2723" s="10"/>
      <c r="C2723" s="15" t="str">
        <f aca="false">IF($B2723="","",IFERROR(INDEX(회원명부!$B$3:$B$502,MATCH($B2723,회원명부!$A$3:$A$502,0)),"미등록회원"))</f>
        <v/>
      </c>
      <c r="D2723" s="13"/>
      <c r="E2723" s="10"/>
      <c r="F2723" s="10"/>
      <c r="G2723" s="10"/>
    </row>
    <row r="2724" customFormat="false" ht="15" hidden="false" customHeight="true" outlineLevel="0" collapsed="false">
      <c r="A2724" s="12"/>
      <c r="B2724" s="10"/>
      <c r="C2724" s="15" t="str">
        <f aca="false">IF($B2724="","",IFERROR(INDEX(회원명부!$B$3:$B$502,MATCH($B2724,회원명부!$A$3:$A$502,0)),"미등록회원"))</f>
        <v/>
      </c>
      <c r="D2724" s="13"/>
      <c r="E2724" s="10"/>
      <c r="F2724" s="10"/>
      <c r="G2724" s="10"/>
    </row>
    <row r="2725" customFormat="false" ht="15" hidden="false" customHeight="true" outlineLevel="0" collapsed="false">
      <c r="A2725" s="12"/>
      <c r="B2725" s="10"/>
      <c r="C2725" s="15" t="str">
        <f aca="false">IF($B2725="","",IFERROR(INDEX(회원명부!$B$3:$B$502,MATCH($B2725,회원명부!$A$3:$A$502,0)),"미등록회원"))</f>
        <v/>
      </c>
      <c r="D2725" s="13"/>
      <c r="E2725" s="10"/>
      <c r="F2725" s="10"/>
      <c r="G2725" s="10"/>
    </row>
    <row r="2726" customFormat="false" ht="15" hidden="false" customHeight="true" outlineLevel="0" collapsed="false">
      <c r="A2726" s="12"/>
      <c r="B2726" s="10"/>
      <c r="C2726" s="15" t="str">
        <f aca="false">IF($B2726="","",IFERROR(INDEX(회원명부!$B$3:$B$502,MATCH($B2726,회원명부!$A$3:$A$502,0)),"미등록회원"))</f>
        <v/>
      </c>
      <c r="D2726" s="13"/>
      <c r="E2726" s="10"/>
      <c r="F2726" s="10"/>
      <c r="G2726" s="10"/>
    </row>
    <row r="2727" customFormat="false" ht="15" hidden="false" customHeight="true" outlineLevel="0" collapsed="false">
      <c r="A2727" s="12"/>
      <c r="B2727" s="10"/>
      <c r="C2727" s="15" t="str">
        <f aca="false">IF($B2727="","",IFERROR(INDEX(회원명부!$B$3:$B$502,MATCH($B2727,회원명부!$A$3:$A$502,0)),"미등록회원"))</f>
        <v/>
      </c>
      <c r="D2727" s="13"/>
      <c r="E2727" s="10"/>
      <c r="F2727" s="10"/>
      <c r="G2727" s="10"/>
    </row>
    <row r="2728" customFormat="false" ht="15" hidden="false" customHeight="true" outlineLevel="0" collapsed="false">
      <c r="A2728" s="12"/>
      <c r="B2728" s="10"/>
      <c r="C2728" s="15" t="str">
        <f aca="false">IF($B2728="","",IFERROR(INDEX(회원명부!$B$3:$B$502,MATCH($B2728,회원명부!$A$3:$A$502,0)),"미등록회원"))</f>
        <v/>
      </c>
      <c r="D2728" s="13"/>
      <c r="E2728" s="10"/>
      <c r="F2728" s="10"/>
      <c r="G2728" s="10"/>
    </row>
    <row r="2729" customFormat="false" ht="15" hidden="false" customHeight="true" outlineLevel="0" collapsed="false">
      <c r="A2729" s="12"/>
      <c r="B2729" s="10"/>
      <c r="C2729" s="15" t="str">
        <f aca="false">IF($B2729="","",IFERROR(INDEX(회원명부!$B$3:$B$502,MATCH($B2729,회원명부!$A$3:$A$502,0)),"미등록회원"))</f>
        <v/>
      </c>
      <c r="D2729" s="13"/>
      <c r="E2729" s="10"/>
      <c r="F2729" s="10"/>
      <c r="G2729" s="10"/>
    </row>
    <row r="2730" customFormat="false" ht="15" hidden="false" customHeight="true" outlineLevel="0" collapsed="false">
      <c r="A2730" s="12"/>
      <c r="B2730" s="10"/>
      <c r="C2730" s="15" t="str">
        <f aca="false">IF($B2730="","",IFERROR(INDEX(회원명부!$B$3:$B$502,MATCH($B2730,회원명부!$A$3:$A$502,0)),"미등록회원"))</f>
        <v/>
      </c>
      <c r="D2730" s="13"/>
      <c r="E2730" s="10"/>
      <c r="F2730" s="10"/>
      <c r="G2730" s="10"/>
    </row>
    <row r="2731" customFormat="false" ht="15" hidden="false" customHeight="true" outlineLevel="0" collapsed="false">
      <c r="A2731" s="12"/>
      <c r="B2731" s="10"/>
      <c r="C2731" s="15" t="str">
        <f aca="false">IF($B2731="","",IFERROR(INDEX(회원명부!$B$3:$B$502,MATCH($B2731,회원명부!$A$3:$A$502,0)),"미등록회원"))</f>
        <v/>
      </c>
      <c r="D2731" s="13"/>
      <c r="E2731" s="10"/>
      <c r="F2731" s="10"/>
      <c r="G2731" s="10"/>
    </row>
    <row r="2732" customFormat="false" ht="15" hidden="false" customHeight="true" outlineLevel="0" collapsed="false">
      <c r="A2732" s="12"/>
      <c r="B2732" s="10"/>
      <c r="C2732" s="15" t="str">
        <f aca="false">IF($B2732="","",IFERROR(INDEX(회원명부!$B$3:$B$502,MATCH($B2732,회원명부!$A$3:$A$502,0)),"미등록회원"))</f>
        <v/>
      </c>
      <c r="D2732" s="13"/>
      <c r="E2732" s="10"/>
      <c r="F2732" s="10"/>
      <c r="G2732" s="10"/>
    </row>
    <row r="2733" customFormat="false" ht="15" hidden="false" customHeight="true" outlineLevel="0" collapsed="false">
      <c r="A2733" s="12"/>
      <c r="B2733" s="10"/>
      <c r="C2733" s="15" t="str">
        <f aca="false">IF($B2733="","",IFERROR(INDEX(회원명부!$B$3:$B$502,MATCH($B2733,회원명부!$A$3:$A$502,0)),"미등록회원"))</f>
        <v/>
      </c>
      <c r="D2733" s="13"/>
      <c r="E2733" s="10"/>
      <c r="F2733" s="10"/>
      <c r="G2733" s="10"/>
    </row>
    <row r="2734" customFormat="false" ht="15" hidden="false" customHeight="true" outlineLevel="0" collapsed="false">
      <c r="A2734" s="12"/>
      <c r="B2734" s="10"/>
      <c r="C2734" s="15" t="str">
        <f aca="false">IF($B2734="","",IFERROR(INDEX(회원명부!$B$3:$B$502,MATCH($B2734,회원명부!$A$3:$A$502,0)),"미등록회원"))</f>
        <v/>
      </c>
      <c r="D2734" s="13"/>
      <c r="E2734" s="10"/>
      <c r="F2734" s="10"/>
      <c r="G2734" s="10"/>
    </row>
    <row r="2735" customFormat="false" ht="15" hidden="false" customHeight="true" outlineLevel="0" collapsed="false">
      <c r="A2735" s="12"/>
      <c r="B2735" s="10"/>
      <c r="C2735" s="15" t="str">
        <f aca="false">IF($B2735="","",IFERROR(INDEX(회원명부!$B$3:$B$502,MATCH($B2735,회원명부!$A$3:$A$502,0)),"미등록회원"))</f>
        <v/>
      </c>
      <c r="D2735" s="13"/>
      <c r="E2735" s="10"/>
      <c r="F2735" s="10"/>
      <c r="G2735" s="10"/>
    </row>
    <row r="2736" customFormat="false" ht="15" hidden="false" customHeight="true" outlineLevel="0" collapsed="false">
      <c r="A2736" s="12"/>
      <c r="B2736" s="10"/>
      <c r="C2736" s="15" t="str">
        <f aca="false">IF($B2736="","",IFERROR(INDEX(회원명부!$B$3:$B$502,MATCH($B2736,회원명부!$A$3:$A$502,0)),"미등록회원"))</f>
        <v/>
      </c>
      <c r="D2736" s="13"/>
      <c r="E2736" s="10"/>
      <c r="F2736" s="10"/>
      <c r="G2736" s="10"/>
    </row>
    <row r="2737" customFormat="false" ht="15" hidden="false" customHeight="true" outlineLevel="0" collapsed="false">
      <c r="A2737" s="12"/>
      <c r="B2737" s="10"/>
      <c r="C2737" s="15" t="str">
        <f aca="false">IF($B2737="","",IFERROR(INDEX(회원명부!$B$3:$B$502,MATCH($B2737,회원명부!$A$3:$A$502,0)),"미등록회원"))</f>
        <v/>
      </c>
      <c r="D2737" s="13"/>
      <c r="E2737" s="10"/>
      <c r="F2737" s="10"/>
      <c r="G2737" s="10"/>
    </row>
    <row r="2738" customFormat="false" ht="15" hidden="false" customHeight="true" outlineLevel="0" collapsed="false">
      <c r="A2738" s="12"/>
      <c r="B2738" s="10"/>
      <c r="C2738" s="15" t="str">
        <f aca="false">IF($B2738="","",IFERROR(INDEX(회원명부!$B$3:$B$502,MATCH($B2738,회원명부!$A$3:$A$502,0)),"미등록회원"))</f>
        <v/>
      </c>
      <c r="D2738" s="13"/>
      <c r="E2738" s="10"/>
      <c r="F2738" s="10"/>
      <c r="G2738" s="10"/>
    </row>
    <row r="2739" customFormat="false" ht="15" hidden="false" customHeight="true" outlineLevel="0" collapsed="false">
      <c r="A2739" s="12"/>
      <c r="B2739" s="10"/>
      <c r="C2739" s="15" t="str">
        <f aca="false">IF($B2739="","",IFERROR(INDEX(회원명부!$B$3:$B$502,MATCH($B2739,회원명부!$A$3:$A$502,0)),"미등록회원"))</f>
        <v/>
      </c>
      <c r="D2739" s="13"/>
      <c r="E2739" s="10"/>
      <c r="F2739" s="10"/>
      <c r="G2739" s="10"/>
    </row>
    <row r="2740" customFormat="false" ht="15" hidden="false" customHeight="true" outlineLevel="0" collapsed="false">
      <c r="A2740" s="12"/>
      <c r="B2740" s="10"/>
      <c r="C2740" s="15" t="str">
        <f aca="false">IF($B2740="","",IFERROR(INDEX(회원명부!$B$3:$B$502,MATCH($B2740,회원명부!$A$3:$A$502,0)),"미등록회원"))</f>
        <v/>
      </c>
      <c r="D2740" s="13"/>
      <c r="E2740" s="10"/>
      <c r="F2740" s="10"/>
      <c r="G2740" s="10"/>
    </row>
    <row r="2741" customFormat="false" ht="15" hidden="false" customHeight="true" outlineLevel="0" collapsed="false">
      <c r="A2741" s="12"/>
      <c r="B2741" s="10"/>
      <c r="C2741" s="15" t="str">
        <f aca="false">IF($B2741="","",IFERROR(INDEX(회원명부!$B$3:$B$502,MATCH($B2741,회원명부!$A$3:$A$502,0)),"미등록회원"))</f>
        <v/>
      </c>
      <c r="D2741" s="13"/>
      <c r="E2741" s="10"/>
      <c r="F2741" s="10"/>
      <c r="G2741" s="10"/>
    </row>
    <row r="2742" customFormat="false" ht="15" hidden="false" customHeight="true" outlineLevel="0" collapsed="false">
      <c r="A2742" s="12"/>
      <c r="B2742" s="10"/>
      <c r="C2742" s="15" t="str">
        <f aca="false">IF($B2742="","",IFERROR(INDEX(회원명부!$B$3:$B$502,MATCH($B2742,회원명부!$A$3:$A$502,0)),"미등록회원"))</f>
        <v/>
      </c>
      <c r="D2742" s="13"/>
      <c r="E2742" s="10"/>
      <c r="F2742" s="10"/>
      <c r="G2742" s="10"/>
    </row>
    <row r="2743" customFormat="false" ht="15" hidden="false" customHeight="true" outlineLevel="0" collapsed="false">
      <c r="A2743" s="12"/>
      <c r="B2743" s="10"/>
      <c r="C2743" s="15" t="str">
        <f aca="false">IF($B2743="","",IFERROR(INDEX(회원명부!$B$3:$B$502,MATCH($B2743,회원명부!$A$3:$A$502,0)),"미등록회원"))</f>
        <v/>
      </c>
      <c r="D2743" s="13"/>
      <c r="E2743" s="10"/>
      <c r="F2743" s="10"/>
      <c r="G2743" s="10"/>
    </row>
    <row r="2744" customFormat="false" ht="15" hidden="false" customHeight="true" outlineLevel="0" collapsed="false">
      <c r="A2744" s="12"/>
      <c r="B2744" s="10"/>
      <c r="C2744" s="15" t="str">
        <f aca="false">IF($B2744="","",IFERROR(INDEX(회원명부!$B$3:$B$502,MATCH($B2744,회원명부!$A$3:$A$502,0)),"미등록회원"))</f>
        <v/>
      </c>
      <c r="D2744" s="13"/>
      <c r="E2744" s="10"/>
      <c r="F2744" s="10"/>
      <c r="G2744" s="10"/>
    </row>
    <row r="2745" customFormat="false" ht="15" hidden="false" customHeight="true" outlineLevel="0" collapsed="false">
      <c r="A2745" s="12"/>
      <c r="B2745" s="10"/>
      <c r="C2745" s="15" t="str">
        <f aca="false">IF($B2745="","",IFERROR(INDEX(회원명부!$B$3:$B$502,MATCH($B2745,회원명부!$A$3:$A$502,0)),"미등록회원"))</f>
        <v/>
      </c>
      <c r="D2745" s="13"/>
      <c r="E2745" s="10"/>
      <c r="F2745" s="10"/>
      <c r="G2745" s="10"/>
    </row>
    <row r="2746" customFormat="false" ht="15" hidden="false" customHeight="true" outlineLevel="0" collapsed="false">
      <c r="A2746" s="12"/>
      <c r="B2746" s="10"/>
      <c r="C2746" s="15" t="str">
        <f aca="false">IF($B2746="","",IFERROR(INDEX(회원명부!$B$3:$B$502,MATCH($B2746,회원명부!$A$3:$A$502,0)),"미등록회원"))</f>
        <v/>
      </c>
      <c r="D2746" s="13"/>
      <c r="E2746" s="10"/>
      <c r="F2746" s="10"/>
      <c r="G2746" s="10"/>
    </row>
    <row r="2747" customFormat="false" ht="15" hidden="false" customHeight="true" outlineLevel="0" collapsed="false">
      <c r="A2747" s="12"/>
      <c r="B2747" s="10"/>
      <c r="C2747" s="15" t="str">
        <f aca="false">IF($B2747="","",IFERROR(INDEX(회원명부!$B$3:$B$502,MATCH($B2747,회원명부!$A$3:$A$502,0)),"미등록회원"))</f>
        <v/>
      </c>
      <c r="D2747" s="13"/>
      <c r="E2747" s="10"/>
      <c r="F2747" s="10"/>
      <c r="G2747" s="10"/>
    </row>
    <row r="2748" customFormat="false" ht="15" hidden="false" customHeight="true" outlineLevel="0" collapsed="false">
      <c r="A2748" s="12"/>
      <c r="B2748" s="10"/>
      <c r="C2748" s="15" t="str">
        <f aca="false">IF($B2748="","",IFERROR(INDEX(회원명부!$B$3:$B$502,MATCH($B2748,회원명부!$A$3:$A$502,0)),"미등록회원"))</f>
        <v/>
      </c>
      <c r="D2748" s="13"/>
      <c r="E2748" s="10"/>
      <c r="F2748" s="10"/>
      <c r="G2748" s="10"/>
    </row>
    <row r="2749" customFormat="false" ht="15" hidden="false" customHeight="true" outlineLevel="0" collapsed="false">
      <c r="A2749" s="12"/>
      <c r="B2749" s="10"/>
      <c r="C2749" s="15" t="str">
        <f aca="false">IF($B2749="","",IFERROR(INDEX(회원명부!$B$3:$B$502,MATCH($B2749,회원명부!$A$3:$A$502,0)),"미등록회원"))</f>
        <v/>
      </c>
      <c r="D2749" s="13"/>
      <c r="E2749" s="10"/>
      <c r="F2749" s="10"/>
      <c r="G2749" s="10"/>
    </row>
    <row r="2750" customFormat="false" ht="15" hidden="false" customHeight="true" outlineLevel="0" collapsed="false">
      <c r="A2750" s="12"/>
      <c r="B2750" s="10"/>
      <c r="C2750" s="15" t="str">
        <f aca="false">IF($B2750="","",IFERROR(INDEX(회원명부!$B$3:$B$502,MATCH($B2750,회원명부!$A$3:$A$502,0)),"미등록회원"))</f>
        <v/>
      </c>
      <c r="D2750" s="13"/>
      <c r="E2750" s="10"/>
      <c r="F2750" s="10"/>
      <c r="G2750" s="10"/>
    </row>
    <row r="2751" customFormat="false" ht="15" hidden="false" customHeight="true" outlineLevel="0" collapsed="false">
      <c r="A2751" s="12"/>
      <c r="B2751" s="10"/>
      <c r="C2751" s="15" t="str">
        <f aca="false">IF($B2751="","",IFERROR(INDEX(회원명부!$B$3:$B$502,MATCH($B2751,회원명부!$A$3:$A$502,0)),"미등록회원"))</f>
        <v/>
      </c>
      <c r="D2751" s="13"/>
      <c r="E2751" s="10"/>
      <c r="F2751" s="10"/>
      <c r="G2751" s="10"/>
    </row>
    <row r="2752" customFormat="false" ht="15" hidden="false" customHeight="true" outlineLevel="0" collapsed="false">
      <c r="A2752" s="12"/>
      <c r="B2752" s="10"/>
      <c r="C2752" s="15" t="str">
        <f aca="false">IF($B2752="","",IFERROR(INDEX(회원명부!$B$3:$B$502,MATCH($B2752,회원명부!$A$3:$A$502,0)),"미등록회원"))</f>
        <v/>
      </c>
      <c r="D2752" s="13"/>
      <c r="E2752" s="10"/>
      <c r="F2752" s="10"/>
      <c r="G2752" s="10"/>
    </row>
    <row r="2753" customFormat="false" ht="15" hidden="false" customHeight="true" outlineLevel="0" collapsed="false">
      <c r="A2753" s="12"/>
      <c r="B2753" s="10"/>
      <c r="C2753" s="15" t="str">
        <f aca="false">IF($B2753="","",IFERROR(INDEX(회원명부!$B$3:$B$502,MATCH($B2753,회원명부!$A$3:$A$502,0)),"미등록회원"))</f>
        <v/>
      </c>
      <c r="D2753" s="13"/>
      <c r="E2753" s="10"/>
      <c r="F2753" s="10"/>
      <c r="G2753" s="10"/>
    </row>
    <row r="2754" customFormat="false" ht="15" hidden="false" customHeight="true" outlineLevel="0" collapsed="false">
      <c r="A2754" s="12"/>
      <c r="B2754" s="10"/>
      <c r="C2754" s="15" t="str">
        <f aca="false">IF($B2754="","",IFERROR(INDEX(회원명부!$B$3:$B$502,MATCH($B2754,회원명부!$A$3:$A$502,0)),"미등록회원"))</f>
        <v/>
      </c>
      <c r="D2754" s="13"/>
      <c r="E2754" s="10"/>
      <c r="F2754" s="10"/>
      <c r="G2754" s="10"/>
    </row>
    <row r="2755" customFormat="false" ht="15" hidden="false" customHeight="true" outlineLevel="0" collapsed="false">
      <c r="A2755" s="12"/>
      <c r="B2755" s="10"/>
      <c r="C2755" s="15" t="str">
        <f aca="false">IF($B2755="","",IFERROR(INDEX(회원명부!$B$3:$B$502,MATCH($B2755,회원명부!$A$3:$A$502,0)),"미등록회원"))</f>
        <v/>
      </c>
      <c r="D2755" s="13"/>
      <c r="E2755" s="10"/>
      <c r="F2755" s="10"/>
      <c r="G2755" s="10"/>
    </row>
    <row r="2756" customFormat="false" ht="15" hidden="false" customHeight="true" outlineLevel="0" collapsed="false">
      <c r="A2756" s="12"/>
      <c r="B2756" s="10"/>
      <c r="C2756" s="15" t="str">
        <f aca="false">IF($B2756="","",IFERROR(INDEX(회원명부!$B$3:$B$502,MATCH($B2756,회원명부!$A$3:$A$502,0)),"미등록회원"))</f>
        <v/>
      </c>
      <c r="D2756" s="13"/>
      <c r="E2756" s="10"/>
      <c r="F2756" s="10"/>
      <c r="G2756" s="10"/>
    </row>
    <row r="2757" customFormat="false" ht="15" hidden="false" customHeight="true" outlineLevel="0" collapsed="false">
      <c r="A2757" s="12"/>
      <c r="B2757" s="10"/>
      <c r="C2757" s="15" t="str">
        <f aca="false">IF($B2757="","",IFERROR(INDEX(회원명부!$B$3:$B$502,MATCH($B2757,회원명부!$A$3:$A$502,0)),"미등록회원"))</f>
        <v/>
      </c>
      <c r="D2757" s="13"/>
      <c r="E2757" s="10"/>
      <c r="F2757" s="10"/>
      <c r="G2757" s="10"/>
    </row>
    <row r="2758" customFormat="false" ht="15" hidden="false" customHeight="true" outlineLevel="0" collapsed="false">
      <c r="A2758" s="12"/>
      <c r="B2758" s="10"/>
      <c r="C2758" s="15" t="str">
        <f aca="false">IF($B2758="","",IFERROR(INDEX(회원명부!$B$3:$B$502,MATCH($B2758,회원명부!$A$3:$A$502,0)),"미등록회원"))</f>
        <v/>
      </c>
      <c r="D2758" s="13"/>
      <c r="E2758" s="10"/>
      <c r="F2758" s="10"/>
      <c r="G2758" s="10"/>
    </row>
    <row r="2759" customFormat="false" ht="15" hidden="false" customHeight="true" outlineLevel="0" collapsed="false">
      <c r="A2759" s="12"/>
      <c r="B2759" s="10"/>
      <c r="C2759" s="15" t="str">
        <f aca="false">IF($B2759="","",IFERROR(INDEX(회원명부!$B$3:$B$502,MATCH($B2759,회원명부!$A$3:$A$502,0)),"미등록회원"))</f>
        <v/>
      </c>
      <c r="D2759" s="13"/>
      <c r="E2759" s="10"/>
      <c r="F2759" s="10"/>
      <c r="G2759" s="10"/>
    </row>
    <row r="2760" customFormat="false" ht="15" hidden="false" customHeight="true" outlineLevel="0" collapsed="false">
      <c r="A2760" s="12"/>
      <c r="B2760" s="10"/>
      <c r="C2760" s="15" t="str">
        <f aca="false">IF($B2760="","",IFERROR(INDEX(회원명부!$B$3:$B$502,MATCH($B2760,회원명부!$A$3:$A$502,0)),"미등록회원"))</f>
        <v/>
      </c>
      <c r="D2760" s="13"/>
      <c r="E2760" s="10"/>
      <c r="F2760" s="10"/>
      <c r="G2760" s="10"/>
    </row>
    <row r="2761" customFormat="false" ht="15" hidden="false" customHeight="true" outlineLevel="0" collapsed="false">
      <c r="A2761" s="12"/>
      <c r="B2761" s="10"/>
      <c r="C2761" s="15" t="str">
        <f aca="false">IF($B2761="","",IFERROR(INDEX(회원명부!$B$3:$B$502,MATCH($B2761,회원명부!$A$3:$A$502,0)),"미등록회원"))</f>
        <v/>
      </c>
      <c r="D2761" s="13"/>
      <c r="E2761" s="10"/>
      <c r="F2761" s="10"/>
      <c r="G2761" s="10"/>
    </row>
    <row r="2762" customFormat="false" ht="15" hidden="false" customHeight="true" outlineLevel="0" collapsed="false">
      <c r="A2762" s="12"/>
      <c r="B2762" s="10"/>
      <c r="C2762" s="15" t="str">
        <f aca="false">IF($B2762="","",IFERROR(INDEX(회원명부!$B$3:$B$502,MATCH($B2762,회원명부!$A$3:$A$502,0)),"미등록회원"))</f>
        <v/>
      </c>
      <c r="D2762" s="13"/>
      <c r="E2762" s="10"/>
      <c r="F2762" s="10"/>
      <c r="G2762" s="10"/>
    </row>
    <row r="2763" customFormat="false" ht="15" hidden="false" customHeight="true" outlineLevel="0" collapsed="false">
      <c r="A2763" s="12"/>
      <c r="B2763" s="10"/>
      <c r="C2763" s="15" t="str">
        <f aca="false">IF($B2763="","",IFERROR(INDEX(회원명부!$B$3:$B$502,MATCH($B2763,회원명부!$A$3:$A$502,0)),"미등록회원"))</f>
        <v/>
      </c>
      <c r="D2763" s="13"/>
      <c r="E2763" s="10"/>
      <c r="F2763" s="10"/>
      <c r="G2763" s="10"/>
    </row>
    <row r="2764" customFormat="false" ht="15" hidden="false" customHeight="true" outlineLevel="0" collapsed="false">
      <c r="A2764" s="12"/>
      <c r="B2764" s="10"/>
      <c r="C2764" s="15" t="str">
        <f aca="false">IF($B2764="","",IFERROR(INDEX(회원명부!$B$3:$B$502,MATCH($B2764,회원명부!$A$3:$A$502,0)),"미등록회원"))</f>
        <v/>
      </c>
      <c r="D2764" s="13"/>
      <c r="E2764" s="10"/>
      <c r="F2764" s="10"/>
      <c r="G2764" s="10"/>
    </row>
    <row r="2765" customFormat="false" ht="15" hidden="false" customHeight="true" outlineLevel="0" collapsed="false">
      <c r="A2765" s="12"/>
      <c r="B2765" s="10"/>
      <c r="C2765" s="15" t="str">
        <f aca="false">IF($B2765="","",IFERROR(INDEX(회원명부!$B$3:$B$502,MATCH($B2765,회원명부!$A$3:$A$502,0)),"미등록회원"))</f>
        <v/>
      </c>
      <c r="D2765" s="13"/>
      <c r="E2765" s="10"/>
      <c r="F2765" s="10"/>
      <c r="G2765" s="10"/>
    </row>
    <row r="2766" customFormat="false" ht="15" hidden="false" customHeight="true" outlineLevel="0" collapsed="false">
      <c r="A2766" s="12"/>
      <c r="B2766" s="10"/>
      <c r="C2766" s="15" t="str">
        <f aca="false">IF($B2766="","",IFERROR(INDEX(회원명부!$B$3:$B$502,MATCH($B2766,회원명부!$A$3:$A$502,0)),"미등록회원"))</f>
        <v/>
      </c>
      <c r="D2766" s="13"/>
      <c r="E2766" s="10"/>
      <c r="F2766" s="10"/>
      <c r="G2766" s="10"/>
    </row>
    <row r="2767" customFormat="false" ht="15" hidden="false" customHeight="true" outlineLevel="0" collapsed="false">
      <c r="A2767" s="12"/>
      <c r="B2767" s="10"/>
      <c r="C2767" s="15" t="str">
        <f aca="false">IF($B2767="","",IFERROR(INDEX(회원명부!$B$3:$B$502,MATCH($B2767,회원명부!$A$3:$A$502,0)),"미등록회원"))</f>
        <v/>
      </c>
      <c r="D2767" s="13"/>
      <c r="E2767" s="10"/>
      <c r="F2767" s="10"/>
      <c r="G2767" s="10"/>
    </row>
    <row r="2768" customFormat="false" ht="15" hidden="false" customHeight="true" outlineLevel="0" collapsed="false">
      <c r="A2768" s="12"/>
      <c r="B2768" s="10"/>
      <c r="C2768" s="15" t="str">
        <f aca="false">IF($B2768="","",IFERROR(INDEX(회원명부!$B$3:$B$502,MATCH($B2768,회원명부!$A$3:$A$502,0)),"미등록회원"))</f>
        <v/>
      </c>
      <c r="D2768" s="13"/>
      <c r="E2768" s="10"/>
      <c r="F2768" s="10"/>
      <c r="G2768" s="10"/>
    </row>
    <row r="2769" customFormat="false" ht="15" hidden="false" customHeight="true" outlineLevel="0" collapsed="false">
      <c r="A2769" s="12"/>
      <c r="B2769" s="10"/>
      <c r="C2769" s="15" t="str">
        <f aca="false">IF($B2769="","",IFERROR(INDEX(회원명부!$B$3:$B$502,MATCH($B2769,회원명부!$A$3:$A$502,0)),"미등록회원"))</f>
        <v/>
      </c>
      <c r="D2769" s="13"/>
      <c r="E2769" s="10"/>
      <c r="F2769" s="10"/>
      <c r="G2769" s="10"/>
    </row>
    <row r="2770" customFormat="false" ht="15" hidden="false" customHeight="true" outlineLevel="0" collapsed="false">
      <c r="A2770" s="12"/>
      <c r="B2770" s="10"/>
      <c r="C2770" s="15" t="str">
        <f aca="false">IF($B2770="","",IFERROR(INDEX(회원명부!$B$3:$B$502,MATCH($B2770,회원명부!$A$3:$A$502,0)),"미등록회원"))</f>
        <v/>
      </c>
      <c r="D2770" s="13"/>
      <c r="E2770" s="10"/>
      <c r="F2770" s="10"/>
      <c r="G2770" s="10"/>
    </row>
    <row r="2771" customFormat="false" ht="15" hidden="false" customHeight="true" outlineLevel="0" collapsed="false">
      <c r="A2771" s="12"/>
      <c r="B2771" s="10"/>
      <c r="C2771" s="15" t="str">
        <f aca="false">IF($B2771="","",IFERROR(INDEX(회원명부!$B$3:$B$502,MATCH($B2771,회원명부!$A$3:$A$502,0)),"미등록회원"))</f>
        <v/>
      </c>
      <c r="D2771" s="13"/>
      <c r="E2771" s="10"/>
      <c r="F2771" s="10"/>
      <c r="G2771" s="10"/>
    </row>
    <row r="2772" customFormat="false" ht="15" hidden="false" customHeight="true" outlineLevel="0" collapsed="false">
      <c r="A2772" s="12"/>
      <c r="B2772" s="10"/>
      <c r="C2772" s="15" t="str">
        <f aca="false">IF($B2772="","",IFERROR(INDEX(회원명부!$B$3:$B$502,MATCH($B2772,회원명부!$A$3:$A$502,0)),"미등록회원"))</f>
        <v/>
      </c>
      <c r="D2772" s="13"/>
      <c r="E2772" s="10"/>
      <c r="F2772" s="10"/>
      <c r="G2772" s="10"/>
    </row>
    <row r="2773" customFormat="false" ht="15" hidden="false" customHeight="true" outlineLevel="0" collapsed="false">
      <c r="A2773" s="12"/>
      <c r="B2773" s="10"/>
      <c r="C2773" s="15" t="str">
        <f aca="false">IF($B2773="","",IFERROR(INDEX(회원명부!$B$3:$B$502,MATCH($B2773,회원명부!$A$3:$A$502,0)),"미등록회원"))</f>
        <v/>
      </c>
      <c r="D2773" s="13"/>
      <c r="E2773" s="10"/>
      <c r="F2773" s="10"/>
      <c r="G2773" s="10"/>
    </row>
    <row r="2774" customFormat="false" ht="15" hidden="false" customHeight="true" outlineLevel="0" collapsed="false">
      <c r="A2774" s="12"/>
      <c r="B2774" s="10"/>
      <c r="C2774" s="15" t="str">
        <f aca="false">IF($B2774="","",IFERROR(INDEX(회원명부!$B$3:$B$502,MATCH($B2774,회원명부!$A$3:$A$502,0)),"미등록회원"))</f>
        <v/>
      </c>
      <c r="D2774" s="13"/>
      <c r="E2774" s="10"/>
      <c r="F2774" s="10"/>
      <c r="G2774" s="10"/>
    </row>
    <row r="2775" customFormat="false" ht="15" hidden="false" customHeight="true" outlineLevel="0" collapsed="false">
      <c r="A2775" s="12"/>
      <c r="B2775" s="10"/>
      <c r="C2775" s="15" t="str">
        <f aca="false">IF($B2775="","",IFERROR(INDEX(회원명부!$B$3:$B$502,MATCH($B2775,회원명부!$A$3:$A$502,0)),"미등록회원"))</f>
        <v/>
      </c>
      <c r="D2775" s="13"/>
      <c r="E2775" s="10"/>
      <c r="F2775" s="10"/>
      <c r="G2775" s="10"/>
    </row>
    <row r="2776" customFormat="false" ht="15" hidden="false" customHeight="true" outlineLevel="0" collapsed="false">
      <c r="A2776" s="12"/>
      <c r="B2776" s="10"/>
      <c r="C2776" s="15" t="str">
        <f aca="false">IF($B2776="","",IFERROR(INDEX(회원명부!$B$3:$B$502,MATCH($B2776,회원명부!$A$3:$A$502,0)),"미등록회원"))</f>
        <v/>
      </c>
      <c r="D2776" s="13"/>
      <c r="E2776" s="10"/>
      <c r="F2776" s="10"/>
      <c r="G2776" s="10"/>
    </row>
    <row r="2777" customFormat="false" ht="15" hidden="false" customHeight="true" outlineLevel="0" collapsed="false">
      <c r="A2777" s="12"/>
      <c r="B2777" s="10"/>
      <c r="C2777" s="15" t="str">
        <f aca="false">IF($B2777="","",IFERROR(INDEX(회원명부!$B$3:$B$502,MATCH($B2777,회원명부!$A$3:$A$502,0)),"미등록회원"))</f>
        <v/>
      </c>
      <c r="D2777" s="13"/>
      <c r="E2777" s="10"/>
      <c r="F2777" s="10"/>
      <c r="G2777" s="10"/>
    </row>
    <row r="2778" customFormat="false" ht="15" hidden="false" customHeight="true" outlineLevel="0" collapsed="false">
      <c r="A2778" s="12"/>
      <c r="B2778" s="10"/>
      <c r="C2778" s="15" t="str">
        <f aca="false">IF($B2778="","",IFERROR(INDEX(회원명부!$B$3:$B$502,MATCH($B2778,회원명부!$A$3:$A$502,0)),"미등록회원"))</f>
        <v/>
      </c>
      <c r="D2778" s="13"/>
      <c r="E2778" s="10"/>
      <c r="F2778" s="10"/>
      <c r="G2778" s="10"/>
    </row>
    <row r="2779" customFormat="false" ht="15" hidden="false" customHeight="true" outlineLevel="0" collapsed="false">
      <c r="A2779" s="12"/>
      <c r="B2779" s="10"/>
      <c r="C2779" s="15" t="str">
        <f aca="false">IF($B2779="","",IFERROR(INDEX(회원명부!$B$3:$B$502,MATCH($B2779,회원명부!$A$3:$A$502,0)),"미등록회원"))</f>
        <v/>
      </c>
      <c r="D2779" s="13"/>
      <c r="E2779" s="10"/>
      <c r="F2779" s="10"/>
      <c r="G2779" s="10"/>
    </row>
    <row r="2780" customFormat="false" ht="15" hidden="false" customHeight="true" outlineLevel="0" collapsed="false">
      <c r="A2780" s="12"/>
      <c r="B2780" s="10"/>
      <c r="C2780" s="15" t="str">
        <f aca="false">IF($B2780="","",IFERROR(INDEX(회원명부!$B$3:$B$502,MATCH($B2780,회원명부!$A$3:$A$502,0)),"미등록회원"))</f>
        <v/>
      </c>
      <c r="D2780" s="13"/>
      <c r="E2780" s="10"/>
      <c r="F2780" s="10"/>
      <c r="G2780" s="10"/>
    </row>
    <row r="2781" customFormat="false" ht="15" hidden="false" customHeight="true" outlineLevel="0" collapsed="false">
      <c r="A2781" s="12"/>
      <c r="B2781" s="10"/>
      <c r="C2781" s="15" t="str">
        <f aca="false">IF($B2781="","",IFERROR(INDEX(회원명부!$B$3:$B$502,MATCH($B2781,회원명부!$A$3:$A$502,0)),"미등록회원"))</f>
        <v/>
      </c>
      <c r="D2781" s="13"/>
      <c r="E2781" s="10"/>
      <c r="F2781" s="10"/>
      <c r="G2781" s="10"/>
    </row>
    <row r="2782" customFormat="false" ht="15" hidden="false" customHeight="true" outlineLevel="0" collapsed="false">
      <c r="A2782" s="12"/>
      <c r="B2782" s="10"/>
      <c r="C2782" s="15" t="str">
        <f aca="false">IF($B2782="","",IFERROR(INDEX(회원명부!$B$3:$B$502,MATCH($B2782,회원명부!$A$3:$A$502,0)),"미등록회원"))</f>
        <v/>
      </c>
      <c r="D2782" s="13"/>
      <c r="E2782" s="10"/>
      <c r="F2782" s="10"/>
      <c r="G2782" s="10"/>
    </row>
    <row r="2783" customFormat="false" ht="15" hidden="false" customHeight="true" outlineLevel="0" collapsed="false">
      <c r="A2783" s="12"/>
      <c r="B2783" s="10"/>
      <c r="C2783" s="15" t="str">
        <f aca="false">IF($B2783="","",IFERROR(INDEX(회원명부!$B$3:$B$502,MATCH($B2783,회원명부!$A$3:$A$502,0)),"미등록회원"))</f>
        <v/>
      </c>
      <c r="D2783" s="13"/>
      <c r="E2783" s="10"/>
      <c r="F2783" s="10"/>
      <c r="G2783" s="10"/>
    </row>
    <row r="2784" customFormat="false" ht="15" hidden="false" customHeight="true" outlineLevel="0" collapsed="false">
      <c r="A2784" s="12"/>
      <c r="B2784" s="10"/>
      <c r="C2784" s="15" t="str">
        <f aca="false">IF($B2784="","",IFERROR(INDEX(회원명부!$B$3:$B$502,MATCH($B2784,회원명부!$A$3:$A$502,0)),"미등록회원"))</f>
        <v/>
      </c>
      <c r="D2784" s="13"/>
      <c r="E2784" s="10"/>
      <c r="F2784" s="10"/>
      <c r="G2784" s="10"/>
    </row>
    <row r="2785" customFormat="false" ht="15" hidden="false" customHeight="true" outlineLevel="0" collapsed="false">
      <c r="A2785" s="12"/>
      <c r="B2785" s="10"/>
      <c r="C2785" s="15" t="str">
        <f aca="false">IF($B2785="","",IFERROR(INDEX(회원명부!$B$3:$B$502,MATCH($B2785,회원명부!$A$3:$A$502,0)),"미등록회원"))</f>
        <v/>
      </c>
      <c r="D2785" s="13"/>
      <c r="E2785" s="10"/>
      <c r="F2785" s="10"/>
      <c r="G2785" s="10"/>
    </row>
    <row r="2786" customFormat="false" ht="15" hidden="false" customHeight="true" outlineLevel="0" collapsed="false">
      <c r="A2786" s="12"/>
      <c r="B2786" s="10"/>
      <c r="C2786" s="15" t="str">
        <f aca="false">IF($B2786="","",IFERROR(INDEX(회원명부!$B$3:$B$502,MATCH($B2786,회원명부!$A$3:$A$502,0)),"미등록회원"))</f>
        <v/>
      </c>
      <c r="D2786" s="13"/>
      <c r="E2786" s="10"/>
      <c r="F2786" s="10"/>
      <c r="G2786" s="10"/>
    </row>
    <row r="2787" customFormat="false" ht="15" hidden="false" customHeight="true" outlineLevel="0" collapsed="false">
      <c r="A2787" s="12"/>
      <c r="B2787" s="10"/>
      <c r="C2787" s="15" t="str">
        <f aca="false">IF($B2787="","",IFERROR(INDEX(회원명부!$B$3:$B$502,MATCH($B2787,회원명부!$A$3:$A$502,0)),"미등록회원"))</f>
        <v/>
      </c>
      <c r="D2787" s="13"/>
      <c r="E2787" s="10"/>
      <c r="F2787" s="10"/>
      <c r="G2787" s="10"/>
    </row>
    <row r="2788" customFormat="false" ht="15" hidden="false" customHeight="true" outlineLevel="0" collapsed="false">
      <c r="A2788" s="12"/>
      <c r="B2788" s="10"/>
      <c r="C2788" s="15" t="str">
        <f aca="false">IF($B2788="","",IFERROR(INDEX(회원명부!$B$3:$B$502,MATCH($B2788,회원명부!$A$3:$A$502,0)),"미등록회원"))</f>
        <v/>
      </c>
      <c r="D2788" s="13"/>
      <c r="E2788" s="10"/>
      <c r="F2788" s="10"/>
      <c r="G2788" s="10"/>
    </row>
    <row r="2789" customFormat="false" ht="15" hidden="false" customHeight="true" outlineLevel="0" collapsed="false">
      <c r="A2789" s="12"/>
      <c r="B2789" s="10"/>
      <c r="C2789" s="15" t="str">
        <f aca="false">IF($B2789="","",IFERROR(INDEX(회원명부!$B$3:$B$502,MATCH($B2789,회원명부!$A$3:$A$502,0)),"미등록회원"))</f>
        <v/>
      </c>
      <c r="D2789" s="13"/>
      <c r="E2789" s="10"/>
      <c r="F2789" s="10"/>
      <c r="G2789" s="10"/>
    </row>
    <row r="2790" customFormat="false" ht="15" hidden="false" customHeight="true" outlineLevel="0" collapsed="false">
      <c r="A2790" s="12"/>
      <c r="B2790" s="10"/>
      <c r="C2790" s="15" t="str">
        <f aca="false">IF($B2790="","",IFERROR(INDEX(회원명부!$B$3:$B$502,MATCH($B2790,회원명부!$A$3:$A$502,0)),"미등록회원"))</f>
        <v/>
      </c>
      <c r="D2790" s="13"/>
      <c r="E2790" s="10"/>
      <c r="F2790" s="10"/>
      <c r="G2790" s="10"/>
    </row>
    <row r="2791" customFormat="false" ht="15" hidden="false" customHeight="true" outlineLevel="0" collapsed="false">
      <c r="A2791" s="12"/>
      <c r="B2791" s="10"/>
      <c r="C2791" s="15" t="str">
        <f aca="false">IF($B2791="","",IFERROR(INDEX(회원명부!$B$3:$B$502,MATCH($B2791,회원명부!$A$3:$A$502,0)),"미등록회원"))</f>
        <v/>
      </c>
      <c r="D2791" s="13"/>
      <c r="E2791" s="10"/>
      <c r="F2791" s="10"/>
      <c r="G2791" s="10"/>
    </row>
    <row r="2792" customFormat="false" ht="15" hidden="false" customHeight="true" outlineLevel="0" collapsed="false">
      <c r="A2792" s="12"/>
      <c r="B2792" s="10"/>
      <c r="C2792" s="15" t="str">
        <f aca="false">IF($B2792="","",IFERROR(INDEX(회원명부!$B$3:$B$502,MATCH($B2792,회원명부!$A$3:$A$502,0)),"미등록회원"))</f>
        <v/>
      </c>
      <c r="D2792" s="13"/>
      <c r="E2792" s="10"/>
      <c r="F2792" s="10"/>
      <c r="G2792" s="10"/>
    </row>
    <row r="2793" customFormat="false" ht="15" hidden="false" customHeight="true" outlineLevel="0" collapsed="false">
      <c r="A2793" s="12"/>
      <c r="B2793" s="10"/>
      <c r="C2793" s="15" t="str">
        <f aca="false">IF($B2793="","",IFERROR(INDEX(회원명부!$B$3:$B$502,MATCH($B2793,회원명부!$A$3:$A$502,0)),"미등록회원"))</f>
        <v/>
      </c>
      <c r="D2793" s="13"/>
      <c r="E2793" s="10"/>
      <c r="F2793" s="10"/>
      <c r="G2793" s="10"/>
    </row>
    <row r="2794" customFormat="false" ht="15" hidden="false" customHeight="true" outlineLevel="0" collapsed="false">
      <c r="A2794" s="12"/>
      <c r="B2794" s="10"/>
      <c r="C2794" s="15" t="str">
        <f aca="false">IF($B2794="","",IFERROR(INDEX(회원명부!$B$3:$B$502,MATCH($B2794,회원명부!$A$3:$A$502,0)),"미등록회원"))</f>
        <v/>
      </c>
      <c r="D2794" s="13"/>
      <c r="E2794" s="10"/>
      <c r="F2794" s="10"/>
      <c r="G2794" s="10"/>
    </row>
    <row r="2795" customFormat="false" ht="15" hidden="false" customHeight="true" outlineLevel="0" collapsed="false">
      <c r="A2795" s="12"/>
      <c r="B2795" s="10"/>
      <c r="C2795" s="15" t="str">
        <f aca="false">IF($B2795="","",IFERROR(INDEX(회원명부!$B$3:$B$502,MATCH($B2795,회원명부!$A$3:$A$502,0)),"미등록회원"))</f>
        <v/>
      </c>
      <c r="D2795" s="13"/>
      <c r="E2795" s="10"/>
      <c r="F2795" s="10"/>
      <c r="G2795" s="10"/>
    </row>
    <row r="2796" customFormat="false" ht="15" hidden="false" customHeight="true" outlineLevel="0" collapsed="false">
      <c r="A2796" s="12"/>
      <c r="B2796" s="10"/>
      <c r="C2796" s="15" t="str">
        <f aca="false">IF($B2796="","",IFERROR(INDEX(회원명부!$B$3:$B$502,MATCH($B2796,회원명부!$A$3:$A$502,0)),"미등록회원"))</f>
        <v/>
      </c>
      <c r="D2796" s="13"/>
      <c r="E2796" s="10"/>
      <c r="F2796" s="10"/>
      <c r="G2796" s="10"/>
    </row>
    <row r="2797" customFormat="false" ht="15" hidden="false" customHeight="true" outlineLevel="0" collapsed="false">
      <c r="A2797" s="12"/>
      <c r="B2797" s="10"/>
      <c r="C2797" s="15" t="str">
        <f aca="false">IF($B2797="","",IFERROR(INDEX(회원명부!$B$3:$B$502,MATCH($B2797,회원명부!$A$3:$A$502,0)),"미등록회원"))</f>
        <v/>
      </c>
      <c r="D2797" s="13"/>
      <c r="E2797" s="10"/>
      <c r="F2797" s="10"/>
      <c r="G2797" s="10"/>
    </row>
    <row r="2798" customFormat="false" ht="15" hidden="false" customHeight="true" outlineLevel="0" collapsed="false">
      <c r="A2798" s="12"/>
      <c r="B2798" s="10"/>
      <c r="C2798" s="15" t="str">
        <f aca="false">IF($B2798="","",IFERROR(INDEX(회원명부!$B$3:$B$502,MATCH($B2798,회원명부!$A$3:$A$502,0)),"미등록회원"))</f>
        <v/>
      </c>
      <c r="D2798" s="13"/>
      <c r="E2798" s="10"/>
      <c r="F2798" s="10"/>
      <c r="G2798" s="10"/>
    </row>
    <row r="2799" customFormat="false" ht="15" hidden="false" customHeight="true" outlineLevel="0" collapsed="false">
      <c r="A2799" s="12"/>
      <c r="B2799" s="10"/>
      <c r="C2799" s="15" t="str">
        <f aca="false">IF($B2799="","",IFERROR(INDEX(회원명부!$B$3:$B$502,MATCH($B2799,회원명부!$A$3:$A$502,0)),"미등록회원"))</f>
        <v/>
      </c>
      <c r="D2799" s="13"/>
      <c r="E2799" s="10"/>
      <c r="F2799" s="10"/>
      <c r="G2799" s="10"/>
    </row>
    <row r="2800" customFormat="false" ht="15" hidden="false" customHeight="true" outlineLevel="0" collapsed="false">
      <c r="A2800" s="12"/>
      <c r="B2800" s="10"/>
      <c r="C2800" s="15" t="str">
        <f aca="false">IF($B2800="","",IFERROR(INDEX(회원명부!$B$3:$B$502,MATCH($B2800,회원명부!$A$3:$A$502,0)),"미등록회원"))</f>
        <v/>
      </c>
      <c r="D2800" s="13"/>
      <c r="E2800" s="10"/>
      <c r="F2800" s="10"/>
      <c r="G2800" s="10"/>
    </row>
    <row r="2801" customFormat="false" ht="15" hidden="false" customHeight="true" outlineLevel="0" collapsed="false">
      <c r="A2801" s="12"/>
      <c r="B2801" s="10"/>
      <c r="C2801" s="15" t="str">
        <f aca="false">IF($B2801="","",IFERROR(INDEX(회원명부!$B$3:$B$502,MATCH($B2801,회원명부!$A$3:$A$502,0)),"미등록회원"))</f>
        <v/>
      </c>
      <c r="D2801" s="13"/>
      <c r="E2801" s="10"/>
      <c r="F2801" s="10"/>
      <c r="G2801" s="10"/>
    </row>
    <row r="2802" customFormat="false" ht="15" hidden="false" customHeight="true" outlineLevel="0" collapsed="false">
      <c r="A2802" s="12"/>
      <c r="B2802" s="10"/>
      <c r="C2802" s="15" t="str">
        <f aca="false">IF($B2802="","",IFERROR(INDEX(회원명부!$B$3:$B$502,MATCH($B2802,회원명부!$A$3:$A$502,0)),"미등록회원"))</f>
        <v/>
      </c>
      <c r="D2802" s="13"/>
      <c r="E2802" s="10"/>
      <c r="F2802" s="10"/>
      <c r="G2802" s="10"/>
    </row>
    <row r="2803" customFormat="false" ht="15" hidden="false" customHeight="true" outlineLevel="0" collapsed="false">
      <c r="A2803" s="12"/>
      <c r="B2803" s="10"/>
      <c r="C2803" s="15" t="str">
        <f aca="false">IF($B2803="","",IFERROR(INDEX(회원명부!$B$3:$B$502,MATCH($B2803,회원명부!$A$3:$A$502,0)),"미등록회원"))</f>
        <v/>
      </c>
      <c r="D2803" s="13"/>
      <c r="E2803" s="10"/>
      <c r="F2803" s="10"/>
      <c r="G2803" s="10"/>
    </row>
    <row r="2804" customFormat="false" ht="15" hidden="false" customHeight="true" outlineLevel="0" collapsed="false">
      <c r="A2804" s="12"/>
      <c r="B2804" s="10"/>
      <c r="C2804" s="15" t="str">
        <f aca="false">IF($B2804="","",IFERROR(INDEX(회원명부!$B$3:$B$502,MATCH($B2804,회원명부!$A$3:$A$502,0)),"미등록회원"))</f>
        <v/>
      </c>
      <c r="D2804" s="13"/>
      <c r="E2804" s="10"/>
      <c r="F2804" s="10"/>
      <c r="G2804" s="10"/>
    </row>
    <row r="2805" customFormat="false" ht="15" hidden="false" customHeight="true" outlineLevel="0" collapsed="false">
      <c r="A2805" s="12"/>
      <c r="B2805" s="10"/>
      <c r="C2805" s="15" t="str">
        <f aca="false">IF($B2805="","",IFERROR(INDEX(회원명부!$B$3:$B$502,MATCH($B2805,회원명부!$A$3:$A$502,0)),"미등록회원"))</f>
        <v/>
      </c>
      <c r="D2805" s="13"/>
      <c r="E2805" s="10"/>
      <c r="F2805" s="10"/>
      <c r="G2805" s="10"/>
    </row>
    <row r="2806" customFormat="false" ht="15" hidden="false" customHeight="true" outlineLevel="0" collapsed="false">
      <c r="A2806" s="12"/>
      <c r="B2806" s="10"/>
      <c r="C2806" s="15" t="str">
        <f aca="false">IF($B2806="","",IFERROR(INDEX(회원명부!$B$3:$B$502,MATCH($B2806,회원명부!$A$3:$A$502,0)),"미등록회원"))</f>
        <v/>
      </c>
      <c r="D2806" s="13"/>
      <c r="E2806" s="10"/>
      <c r="F2806" s="10"/>
      <c r="G2806" s="10"/>
    </row>
    <row r="2807" customFormat="false" ht="15" hidden="false" customHeight="true" outlineLevel="0" collapsed="false">
      <c r="A2807" s="12"/>
      <c r="B2807" s="10"/>
      <c r="C2807" s="15" t="str">
        <f aca="false">IF($B2807="","",IFERROR(INDEX(회원명부!$B$3:$B$502,MATCH($B2807,회원명부!$A$3:$A$502,0)),"미등록회원"))</f>
        <v/>
      </c>
      <c r="D2807" s="13"/>
      <c r="E2807" s="10"/>
      <c r="F2807" s="10"/>
      <c r="G2807" s="10"/>
    </row>
    <row r="2808" customFormat="false" ht="15" hidden="false" customHeight="true" outlineLevel="0" collapsed="false">
      <c r="A2808" s="12"/>
      <c r="B2808" s="10"/>
      <c r="C2808" s="15" t="str">
        <f aca="false">IF($B2808="","",IFERROR(INDEX(회원명부!$B$3:$B$502,MATCH($B2808,회원명부!$A$3:$A$502,0)),"미등록회원"))</f>
        <v/>
      </c>
      <c r="D2808" s="13"/>
      <c r="E2808" s="10"/>
      <c r="F2808" s="10"/>
      <c r="G2808" s="10"/>
    </row>
    <row r="2809" customFormat="false" ht="15" hidden="false" customHeight="true" outlineLevel="0" collapsed="false">
      <c r="A2809" s="12"/>
      <c r="B2809" s="10"/>
      <c r="C2809" s="15" t="str">
        <f aca="false">IF($B2809="","",IFERROR(INDEX(회원명부!$B$3:$B$502,MATCH($B2809,회원명부!$A$3:$A$502,0)),"미등록회원"))</f>
        <v/>
      </c>
      <c r="D2809" s="13"/>
      <c r="E2809" s="10"/>
      <c r="F2809" s="10"/>
      <c r="G2809" s="10"/>
    </row>
    <row r="2810" customFormat="false" ht="15" hidden="false" customHeight="true" outlineLevel="0" collapsed="false">
      <c r="A2810" s="12"/>
      <c r="B2810" s="10"/>
      <c r="C2810" s="15" t="str">
        <f aca="false">IF($B2810="","",IFERROR(INDEX(회원명부!$B$3:$B$502,MATCH($B2810,회원명부!$A$3:$A$502,0)),"미등록회원"))</f>
        <v/>
      </c>
      <c r="D2810" s="13"/>
      <c r="E2810" s="10"/>
      <c r="F2810" s="10"/>
      <c r="G2810" s="10"/>
    </row>
    <row r="2811" customFormat="false" ht="15" hidden="false" customHeight="true" outlineLevel="0" collapsed="false">
      <c r="A2811" s="12"/>
      <c r="B2811" s="10"/>
      <c r="C2811" s="15" t="str">
        <f aca="false">IF($B2811="","",IFERROR(INDEX(회원명부!$B$3:$B$502,MATCH($B2811,회원명부!$A$3:$A$502,0)),"미등록회원"))</f>
        <v/>
      </c>
      <c r="D2811" s="13"/>
      <c r="E2811" s="10"/>
      <c r="F2811" s="10"/>
      <c r="G2811" s="10"/>
    </row>
    <row r="2812" customFormat="false" ht="15" hidden="false" customHeight="true" outlineLevel="0" collapsed="false">
      <c r="A2812" s="12"/>
      <c r="B2812" s="10"/>
      <c r="C2812" s="15" t="str">
        <f aca="false">IF($B2812="","",IFERROR(INDEX(회원명부!$B$3:$B$502,MATCH($B2812,회원명부!$A$3:$A$502,0)),"미등록회원"))</f>
        <v/>
      </c>
      <c r="D2812" s="13"/>
      <c r="E2812" s="10"/>
      <c r="F2812" s="10"/>
      <c r="G2812" s="10"/>
    </row>
    <row r="2813" customFormat="false" ht="15" hidden="false" customHeight="true" outlineLevel="0" collapsed="false">
      <c r="A2813" s="12"/>
      <c r="B2813" s="10"/>
      <c r="C2813" s="15" t="str">
        <f aca="false">IF($B2813="","",IFERROR(INDEX(회원명부!$B$3:$B$502,MATCH($B2813,회원명부!$A$3:$A$502,0)),"미등록회원"))</f>
        <v/>
      </c>
      <c r="D2813" s="13"/>
      <c r="E2813" s="10"/>
      <c r="F2813" s="10"/>
      <c r="G2813" s="10"/>
    </row>
    <row r="2814" customFormat="false" ht="15" hidden="false" customHeight="true" outlineLevel="0" collapsed="false">
      <c r="A2814" s="12"/>
      <c r="B2814" s="10"/>
      <c r="C2814" s="15" t="str">
        <f aca="false">IF($B2814="","",IFERROR(INDEX(회원명부!$B$3:$B$502,MATCH($B2814,회원명부!$A$3:$A$502,0)),"미등록회원"))</f>
        <v/>
      </c>
      <c r="D2814" s="13"/>
      <c r="E2814" s="10"/>
      <c r="F2814" s="10"/>
      <c r="G2814" s="10"/>
    </row>
    <row r="2815" customFormat="false" ht="15" hidden="false" customHeight="true" outlineLevel="0" collapsed="false">
      <c r="A2815" s="12"/>
      <c r="B2815" s="10"/>
      <c r="C2815" s="15" t="str">
        <f aca="false">IF($B2815="","",IFERROR(INDEX(회원명부!$B$3:$B$502,MATCH($B2815,회원명부!$A$3:$A$502,0)),"미등록회원"))</f>
        <v/>
      </c>
      <c r="D2815" s="13"/>
      <c r="E2815" s="10"/>
      <c r="F2815" s="10"/>
      <c r="G2815" s="10"/>
    </row>
    <row r="2816" customFormat="false" ht="15" hidden="false" customHeight="true" outlineLevel="0" collapsed="false">
      <c r="A2816" s="12"/>
      <c r="B2816" s="10"/>
      <c r="C2816" s="15" t="str">
        <f aca="false">IF($B2816="","",IFERROR(INDEX(회원명부!$B$3:$B$502,MATCH($B2816,회원명부!$A$3:$A$502,0)),"미등록회원"))</f>
        <v/>
      </c>
      <c r="D2816" s="13"/>
      <c r="E2816" s="10"/>
      <c r="F2816" s="10"/>
      <c r="G2816" s="10"/>
    </row>
    <row r="2817" customFormat="false" ht="15" hidden="false" customHeight="true" outlineLevel="0" collapsed="false">
      <c r="A2817" s="12"/>
      <c r="B2817" s="10"/>
      <c r="C2817" s="15" t="str">
        <f aca="false">IF($B2817="","",IFERROR(INDEX(회원명부!$B$3:$B$502,MATCH($B2817,회원명부!$A$3:$A$502,0)),"미등록회원"))</f>
        <v/>
      </c>
      <c r="D2817" s="13"/>
      <c r="E2817" s="10"/>
      <c r="F2817" s="10"/>
      <c r="G2817" s="10"/>
    </row>
    <row r="2818" customFormat="false" ht="15" hidden="false" customHeight="true" outlineLevel="0" collapsed="false">
      <c r="A2818" s="12"/>
      <c r="B2818" s="10"/>
      <c r="C2818" s="15" t="str">
        <f aca="false">IF($B2818="","",IFERROR(INDEX(회원명부!$B$3:$B$502,MATCH($B2818,회원명부!$A$3:$A$502,0)),"미등록회원"))</f>
        <v/>
      </c>
      <c r="D2818" s="13"/>
      <c r="E2818" s="10"/>
      <c r="F2818" s="10"/>
      <c r="G2818" s="10"/>
    </row>
    <row r="2819" customFormat="false" ht="15" hidden="false" customHeight="true" outlineLevel="0" collapsed="false">
      <c r="A2819" s="12"/>
      <c r="B2819" s="10"/>
      <c r="C2819" s="15" t="str">
        <f aca="false">IF($B2819="","",IFERROR(INDEX(회원명부!$B$3:$B$502,MATCH($B2819,회원명부!$A$3:$A$502,0)),"미등록회원"))</f>
        <v/>
      </c>
      <c r="D2819" s="13"/>
      <c r="E2819" s="10"/>
      <c r="F2819" s="10"/>
      <c r="G2819" s="10"/>
    </row>
    <row r="2820" customFormat="false" ht="15" hidden="false" customHeight="true" outlineLevel="0" collapsed="false">
      <c r="A2820" s="12"/>
      <c r="B2820" s="10"/>
      <c r="C2820" s="15" t="str">
        <f aca="false">IF($B2820="","",IFERROR(INDEX(회원명부!$B$3:$B$502,MATCH($B2820,회원명부!$A$3:$A$502,0)),"미등록회원"))</f>
        <v/>
      </c>
      <c r="D2820" s="13"/>
      <c r="E2820" s="10"/>
      <c r="F2820" s="10"/>
      <c r="G2820" s="10"/>
    </row>
    <row r="2821" customFormat="false" ht="15" hidden="false" customHeight="true" outlineLevel="0" collapsed="false">
      <c r="A2821" s="12"/>
      <c r="B2821" s="10"/>
      <c r="C2821" s="15" t="str">
        <f aca="false">IF($B2821="","",IFERROR(INDEX(회원명부!$B$3:$B$502,MATCH($B2821,회원명부!$A$3:$A$502,0)),"미등록회원"))</f>
        <v/>
      </c>
      <c r="D2821" s="13"/>
      <c r="E2821" s="10"/>
      <c r="F2821" s="10"/>
      <c r="G2821" s="10"/>
    </row>
    <row r="2822" customFormat="false" ht="15" hidden="false" customHeight="true" outlineLevel="0" collapsed="false">
      <c r="A2822" s="12"/>
      <c r="B2822" s="10"/>
      <c r="C2822" s="15" t="str">
        <f aca="false">IF($B2822="","",IFERROR(INDEX(회원명부!$B$3:$B$502,MATCH($B2822,회원명부!$A$3:$A$502,0)),"미등록회원"))</f>
        <v/>
      </c>
      <c r="D2822" s="13"/>
      <c r="E2822" s="10"/>
      <c r="F2822" s="10"/>
      <c r="G2822" s="10"/>
    </row>
    <row r="2823" customFormat="false" ht="15" hidden="false" customHeight="true" outlineLevel="0" collapsed="false">
      <c r="A2823" s="12"/>
      <c r="B2823" s="10"/>
      <c r="C2823" s="15" t="str">
        <f aca="false">IF($B2823="","",IFERROR(INDEX(회원명부!$B$3:$B$502,MATCH($B2823,회원명부!$A$3:$A$502,0)),"미등록회원"))</f>
        <v/>
      </c>
      <c r="D2823" s="13"/>
      <c r="E2823" s="10"/>
      <c r="F2823" s="10"/>
      <c r="G2823" s="10"/>
    </row>
    <row r="2824" customFormat="false" ht="15" hidden="false" customHeight="true" outlineLevel="0" collapsed="false">
      <c r="A2824" s="12"/>
      <c r="B2824" s="10"/>
      <c r="C2824" s="15" t="str">
        <f aca="false">IF($B2824="","",IFERROR(INDEX(회원명부!$B$3:$B$502,MATCH($B2824,회원명부!$A$3:$A$502,0)),"미등록회원"))</f>
        <v/>
      </c>
      <c r="D2824" s="13"/>
      <c r="E2824" s="10"/>
      <c r="F2824" s="10"/>
      <c r="G2824" s="10"/>
    </row>
    <row r="2825" customFormat="false" ht="15" hidden="false" customHeight="true" outlineLevel="0" collapsed="false">
      <c r="A2825" s="12"/>
      <c r="B2825" s="10"/>
      <c r="C2825" s="15" t="str">
        <f aca="false">IF($B2825="","",IFERROR(INDEX(회원명부!$B$3:$B$502,MATCH($B2825,회원명부!$A$3:$A$502,0)),"미등록회원"))</f>
        <v/>
      </c>
      <c r="D2825" s="13"/>
      <c r="E2825" s="10"/>
      <c r="F2825" s="10"/>
      <c r="G2825" s="10"/>
    </row>
    <row r="2826" customFormat="false" ht="15" hidden="false" customHeight="true" outlineLevel="0" collapsed="false">
      <c r="A2826" s="12"/>
      <c r="B2826" s="10"/>
      <c r="C2826" s="15" t="str">
        <f aca="false">IF($B2826="","",IFERROR(INDEX(회원명부!$B$3:$B$502,MATCH($B2826,회원명부!$A$3:$A$502,0)),"미등록회원"))</f>
        <v/>
      </c>
      <c r="D2826" s="13"/>
      <c r="E2826" s="10"/>
      <c r="F2826" s="10"/>
      <c r="G2826" s="10"/>
    </row>
    <row r="2827" customFormat="false" ht="15" hidden="false" customHeight="true" outlineLevel="0" collapsed="false">
      <c r="A2827" s="12"/>
      <c r="B2827" s="10"/>
      <c r="C2827" s="15" t="str">
        <f aca="false">IF($B2827="","",IFERROR(INDEX(회원명부!$B$3:$B$502,MATCH($B2827,회원명부!$A$3:$A$502,0)),"미등록회원"))</f>
        <v/>
      </c>
      <c r="D2827" s="13"/>
      <c r="E2827" s="10"/>
      <c r="F2827" s="10"/>
      <c r="G2827" s="10"/>
    </row>
    <row r="2828" customFormat="false" ht="15" hidden="false" customHeight="true" outlineLevel="0" collapsed="false">
      <c r="A2828" s="12"/>
      <c r="B2828" s="10"/>
      <c r="C2828" s="15" t="str">
        <f aca="false">IF($B2828="","",IFERROR(INDEX(회원명부!$B$3:$B$502,MATCH($B2828,회원명부!$A$3:$A$502,0)),"미등록회원"))</f>
        <v/>
      </c>
      <c r="D2828" s="13"/>
      <c r="E2828" s="10"/>
      <c r="F2828" s="10"/>
      <c r="G2828" s="10"/>
    </row>
    <row r="2829" customFormat="false" ht="15" hidden="false" customHeight="true" outlineLevel="0" collapsed="false">
      <c r="A2829" s="12"/>
      <c r="B2829" s="10"/>
      <c r="C2829" s="15" t="str">
        <f aca="false">IF($B2829="","",IFERROR(INDEX(회원명부!$B$3:$B$502,MATCH($B2829,회원명부!$A$3:$A$502,0)),"미등록회원"))</f>
        <v/>
      </c>
      <c r="D2829" s="13"/>
      <c r="E2829" s="10"/>
      <c r="F2829" s="10"/>
      <c r="G2829" s="10"/>
    </row>
    <row r="2830" customFormat="false" ht="15" hidden="false" customHeight="true" outlineLevel="0" collapsed="false">
      <c r="A2830" s="12"/>
      <c r="B2830" s="10"/>
      <c r="C2830" s="15" t="str">
        <f aca="false">IF($B2830="","",IFERROR(INDEX(회원명부!$B$3:$B$502,MATCH($B2830,회원명부!$A$3:$A$502,0)),"미등록회원"))</f>
        <v/>
      </c>
      <c r="D2830" s="13"/>
      <c r="E2830" s="10"/>
      <c r="F2830" s="10"/>
      <c r="G2830" s="10"/>
    </row>
    <row r="2831" customFormat="false" ht="15" hidden="false" customHeight="true" outlineLevel="0" collapsed="false">
      <c r="A2831" s="12"/>
      <c r="B2831" s="10"/>
      <c r="C2831" s="15" t="str">
        <f aca="false">IF($B2831="","",IFERROR(INDEX(회원명부!$B$3:$B$502,MATCH($B2831,회원명부!$A$3:$A$502,0)),"미등록회원"))</f>
        <v/>
      </c>
      <c r="D2831" s="13"/>
      <c r="E2831" s="10"/>
      <c r="F2831" s="10"/>
      <c r="G2831" s="10"/>
    </row>
    <row r="2832" customFormat="false" ht="15" hidden="false" customHeight="true" outlineLevel="0" collapsed="false">
      <c r="A2832" s="12"/>
      <c r="B2832" s="10"/>
      <c r="C2832" s="15" t="str">
        <f aca="false">IF($B2832="","",IFERROR(INDEX(회원명부!$B$3:$B$502,MATCH($B2832,회원명부!$A$3:$A$502,0)),"미등록회원"))</f>
        <v/>
      </c>
      <c r="D2832" s="13"/>
      <c r="E2832" s="10"/>
      <c r="F2832" s="10"/>
      <c r="G2832" s="10"/>
    </row>
    <row r="2833" customFormat="false" ht="15" hidden="false" customHeight="true" outlineLevel="0" collapsed="false">
      <c r="A2833" s="12"/>
      <c r="B2833" s="10"/>
      <c r="C2833" s="15" t="str">
        <f aca="false">IF($B2833="","",IFERROR(INDEX(회원명부!$B$3:$B$502,MATCH($B2833,회원명부!$A$3:$A$502,0)),"미등록회원"))</f>
        <v/>
      </c>
      <c r="D2833" s="13"/>
      <c r="E2833" s="10"/>
      <c r="F2833" s="10"/>
      <c r="G2833" s="10"/>
    </row>
    <row r="2834" customFormat="false" ht="15" hidden="false" customHeight="true" outlineLevel="0" collapsed="false">
      <c r="A2834" s="12"/>
      <c r="B2834" s="10"/>
      <c r="C2834" s="15" t="str">
        <f aca="false">IF($B2834="","",IFERROR(INDEX(회원명부!$B$3:$B$502,MATCH($B2834,회원명부!$A$3:$A$502,0)),"미등록회원"))</f>
        <v/>
      </c>
      <c r="D2834" s="13"/>
      <c r="E2834" s="10"/>
      <c r="F2834" s="10"/>
      <c r="G2834" s="10"/>
    </row>
    <row r="2835" customFormat="false" ht="15" hidden="false" customHeight="true" outlineLevel="0" collapsed="false">
      <c r="A2835" s="12"/>
      <c r="B2835" s="10"/>
      <c r="C2835" s="15" t="str">
        <f aca="false">IF($B2835="","",IFERROR(INDEX(회원명부!$B$3:$B$502,MATCH($B2835,회원명부!$A$3:$A$502,0)),"미등록회원"))</f>
        <v/>
      </c>
      <c r="D2835" s="13"/>
      <c r="E2835" s="10"/>
      <c r="F2835" s="10"/>
      <c r="G2835" s="10"/>
    </row>
    <row r="2836" customFormat="false" ht="15" hidden="false" customHeight="true" outlineLevel="0" collapsed="false">
      <c r="A2836" s="12"/>
      <c r="B2836" s="10"/>
      <c r="C2836" s="15" t="str">
        <f aca="false">IF($B2836="","",IFERROR(INDEX(회원명부!$B$3:$B$502,MATCH($B2836,회원명부!$A$3:$A$502,0)),"미등록회원"))</f>
        <v/>
      </c>
      <c r="D2836" s="13"/>
      <c r="E2836" s="10"/>
      <c r="F2836" s="10"/>
      <c r="G2836" s="10"/>
    </row>
    <row r="2837" customFormat="false" ht="15" hidden="false" customHeight="true" outlineLevel="0" collapsed="false">
      <c r="A2837" s="12"/>
      <c r="B2837" s="10"/>
      <c r="C2837" s="15" t="str">
        <f aca="false">IF($B2837="","",IFERROR(INDEX(회원명부!$B$3:$B$502,MATCH($B2837,회원명부!$A$3:$A$502,0)),"미등록회원"))</f>
        <v/>
      </c>
      <c r="D2837" s="13"/>
      <c r="E2837" s="10"/>
      <c r="F2837" s="10"/>
      <c r="G2837" s="10"/>
    </row>
    <row r="2838" customFormat="false" ht="15" hidden="false" customHeight="true" outlineLevel="0" collapsed="false">
      <c r="A2838" s="12"/>
      <c r="B2838" s="10"/>
      <c r="C2838" s="15" t="str">
        <f aca="false">IF($B2838="","",IFERROR(INDEX(회원명부!$B$3:$B$502,MATCH($B2838,회원명부!$A$3:$A$502,0)),"미등록회원"))</f>
        <v/>
      </c>
      <c r="D2838" s="13"/>
      <c r="E2838" s="10"/>
      <c r="F2838" s="10"/>
      <c r="G2838" s="10"/>
    </row>
    <row r="2839" customFormat="false" ht="15" hidden="false" customHeight="true" outlineLevel="0" collapsed="false">
      <c r="A2839" s="12"/>
      <c r="B2839" s="10"/>
      <c r="C2839" s="15" t="str">
        <f aca="false">IF($B2839="","",IFERROR(INDEX(회원명부!$B$3:$B$502,MATCH($B2839,회원명부!$A$3:$A$502,0)),"미등록회원"))</f>
        <v/>
      </c>
      <c r="D2839" s="13"/>
      <c r="E2839" s="10"/>
      <c r="F2839" s="10"/>
      <c r="G2839" s="10"/>
    </row>
    <row r="2840" customFormat="false" ht="15" hidden="false" customHeight="true" outlineLevel="0" collapsed="false">
      <c r="A2840" s="12"/>
      <c r="B2840" s="10"/>
      <c r="C2840" s="15" t="str">
        <f aca="false">IF($B2840="","",IFERROR(INDEX(회원명부!$B$3:$B$502,MATCH($B2840,회원명부!$A$3:$A$502,0)),"미등록회원"))</f>
        <v/>
      </c>
      <c r="D2840" s="13"/>
      <c r="E2840" s="10"/>
      <c r="F2840" s="10"/>
      <c r="G2840" s="10"/>
    </row>
    <row r="2841" customFormat="false" ht="15" hidden="false" customHeight="true" outlineLevel="0" collapsed="false">
      <c r="A2841" s="12"/>
      <c r="B2841" s="10"/>
      <c r="C2841" s="15" t="str">
        <f aca="false">IF($B2841="","",IFERROR(INDEX(회원명부!$B$3:$B$502,MATCH($B2841,회원명부!$A$3:$A$502,0)),"미등록회원"))</f>
        <v/>
      </c>
      <c r="D2841" s="13"/>
      <c r="E2841" s="10"/>
      <c r="F2841" s="10"/>
      <c r="G2841" s="10"/>
    </row>
    <row r="2842" customFormat="false" ht="15" hidden="false" customHeight="true" outlineLevel="0" collapsed="false">
      <c r="A2842" s="12"/>
      <c r="B2842" s="10"/>
      <c r="C2842" s="15" t="str">
        <f aca="false">IF($B2842="","",IFERROR(INDEX(회원명부!$B$3:$B$502,MATCH($B2842,회원명부!$A$3:$A$502,0)),"미등록회원"))</f>
        <v/>
      </c>
      <c r="D2842" s="13"/>
      <c r="E2842" s="10"/>
      <c r="F2842" s="10"/>
      <c r="G2842" s="10"/>
    </row>
    <row r="2843" customFormat="false" ht="15" hidden="false" customHeight="true" outlineLevel="0" collapsed="false">
      <c r="A2843" s="12"/>
      <c r="B2843" s="10"/>
      <c r="C2843" s="15" t="str">
        <f aca="false">IF($B2843="","",IFERROR(INDEX(회원명부!$B$3:$B$502,MATCH($B2843,회원명부!$A$3:$A$502,0)),"미등록회원"))</f>
        <v/>
      </c>
      <c r="D2843" s="13"/>
      <c r="E2843" s="10"/>
      <c r="F2843" s="10"/>
      <c r="G2843" s="10"/>
    </row>
    <row r="2844" customFormat="false" ht="15" hidden="false" customHeight="true" outlineLevel="0" collapsed="false">
      <c r="A2844" s="12"/>
      <c r="B2844" s="10"/>
      <c r="C2844" s="15" t="str">
        <f aca="false">IF($B2844="","",IFERROR(INDEX(회원명부!$B$3:$B$502,MATCH($B2844,회원명부!$A$3:$A$502,0)),"미등록회원"))</f>
        <v/>
      </c>
      <c r="D2844" s="13"/>
      <c r="E2844" s="10"/>
      <c r="F2844" s="10"/>
      <c r="G2844" s="10"/>
    </row>
    <row r="2845" customFormat="false" ht="15" hidden="false" customHeight="true" outlineLevel="0" collapsed="false">
      <c r="A2845" s="12"/>
      <c r="B2845" s="10"/>
      <c r="C2845" s="15" t="str">
        <f aca="false">IF($B2845="","",IFERROR(INDEX(회원명부!$B$3:$B$502,MATCH($B2845,회원명부!$A$3:$A$502,0)),"미등록회원"))</f>
        <v/>
      </c>
      <c r="D2845" s="13"/>
      <c r="E2845" s="10"/>
      <c r="F2845" s="10"/>
      <c r="G2845" s="10"/>
    </row>
    <row r="2846" customFormat="false" ht="15" hidden="false" customHeight="true" outlineLevel="0" collapsed="false">
      <c r="A2846" s="12"/>
      <c r="B2846" s="10"/>
      <c r="C2846" s="15" t="str">
        <f aca="false">IF($B2846="","",IFERROR(INDEX(회원명부!$B$3:$B$502,MATCH($B2846,회원명부!$A$3:$A$502,0)),"미등록회원"))</f>
        <v/>
      </c>
      <c r="D2846" s="13"/>
      <c r="E2846" s="10"/>
      <c r="F2846" s="10"/>
      <c r="G2846" s="10"/>
    </row>
    <row r="2847" customFormat="false" ht="15" hidden="false" customHeight="true" outlineLevel="0" collapsed="false">
      <c r="A2847" s="12"/>
      <c r="B2847" s="10"/>
      <c r="C2847" s="15" t="str">
        <f aca="false">IF($B2847="","",IFERROR(INDEX(회원명부!$B$3:$B$502,MATCH($B2847,회원명부!$A$3:$A$502,0)),"미등록회원"))</f>
        <v/>
      </c>
      <c r="D2847" s="13"/>
      <c r="E2847" s="10"/>
      <c r="F2847" s="10"/>
      <c r="G2847" s="10"/>
    </row>
    <row r="2848" customFormat="false" ht="15" hidden="false" customHeight="true" outlineLevel="0" collapsed="false">
      <c r="A2848" s="12"/>
      <c r="B2848" s="10"/>
      <c r="C2848" s="15" t="str">
        <f aca="false">IF($B2848="","",IFERROR(INDEX(회원명부!$B$3:$B$502,MATCH($B2848,회원명부!$A$3:$A$502,0)),"미등록회원"))</f>
        <v/>
      </c>
      <c r="D2848" s="13"/>
      <c r="E2848" s="10"/>
      <c r="F2848" s="10"/>
      <c r="G2848" s="10"/>
    </row>
    <row r="2849" customFormat="false" ht="15" hidden="false" customHeight="true" outlineLevel="0" collapsed="false">
      <c r="A2849" s="12"/>
      <c r="B2849" s="10"/>
      <c r="C2849" s="15" t="str">
        <f aca="false">IF($B2849="","",IFERROR(INDEX(회원명부!$B$3:$B$502,MATCH($B2849,회원명부!$A$3:$A$502,0)),"미등록회원"))</f>
        <v/>
      </c>
      <c r="D2849" s="13"/>
      <c r="E2849" s="10"/>
      <c r="F2849" s="10"/>
      <c r="G2849" s="10"/>
    </row>
    <row r="2850" customFormat="false" ht="15" hidden="false" customHeight="true" outlineLevel="0" collapsed="false">
      <c r="A2850" s="12"/>
      <c r="B2850" s="10"/>
      <c r="C2850" s="15" t="str">
        <f aca="false">IF($B2850="","",IFERROR(INDEX(회원명부!$B$3:$B$502,MATCH($B2850,회원명부!$A$3:$A$502,0)),"미등록회원"))</f>
        <v/>
      </c>
      <c r="D2850" s="13"/>
      <c r="E2850" s="10"/>
      <c r="F2850" s="10"/>
      <c r="G2850" s="10"/>
    </row>
    <row r="2851" customFormat="false" ht="15" hidden="false" customHeight="true" outlineLevel="0" collapsed="false">
      <c r="A2851" s="12"/>
      <c r="B2851" s="10"/>
      <c r="C2851" s="15" t="str">
        <f aca="false">IF($B2851="","",IFERROR(INDEX(회원명부!$B$3:$B$502,MATCH($B2851,회원명부!$A$3:$A$502,0)),"미등록회원"))</f>
        <v/>
      </c>
      <c r="D2851" s="13"/>
      <c r="E2851" s="10"/>
      <c r="F2851" s="10"/>
      <c r="G2851" s="10"/>
    </row>
    <row r="2852" customFormat="false" ht="15" hidden="false" customHeight="true" outlineLevel="0" collapsed="false">
      <c r="A2852" s="12"/>
      <c r="B2852" s="10"/>
      <c r="C2852" s="15" t="str">
        <f aca="false">IF($B2852="","",IFERROR(INDEX(회원명부!$B$3:$B$502,MATCH($B2852,회원명부!$A$3:$A$502,0)),"미등록회원"))</f>
        <v/>
      </c>
      <c r="D2852" s="13"/>
      <c r="E2852" s="10"/>
      <c r="F2852" s="10"/>
      <c r="G2852" s="10"/>
    </row>
    <row r="2853" customFormat="false" ht="15" hidden="false" customHeight="true" outlineLevel="0" collapsed="false">
      <c r="A2853" s="12"/>
      <c r="B2853" s="10"/>
      <c r="C2853" s="15" t="str">
        <f aca="false">IF($B2853="","",IFERROR(INDEX(회원명부!$B$3:$B$502,MATCH($B2853,회원명부!$A$3:$A$502,0)),"미등록회원"))</f>
        <v/>
      </c>
      <c r="D2853" s="13"/>
      <c r="E2853" s="10"/>
      <c r="F2853" s="10"/>
      <c r="G2853" s="10"/>
    </row>
    <row r="2854" customFormat="false" ht="15" hidden="false" customHeight="true" outlineLevel="0" collapsed="false">
      <c r="A2854" s="12"/>
      <c r="B2854" s="10"/>
      <c r="C2854" s="15" t="str">
        <f aca="false">IF($B2854="","",IFERROR(INDEX(회원명부!$B$3:$B$502,MATCH($B2854,회원명부!$A$3:$A$502,0)),"미등록회원"))</f>
        <v/>
      </c>
      <c r="D2854" s="13"/>
      <c r="E2854" s="10"/>
      <c r="F2854" s="10"/>
      <c r="G2854" s="10"/>
    </row>
    <row r="2855" customFormat="false" ht="15" hidden="false" customHeight="true" outlineLevel="0" collapsed="false">
      <c r="A2855" s="12"/>
      <c r="B2855" s="10"/>
      <c r="C2855" s="15" t="str">
        <f aca="false">IF($B2855="","",IFERROR(INDEX(회원명부!$B$3:$B$502,MATCH($B2855,회원명부!$A$3:$A$502,0)),"미등록회원"))</f>
        <v/>
      </c>
      <c r="D2855" s="13"/>
      <c r="E2855" s="10"/>
      <c r="F2855" s="10"/>
      <c r="G2855" s="10"/>
    </row>
    <row r="2856" customFormat="false" ht="15" hidden="false" customHeight="true" outlineLevel="0" collapsed="false">
      <c r="A2856" s="12"/>
      <c r="B2856" s="10"/>
      <c r="C2856" s="15" t="str">
        <f aca="false">IF($B2856="","",IFERROR(INDEX(회원명부!$B$3:$B$502,MATCH($B2856,회원명부!$A$3:$A$502,0)),"미등록회원"))</f>
        <v/>
      </c>
      <c r="D2856" s="13"/>
      <c r="E2856" s="10"/>
      <c r="F2856" s="10"/>
      <c r="G2856" s="10"/>
    </row>
    <row r="2857" customFormat="false" ht="15" hidden="false" customHeight="true" outlineLevel="0" collapsed="false">
      <c r="A2857" s="12"/>
      <c r="B2857" s="10"/>
      <c r="C2857" s="15" t="str">
        <f aca="false">IF($B2857="","",IFERROR(INDEX(회원명부!$B$3:$B$502,MATCH($B2857,회원명부!$A$3:$A$502,0)),"미등록회원"))</f>
        <v/>
      </c>
      <c r="D2857" s="13"/>
      <c r="E2857" s="10"/>
      <c r="F2857" s="10"/>
      <c r="G2857" s="10"/>
    </row>
    <row r="2858" customFormat="false" ht="15" hidden="false" customHeight="true" outlineLevel="0" collapsed="false">
      <c r="A2858" s="12"/>
      <c r="B2858" s="10"/>
      <c r="C2858" s="15" t="str">
        <f aca="false">IF($B2858="","",IFERROR(INDEX(회원명부!$B$3:$B$502,MATCH($B2858,회원명부!$A$3:$A$502,0)),"미등록회원"))</f>
        <v/>
      </c>
      <c r="D2858" s="13"/>
      <c r="E2858" s="10"/>
      <c r="F2858" s="10"/>
      <c r="G2858" s="10"/>
    </row>
    <row r="2859" customFormat="false" ht="15" hidden="false" customHeight="true" outlineLevel="0" collapsed="false">
      <c r="A2859" s="12"/>
      <c r="B2859" s="10"/>
      <c r="C2859" s="15" t="str">
        <f aca="false">IF($B2859="","",IFERROR(INDEX(회원명부!$B$3:$B$502,MATCH($B2859,회원명부!$A$3:$A$502,0)),"미등록회원"))</f>
        <v/>
      </c>
      <c r="D2859" s="13"/>
      <c r="E2859" s="10"/>
      <c r="F2859" s="10"/>
      <c r="G2859" s="10"/>
    </row>
    <row r="2860" customFormat="false" ht="15" hidden="false" customHeight="true" outlineLevel="0" collapsed="false">
      <c r="A2860" s="12"/>
      <c r="B2860" s="10"/>
      <c r="C2860" s="15" t="str">
        <f aca="false">IF($B2860="","",IFERROR(INDEX(회원명부!$B$3:$B$502,MATCH($B2860,회원명부!$A$3:$A$502,0)),"미등록회원"))</f>
        <v/>
      </c>
      <c r="D2860" s="13"/>
      <c r="E2860" s="10"/>
      <c r="F2860" s="10"/>
      <c r="G2860" s="10"/>
    </row>
    <row r="2861" customFormat="false" ht="15" hidden="false" customHeight="true" outlineLevel="0" collapsed="false">
      <c r="A2861" s="12"/>
      <c r="B2861" s="10"/>
      <c r="C2861" s="15" t="str">
        <f aca="false">IF($B2861="","",IFERROR(INDEX(회원명부!$B$3:$B$502,MATCH($B2861,회원명부!$A$3:$A$502,0)),"미등록회원"))</f>
        <v/>
      </c>
      <c r="D2861" s="13"/>
      <c r="E2861" s="10"/>
      <c r="F2861" s="10"/>
      <c r="G2861" s="10"/>
    </row>
    <row r="2862" customFormat="false" ht="15" hidden="false" customHeight="true" outlineLevel="0" collapsed="false">
      <c r="A2862" s="12"/>
      <c r="B2862" s="10"/>
      <c r="C2862" s="15" t="str">
        <f aca="false">IF($B2862="","",IFERROR(INDEX(회원명부!$B$3:$B$502,MATCH($B2862,회원명부!$A$3:$A$502,0)),"미등록회원"))</f>
        <v/>
      </c>
      <c r="D2862" s="13"/>
      <c r="E2862" s="10"/>
      <c r="F2862" s="10"/>
      <c r="G2862" s="10"/>
    </row>
    <row r="2863" customFormat="false" ht="15" hidden="false" customHeight="true" outlineLevel="0" collapsed="false">
      <c r="A2863" s="12"/>
      <c r="B2863" s="10"/>
      <c r="C2863" s="15" t="str">
        <f aca="false">IF($B2863="","",IFERROR(INDEX(회원명부!$B$3:$B$502,MATCH($B2863,회원명부!$A$3:$A$502,0)),"미등록회원"))</f>
        <v/>
      </c>
      <c r="D2863" s="13"/>
      <c r="E2863" s="10"/>
      <c r="F2863" s="10"/>
      <c r="G2863" s="10"/>
    </row>
    <row r="2864" customFormat="false" ht="15" hidden="false" customHeight="true" outlineLevel="0" collapsed="false">
      <c r="A2864" s="12"/>
      <c r="B2864" s="10"/>
      <c r="C2864" s="15" t="str">
        <f aca="false">IF($B2864="","",IFERROR(INDEX(회원명부!$B$3:$B$502,MATCH($B2864,회원명부!$A$3:$A$502,0)),"미등록회원"))</f>
        <v/>
      </c>
      <c r="D2864" s="13"/>
      <c r="E2864" s="10"/>
      <c r="F2864" s="10"/>
      <c r="G2864" s="10"/>
    </row>
    <row r="2865" customFormat="false" ht="15" hidden="false" customHeight="true" outlineLevel="0" collapsed="false">
      <c r="A2865" s="12"/>
      <c r="B2865" s="10"/>
      <c r="C2865" s="15" t="str">
        <f aca="false">IF($B2865="","",IFERROR(INDEX(회원명부!$B$3:$B$502,MATCH($B2865,회원명부!$A$3:$A$502,0)),"미등록회원"))</f>
        <v/>
      </c>
      <c r="D2865" s="13"/>
      <c r="E2865" s="10"/>
      <c r="F2865" s="10"/>
      <c r="G2865" s="10"/>
    </row>
    <row r="2866" customFormat="false" ht="15" hidden="false" customHeight="true" outlineLevel="0" collapsed="false">
      <c r="A2866" s="12"/>
      <c r="B2866" s="10"/>
      <c r="C2866" s="15" t="str">
        <f aca="false">IF($B2866="","",IFERROR(INDEX(회원명부!$B$3:$B$502,MATCH($B2866,회원명부!$A$3:$A$502,0)),"미등록회원"))</f>
        <v/>
      </c>
      <c r="D2866" s="13"/>
      <c r="E2866" s="10"/>
      <c r="F2866" s="10"/>
      <c r="G2866" s="10"/>
    </row>
    <row r="2867" customFormat="false" ht="15" hidden="false" customHeight="true" outlineLevel="0" collapsed="false">
      <c r="A2867" s="12"/>
      <c r="B2867" s="10"/>
      <c r="C2867" s="15" t="str">
        <f aca="false">IF($B2867="","",IFERROR(INDEX(회원명부!$B$3:$B$502,MATCH($B2867,회원명부!$A$3:$A$502,0)),"미등록회원"))</f>
        <v/>
      </c>
      <c r="D2867" s="13"/>
      <c r="E2867" s="10"/>
      <c r="F2867" s="10"/>
      <c r="G2867" s="10"/>
    </row>
    <row r="2868" customFormat="false" ht="15" hidden="false" customHeight="true" outlineLevel="0" collapsed="false">
      <c r="A2868" s="12"/>
      <c r="B2868" s="10"/>
      <c r="C2868" s="15" t="str">
        <f aca="false">IF($B2868="","",IFERROR(INDEX(회원명부!$B$3:$B$502,MATCH($B2868,회원명부!$A$3:$A$502,0)),"미등록회원"))</f>
        <v/>
      </c>
      <c r="D2868" s="13"/>
      <c r="E2868" s="10"/>
      <c r="F2868" s="10"/>
      <c r="G2868" s="10"/>
    </row>
    <row r="2869" customFormat="false" ht="15" hidden="false" customHeight="true" outlineLevel="0" collapsed="false">
      <c r="A2869" s="12"/>
      <c r="B2869" s="10"/>
      <c r="C2869" s="15" t="str">
        <f aca="false">IF($B2869="","",IFERROR(INDEX(회원명부!$B$3:$B$502,MATCH($B2869,회원명부!$A$3:$A$502,0)),"미등록회원"))</f>
        <v/>
      </c>
      <c r="D2869" s="13"/>
      <c r="E2869" s="10"/>
      <c r="F2869" s="10"/>
      <c r="G2869" s="10"/>
    </row>
    <row r="2870" customFormat="false" ht="15" hidden="false" customHeight="true" outlineLevel="0" collapsed="false">
      <c r="A2870" s="12"/>
      <c r="B2870" s="10"/>
      <c r="C2870" s="15" t="str">
        <f aca="false">IF($B2870="","",IFERROR(INDEX(회원명부!$B$3:$B$502,MATCH($B2870,회원명부!$A$3:$A$502,0)),"미등록회원"))</f>
        <v/>
      </c>
      <c r="D2870" s="13"/>
      <c r="E2870" s="10"/>
      <c r="F2870" s="10"/>
      <c r="G2870" s="10"/>
    </row>
    <row r="2871" customFormat="false" ht="15" hidden="false" customHeight="true" outlineLevel="0" collapsed="false">
      <c r="A2871" s="12"/>
      <c r="B2871" s="10"/>
      <c r="C2871" s="15" t="str">
        <f aca="false">IF($B2871="","",IFERROR(INDEX(회원명부!$B$3:$B$502,MATCH($B2871,회원명부!$A$3:$A$502,0)),"미등록회원"))</f>
        <v/>
      </c>
      <c r="D2871" s="13"/>
      <c r="E2871" s="10"/>
      <c r="F2871" s="10"/>
      <c r="G2871" s="10"/>
    </row>
    <row r="2872" customFormat="false" ht="15" hidden="false" customHeight="true" outlineLevel="0" collapsed="false">
      <c r="A2872" s="12"/>
      <c r="B2872" s="10"/>
      <c r="C2872" s="15" t="str">
        <f aca="false">IF($B2872="","",IFERROR(INDEX(회원명부!$B$3:$B$502,MATCH($B2872,회원명부!$A$3:$A$502,0)),"미등록회원"))</f>
        <v/>
      </c>
      <c r="D2872" s="13"/>
      <c r="E2872" s="10"/>
      <c r="F2872" s="10"/>
      <c r="G2872" s="10"/>
    </row>
    <row r="2873" customFormat="false" ht="15" hidden="false" customHeight="true" outlineLevel="0" collapsed="false">
      <c r="A2873" s="12"/>
      <c r="B2873" s="10"/>
      <c r="C2873" s="15" t="str">
        <f aca="false">IF($B2873="","",IFERROR(INDEX(회원명부!$B$3:$B$502,MATCH($B2873,회원명부!$A$3:$A$502,0)),"미등록회원"))</f>
        <v/>
      </c>
      <c r="D2873" s="13"/>
      <c r="E2873" s="10"/>
      <c r="F2873" s="10"/>
      <c r="G2873" s="10"/>
    </row>
    <row r="2874" customFormat="false" ht="15" hidden="false" customHeight="true" outlineLevel="0" collapsed="false">
      <c r="A2874" s="12"/>
      <c r="B2874" s="10"/>
      <c r="C2874" s="15" t="str">
        <f aca="false">IF($B2874="","",IFERROR(INDEX(회원명부!$B$3:$B$502,MATCH($B2874,회원명부!$A$3:$A$502,0)),"미등록회원"))</f>
        <v/>
      </c>
      <c r="D2874" s="13"/>
      <c r="E2874" s="10"/>
      <c r="F2874" s="10"/>
      <c r="G2874" s="10"/>
    </row>
    <row r="2875" customFormat="false" ht="15" hidden="false" customHeight="true" outlineLevel="0" collapsed="false">
      <c r="A2875" s="12"/>
      <c r="B2875" s="10"/>
      <c r="C2875" s="15" t="str">
        <f aca="false">IF($B2875="","",IFERROR(INDEX(회원명부!$B$3:$B$502,MATCH($B2875,회원명부!$A$3:$A$502,0)),"미등록회원"))</f>
        <v/>
      </c>
      <c r="D2875" s="13"/>
      <c r="E2875" s="10"/>
      <c r="F2875" s="10"/>
      <c r="G2875" s="10"/>
    </row>
    <row r="2876" customFormat="false" ht="15" hidden="false" customHeight="true" outlineLevel="0" collapsed="false">
      <c r="A2876" s="12"/>
      <c r="B2876" s="10"/>
      <c r="C2876" s="15" t="str">
        <f aca="false">IF($B2876="","",IFERROR(INDEX(회원명부!$B$3:$B$502,MATCH($B2876,회원명부!$A$3:$A$502,0)),"미등록회원"))</f>
        <v/>
      </c>
      <c r="D2876" s="13"/>
      <c r="E2876" s="10"/>
      <c r="F2876" s="10"/>
      <c r="G2876" s="10"/>
    </row>
    <row r="2877" customFormat="false" ht="15" hidden="false" customHeight="true" outlineLevel="0" collapsed="false">
      <c r="A2877" s="12"/>
      <c r="B2877" s="10"/>
      <c r="C2877" s="15" t="str">
        <f aca="false">IF($B2877="","",IFERROR(INDEX(회원명부!$B$3:$B$502,MATCH($B2877,회원명부!$A$3:$A$502,0)),"미등록회원"))</f>
        <v/>
      </c>
      <c r="D2877" s="13"/>
      <c r="E2877" s="10"/>
      <c r="F2877" s="10"/>
      <c r="G2877" s="10"/>
    </row>
    <row r="2878" customFormat="false" ht="15" hidden="false" customHeight="true" outlineLevel="0" collapsed="false">
      <c r="A2878" s="12"/>
      <c r="B2878" s="10"/>
      <c r="C2878" s="15" t="str">
        <f aca="false">IF($B2878="","",IFERROR(INDEX(회원명부!$B$3:$B$502,MATCH($B2878,회원명부!$A$3:$A$502,0)),"미등록회원"))</f>
        <v/>
      </c>
      <c r="D2878" s="13"/>
      <c r="E2878" s="10"/>
      <c r="F2878" s="10"/>
      <c r="G2878" s="10"/>
    </row>
    <row r="2879" customFormat="false" ht="15" hidden="false" customHeight="true" outlineLevel="0" collapsed="false">
      <c r="A2879" s="12"/>
      <c r="B2879" s="10"/>
      <c r="C2879" s="15" t="str">
        <f aca="false">IF($B2879="","",IFERROR(INDEX(회원명부!$B$3:$B$502,MATCH($B2879,회원명부!$A$3:$A$502,0)),"미등록회원"))</f>
        <v/>
      </c>
      <c r="D2879" s="13"/>
      <c r="E2879" s="10"/>
      <c r="F2879" s="10"/>
      <c r="G2879" s="10"/>
    </row>
    <row r="2880" customFormat="false" ht="15" hidden="false" customHeight="true" outlineLevel="0" collapsed="false">
      <c r="A2880" s="12"/>
      <c r="B2880" s="10"/>
      <c r="C2880" s="15" t="str">
        <f aca="false">IF($B2880="","",IFERROR(INDEX(회원명부!$B$3:$B$502,MATCH($B2880,회원명부!$A$3:$A$502,0)),"미등록회원"))</f>
        <v/>
      </c>
      <c r="D2880" s="13"/>
      <c r="E2880" s="10"/>
      <c r="F2880" s="10"/>
      <c r="G2880" s="10"/>
    </row>
    <row r="2881" customFormat="false" ht="15" hidden="false" customHeight="true" outlineLevel="0" collapsed="false">
      <c r="A2881" s="12"/>
      <c r="B2881" s="10"/>
      <c r="C2881" s="15" t="str">
        <f aca="false">IF($B2881="","",IFERROR(INDEX(회원명부!$B$3:$B$502,MATCH($B2881,회원명부!$A$3:$A$502,0)),"미등록회원"))</f>
        <v/>
      </c>
      <c r="D2881" s="13"/>
      <c r="E2881" s="10"/>
      <c r="F2881" s="10"/>
      <c r="G2881" s="10"/>
    </row>
    <row r="2882" customFormat="false" ht="15" hidden="false" customHeight="true" outlineLevel="0" collapsed="false">
      <c r="A2882" s="12"/>
      <c r="B2882" s="10"/>
      <c r="C2882" s="15" t="str">
        <f aca="false">IF($B2882="","",IFERROR(INDEX(회원명부!$B$3:$B$502,MATCH($B2882,회원명부!$A$3:$A$502,0)),"미등록회원"))</f>
        <v/>
      </c>
      <c r="D2882" s="13"/>
      <c r="E2882" s="10"/>
      <c r="F2882" s="10"/>
      <c r="G2882" s="10"/>
    </row>
    <row r="2883" customFormat="false" ht="15" hidden="false" customHeight="true" outlineLevel="0" collapsed="false">
      <c r="A2883" s="12"/>
      <c r="B2883" s="10"/>
      <c r="C2883" s="15" t="str">
        <f aca="false">IF($B2883="","",IFERROR(INDEX(회원명부!$B$3:$B$502,MATCH($B2883,회원명부!$A$3:$A$502,0)),"미등록회원"))</f>
        <v/>
      </c>
      <c r="D2883" s="13"/>
      <c r="E2883" s="10"/>
      <c r="F2883" s="10"/>
      <c r="G2883" s="10"/>
    </row>
    <row r="2884" customFormat="false" ht="15" hidden="false" customHeight="true" outlineLevel="0" collapsed="false">
      <c r="A2884" s="12"/>
      <c r="B2884" s="10"/>
      <c r="C2884" s="15" t="str">
        <f aca="false">IF($B2884="","",IFERROR(INDEX(회원명부!$B$3:$B$502,MATCH($B2884,회원명부!$A$3:$A$502,0)),"미등록회원"))</f>
        <v/>
      </c>
      <c r="D2884" s="13"/>
      <c r="E2884" s="10"/>
      <c r="F2884" s="10"/>
      <c r="G2884" s="10"/>
    </row>
    <row r="2885" customFormat="false" ht="15" hidden="false" customHeight="true" outlineLevel="0" collapsed="false">
      <c r="A2885" s="12"/>
      <c r="B2885" s="10"/>
      <c r="C2885" s="15" t="str">
        <f aca="false">IF($B2885="","",IFERROR(INDEX(회원명부!$B$3:$B$502,MATCH($B2885,회원명부!$A$3:$A$502,0)),"미등록회원"))</f>
        <v/>
      </c>
      <c r="D2885" s="13"/>
      <c r="E2885" s="10"/>
      <c r="F2885" s="10"/>
      <c r="G2885" s="10"/>
    </row>
    <row r="2886" customFormat="false" ht="15" hidden="false" customHeight="true" outlineLevel="0" collapsed="false">
      <c r="A2886" s="12"/>
      <c r="B2886" s="10"/>
      <c r="C2886" s="15" t="str">
        <f aca="false">IF($B2886="","",IFERROR(INDEX(회원명부!$B$3:$B$502,MATCH($B2886,회원명부!$A$3:$A$502,0)),"미등록회원"))</f>
        <v/>
      </c>
      <c r="D2886" s="13"/>
      <c r="E2886" s="10"/>
      <c r="F2886" s="10"/>
      <c r="G2886" s="10"/>
    </row>
    <row r="2887" customFormat="false" ht="15" hidden="false" customHeight="true" outlineLevel="0" collapsed="false">
      <c r="A2887" s="12"/>
      <c r="B2887" s="10"/>
      <c r="C2887" s="15" t="str">
        <f aca="false">IF($B2887="","",IFERROR(INDEX(회원명부!$B$3:$B$502,MATCH($B2887,회원명부!$A$3:$A$502,0)),"미등록회원"))</f>
        <v/>
      </c>
      <c r="D2887" s="13"/>
      <c r="E2887" s="10"/>
      <c r="F2887" s="10"/>
      <c r="G2887" s="10"/>
    </row>
    <row r="2888" customFormat="false" ht="15" hidden="false" customHeight="true" outlineLevel="0" collapsed="false">
      <c r="A2888" s="12"/>
      <c r="B2888" s="10"/>
      <c r="C2888" s="15" t="str">
        <f aca="false">IF($B2888="","",IFERROR(INDEX(회원명부!$B$3:$B$502,MATCH($B2888,회원명부!$A$3:$A$502,0)),"미등록회원"))</f>
        <v/>
      </c>
      <c r="D2888" s="13"/>
      <c r="E2888" s="10"/>
      <c r="F2888" s="10"/>
      <c r="G2888" s="10"/>
    </row>
    <row r="2889" customFormat="false" ht="15" hidden="false" customHeight="true" outlineLevel="0" collapsed="false">
      <c r="A2889" s="12"/>
      <c r="B2889" s="10"/>
      <c r="C2889" s="15" t="str">
        <f aca="false">IF($B2889="","",IFERROR(INDEX(회원명부!$B$3:$B$502,MATCH($B2889,회원명부!$A$3:$A$502,0)),"미등록회원"))</f>
        <v/>
      </c>
      <c r="D2889" s="13"/>
      <c r="E2889" s="10"/>
      <c r="F2889" s="10"/>
      <c r="G2889" s="10"/>
    </row>
    <row r="2890" customFormat="false" ht="15" hidden="false" customHeight="true" outlineLevel="0" collapsed="false">
      <c r="A2890" s="12"/>
      <c r="B2890" s="10"/>
      <c r="C2890" s="15" t="str">
        <f aca="false">IF($B2890="","",IFERROR(INDEX(회원명부!$B$3:$B$502,MATCH($B2890,회원명부!$A$3:$A$502,0)),"미등록회원"))</f>
        <v/>
      </c>
      <c r="D2890" s="13"/>
      <c r="E2890" s="10"/>
      <c r="F2890" s="10"/>
      <c r="G2890" s="10"/>
    </row>
    <row r="2891" customFormat="false" ht="15" hidden="false" customHeight="true" outlineLevel="0" collapsed="false">
      <c r="A2891" s="12"/>
      <c r="B2891" s="10"/>
      <c r="C2891" s="15" t="str">
        <f aca="false">IF($B2891="","",IFERROR(INDEX(회원명부!$B$3:$B$502,MATCH($B2891,회원명부!$A$3:$A$502,0)),"미등록회원"))</f>
        <v/>
      </c>
      <c r="D2891" s="13"/>
      <c r="E2891" s="10"/>
      <c r="F2891" s="10"/>
      <c r="G2891" s="10"/>
    </row>
    <row r="2892" customFormat="false" ht="15" hidden="false" customHeight="true" outlineLevel="0" collapsed="false">
      <c r="A2892" s="12"/>
      <c r="B2892" s="10"/>
      <c r="C2892" s="15" t="str">
        <f aca="false">IF($B2892="","",IFERROR(INDEX(회원명부!$B$3:$B$502,MATCH($B2892,회원명부!$A$3:$A$502,0)),"미등록회원"))</f>
        <v/>
      </c>
      <c r="D2892" s="13"/>
      <c r="E2892" s="10"/>
      <c r="F2892" s="10"/>
      <c r="G2892" s="10"/>
    </row>
    <row r="2893" customFormat="false" ht="15" hidden="false" customHeight="true" outlineLevel="0" collapsed="false">
      <c r="A2893" s="12"/>
      <c r="B2893" s="10"/>
      <c r="C2893" s="15" t="str">
        <f aca="false">IF($B2893="","",IFERROR(INDEX(회원명부!$B$3:$B$502,MATCH($B2893,회원명부!$A$3:$A$502,0)),"미등록회원"))</f>
        <v/>
      </c>
      <c r="D2893" s="13"/>
      <c r="E2893" s="10"/>
      <c r="F2893" s="10"/>
      <c r="G2893" s="10"/>
    </row>
    <row r="2894" customFormat="false" ht="15" hidden="false" customHeight="true" outlineLevel="0" collapsed="false">
      <c r="A2894" s="12"/>
      <c r="B2894" s="10"/>
      <c r="C2894" s="15" t="str">
        <f aca="false">IF($B2894="","",IFERROR(INDEX(회원명부!$B$3:$B$502,MATCH($B2894,회원명부!$A$3:$A$502,0)),"미등록회원"))</f>
        <v/>
      </c>
      <c r="D2894" s="13"/>
      <c r="E2894" s="10"/>
      <c r="F2894" s="10"/>
      <c r="G2894" s="10"/>
    </row>
    <row r="2895" customFormat="false" ht="15" hidden="false" customHeight="true" outlineLevel="0" collapsed="false">
      <c r="A2895" s="12"/>
      <c r="B2895" s="10"/>
      <c r="C2895" s="15" t="str">
        <f aca="false">IF($B2895="","",IFERROR(INDEX(회원명부!$B$3:$B$502,MATCH($B2895,회원명부!$A$3:$A$502,0)),"미등록회원"))</f>
        <v/>
      </c>
      <c r="D2895" s="13"/>
      <c r="E2895" s="10"/>
      <c r="F2895" s="10"/>
      <c r="G2895" s="10"/>
    </row>
    <row r="2896" customFormat="false" ht="15" hidden="false" customHeight="true" outlineLevel="0" collapsed="false">
      <c r="A2896" s="12"/>
      <c r="B2896" s="10"/>
      <c r="C2896" s="15" t="str">
        <f aca="false">IF($B2896="","",IFERROR(INDEX(회원명부!$B$3:$B$502,MATCH($B2896,회원명부!$A$3:$A$502,0)),"미등록회원"))</f>
        <v/>
      </c>
      <c r="D2896" s="13"/>
      <c r="E2896" s="10"/>
      <c r="F2896" s="10"/>
      <c r="G2896" s="10"/>
    </row>
    <row r="2897" customFormat="false" ht="15" hidden="false" customHeight="true" outlineLevel="0" collapsed="false">
      <c r="A2897" s="12"/>
      <c r="B2897" s="10"/>
      <c r="C2897" s="15" t="str">
        <f aca="false">IF($B2897="","",IFERROR(INDEX(회원명부!$B$3:$B$502,MATCH($B2897,회원명부!$A$3:$A$502,0)),"미등록회원"))</f>
        <v/>
      </c>
      <c r="D2897" s="13"/>
      <c r="E2897" s="10"/>
      <c r="F2897" s="10"/>
      <c r="G2897" s="10"/>
    </row>
    <row r="2898" customFormat="false" ht="15" hidden="false" customHeight="true" outlineLevel="0" collapsed="false">
      <c r="A2898" s="12"/>
      <c r="B2898" s="10"/>
      <c r="C2898" s="15" t="str">
        <f aca="false">IF($B2898="","",IFERROR(INDEX(회원명부!$B$3:$B$502,MATCH($B2898,회원명부!$A$3:$A$502,0)),"미등록회원"))</f>
        <v/>
      </c>
      <c r="D2898" s="13"/>
      <c r="E2898" s="10"/>
      <c r="F2898" s="10"/>
      <c r="G2898" s="10"/>
    </row>
    <row r="2899" customFormat="false" ht="15" hidden="false" customHeight="true" outlineLevel="0" collapsed="false">
      <c r="A2899" s="12"/>
      <c r="B2899" s="10"/>
      <c r="C2899" s="15" t="str">
        <f aca="false">IF($B2899="","",IFERROR(INDEX(회원명부!$B$3:$B$502,MATCH($B2899,회원명부!$A$3:$A$502,0)),"미등록회원"))</f>
        <v/>
      </c>
      <c r="D2899" s="13"/>
      <c r="E2899" s="10"/>
      <c r="F2899" s="10"/>
      <c r="G2899" s="10"/>
    </row>
    <row r="2900" customFormat="false" ht="15" hidden="false" customHeight="true" outlineLevel="0" collapsed="false">
      <c r="A2900" s="12"/>
      <c r="B2900" s="10"/>
      <c r="C2900" s="15" t="str">
        <f aca="false">IF($B2900="","",IFERROR(INDEX(회원명부!$B$3:$B$502,MATCH($B2900,회원명부!$A$3:$A$502,0)),"미등록회원"))</f>
        <v/>
      </c>
      <c r="D2900" s="13"/>
      <c r="E2900" s="10"/>
      <c r="F2900" s="10"/>
      <c r="G2900" s="10"/>
    </row>
    <row r="2901" customFormat="false" ht="15" hidden="false" customHeight="true" outlineLevel="0" collapsed="false">
      <c r="A2901" s="12"/>
      <c r="B2901" s="10"/>
      <c r="C2901" s="15" t="str">
        <f aca="false">IF($B2901="","",IFERROR(INDEX(회원명부!$B$3:$B$502,MATCH($B2901,회원명부!$A$3:$A$502,0)),"미등록회원"))</f>
        <v/>
      </c>
      <c r="D2901" s="13"/>
      <c r="E2901" s="10"/>
      <c r="F2901" s="10"/>
      <c r="G2901" s="10"/>
    </row>
    <row r="2902" customFormat="false" ht="15" hidden="false" customHeight="true" outlineLevel="0" collapsed="false">
      <c r="A2902" s="12"/>
      <c r="B2902" s="10"/>
      <c r="C2902" s="15" t="str">
        <f aca="false">IF($B2902="","",IFERROR(INDEX(회원명부!$B$3:$B$502,MATCH($B2902,회원명부!$A$3:$A$502,0)),"미등록회원"))</f>
        <v/>
      </c>
      <c r="D2902" s="13"/>
      <c r="E2902" s="10"/>
      <c r="F2902" s="10"/>
      <c r="G2902" s="10"/>
    </row>
    <row r="2903" customFormat="false" ht="15" hidden="false" customHeight="true" outlineLevel="0" collapsed="false">
      <c r="A2903" s="12"/>
      <c r="B2903" s="10"/>
      <c r="C2903" s="15" t="str">
        <f aca="false">IF($B2903="","",IFERROR(INDEX(회원명부!$B$3:$B$502,MATCH($B2903,회원명부!$A$3:$A$502,0)),"미등록회원"))</f>
        <v/>
      </c>
      <c r="D2903" s="13"/>
      <c r="E2903" s="10"/>
      <c r="F2903" s="10"/>
      <c r="G2903" s="10"/>
    </row>
    <row r="2904" customFormat="false" ht="15" hidden="false" customHeight="true" outlineLevel="0" collapsed="false">
      <c r="A2904" s="12"/>
      <c r="B2904" s="10"/>
      <c r="C2904" s="15" t="str">
        <f aca="false">IF($B2904="","",IFERROR(INDEX(회원명부!$B$3:$B$502,MATCH($B2904,회원명부!$A$3:$A$502,0)),"미등록회원"))</f>
        <v/>
      </c>
      <c r="D2904" s="13"/>
      <c r="E2904" s="10"/>
      <c r="F2904" s="10"/>
      <c r="G2904" s="10"/>
    </row>
    <row r="2905" customFormat="false" ht="15" hidden="false" customHeight="true" outlineLevel="0" collapsed="false">
      <c r="A2905" s="12"/>
      <c r="B2905" s="10"/>
      <c r="C2905" s="15" t="str">
        <f aca="false">IF($B2905="","",IFERROR(INDEX(회원명부!$B$3:$B$502,MATCH($B2905,회원명부!$A$3:$A$502,0)),"미등록회원"))</f>
        <v/>
      </c>
      <c r="D2905" s="13"/>
      <c r="E2905" s="10"/>
      <c r="F2905" s="10"/>
      <c r="G2905" s="10"/>
    </row>
    <row r="2906" customFormat="false" ht="15" hidden="false" customHeight="true" outlineLevel="0" collapsed="false">
      <c r="A2906" s="12"/>
      <c r="B2906" s="10"/>
      <c r="C2906" s="15" t="str">
        <f aca="false">IF($B2906="","",IFERROR(INDEX(회원명부!$B$3:$B$502,MATCH($B2906,회원명부!$A$3:$A$502,0)),"미등록회원"))</f>
        <v/>
      </c>
      <c r="D2906" s="13"/>
      <c r="E2906" s="10"/>
      <c r="F2906" s="10"/>
      <c r="G2906" s="10"/>
    </row>
    <row r="2907" customFormat="false" ht="15" hidden="false" customHeight="true" outlineLevel="0" collapsed="false">
      <c r="A2907" s="12"/>
      <c r="B2907" s="10"/>
      <c r="C2907" s="15" t="str">
        <f aca="false">IF($B2907="","",IFERROR(INDEX(회원명부!$B$3:$B$502,MATCH($B2907,회원명부!$A$3:$A$502,0)),"미등록회원"))</f>
        <v/>
      </c>
      <c r="D2907" s="13"/>
      <c r="E2907" s="10"/>
      <c r="F2907" s="10"/>
      <c r="G2907" s="10"/>
    </row>
    <row r="2908" customFormat="false" ht="15" hidden="false" customHeight="true" outlineLevel="0" collapsed="false">
      <c r="A2908" s="12"/>
      <c r="B2908" s="10"/>
      <c r="C2908" s="15" t="str">
        <f aca="false">IF($B2908="","",IFERROR(INDEX(회원명부!$B$3:$B$502,MATCH($B2908,회원명부!$A$3:$A$502,0)),"미등록회원"))</f>
        <v/>
      </c>
      <c r="D2908" s="13"/>
      <c r="E2908" s="10"/>
      <c r="F2908" s="10"/>
      <c r="G2908" s="10"/>
    </row>
    <row r="2909" customFormat="false" ht="15" hidden="false" customHeight="true" outlineLevel="0" collapsed="false">
      <c r="A2909" s="12"/>
      <c r="B2909" s="10"/>
      <c r="C2909" s="15" t="str">
        <f aca="false">IF($B2909="","",IFERROR(INDEX(회원명부!$B$3:$B$502,MATCH($B2909,회원명부!$A$3:$A$502,0)),"미등록회원"))</f>
        <v/>
      </c>
      <c r="D2909" s="13"/>
      <c r="E2909" s="10"/>
      <c r="F2909" s="10"/>
      <c r="G2909" s="10"/>
    </row>
    <row r="2910" customFormat="false" ht="15" hidden="false" customHeight="true" outlineLevel="0" collapsed="false">
      <c r="A2910" s="12"/>
      <c r="B2910" s="10"/>
      <c r="C2910" s="15" t="str">
        <f aca="false">IF($B2910="","",IFERROR(INDEX(회원명부!$B$3:$B$502,MATCH($B2910,회원명부!$A$3:$A$502,0)),"미등록회원"))</f>
        <v/>
      </c>
      <c r="D2910" s="13"/>
      <c r="E2910" s="10"/>
      <c r="F2910" s="10"/>
      <c r="G2910" s="10"/>
    </row>
    <row r="2911" customFormat="false" ht="15" hidden="false" customHeight="true" outlineLevel="0" collapsed="false">
      <c r="A2911" s="12"/>
      <c r="B2911" s="10"/>
      <c r="C2911" s="15" t="str">
        <f aca="false">IF($B2911="","",IFERROR(INDEX(회원명부!$B$3:$B$502,MATCH($B2911,회원명부!$A$3:$A$502,0)),"미등록회원"))</f>
        <v/>
      </c>
      <c r="D2911" s="13"/>
      <c r="E2911" s="10"/>
      <c r="F2911" s="10"/>
      <c r="G2911" s="10"/>
    </row>
    <row r="2912" customFormat="false" ht="15" hidden="false" customHeight="true" outlineLevel="0" collapsed="false">
      <c r="A2912" s="12"/>
      <c r="B2912" s="10"/>
      <c r="C2912" s="15" t="str">
        <f aca="false">IF($B2912="","",IFERROR(INDEX(회원명부!$B$3:$B$502,MATCH($B2912,회원명부!$A$3:$A$502,0)),"미등록회원"))</f>
        <v/>
      </c>
      <c r="D2912" s="13"/>
      <c r="E2912" s="10"/>
      <c r="F2912" s="10"/>
      <c r="G2912" s="10"/>
    </row>
    <row r="2913" customFormat="false" ht="15" hidden="false" customHeight="true" outlineLevel="0" collapsed="false">
      <c r="A2913" s="12"/>
      <c r="B2913" s="10"/>
      <c r="C2913" s="15" t="str">
        <f aca="false">IF($B2913="","",IFERROR(INDEX(회원명부!$B$3:$B$502,MATCH($B2913,회원명부!$A$3:$A$502,0)),"미등록회원"))</f>
        <v/>
      </c>
      <c r="D2913" s="13"/>
      <c r="E2913" s="10"/>
      <c r="F2913" s="10"/>
      <c r="G2913" s="10"/>
    </row>
    <row r="2914" customFormat="false" ht="15" hidden="false" customHeight="true" outlineLevel="0" collapsed="false">
      <c r="A2914" s="12"/>
      <c r="B2914" s="10"/>
      <c r="C2914" s="15" t="str">
        <f aca="false">IF($B2914="","",IFERROR(INDEX(회원명부!$B$3:$B$502,MATCH($B2914,회원명부!$A$3:$A$502,0)),"미등록회원"))</f>
        <v/>
      </c>
      <c r="D2914" s="13"/>
      <c r="E2914" s="10"/>
      <c r="F2914" s="10"/>
      <c r="G2914" s="10"/>
    </row>
    <row r="2915" customFormat="false" ht="15" hidden="false" customHeight="true" outlineLevel="0" collapsed="false">
      <c r="A2915" s="12"/>
      <c r="B2915" s="10"/>
      <c r="C2915" s="15" t="str">
        <f aca="false">IF($B2915="","",IFERROR(INDEX(회원명부!$B$3:$B$502,MATCH($B2915,회원명부!$A$3:$A$502,0)),"미등록회원"))</f>
        <v/>
      </c>
      <c r="D2915" s="13"/>
      <c r="E2915" s="10"/>
      <c r="F2915" s="10"/>
      <c r="G2915" s="10"/>
    </row>
    <row r="2916" customFormat="false" ht="15" hidden="false" customHeight="true" outlineLevel="0" collapsed="false">
      <c r="A2916" s="12"/>
      <c r="B2916" s="10"/>
      <c r="C2916" s="15" t="str">
        <f aca="false">IF($B2916="","",IFERROR(INDEX(회원명부!$B$3:$B$502,MATCH($B2916,회원명부!$A$3:$A$502,0)),"미등록회원"))</f>
        <v/>
      </c>
      <c r="D2916" s="13"/>
      <c r="E2916" s="10"/>
      <c r="F2916" s="10"/>
      <c r="G2916" s="10"/>
    </row>
    <row r="2917" customFormat="false" ht="15" hidden="false" customHeight="true" outlineLevel="0" collapsed="false">
      <c r="A2917" s="12"/>
      <c r="B2917" s="10"/>
      <c r="C2917" s="15" t="str">
        <f aca="false">IF($B2917="","",IFERROR(INDEX(회원명부!$B$3:$B$502,MATCH($B2917,회원명부!$A$3:$A$502,0)),"미등록회원"))</f>
        <v/>
      </c>
      <c r="D2917" s="13"/>
      <c r="E2917" s="10"/>
      <c r="F2917" s="10"/>
      <c r="G2917" s="10"/>
    </row>
    <row r="2918" customFormat="false" ht="15" hidden="false" customHeight="true" outlineLevel="0" collapsed="false">
      <c r="A2918" s="12"/>
      <c r="B2918" s="10"/>
      <c r="C2918" s="15" t="str">
        <f aca="false">IF($B2918="","",IFERROR(INDEX(회원명부!$B$3:$B$502,MATCH($B2918,회원명부!$A$3:$A$502,0)),"미등록회원"))</f>
        <v/>
      </c>
      <c r="D2918" s="13"/>
      <c r="E2918" s="10"/>
      <c r="F2918" s="10"/>
      <c r="G2918" s="10"/>
    </row>
    <row r="2919" customFormat="false" ht="15" hidden="false" customHeight="true" outlineLevel="0" collapsed="false">
      <c r="A2919" s="12"/>
      <c r="B2919" s="10"/>
      <c r="C2919" s="15" t="str">
        <f aca="false">IF($B2919="","",IFERROR(INDEX(회원명부!$B$3:$B$502,MATCH($B2919,회원명부!$A$3:$A$502,0)),"미등록회원"))</f>
        <v/>
      </c>
      <c r="D2919" s="13"/>
      <c r="E2919" s="10"/>
      <c r="F2919" s="10"/>
      <c r="G2919" s="10"/>
    </row>
    <row r="2920" customFormat="false" ht="15" hidden="false" customHeight="true" outlineLevel="0" collapsed="false">
      <c r="A2920" s="12"/>
      <c r="B2920" s="10"/>
      <c r="C2920" s="15" t="str">
        <f aca="false">IF($B2920="","",IFERROR(INDEX(회원명부!$B$3:$B$502,MATCH($B2920,회원명부!$A$3:$A$502,0)),"미등록회원"))</f>
        <v/>
      </c>
      <c r="D2920" s="13"/>
      <c r="E2920" s="10"/>
      <c r="F2920" s="10"/>
      <c r="G2920" s="10"/>
    </row>
    <row r="2921" customFormat="false" ht="15" hidden="false" customHeight="true" outlineLevel="0" collapsed="false">
      <c r="A2921" s="12"/>
      <c r="B2921" s="10"/>
      <c r="C2921" s="15" t="str">
        <f aca="false">IF($B2921="","",IFERROR(INDEX(회원명부!$B$3:$B$502,MATCH($B2921,회원명부!$A$3:$A$502,0)),"미등록회원"))</f>
        <v/>
      </c>
      <c r="D2921" s="13"/>
      <c r="E2921" s="10"/>
      <c r="F2921" s="10"/>
      <c r="G2921" s="10"/>
    </row>
    <row r="2922" customFormat="false" ht="15" hidden="false" customHeight="true" outlineLevel="0" collapsed="false">
      <c r="A2922" s="12"/>
      <c r="B2922" s="10"/>
      <c r="C2922" s="15" t="str">
        <f aca="false">IF($B2922="","",IFERROR(INDEX(회원명부!$B$3:$B$502,MATCH($B2922,회원명부!$A$3:$A$502,0)),"미등록회원"))</f>
        <v/>
      </c>
      <c r="D2922" s="13"/>
      <c r="E2922" s="10"/>
      <c r="F2922" s="10"/>
      <c r="G2922" s="10"/>
    </row>
    <row r="2923" customFormat="false" ht="15" hidden="false" customHeight="true" outlineLevel="0" collapsed="false">
      <c r="A2923" s="12"/>
      <c r="B2923" s="10"/>
      <c r="C2923" s="15" t="str">
        <f aca="false">IF($B2923="","",IFERROR(INDEX(회원명부!$B$3:$B$502,MATCH($B2923,회원명부!$A$3:$A$502,0)),"미등록회원"))</f>
        <v/>
      </c>
      <c r="D2923" s="13"/>
      <c r="E2923" s="10"/>
      <c r="F2923" s="10"/>
      <c r="G2923" s="10"/>
    </row>
    <row r="2924" customFormat="false" ht="15" hidden="false" customHeight="true" outlineLevel="0" collapsed="false">
      <c r="A2924" s="12"/>
      <c r="B2924" s="10"/>
      <c r="C2924" s="15" t="str">
        <f aca="false">IF($B2924="","",IFERROR(INDEX(회원명부!$B$3:$B$502,MATCH($B2924,회원명부!$A$3:$A$502,0)),"미등록회원"))</f>
        <v/>
      </c>
      <c r="D2924" s="13"/>
      <c r="E2924" s="10"/>
      <c r="F2924" s="10"/>
      <c r="G2924" s="10"/>
    </row>
    <row r="2925" customFormat="false" ht="15" hidden="false" customHeight="true" outlineLevel="0" collapsed="false">
      <c r="A2925" s="12"/>
      <c r="B2925" s="10"/>
      <c r="C2925" s="15" t="str">
        <f aca="false">IF($B2925="","",IFERROR(INDEX(회원명부!$B$3:$B$502,MATCH($B2925,회원명부!$A$3:$A$502,0)),"미등록회원"))</f>
        <v/>
      </c>
      <c r="D2925" s="13"/>
      <c r="E2925" s="10"/>
      <c r="F2925" s="10"/>
      <c r="G2925" s="10"/>
    </row>
    <row r="2926" customFormat="false" ht="15" hidden="false" customHeight="true" outlineLevel="0" collapsed="false">
      <c r="A2926" s="12"/>
      <c r="B2926" s="10"/>
      <c r="C2926" s="15" t="str">
        <f aca="false">IF($B2926="","",IFERROR(INDEX(회원명부!$B$3:$B$502,MATCH($B2926,회원명부!$A$3:$A$502,0)),"미등록회원"))</f>
        <v/>
      </c>
      <c r="D2926" s="13"/>
      <c r="E2926" s="10"/>
      <c r="F2926" s="10"/>
      <c r="G2926" s="10"/>
    </row>
    <row r="2927" customFormat="false" ht="15" hidden="false" customHeight="true" outlineLevel="0" collapsed="false">
      <c r="A2927" s="12"/>
      <c r="B2927" s="10"/>
      <c r="C2927" s="15" t="str">
        <f aca="false">IF($B2927="","",IFERROR(INDEX(회원명부!$B$3:$B$502,MATCH($B2927,회원명부!$A$3:$A$502,0)),"미등록회원"))</f>
        <v/>
      </c>
      <c r="D2927" s="13"/>
      <c r="E2927" s="10"/>
      <c r="F2927" s="10"/>
      <c r="G2927" s="10"/>
    </row>
    <row r="2928" customFormat="false" ht="15" hidden="false" customHeight="true" outlineLevel="0" collapsed="false">
      <c r="A2928" s="12"/>
      <c r="B2928" s="10"/>
      <c r="C2928" s="15" t="str">
        <f aca="false">IF($B2928="","",IFERROR(INDEX(회원명부!$B$3:$B$502,MATCH($B2928,회원명부!$A$3:$A$502,0)),"미등록회원"))</f>
        <v/>
      </c>
      <c r="D2928" s="13"/>
      <c r="E2928" s="10"/>
      <c r="F2928" s="10"/>
      <c r="G2928" s="10"/>
    </row>
    <row r="2929" customFormat="false" ht="15" hidden="false" customHeight="true" outlineLevel="0" collapsed="false">
      <c r="A2929" s="12"/>
      <c r="B2929" s="10"/>
      <c r="C2929" s="15" t="str">
        <f aca="false">IF($B2929="","",IFERROR(INDEX(회원명부!$B$3:$B$502,MATCH($B2929,회원명부!$A$3:$A$502,0)),"미등록회원"))</f>
        <v/>
      </c>
      <c r="D2929" s="13"/>
      <c r="E2929" s="10"/>
      <c r="F2929" s="10"/>
      <c r="G2929" s="10"/>
    </row>
    <row r="2930" customFormat="false" ht="15" hidden="false" customHeight="true" outlineLevel="0" collapsed="false">
      <c r="A2930" s="12"/>
      <c r="B2930" s="10"/>
      <c r="C2930" s="15" t="str">
        <f aca="false">IF($B2930="","",IFERROR(INDEX(회원명부!$B$3:$B$502,MATCH($B2930,회원명부!$A$3:$A$502,0)),"미등록회원"))</f>
        <v/>
      </c>
      <c r="D2930" s="13"/>
      <c r="E2930" s="10"/>
      <c r="F2930" s="10"/>
      <c r="G2930" s="10"/>
    </row>
    <row r="2931" customFormat="false" ht="15" hidden="false" customHeight="true" outlineLevel="0" collapsed="false">
      <c r="A2931" s="12"/>
      <c r="B2931" s="10"/>
      <c r="C2931" s="15" t="str">
        <f aca="false">IF($B2931="","",IFERROR(INDEX(회원명부!$B$3:$B$502,MATCH($B2931,회원명부!$A$3:$A$502,0)),"미등록회원"))</f>
        <v/>
      </c>
      <c r="D2931" s="13"/>
      <c r="E2931" s="10"/>
      <c r="F2931" s="10"/>
      <c r="G2931" s="10"/>
    </row>
    <row r="2932" customFormat="false" ht="15" hidden="false" customHeight="true" outlineLevel="0" collapsed="false">
      <c r="A2932" s="12"/>
      <c r="B2932" s="10"/>
      <c r="C2932" s="15" t="str">
        <f aca="false">IF($B2932="","",IFERROR(INDEX(회원명부!$B$3:$B$502,MATCH($B2932,회원명부!$A$3:$A$502,0)),"미등록회원"))</f>
        <v/>
      </c>
      <c r="D2932" s="13"/>
      <c r="E2932" s="10"/>
      <c r="F2932" s="10"/>
      <c r="G2932" s="10"/>
    </row>
    <row r="2933" customFormat="false" ht="15" hidden="false" customHeight="true" outlineLevel="0" collapsed="false">
      <c r="A2933" s="12"/>
      <c r="B2933" s="10"/>
      <c r="C2933" s="15" t="str">
        <f aca="false">IF($B2933="","",IFERROR(INDEX(회원명부!$B$3:$B$502,MATCH($B2933,회원명부!$A$3:$A$502,0)),"미등록회원"))</f>
        <v/>
      </c>
      <c r="D2933" s="13"/>
      <c r="E2933" s="10"/>
      <c r="F2933" s="10"/>
      <c r="G2933" s="10"/>
    </row>
    <row r="2934" customFormat="false" ht="15" hidden="false" customHeight="true" outlineLevel="0" collapsed="false">
      <c r="A2934" s="12"/>
      <c r="B2934" s="10"/>
      <c r="C2934" s="15" t="str">
        <f aca="false">IF($B2934="","",IFERROR(INDEX(회원명부!$B$3:$B$502,MATCH($B2934,회원명부!$A$3:$A$502,0)),"미등록회원"))</f>
        <v/>
      </c>
      <c r="D2934" s="13"/>
      <c r="E2934" s="10"/>
      <c r="F2934" s="10"/>
      <c r="G2934" s="10"/>
    </row>
    <row r="2935" customFormat="false" ht="15" hidden="false" customHeight="true" outlineLevel="0" collapsed="false">
      <c r="A2935" s="12"/>
      <c r="B2935" s="10"/>
      <c r="C2935" s="15" t="str">
        <f aca="false">IF($B2935="","",IFERROR(INDEX(회원명부!$B$3:$B$502,MATCH($B2935,회원명부!$A$3:$A$502,0)),"미등록회원"))</f>
        <v/>
      </c>
      <c r="D2935" s="13"/>
      <c r="E2935" s="10"/>
      <c r="F2935" s="10"/>
      <c r="G2935" s="10"/>
    </row>
    <row r="2936" customFormat="false" ht="15" hidden="false" customHeight="true" outlineLevel="0" collapsed="false">
      <c r="A2936" s="12"/>
      <c r="B2936" s="10"/>
      <c r="C2936" s="15" t="str">
        <f aca="false">IF($B2936="","",IFERROR(INDEX(회원명부!$B$3:$B$502,MATCH($B2936,회원명부!$A$3:$A$502,0)),"미등록회원"))</f>
        <v/>
      </c>
      <c r="D2936" s="13"/>
      <c r="E2936" s="10"/>
      <c r="F2936" s="10"/>
      <c r="G2936" s="10"/>
    </row>
    <row r="2937" customFormat="false" ht="15" hidden="false" customHeight="true" outlineLevel="0" collapsed="false">
      <c r="A2937" s="12"/>
      <c r="B2937" s="10"/>
      <c r="C2937" s="15" t="str">
        <f aca="false">IF($B2937="","",IFERROR(INDEX(회원명부!$B$3:$B$502,MATCH($B2937,회원명부!$A$3:$A$502,0)),"미등록회원"))</f>
        <v/>
      </c>
      <c r="D2937" s="13"/>
      <c r="E2937" s="10"/>
      <c r="F2937" s="10"/>
      <c r="G2937" s="10"/>
    </row>
    <row r="2938" customFormat="false" ht="15" hidden="false" customHeight="true" outlineLevel="0" collapsed="false">
      <c r="A2938" s="12"/>
      <c r="B2938" s="10"/>
      <c r="C2938" s="15" t="str">
        <f aca="false">IF($B2938="","",IFERROR(INDEX(회원명부!$B$3:$B$502,MATCH($B2938,회원명부!$A$3:$A$502,0)),"미등록회원"))</f>
        <v/>
      </c>
      <c r="D2938" s="13"/>
      <c r="E2938" s="10"/>
      <c r="F2938" s="10"/>
      <c r="G2938" s="10"/>
    </row>
    <row r="2939" customFormat="false" ht="15" hidden="false" customHeight="true" outlineLevel="0" collapsed="false">
      <c r="A2939" s="12"/>
      <c r="B2939" s="10"/>
      <c r="C2939" s="15" t="str">
        <f aca="false">IF($B2939="","",IFERROR(INDEX(회원명부!$B$3:$B$502,MATCH($B2939,회원명부!$A$3:$A$502,0)),"미등록회원"))</f>
        <v/>
      </c>
      <c r="D2939" s="13"/>
      <c r="E2939" s="10"/>
      <c r="F2939" s="10"/>
      <c r="G2939" s="10"/>
    </row>
    <row r="2940" customFormat="false" ht="15" hidden="false" customHeight="true" outlineLevel="0" collapsed="false">
      <c r="A2940" s="12"/>
      <c r="B2940" s="10"/>
      <c r="C2940" s="15" t="str">
        <f aca="false">IF($B2940="","",IFERROR(INDEX(회원명부!$B$3:$B$502,MATCH($B2940,회원명부!$A$3:$A$502,0)),"미등록회원"))</f>
        <v/>
      </c>
      <c r="D2940" s="13"/>
      <c r="E2940" s="10"/>
      <c r="F2940" s="10"/>
      <c r="G2940" s="10"/>
    </row>
    <row r="2941" customFormat="false" ht="15" hidden="false" customHeight="true" outlineLevel="0" collapsed="false">
      <c r="A2941" s="12"/>
      <c r="B2941" s="10"/>
      <c r="C2941" s="15" t="str">
        <f aca="false">IF($B2941="","",IFERROR(INDEX(회원명부!$B$3:$B$502,MATCH($B2941,회원명부!$A$3:$A$502,0)),"미등록회원"))</f>
        <v/>
      </c>
      <c r="D2941" s="13"/>
      <c r="E2941" s="10"/>
      <c r="F2941" s="10"/>
      <c r="G2941" s="10"/>
    </row>
    <row r="2942" customFormat="false" ht="15" hidden="false" customHeight="true" outlineLevel="0" collapsed="false">
      <c r="A2942" s="12"/>
      <c r="B2942" s="10"/>
      <c r="C2942" s="15" t="str">
        <f aca="false">IF($B2942="","",IFERROR(INDEX(회원명부!$B$3:$B$502,MATCH($B2942,회원명부!$A$3:$A$502,0)),"미등록회원"))</f>
        <v/>
      </c>
      <c r="D2942" s="13"/>
      <c r="E2942" s="10"/>
      <c r="F2942" s="10"/>
      <c r="G2942" s="10"/>
    </row>
    <row r="2943" customFormat="false" ht="15" hidden="false" customHeight="true" outlineLevel="0" collapsed="false">
      <c r="A2943" s="12"/>
      <c r="B2943" s="10"/>
      <c r="C2943" s="15" t="str">
        <f aca="false">IF($B2943="","",IFERROR(INDEX(회원명부!$B$3:$B$502,MATCH($B2943,회원명부!$A$3:$A$502,0)),"미등록회원"))</f>
        <v/>
      </c>
      <c r="D2943" s="13"/>
      <c r="E2943" s="10"/>
      <c r="F2943" s="10"/>
      <c r="G2943" s="10"/>
    </row>
    <row r="2944" customFormat="false" ht="15" hidden="false" customHeight="true" outlineLevel="0" collapsed="false">
      <c r="A2944" s="12"/>
      <c r="B2944" s="10"/>
      <c r="C2944" s="15" t="str">
        <f aca="false">IF($B2944="","",IFERROR(INDEX(회원명부!$B$3:$B$502,MATCH($B2944,회원명부!$A$3:$A$502,0)),"미등록회원"))</f>
        <v/>
      </c>
      <c r="D2944" s="13"/>
      <c r="E2944" s="10"/>
      <c r="F2944" s="10"/>
      <c r="G2944" s="10"/>
    </row>
    <row r="2945" customFormat="false" ht="15" hidden="false" customHeight="true" outlineLevel="0" collapsed="false">
      <c r="A2945" s="12"/>
      <c r="B2945" s="10"/>
      <c r="C2945" s="15" t="str">
        <f aca="false">IF($B2945="","",IFERROR(INDEX(회원명부!$B$3:$B$502,MATCH($B2945,회원명부!$A$3:$A$502,0)),"미등록회원"))</f>
        <v/>
      </c>
      <c r="D2945" s="13"/>
      <c r="E2945" s="10"/>
      <c r="F2945" s="10"/>
      <c r="G2945" s="10"/>
    </row>
    <row r="2946" customFormat="false" ht="15" hidden="false" customHeight="true" outlineLevel="0" collapsed="false">
      <c r="A2946" s="12"/>
      <c r="B2946" s="10"/>
      <c r="C2946" s="15" t="str">
        <f aca="false">IF($B2946="","",IFERROR(INDEX(회원명부!$B$3:$B$502,MATCH($B2946,회원명부!$A$3:$A$502,0)),"미등록회원"))</f>
        <v/>
      </c>
      <c r="D2946" s="13"/>
      <c r="E2946" s="10"/>
      <c r="F2946" s="10"/>
      <c r="G2946" s="10"/>
    </row>
    <row r="2947" customFormat="false" ht="15" hidden="false" customHeight="true" outlineLevel="0" collapsed="false">
      <c r="A2947" s="12"/>
      <c r="B2947" s="10"/>
      <c r="C2947" s="15" t="str">
        <f aca="false">IF($B2947="","",IFERROR(INDEX(회원명부!$B$3:$B$502,MATCH($B2947,회원명부!$A$3:$A$502,0)),"미등록회원"))</f>
        <v/>
      </c>
      <c r="D2947" s="13"/>
      <c r="E2947" s="10"/>
      <c r="F2947" s="10"/>
      <c r="G2947" s="10"/>
    </row>
    <row r="2948" customFormat="false" ht="15" hidden="false" customHeight="true" outlineLevel="0" collapsed="false">
      <c r="A2948" s="12"/>
      <c r="B2948" s="10"/>
      <c r="C2948" s="15" t="str">
        <f aca="false">IF($B2948="","",IFERROR(INDEX(회원명부!$B$3:$B$502,MATCH($B2948,회원명부!$A$3:$A$502,0)),"미등록회원"))</f>
        <v/>
      </c>
      <c r="D2948" s="13"/>
      <c r="E2948" s="10"/>
      <c r="F2948" s="10"/>
      <c r="G2948" s="10"/>
    </row>
    <row r="2949" customFormat="false" ht="15" hidden="false" customHeight="true" outlineLevel="0" collapsed="false">
      <c r="A2949" s="12"/>
      <c r="B2949" s="10"/>
      <c r="C2949" s="15" t="str">
        <f aca="false">IF($B2949="","",IFERROR(INDEX(회원명부!$B$3:$B$502,MATCH($B2949,회원명부!$A$3:$A$502,0)),"미등록회원"))</f>
        <v/>
      </c>
      <c r="D2949" s="13"/>
      <c r="E2949" s="10"/>
      <c r="F2949" s="10"/>
      <c r="G2949" s="10"/>
    </row>
    <row r="2950" customFormat="false" ht="15" hidden="false" customHeight="true" outlineLevel="0" collapsed="false">
      <c r="A2950" s="12"/>
      <c r="B2950" s="10"/>
      <c r="C2950" s="15" t="str">
        <f aca="false">IF($B2950="","",IFERROR(INDEX(회원명부!$B$3:$B$502,MATCH($B2950,회원명부!$A$3:$A$502,0)),"미등록회원"))</f>
        <v/>
      </c>
      <c r="D2950" s="13"/>
      <c r="E2950" s="10"/>
      <c r="F2950" s="10"/>
      <c r="G2950" s="10"/>
    </row>
    <row r="2951" customFormat="false" ht="15" hidden="false" customHeight="true" outlineLevel="0" collapsed="false">
      <c r="A2951" s="12"/>
      <c r="B2951" s="10"/>
      <c r="C2951" s="15" t="str">
        <f aca="false">IF($B2951="","",IFERROR(INDEX(회원명부!$B$3:$B$502,MATCH($B2951,회원명부!$A$3:$A$502,0)),"미등록회원"))</f>
        <v/>
      </c>
      <c r="D2951" s="13"/>
      <c r="E2951" s="10"/>
      <c r="F2951" s="10"/>
      <c r="G2951" s="10"/>
    </row>
    <row r="2952" customFormat="false" ht="15" hidden="false" customHeight="true" outlineLevel="0" collapsed="false">
      <c r="A2952" s="12"/>
      <c r="B2952" s="10"/>
      <c r="C2952" s="15" t="str">
        <f aca="false">IF($B2952="","",IFERROR(INDEX(회원명부!$B$3:$B$502,MATCH($B2952,회원명부!$A$3:$A$502,0)),"미등록회원"))</f>
        <v/>
      </c>
      <c r="D2952" s="13"/>
      <c r="E2952" s="10"/>
      <c r="F2952" s="10"/>
      <c r="G2952" s="10"/>
    </row>
    <row r="2953" customFormat="false" ht="15" hidden="false" customHeight="true" outlineLevel="0" collapsed="false">
      <c r="A2953" s="12"/>
      <c r="B2953" s="10"/>
      <c r="C2953" s="15" t="str">
        <f aca="false">IF($B2953="","",IFERROR(INDEX(회원명부!$B$3:$B$502,MATCH($B2953,회원명부!$A$3:$A$502,0)),"미등록회원"))</f>
        <v/>
      </c>
      <c r="D2953" s="13"/>
      <c r="E2953" s="10"/>
      <c r="F2953" s="10"/>
      <c r="G2953" s="10"/>
    </row>
    <row r="2954" customFormat="false" ht="15" hidden="false" customHeight="true" outlineLevel="0" collapsed="false">
      <c r="A2954" s="12"/>
      <c r="B2954" s="10"/>
      <c r="C2954" s="15" t="str">
        <f aca="false">IF($B2954="","",IFERROR(INDEX(회원명부!$B$3:$B$502,MATCH($B2954,회원명부!$A$3:$A$502,0)),"미등록회원"))</f>
        <v/>
      </c>
      <c r="D2954" s="13"/>
      <c r="E2954" s="10"/>
      <c r="F2954" s="10"/>
      <c r="G2954" s="10"/>
    </row>
    <row r="2955" customFormat="false" ht="15" hidden="false" customHeight="true" outlineLevel="0" collapsed="false">
      <c r="A2955" s="12"/>
      <c r="B2955" s="10"/>
      <c r="C2955" s="15" t="str">
        <f aca="false">IF($B2955="","",IFERROR(INDEX(회원명부!$B$3:$B$502,MATCH($B2955,회원명부!$A$3:$A$502,0)),"미등록회원"))</f>
        <v/>
      </c>
      <c r="D2955" s="13"/>
      <c r="E2955" s="10"/>
      <c r="F2955" s="10"/>
      <c r="G2955" s="10"/>
    </row>
    <row r="2956" customFormat="false" ht="15" hidden="false" customHeight="true" outlineLevel="0" collapsed="false">
      <c r="A2956" s="12"/>
      <c r="B2956" s="10"/>
      <c r="C2956" s="15" t="str">
        <f aca="false">IF($B2956="","",IFERROR(INDEX(회원명부!$B$3:$B$502,MATCH($B2956,회원명부!$A$3:$A$502,0)),"미등록회원"))</f>
        <v/>
      </c>
      <c r="D2956" s="13"/>
      <c r="E2956" s="10"/>
      <c r="F2956" s="10"/>
      <c r="G2956" s="10"/>
    </row>
    <row r="2957" customFormat="false" ht="15" hidden="false" customHeight="true" outlineLevel="0" collapsed="false">
      <c r="A2957" s="12"/>
      <c r="B2957" s="10"/>
      <c r="C2957" s="15" t="str">
        <f aca="false">IF($B2957="","",IFERROR(INDEX(회원명부!$B$3:$B$502,MATCH($B2957,회원명부!$A$3:$A$502,0)),"미등록회원"))</f>
        <v/>
      </c>
      <c r="D2957" s="13"/>
      <c r="E2957" s="10"/>
      <c r="F2957" s="10"/>
      <c r="G2957" s="10"/>
    </row>
    <row r="2958" customFormat="false" ht="15" hidden="false" customHeight="true" outlineLevel="0" collapsed="false">
      <c r="A2958" s="12"/>
      <c r="B2958" s="10"/>
      <c r="C2958" s="15" t="str">
        <f aca="false">IF($B2958="","",IFERROR(INDEX(회원명부!$B$3:$B$502,MATCH($B2958,회원명부!$A$3:$A$502,0)),"미등록회원"))</f>
        <v/>
      </c>
      <c r="D2958" s="13"/>
      <c r="E2958" s="10"/>
      <c r="F2958" s="10"/>
      <c r="G2958" s="10"/>
    </row>
    <row r="2959" customFormat="false" ht="15" hidden="false" customHeight="true" outlineLevel="0" collapsed="false">
      <c r="A2959" s="12"/>
      <c r="B2959" s="10"/>
      <c r="C2959" s="15" t="str">
        <f aca="false">IF($B2959="","",IFERROR(INDEX(회원명부!$B$3:$B$502,MATCH($B2959,회원명부!$A$3:$A$502,0)),"미등록회원"))</f>
        <v/>
      </c>
      <c r="D2959" s="13"/>
      <c r="E2959" s="10"/>
      <c r="F2959" s="10"/>
      <c r="G2959" s="10"/>
    </row>
    <row r="2960" customFormat="false" ht="15" hidden="false" customHeight="true" outlineLevel="0" collapsed="false">
      <c r="A2960" s="12"/>
      <c r="B2960" s="10"/>
      <c r="C2960" s="15" t="str">
        <f aca="false">IF($B2960="","",IFERROR(INDEX(회원명부!$B$3:$B$502,MATCH($B2960,회원명부!$A$3:$A$502,0)),"미등록회원"))</f>
        <v/>
      </c>
      <c r="D2960" s="13"/>
      <c r="E2960" s="10"/>
      <c r="F2960" s="10"/>
      <c r="G2960" s="10"/>
    </row>
    <row r="2961" customFormat="false" ht="15" hidden="false" customHeight="true" outlineLevel="0" collapsed="false">
      <c r="A2961" s="12"/>
      <c r="B2961" s="10"/>
      <c r="C2961" s="15" t="str">
        <f aca="false">IF($B2961="","",IFERROR(INDEX(회원명부!$B$3:$B$502,MATCH($B2961,회원명부!$A$3:$A$502,0)),"미등록회원"))</f>
        <v/>
      </c>
      <c r="D2961" s="13"/>
      <c r="E2961" s="10"/>
      <c r="F2961" s="10"/>
      <c r="G2961" s="10"/>
    </row>
    <row r="2962" customFormat="false" ht="15" hidden="false" customHeight="true" outlineLevel="0" collapsed="false">
      <c r="A2962" s="12"/>
      <c r="B2962" s="10"/>
      <c r="C2962" s="15" t="str">
        <f aca="false">IF($B2962="","",IFERROR(INDEX(회원명부!$B$3:$B$502,MATCH($B2962,회원명부!$A$3:$A$502,0)),"미등록회원"))</f>
        <v/>
      </c>
      <c r="D2962" s="13"/>
      <c r="E2962" s="10"/>
      <c r="F2962" s="10"/>
      <c r="G2962" s="10"/>
    </row>
    <row r="2963" customFormat="false" ht="15" hidden="false" customHeight="true" outlineLevel="0" collapsed="false">
      <c r="A2963" s="12"/>
      <c r="B2963" s="10"/>
      <c r="C2963" s="15" t="str">
        <f aca="false">IF($B2963="","",IFERROR(INDEX(회원명부!$B$3:$B$502,MATCH($B2963,회원명부!$A$3:$A$502,0)),"미등록회원"))</f>
        <v/>
      </c>
      <c r="D2963" s="13"/>
      <c r="E2963" s="10"/>
      <c r="F2963" s="10"/>
      <c r="G2963" s="10"/>
    </row>
    <row r="2964" customFormat="false" ht="15" hidden="false" customHeight="true" outlineLevel="0" collapsed="false">
      <c r="A2964" s="12"/>
      <c r="B2964" s="10"/>
      <c r="C2964" s="15" t="str">
        <f aca="false">IF($B2964="","",IFERROR(INDEX(회원명부!$B$3:$B$502,MATCH($B2964,회원명부!$A$3:$A$502,0)),"미등록회원"))</f>
        <v/>
      </c>
      <c r="D2964" s="13"/>
      <c r="E2964" s="10"/>
      <c r="F2964" s="10"/>
      <c r="G2964" s="10"/>
    </row>
    <row r="2965" customFormat="false" ht="15" hidden="false" customHeight="true" outlineLevel="0" collapsed="false">
      <c r="A2965" s="12"/>
      <c r="B2965" s="10"/>
      <c r="C2965" s="15" t="str">
        <f aca="false">IF($B2965="","",IFERROR(INDEX(회원명부!$B$3:$B$502,MATCH($B2965,회원명부!$A$3:$A$502,0)),"미등록회원"))</f>
        <v/>
      </c>
      <c r="D2965" s="13"/>
      <c r="E2965" s="10"/>
      <c r="F2965" s="10"/>
      <c r="G2965" s="10"/>
    </row>
    <row r="2966" customFormat="false" ht="15" hidden="false" customHeight="true" outlineLevel="0" collapsed="false">
      <c r="A2966" s="12"/>
      <c r="B2966" s="10"/>
      <c r="C2966" s="15" t="str">
        <f aca="false">IF($B2966="","",IFERROR(INDEX(회원명부!$B$3:$B$502,MATCH($B2966,회원명부!$A$3:$A$502,0)),"미등록회원"))</f>
        <v/>
      </c>
      <c r="D2966" s="13"/>
      <c r="E2966" s="10"/>
      <c r="F2966" s="10"/>
      <c r="G2966" s="10"/>
    </row>
    <row r="2967" customFormat="false" ht="15" hidden="false" customHeight="true" outlineLevel="0" collapsed="false">
      <c r="A2967" s="12"/>
      <c r="B2967" s="10"/>
      <c r="C2967" s="15" t="str">
        <f aca="false">IF($B2967="","",IFERROR(INDEX(회원명부!$B$3:$B$502,MATCH($B2967,회원명부!$A$3:$A$502,0)),"미등록회원"))</f>
        <v/>
      </c>
      <c r="D2967" s="13"/>
      <c r="E2967" s="10"/>
      <c r="F2967" s="10"/>
      <c r="G2967" s="10"/>
    </row>
    <row r="2968" customFormat="false" ht="15" hidden="false" customHeight="true" outlineLevel="0" collapsed="false">
      <c r="A2968" s="12"/>
      <c r="B2968" s="10"/>
      <c r="C2968" s="15" t="str">
        <f aca="false">IF($B2968="","",IFERROR(INDEX(회원명부!$B$3:$B$502,MATCH($B2968,회원명부!$A$3:$A$502,0)),"미등록회원"))</f>
        <v/>
      </c>
      <c r="D2968" s="13"/>
      <c r="E2968" s="10"/>
      <c r="F2968" s="10"/>
      <c r="G2968" s="10"/>
    </row>
    <row r="2969" customFormat="false" ht="15" hidden="false" customHeight="true" outlineLevel="0" collapsed="false">
      <c r="A2969" s="12"/>
      <c r="B2969" s="10"/>
      <c r="C2969" s="15" t="str">
        <f aca="false">IF($B2969="","",IFERROR(INDEX(회원명부!$B$3:$B$502,MATCH($B2969,회원명부!$A$3:$A$502,0)),"미등록회원"))</f>
        <v/>
      </c>
      <c r="D2969" s="13"/>
      <c r="E2969" s="10"/>
      <c r="F2969" s="10"/>
      <c r="G2969" s="10"/>
    </row>
    <row r="2970" customFormat="false" ht="15" hidden="false" customHeight="true" outlineLevel="0" collapsed="false">
      <c r="A2970" s="12"/>
      <c r="B2970" s="10"/>
      <c r="C2970" s="15" t="str">
        <f aca="false">IF($B2970="","",IFERROR(INDEX(회원명부!$B$3:$B$502,MATCH($B2970,회원명부!$A$3:$A$502,0)),"미등록회원"))</f>
        <v/>
      </c>
      <c r="D2970" s="13"/>
      <c r="E2970" s="10"/>
      <c r="F2970" s="10"/>
      <c r="G2970" s="10"/>
    </row>
    <row r="2971" customFormat="false" ht="15" hidden="false" customHeight="true" outlineLevel="0" collapsed="false">
      <c r="A2971" s="12"/>
      <c r="B2971" s="10"/>
      <c r="C2971" s="15" t="str">
        <f aca="false">IF($B2971="","",IFERROR(INDEX(회원명부!$B$3:$B$502,MATCH($B2971,회원명부!$A$3:$A$502,0)),"미등록회원"))</f>
        <v/>
      </c>
      <c r="D2971" s="13"/>
      <c r="E2971" s="10"/>
      <c r="F2971" s="10"/>
      <c r="G2971" s="10"/>
    </row>
    <row r="2972" customFormat="false" ht="15" hidden="false" customHeight="true" outlineLevel="0" collapsed="false">
      <c r="A2972" s="12"/>
      <c r="B2972" s="10"/>
      <c r="C2972" s="15" t="str">
        <f aca="false">IF($B2972="","",IFERROR(INDEX(회원명부!$B$3:$B$502,MATCH($B2972,회원명부!$A$3:$A$502,0)),"미등록회원"))</f>
        <v/>
      </c>
      <c r="D2972" s="13"/>
      <c r="E2972" s="10"/>
      <c r="F2972" s="10"/>
      <c r="G2972" s="10"/>
    </row>
    <row r="2973" customFormat="false" ht="15" hidden="false" customHeight="true" outlineLevel="0" collapsed="false">
      <c r="A2973" s="12"/>
      <c r="B2973" s="10"/>
      <c r="C2973" s="15" t="str">
        <f aca="false">IF($B2973="","",IFERROR(INDEX(회원명부!$B$3:$B$502,MATCH($B2973,회원명부!$A$3:$A$502,0)),"미등록회원"))</f>
        <v/>
      </c>
      <c r="D2973" s="13"/>
      <c r="E2973" s="10"/>
      <c r="F2973" s="10"/>
      <c r="G2973" s="10"/>
    </row>
    <row r="2974" customFormat="false" ht="15" hidden="false" customHeight="true" outlineLevel="0" collapsed="false">
      <c r="A2974" s="12"/>
      <c r="B2974" s="10"/>
      <c r="C2974" s="15" t="str">
        <f aca="false">IF($B2974="","",IFERROR(INDEX(회원명부!$B$3:$B$502,MATCH($B2974,회원명부!$A$3:$A$502,0)),"미등록회원"))</f>
        <v/>
      </c>
      <c r="D2974" s="13"/>
      <c r="E2974" s="10"/>
      <c r="F2974" s="10"/>
      <c r="G2974" s="10"/>
    </row>
    <row r="2975" customFormat="false" ht="15" hidden="false" customHeight="true" outlineLevel="0" collapsed="false">
      <c r="A2975" s="12"/>
      <c r="B2975" s="10"/>
      <c r="C2975" s="15" t="str">
        <f aca="false">IF($B2975="","",IFERROR(INDEX(회원명부!$B$3:$B$502,MATCH($B2975,회원명부!$A$3:$A$502,0)),"미등록회원"))</f>
        <v/>
      </c>
      <c r="D2975" s="13"/>
      <c r="E2975" s="10"/>
      <c r="F2975" s="10"/>
      <c r="G2975" s="10"/>
    </row>
    <row r="2976" customFormat="false" ht="15" hidden="false" customHeight="true" outlineLevel="0" collapsed="false">
      <c r="A2976" s="12"/>
      <c r="B2976" s="10"/>
      <c r="C2976" s="15" t="str">
        <f aca="false">IF($B2976="","",IFERROR(INDEX(회원명부!$B$3:$B$502,MATCH($B2976,회원명부!$A$3:$A$502,0)),"미등록회원"))</f>
        <v/>
      </c>
      <c r="D2976" s="13"/>
      <c r="E2976" s="10"/>
      <c r="F2976" s="10"/>
      <c r="G2976" s="10"/>
    </row>
    <row r="2977" customFormat="false" ht="15" hidden="false" customHeight="true" outlineLevel="0" collapsed="false">
      <c r="A2977" s="12"/>
      <c r="B2977" s="10"/>
      <c r="C2977" s="15" t="str">
        <f aca="false">IF($B2977="","",IFERROR(INDEX(회원명부!$B$3:$B$502,MATCH($B2977,회원명부!$A$3:$A$502,0)),"미등록회원"))</f>
        <v/>
      </c>
      <c r="D2977" s="13"/>
      <c r="E2977" s="10"/>
      <c r="F2977" s="10"/>
      <c r="G2977" s="10"/>
    </row>
    <row r="2978" customFormat="false" ht="15" hidden="false" customHeight="true" outlineLevel="0" collapsed="false">
      <c r="A2978" s="12"/>
      <c r="B2978" s="10"/>
      <c r="C2978" s="15" t="str">
        <f aca="false">IF($B2978="","",IFERROR(INDEX(회원명부!$B$3:$B$502,MATCH($B2978,회원명부!$A$3:$A$502,0)),"미등록회원"))</f>
        <v/>
      </c>
      <c r="D2978" s="13"/>
      <c r="E2978" s="10"/>
      <c r="F2978" s="10"/>
      <c r="G2978" s="10"/>
    </row>
    <row r="2979" customFormat="false" ht="15" hidden="false" customHeight="true" outlineLevel="0" collapsed="false">
      <c r="A2979" s="12"/>
      <c r="B2979" s="10"/>
      <c r="C2979" s="15" t="str">
        <f aca="false">IF($B2979="","",IFERROR(INDEX(회원명부!$B$3:$B$502,MATCH($B2979,회원명부!$A$3:$A$502,0)),"미등록회원"))</f>
        <v/>
      </c>
      <c r="D2979" s="13"/>
      <c r="E2979" s="10"/>
      <c r="F2979" s="10"/>
      <c r="G2979" s="10"/>
    </row>
    <row r="2980" customFormat="false" ht="15" hidden="false" customHeight="true" outlineLevel="0" collapsed="false">
      <c r="A2980" s="12"/>
      <c r="B2980" s="10"/>
      <c r="C2980" s="15" t="str">
        <f aca="false">IF($B2980="","",IFERROR(INDEX(회원명부!$B$3:$B$502,MATCH($B2980,회원명부!$A$3:$A$502,0)),"미등록회원"))</f>
        <v/>
      </c>
      <c r="D2980" s="13"/>
      <c r="E2980" s="10"/>
      <c r="F2980" s="10"/>
      <c r="G2980" s="10"/>
    </row>
    <row r="2981" customFormat="false" ht="15" hidden="false" customHeight="true" outlineLevel="0" collapsed="false">
      <c r="A2981" s="12"/>
      <c r="B2981" s="10"/>
      <c r="C2981" s="15" t="str">
        <f aca="false">IF($B2981="","",IFERROR(INDEX(회원명부!$B$3:$B$502,MATCH($B2981,회원명부!$A$3:$A$502,0)),"미등록회원"))</f>
        <v/>
      </c>
      <c r="D2981" s="13"/>
      <c r="E2981" s="10"/>
      <c r="F2981" s="10"/>
      <c r="G2981" s="10"/>
    </row>
    <row r="2982" customFormat="false" ht="15" hidden="false" customHeight="true" outlineLevel="0" collapsed="false">
      <c r="A2982" s="12"/>
      <c r="B2982" s="10"/>
      <c r="C2982" s="15" t="str">
        <f aca="false">IF($B2982="","",IFERROR(INDEX(회원명부!$B$3:$B$502,MATCH($B2982,회원명부!$A$3:$A$502,0)),"미등록회원"))</f>
        <v/>
      </c>
      <c r="D2982" s="13"/>
      <c r="E2982" s="10"/>
      <c r="F2982" s="10"/>
      <c r="G2982" s="10"/>
    </row>
    <row r="2983" customFormat="false" ht="15" hidden="false" customHeight="true" outlineLevel="0" collapsed="false">
      <c r="A2983" s="12"/>
      <c r="B2983" s="10"/>
      <c r="C2983" s="15" t="str">
        <f aca="false">IF($B2983="","",IFERROR(INDEX(회원명부!$B$3:$B$502,MATCH($B2983,회원명부!$A$3:$A$502,0)),"미등록회원"))</f>
        <v/>
      </c>
      <c r="D2983" s="13"/>
      <c r="E2983" s="10"/>
      <c r="F2983" s="10"/>
      <c r="G2983" s="10"/>
    </row>
    <row r="2984" customFormat="false" ht="15" hidden="false" customHeight="true" outlineLevel="0" collapsed="false">
      <c r="A2984" s="12"/>
      <c r="B2984" s="10"/>
      <c r="C2984" s="15" t="str">
        <f aca="false">IF($B2984="","",IFERROR(INDEX(회원명부!$B$3:$B$502,MATCH($B2984,회원명부!$A$3:$A$502,0)),"미등록회원"))</f>
        <v/>
      </c>
      <c r="D2984" s="13"/>
      <c r="E2984" s="10"/>
      <c r="F2984" s="10"/>
      <c r="G2984" s="10"/>
    </row>
    <row r="2985" customFormat="false" ht="15" hidden="false" customHeight="true" outlineLevel="0" collapsed="false">
      <c r="A2985" s="12"/>
      <c r="B2985" s="10"/>
      <c r="C2985" s="15" t="str">
        <f aca="false">IF($B2985="","",IFERROR(INDEX(회원명부!$B$3:$B$502,MATCH($B2985,회원명부!$A$3:$A$502,0)),"미등록회원"))</f>
        <v/>
      </c>
      <c r="D2985" s="13"/>
      <c r="E2985" s="10"/>
      <c r="F2985" s="10"/>
      <c r="G2985" s="10"/>
    </row>
    <row r="2986" customFormat="false" ht="15" hidden="false" customHeight="true" outlineLevel="0" collapsed="false">
      <c r="A2986" s="12"/>
      <c r="B2986" s="10"/>
      <c r="C2986" s="15" t="str">
        <f aca="false">IF($B2986="","",IFERROR(INDEX(회원명부!$B$3:$B$502,MATCH($B2986,회원명부!$A$3:$A$502,0)),"미등록회원"))</f>
        <v/>
      </c>
      <c r="D2986" s="13"/>
      <c r="E2986" s="10"/>
      <c r="F2986" s="10"/>
      <c r="G2986" s="10"/>
    </row>
    <row r="2987" customFormat="false" ht="15" hidden="false" customHeight="true" outlineLevel="0" collapsed="false">
      <c r="A2987" s="12"/>
      <c r="B2987" s="10"/>
      <c r="C2987" s="15" t="str">
        <f aca="false">IF($B2987="","",IFERROR(INDEX(회원명부!$B$3:$B$502,MATCH($B2987,회원명부!$A$3:$A$502,0)),"미등록회원"))</f>
        <v/>
      </c>
      <c r="D2987" s="13"/>
      <c r="E2987" s="10"/>
      <c r="F2987" s="10"/>
      <c r="G2987" s="10"/>
    </row>
    <row r="2988" customFormat="false" ht="15" hidden="false" customHeight="true" outlineLevel="0" collapsed="false">
      <c r="A2988" s="12"/>
      <c r="B2988" s="10"/>
      <c r="C2988" s="15" t="str">
        <f aca="false">IF($B2988="","",IFERROR(INDEX(회원명부!$B$3:$B$502,MATCH($B2988,회원명부!$A$3:$A$502,0)),"미등록회원"))</f>
        <v/>
      </c>
      <c r="D2988" s="13"/>
      <c r="E2988" s="10"/>
      <c r="F2988" s="10"/>
      <c r="G2988" s="10"/>
    </row>
    <row r="2989" customFormat="false" ht="15" hidden="false" customHeight="true" outlineLevel="0" collapsed="false">
      <c r="A2989" s="12"/>
      <c r="B2989" s="10"/>
      <c r="C2989" s="15" t="str">
        <f aca="false">IF($B2989="","",IFERROR(INDEX(회원명부!$B$3:$B$502,MATCH($B2989,회원명부!$A$3:$A$502,0)),"미등록회원"))</f>
        <v/>
      </c>
      <c r="D2989" s="13"/>
      <c r="E2989" s="10"/>
      <c r="F2989" s="10"/>
      <c r="G2989" s="10"/>
    </row>
    <row r="2990" customFormat="false" ht="15" hidden="false" customHeight="true" outlineLevel="0" collapsed="false">
      <c r="A2990" s="12"/>
      <c r="B2990" s="10"/>
      <c r="C2990" s="15" t="str">
        <f aca="false">IF($B2990="","",IFERROR(INDEX(회원명부!$B$3:$B$502,MATCH($B2990,회원명부!$A$3:$A$502,0)),"미등록회원"))</f>
        <v/>
      </c>
      <c r="D2990" s="13"/>
      <c r="E2990" s="10"/>
      <c r="F2990" s="10"/>
      <c r="G2990" s="10"/>
    </row>
    <row r="2991" customFormat="false" ht="15" hidden="false" customHeight="true" outlineLevel="0" collapsed="false">
      <c r="A2991" s="12"/>
      <c r="B2991" s="10"/>
      <c r="C2991" s="15" t="str">
        <f aca="false">IF($B2991="","",IFERROR(INDEX(회원명부!$B$3:$B$502,MATCH($B2991,회원명부!$A$3:$A$502,0)),"미등록회원"))</f>
        <v/>
      </c>
      <c r="D2991" s="13"/>
      <c r="E2991" s="10"/>
      <c r="F2991" s="10"/>
      <c r="G2991" s="10"/>
    </row>
    <row r="2992" customFormat="false" ht="15" hidden="false" customHeight="true" outlineLevel="0" collapsed="false">
      <c r="A2992" s="12"/>
      <c r="B2992" s="10"/>
      <c r="C2992" s="15" t="str">
        <f aca="false">IF($B2992="","",IFERROR(INDEX(회원명부!$B$3:$B$502,MATCH($B2992,회원명부!$A$3:$A$502,0)),"미등록회원"))</f>
        <v/>
      </c>
      <c r="D2992" s="13"/>
      <c r="E2992" s="10"/>
      <c r="F2992" s="10"/>
      <c r="G2992" s="10"/>
    </row>
    <row r="2993" customFormat="false" ht="15" hidden="false" customHeight="true" outlineLevel="0" collapsed="false">
      <c r="A2993" s="12"/>
      <c r="B2993" s="10"/>
      <c r="C2993" s="15" t="str">
        <f aca="false">IF($B2993="","",IFERROR(INDEX(회원명부!$B$3:$B$502,MATCH($B2993,회원명부!$A$3:$A$502,0)),"미등록회원"))</f>
        <v/>
      </c>
      <c r="D2993" s="13"/>
      <c r="E2993" s="10"/>
      <c r="F2993" s="10"/>
      <c r="G2993" s="10"/>
    </row>
    <row r="2994" customFormat="false" ht="15" hidden="false" customHeight="true" outlineLevel="0" collapsed="false">
      <c r="A2994" s="12"/>
      <c r="B2994" s="10"/>
      <c r="C2994" s="15" t="str">
        <f aca="false">IF($B2994="","",IFERROR(INDEX(회원명부!$B$3:$B$502,MATCH($B2994,회원명부!$A$3:$A$502,0)),"미등록회원"))</f>
        <v/>
      </c>
      <c r="D2994" s="13"/>
      <c r="E2994" s="10"/>
      <c r="F2994" s="10"/>
      <c r="G2994" s="10"/>
    </row>
    <row r="2995" customFormat="false" ht="15" hidden="false" customHeight="true" outlineLevel="0" collapsed="false">
      <c r="A2995" s="12"/>
      <c r="B2995" s="10"/>
      <c r="C2995" s="15" t="str">
        <f aca="false">IF($B2995="","",IFERROR(INDEX(회원명부!$B$3:$B$502,MATCH($B2995,회원명부!$A$3:$A$502,0)),"미등록회원"))</f>
        <v/>
      </c>
      <c r="D2995" s="13"/>
      <c r="E2995" s="10"/>
      <c r="F2995" s="10"/>
      <c r="G2995" s="10"/>
    </row>
    <row r="2996" customFormat="false" ht="15" hidden="false" customHeight="true" outlineLevel="0" collapsed="false">
      <c r="A2996" s="12"/>
      <c r="B2996" s="10"/>
      <c r="C2996" s="15" t="str">
        <f aca="false">IF($B2996="","",IFERROR(INDEX(회원명부!$B$3:$B$502,MATCH($B2996,회원명부!$A$3:$A$502,0)),"미등록회원"))</f>
        <v/>
      </c>
      <c r="D2996" s="13"/>
      <c r="E2996" s="10"/>
      <c r="F2996" s="10"/>
      <c r="G2996" s="10"/>
    </row>
    <row r="2997" customFormat="false" ht="15" hidden="false" customHeight="true" outlineLevel="0" collapsed="false">
      <c r="A2997" s="12"/>
      <c r="B2997" s="10"/>
      <c r="C2997" s="15" t="str">
        <f aca="false">IF($B2997="","",IFERROR(INDEX(회원명부!$B$3:$B$502,MATCH($B2997,회원명부!$A$3:$A$502,0)),"미등록회원"))</f>
        <v/>
      </c>
      <c r="D2997" s="13"/>
      <c r="E2997" s="10"/>
      <c r="F2997" s="10"/>
      <c r="G2997" s="10"/>
    </row>
    <row r="2998" customFormat="false" ht="15" hidden="false" customHeight="true" outlineLevel="0" collapsed="false">
      <c r="A2998" s="12"/>
      <c r="B2998" s="10"/>
      <c r="C2998" s="15" t="str">
        <f aca="false">IF($B2998="","",IFERROR(INDEX(회원명부!$B$3:$B$502,MATCH($B2998,회원명부!$A$3:$A$502,0)),"미등록회원"))</f>
        <v/>
      </c>
      <c r="D2998" s="13"/>
      <c r="E2998" s="10"/>
      <c r="F2998" s="10"/>
      <c r="G2998" s="10"/>
    </row>
    <row r="2999" customFormat="false" ht="15" hidden="false" customHeight="true" outlineLevel="0" collapsed="false">
      <c r="A2999" s="12"/>
      <c r="B2999" s="10"/>
      <c r="C2999" s="15" t="str">
        <f aca="false">IF($B2999="","",IFERROR(INDEX(회원명부!$B$3:$B$502,MATCH($B2999,회원명부!$A$3:$A$502,0)),"미등록회원"))</f>
        <v/>
      </c>
      <c r="D2999" s="13"/>
      <c r="E2999" s="10"/>
      <c r="F2999" s="10"/>
      <c r="G2999" s="10"/>
    </row>
    <row r="3000" customFormat="false" ht="15" hidden="false" customHeight="true" outlineLevel="0" collapsed="false">
      <c r="A3000" s="12"/>
      <c r="B3000" s="10"/>
      <c r="C3000" s="15" t="str">
        <f aca="false">IF($B3000="","",IFERROR(INDEX(회원명부!$B$3:$B$502,MATCH($B3000,회원명부!$A$3:$A$502,0)),"미등록회원"))</f>
        <v/>
      </c>
      <c r="D3000" s="13"/>
      <c r="E3000" s="10"/>
      <c r="F3000" s="10"/>
      <c r="G3000" s="10"/>
    </row>
    <row r="3001" customFormat="false" ht="15" hidden="false" customHeight="true" outlineLevel="0" collapsed="false">
      <c r="A3001" s="12"/>
      <c r="B3001" s="10"/>
      <c r="C3001" s="15" t="str">
        <f aca="false">IF($B3001="","",IFERROR(INDEX(회원명부!$B$3:$B$502,MATCH($B3001,회원명부!$A$3:$A$502,0)),"미등록회원"))</f>
        <v/>
      </c>
      <c r="D3001" s="13"/>
      <c r="E3001" s="10"/>
      <c r="F3001" s="10"/>
      <c r="G3001" s="10"/>
    </row>
    <row r="3002" customFormat="false" ht="15" hidden="false" customHeight="true" outlineLevel="0" collapsed="false">
      <c r="A3002" s="12"/>
      <c r="B3002" s="10"/>
      <c r="C3002" s="15" t="str">
        <f aca="false">IF($B3002="","",IFERROR(INDEX(회원명부!$B$3:$B$502,MATCH($B3002,회원명부!$A$3:$A$502,0)),"미등록회원"))</f>
        <v/>
      </c>
      <c r="D3002" s="13"/>
      <c r="E3002" s="10"/>
      <c r="F3002" s="10"/>
      <c r="G3002" s="10"/>
    </row>
    <row r="3004" customFormat="false" ht="15" hidden="false" customHeight="true" outlineLevel="0" collapsed="false">
      <c r="A3004" s="18" t="s">
        <v>68</v>
      </c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B3:B3002" type="list">
      <formula1>회원명부!$A$3:$A$502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5" min="4" style="1" width="16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14"/>
  </cols>
  <sheetData>
    <row r="1" customFormat="false" ht="25.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70</v>
      </c>
      <c r="B3" s="19" t="n">
        <f aca="true">TODAY()</f>
        <v>46279</v>
      </c>
      <c r="D3" s="3" t="s">
        <v>71</v>
      </c>
      <c r="E3" s="20" t="n">
        <f aca="false">SUMPRODUCT(($A$6:$A$505&lt;&gt;"")*($F$6:$F$505&gt;0)*($F$6:$F$505&lt;=사용안내!$C$18))</f>
        <v>1</v>
      </c>
      <c r="G3" s="3" t="s">
        <v>72</v>
      </c>
      <c r="H3" s="21" t="n">
        <f aca="false">SUMPRODUCT(($A$6:$A$505&lt;&gt;"")*($H$6:$H$505&lt;&gt;"")*($H$6:$H$505&gt;=0)*($H$6:$H$505&lt;=사용안내!$C$17))</f>
        <v>0</v>
      </c>
    </row>
    <row r="5" customFormat="false" ht="15" hidden="false" customHeight="true" outlineLevel="0" collapsed="false">
      <c r="A5" s="9" t="s">
        <v>29</v>
      </c>
      <c r="B5" s="9" t="s">
        <v>30</v>
      </c>
      <c r="C5" s="9" t="s">
        <v>31</v>
      </c>
      <c r="D5" s="9" t="s">
        <v>73</v>
      </c>
      <c r="E5" s="9" t="s">
        <v>74</v>
      </c>
      <c r="F5" s="9" t="s">
        <v>75</v>
      </c>
      <c r="G5" s="9" t="s">
        <v>76</v>
      </c>
      <c r="H5" s="22" t="s">
        <v>77</v>
      </c>
      <c r="I5" s="9" t="s">
        <v>78</v>
      </c>
      <c r="J5" s="9" t="s">
        <v>79</v>
      </c>
    </row>
    <row r="6" customFormat="false" ht="15" hidden="false" customHeight="true" outlineLevel="0" collapsed="false">
      <c r="A6" s="15" t="n">
        <f aca="false">IF(회원명부!$A3="","",회원명부!$A3)</f>
        <v>1001</v>
      </c>
      <c r="B6" s="15" t="str">
        <f aca="false">IF($A6="","",회원명부!$B3)</f>
        <v>김회원</v>
      </c>
      <c r="C6" s="15" t="str">
        <f aca="false">IF($A6="","",회원명부!$C3)</f>
        <v>010-0000-0001</v>
      </c>
      <c r="D6" s="23" t="n">
        <f aca="false">IF($A6="","",SUMIFS(결제내역!$E$3:$E$1002,결제내역!$B$3:$B$1002,$A6))</f>
        <v>21</v>
      </c>
      <c r="E6" s="23" t="n">
        <f aca="false">IF($A6="","",SUMIFS(사용내역!$D$3:$D$3002,사용내역!$B$3:$B$3002,$A6))</f>
        <v>3</v>
      </c>
      <c r="F6" s="23" t="n">
        <f aca="false">IF($A6="","",$D6-$E6)</f>
        <v>18</v>
      </c>
      <c r="G6" s="17" t="n">
        <f aca="false">IF($A6="","",IF(COUNTIFS(결제내역!$B$3:$B$1002,$A6)=0,"",_xlfn.MAXIFS(결제내역!$G$3:$G$1002,결제내역!$B$3:$B$1002,$A6)))</f>
        <v>46329</v>
      </c>
      <c r="H6" s="24" t="n">
        <f aca="true">IF(OR($A6="",$G6=""),"",$G6-TODAY())</f>
        <v>50</v>
      </c>
      <c r="I6" s="16" t="n">
        <f aca="false">IF($A6="","",SUMIFS(결제내역!$H$3:$H$1002,결제내역!$B$3:$B$1002,$A6))</f>
        <v>595000</v>
      </c>
      <c r="J6" s="25" t="str">
        <f aca="false">IF($A6="","",IF($D6=0,"미결제",IF($F6&lt;=0,"횟수소진",IF($H6="","",IF($H6&lt;0,"기간만료",IF(OR($F6&lt;=사용안내!$C$18,$H6&lt;=사용안내!$C$17),"재결제 안내","정상"))))))</f>
        <v>정상</v>
      </c>
    </row>
    <row r="7" customFormat="false" ht="15" hidden="false" customHeight="true" outlineLevel="0" collapsed="false">
      <c r="A7" s="15" t="n">
        <f aca="false">IF(회원명부!$A4="","",회원명부!$A4)</f>
        <v>1002</v>
      </c>
      <c r="B7" s="15" t="str">
        <f aca="false">IF($A7="","",회원명부!$B4)</f>
        <v>이회원</v>
      </c>
      <c r="C7" s="15" t="str">
        <f aca="false">IF($A7="","",회원명부!$C4)</f>
        <v>010-0000-0002</v>
      </c>
      <c r="D7" s="23" t="n">
        <f aca="false">IF($A7="","",SUMIFS(결제내역!$E$3:$E$1002,결제내역!$B$3:$B$1002,$A7))</f>
        <v>10</v>
      </c>
      <c r="E7" s="23" t="n">
        <f aca="false">IF($A7="","",SUMIFS(사용내역!$D$3:$D$3002,사용내역!$B$3:$B$3002,$A7))</f>
        <v>8</v>
      </c>
      <c r="F7" s="23" t="n">
        <f aca="false">IF($A7="","",$D7-$E7)</f>
        <v>2</v>
      </c>
      <c r="G7" s="17" t="n">
        <f aca="false">IF($A7="","",IF(COUNTIFS(결제내역!$B$3:$B$1002,$A7)=0,"",_xlfn.MAXIFS(결제내역!$G$3:$G$1002,결제내역!$B$3:$B$1002,$A7)))</f>
        <v>46297</v>
      </c>
      <c r="H7" s="24" t="n">
        <f aca="true">IF(OR($A7="",$G7=""),"",$G7-TODAY())</f>
        <v>18</v>
      </c>
      <c r="I7" s="16" t="n">
        <f aca="false">IF($A7="","",SUMIFS(결제내역!$H$3:$H$1002,결제내역!$B$3:$B$1002,$A7))</f>
        <v>300000</v>
      </c>
      <c r="J7" s="25" t="str">
        <f aca="false">IF($A7="","",IF($D7=0,"미결제",IF($F7&lt;=0,"횟수소진",IF($H7="","",IF($H7&lt;0,"기간만료",IF(OR($F7&lt;=사용안내!$C$18,$H7&lt;=사용안내!$C$17),"재결제 안내","정상"))))))</f>
        <v>재결제 안내</v>
      </c>
    </row>
    <row r="8" customFormat="false" ht="15" hidden="false" customHeight="true" outlineLevel="0" collapsed="false">
      <c r="A8" s="15" t="n">
        <f aca="false">IF(회원명부!$A5="","",회원명부!$A5)</f>
        <v>1003</v>
      </c>
      <c r="B8" s="15" t="str">
        <f aca="false">IF($A8="","",회원명부!$B5)</f>
        <v>박회원</v>
      </c>
      <c r="C8" s="15" t="str">
        <f aca="false">IF($A8="","",회원명부!$C5)</f>
        <v>010-0000-0003</v>
      </c>
      <c r="D8" s="23" t="n">
        <f aca="false">IF($A8="","",SUMIFS(결제내역!$E$3:$E$1002,결제내역!$B$3:$B$1002,$A8))</f>
        <v>30</v>
      </c>
      <c r="E8" s="23" t="n">
        <f aca="false">IF($A8="","",SUMIFS(사용내역!$D$3:$D$3002,사용내역!$B$3:$B$3002,$A8))</f>
        <v>2</v>
      </c>
      <c r="F8" s="23" t="n">
        <f aca="false">IF($A8="","",$D8-$E8)</f>
        <v>28</v>
      </c>
      <c r="G8" s="17" t="n">
        <f aca="false">IF($A8="","",IF(COUNTIFS(결제내역!$B$3:$B$1002,$A8)=0,"",_xlfn.MAXIFS(결제내역!$G$3:$G$1002,결제내역!$B$3:$B$1002,$A8)))</f>
        <v>46434</v>
      </c>
      <c r="H8" s="24" t="n">
        <f aca="true">IF(OR($A8="",$G8=""),"",$G8-TODAY())</f>
        <v>155</v>
      </c>
      <c r="I8" s="16" t="n">
        <f aca="false">IF($A8="","",SUMIFS(결제내역!$H$3:$H$1002,결제내역!$B$3:$B$1002,$A8))</f>
        <v>780000</v>
      </c>
      <c r="J8" s="25" t="str">
        <f aca="false">IF($A8="","",IF($D8=0,"미결제",IF($F8&lt;=0,"횟수소진",IF($H8="","",IF($H8&lt;0,"기간만료",IF(OR($F8&lt;=사용안내!$C$18,$H8&lt;=사용안내!$C$17),"재결제 안내","정상"))))))</f>
        <v>정상</v>
      </c>
    </row>
    <row r="9" customFormat="false" ht="15" hidden="false" customHeight="true" outlineLevel="0" collapsed="false">
      <c r="A9" s="15" t="str">
        <f aca="false">IF(회원명부!$A6="","",회원명부!$A6)</f>
        <v/>
      </c>
      <c r="B9" s="15" t="str">
        <f aca="false">IF($A9="","",회원명부!$B6)</f>
        <v/>
      </c>
      <c r="C9" s="15" t="str">
        <f aca="false">IF($A9="","",회원명부!$C6)</f>
        <v/>
      </c>
      <c r="D9" s="23" t="str">
        <f aca="false">IF($A9="","",SUMIFS(결제내역!$E$3:$E$1002,결제내역!$B$3:$B$1002,$A9))</f>
        <v/>
      </c>
      <c r="E9" s="23" t="str">
        <f aca="false">IF($A9="","",SUMIFS(사용내역!$D$3:$D$3002,사용내역!$B$3:$B$3002,$A9))</f>
        <v/>
      </c>
      <c r="F9" s="23" t="str">
        <f aca="false">IF($A9="","",$D9-$E9)</f>
        <v/>
      </c>
      <c r="G9" s="17" t="str">
        <f aca="false">IF($A9="","",IF(COUNTIFS(결제내역!$B$3:$B$1002,$A9)=0,"",_xlfn.MAXIFS(결제내역!$G$3:$G$1002,결제내역!$B$3:$B$1002,$A9)))</f>
        <v/>
      </c>
      <c r="H9" s="24" t="str">
        <f aca="true">IF(OR($A9="",$G9=""),"",$G9-TODAY())</f>
        <v/>
      </c>
      <c r="I9" s="16" t="str">
        <f aca="false">IF($A9="","",SUMIFS(결제내역!$H$3:$H$1002,결제내역!$B$3:$B$1002,$A9))</f>
        <v/>
      </c>
      <c r="J9" s="25" t="str">
        <f aca="false">IF($A9="","",IF($D9=0,"미결제",IF($F9&lt;=0,"횟수소진",IF($H9="","",IF($H9&lt;0,"기간만료",IF(OR($F9&lt;=사용안내!$C$18,$H9&lt;=사용안내!$C$17),"재결제 안내","정상"))))))</f>
        <v/>
      </c>
    </row>
    <row r="10" customFormat="false" ht="15" hidden="false" customHeight="true" outlineLevel="0" collapsed="false">
      <c r="A10" s="15" t="str">
        <f aca="false">IF(회원명부!$A7="","",회원명부!$A7)</f>
        <v/>
      </c>
      <c r="B10" s="15" t="str">
        <f aca="false">IF($A10="","",회원명부!$B7)</f>
        <v/>
      </c>
      <c r="C10" s="15" t="str">
        <f aca="false">IF($A10="","",회원명부!$C7)</f>
        <v/>
      </c>
      <c r="D10" s="23" t="str">
        <f aca="false">IF($A10="","",SUMIFS(결제내역!$E$3:$E$1002,결제내역!$B$3:$B$1002,$A10))</f>
        <v/>
      </c>
      <c r="E10" s="23" t="str">
        <f aca="false">IF($A10="","",SUMIFS(사용내역!$D$3:$D$3002,사용내역!$B$3:$B$3002,$A10))</f>
        <v/>
      </c>
      <c r="F10" s="23" t="str">
        <f aca="false">IF($A10="","",$D10-$E10)</f>
        <v/>
      </c>
      <c r="G10" s="17" t="str">
        <f aca="false">IF($A10="","",IF(COUNTIFS(결제내역!$B$3:$B$1002,$A10)=0,"",_xlfn.MAXIFS(결제내역!$G$3:$G$1002,결제내역!$B$3:$B$1002,$A10)))</f>
        <v/>
      </c>
      <c r="H10" s="24" t="str">
        <f aca="true">IF(OR($A10="",$G10=""),"",$G10-TODAY())</f>
        <v/>
      </c>
      <c r="I10" s="16" t="str">
        <f aca="false">IF($A10="","",SUMIFS(결제내역!$H$3:$H$1002,결제내역!$B$3:$B$1002,$A10))</f>
        <v/>
      </c>
      <c r="J10" s="25" t="str">
        <f aca="false">IF($A10="","",IF($D10=0,"미결제",IF($F10&lt;=0,"횟수소진",IF($H10="","",IF($H10&lt;0,"기간만료",IF(OR($F10&lt;=사용안내!$C$18,$H10&lt;=사용안내!$C$17),"재결제 안내","정상"))))))</f>
        <v/>
      </c>
    </row>
    <row r="11" customFormat="false" ht="15" hidden="false" customHeight="true" outlineLevel="0" collapsed="false">
      <c r="A11" s="15" t="str">
        <f aca="false">IF(회원명부!$A8="","",회원명부!$A8)</f>
        <v/>
      </c>
      <c r="B11" s="15" t="str">
        <f aca="false">IF($A11="","",회원명부!$B8)</f>
        <v/>
      </c>
      <c r="C11" s="15" t="str">
        <f aca="false">IF($A11="","",회원명부!$C8)</f>
        <v/>
      </c>
      <c r="D11" s="23" t="str">
        <f aca="false">IF($A11="","",SUMIFS(결제내역!$E$3:$E$1002,결제내역!$B$3:$B$1002,$A11))</f>
        <v/>
      </c>
      <c r="E11" s="23" t="str">
        <f aca="false">IF($A11="","",SUMIFS(사용내역!$D$3:$D$3002,사용내역!$B$3:$B$3002,$A11))</f>
        <v/>
      </c>
      <c r="F11" s="23" t="str">
        <f aca="false">IF($A11="","",$D11-$E11)</f>
        <v/>
      </c>
      <c r="G11" s="17" t="str">
        <f aca="false">IF($A11="","",IF(COUNTIFS(결제내역!$B$3:$B$1002,$A11)=0,"",_xlfn.MAXIFS(결제내역!$G$3:$G$1002,결제내역!$B$3:$B$1002,$A11)))</f>
        <v/>
      </c>
      <c r="H11" s="24" t="str">
        <f aca="true">IF(OR($A11="",$G11=""),"",$G11-TODAY())</f>
        <v/>
      </c>
      <c r="I11" s="16" t="str">
        <f aca="false">IF($A11="","",SUMIFS(결제내역!$H$3:$H$1002,결제내역!$B$3:$B$1002,$A11))</f>
        <v/>
      </c>
      <c r="J11" s="25" t="str">
        <f aca="false">IF($A11="","",IF($D11=0,"미결제",IF($F11&lt;=0,"횟수소진",IF($H11="","",IF($H11&lt;0,"기간만료",IF(OR($F11&lt;=사용안내!$C$18,$H11&lt;=사용안내!$C$17),"재결제 안내","정상"))))))</f>
        <v/>
      </c>
    </row>
    <row r="12" customFormat="false" ht="15" hidden="false" customHeight="true" outlineLevel="0" collapsed="false">
      <c r="A12" s="15" t="str">
        <f aca="false">IF(회원명부!$A9="","",회원명부!$A9)</f>
        <v/>
      </c>
      <c r="B12" s="15" t="str">
        <f aca="false">IF($A12="","",회원명부!$B9)</f>
        <v/>
      </c>
      <c r="C12" s="15" t="str">
        <f aca="false">IF($A12="","",회원명부!$C9)</f>
        <v/>
      </c>
      <c r="D12" s="23" t="str">
        <f aca="false">IF($A12="","",SUMIFS(결제내역!$E$3:$E$1002,결제내역!$B$3:$B$1002,$A12))</f>
        <v/>
      </c>
      <c r="E12" s="23" t="str">
        <f aca="false">IF($A12="","",SUMIFS(사용내역!$D$3:$D$3002,사용내역!$B$3:$B$3002,$A12))</f>
        <v/>
      </c>
      <c r="F12" s="23" t="str">
        <f aca="false">IF($A12="","",$D12-$E12)</f>
        <v/>
      </c>
      <c r="G12" s="17" t="str">
        <f aca="false">IF($A12="","",IF(COUNTIFS(결제내역!$B$3:$B$1002,$A12)=0,"",_xlfn.MAXIFS(결제내역!$G$3:$G$1002,결제내역!$B$3:$B$1002,$A12)))</f>
        <v/>
      </c>
      <c r="H12" s="24" t="str">
        <f aca="true">IF(OR($A12="",$G12=""),"",$G12-TODAY())</f>
        <v/>
      </c>
      <c r="I12" s="16" t="str">
        <f aca="false">IF($A12="","",SUMIFS(결제내역!$H$3:$H$1002,결제내역!$B$3:$B$1002,$A12))</f>
        <v/>
      </c>
      <c r="J12" s="25" t="str">
        <f aca="false">IF($A12="","",IF($D12=0,"미결제",IF($F12&lt;=0,"횟수소진",IF($H12="","",IF($H12&lt;0,"기간만료",IF(OR($F12&lt;=사용안내!$C$18,$H12&lt;=사용안내!$C$17),"재결제 안내","정상"))))))</f>
        <v/>
      </c>
    </row>
    <row r="13" customFormat="false" ht="15" hidden="false" customHeight="true" outlineLevel="0" collapsed="false">
      <c r="A13" s="15" t="str">
        <f aca="false">IF(회원명부!$A10="","",회원명부!$A10)</f>
        <v/>
      </c>
      <c r="B13" s="15" t="str">
        <f aca="false">IF($A13="","",회원명부!$B10)</f>
        <v/>
      </c>
      <c r="C13" s="15" t="str">
        <f aca="false">IF($A13="","",회원명부!$C10)</f>
        <v/>
      </c>
      <c r="D13" s="23" t="str">
        <f aca="false">IF($A13="","",SUMIFS(결제내역!$E$3:$E$1002,결제내역!$B$3:$B$1002,$A13))</f>
        <v/>
      </c>
      <c r="E13" s="23" t="str">
        <f aca="false">IF($A13="","",SUMIFS(사용내역!$D$3:$D$3002,사용내역!$B$3:$B$3002,$A13))</f>
        <v/>
      </c>
      <c r="F13" s="23" t="str">
        <f aca="false">IF($A13="","",$D13-$E13)</f>
        <v/>
      </c>
      <c r="G13" s="17" t="str">
        <f aca="false">IF($A13="","",IF(COUNTIFS(결제내역!$B$3:$B$1002,$A13)=0,"",_xlfn.MAXIFS(결제내역!$G$3:$G$1002,결제내역!$B$3:$B$1002,$A13)))</f>
        <v/>
      </c>
      <c r="H13" s="24" t="str">
        <f aca="true">IF(OR($A13="",$G13=""),"",$G13-TODAY())</f>
        <v/>
      </c>
      <c r="I13" s="16" t="str">
        <f aca="false">IF($A13="","",SUMIFS(결제내역!$H$3:$H$1002,결제내역!$B$3:$B$1002,$A13))</f>
        <v/>
      </c>
      <c r="J13" s="25" t="str">
        <f aca="false">IF($A13="","",IF($D13=0,"미결제",IF($F13&lt;=0,"횟수소진",IF($H13="","",IF($H13&lt;0,"기간만료",IF(OR($F13&lt;=사용안내!$C$18,$H13&lt;=사용안내!$C$17),"재결제 안내","정상"))))))</f>
        <v/>
      </c>
    </row>
    <row r="14" customFormat="false" ht="15" hidden="false" customHeight="true" outlineLevel="0" collapsed="false">
      <c r="A14" s="15" t="str">
        <f aca="false">IF(회원명부!$A11="","",회원명부!$A11)</f>
        <v/>
      </c>
      <c r="B14" s="15" t="str">
        <f aca="false">IF($A14="","",회원명부!$B11)</f>
        <v/>
      </c>
      <c r="C14" s="15" t="str">
        <f aca="false">IF($A14="","",회원명부!$C11)</f>
        <v/>
      </c>
      <c r="D14" s="23" t="str">
        <f aca="false">IF($A14="","",SUMIFS(결제내역!$E$3:$E$1002,결제내역!$B$3:$B$1002,$A14))</f>
        <v/>
      </c>
      <c r="E14" s="23" t="str">
        <f aca="false">IF($A14="","",SUMIFS(사용내역!$D$3:$D$3002,사용내역!$B$3:$B$3002,$A14))</f>
        <v/>
      </c>
      <c r="F14" s="23" t="str">
        <f aca="false">IF($A14="","",$D14-$E14)</f>
        <v/>
      </c>
      <c r="G14" s="17" t="str">
        <f aca="false">IF($A14="","",IF(COUNTIFS(결제내역!$B$3:$B$1002,$A14)=0,"",_xlfn.MAXIFS(결제내역!$G$3:$G$1002,결제내역!$B$3:$B$1002,$A14)))</f>
        <v/>
      </c>
      <c r="H14" s="24" t="str">
        <f aca="true">IF(OR($A14="",$G14=""),"",$G14-TODAY())</f>
        <v/>
      </c>
      <c r="I14" s="16" t="str">
        <f aca="false">IF($A14="","",SUMIFS(결제내역!$H$3:$H$1002,결제내역!$B$3:$B$1002,$A14))</f>
        <v/>
      </c>
      <c r="J14" s="25" t="str">
        <f aca="false">IF($A14="","",IF($D14=0,"미결제",IF($F14&lt;=0,"횟수소진",IF($H14="","",IF($H14&lt;0,"기간만료",IF(OR($F14&lt;=사용안내!$C$18,$H14&lt;=사용안내!$C$17),"재결제 안내","정상"))))))</f>
        <v/>
      </c>
    </row>
    <row r="15" customFormat="false" ht="15" hidden="false" customHeight="true" outlineLevel="0" collapsed="false">
      <c r="A15" s="15" t="str">
        <f aca="false">IF(회원명부!$A12="","",회원명부!$A12)</f>
        <v/>
      </c>
      <c r="B15" s="15" t="str">
        <f aca="false">IF($A15="","",회원명부!$B12)</f>
        <v/>
      </c>
      <c r="C15" s="15" t="str">
        <f aca="false">IF($A15="","",회원명부!$C12)</f>
        <v/>
      </c>
      <c r="D15" s="23" t="str">
        <f aca="false">IF($A15="","",SUMIFS(결제내역!$E$3:$E$1002,결제내역!$B$3:$B$1002,$A15))</f>
        <v/>
      </c>
      <c r="E15" s="23" t="str">
        <f aca="false">IF($A15="","",SUMIFS(사용내역!$D$3:$D$3002,사용내역!$B$3:$B$3002,$A15))</f>
        <v/>
      </c>
      <c r="F15" s="23" t="str">
        <f aca="false">IF($A15="","",$D15-$E15)</f>
        <v/>
      </c>
      <c r="G15" s="17" t="str">
        <f aca="false">IF($A15="","",IF(COUNTIFS(결제내역!$B$3:$B$1002,$A15)=0,"",_xlfn.MAXIFS(결제내역!$G$3:$G$1002,결제내역!$B$3:$B$1002,$A15)))</f>
        <v/>
      </c>
      <c r="H15" s="24" t="str">
        <f aca="true">IF(OR($A15="",$G15=""),"",$G15-TODAY())</f>
        <v/>
      </c>
      <c r="I15" s="16" t="str">
        <f aca="false">IF($A15="","",SUMIFS(결제내역!$H$3:$H$1002,결제내역!$B$3:$B$1002,$A15))</f>
        <v/>
      </c>
      <c r="J15" s="25" t="str">
        <f aca="false">IF($A15="","",IF($D15=0,"미결제",IF($F15&lt;=0,"횟수소진",IF($H15="","",IF($H15&lt;0,"기간만료",IF(OR($F15&lt;=사용안내!$C$18,$H15&lt;=사용안내!$C$17),"재결제 안내","정상"))))))</f>
        <v/>
      </c>
    </row>
    <row r="16" customFormat="false" ht="15" hidden="false" customHeight="true" outlineLevel="0" collapsed="false">
      <c r="A16" s="15" t="str">
        <f aca="false">IF(회원명부!$A13="","",회원명부!$A13)</f>
        <v/>
      </c>
      <c r="B16" s="15" t="str">
        <f aca="false">IF($A16="","",회원명부!$B13)</f>
        <v/>
      </c>
      <c r="C16" s="15" t="str">
        <f aca="false">IF($A16="","",회원명부!$C13)</f>
        <v/>
      </c>
      <c r="D16" s="23" t="str">
        <f aca="false">IF($A16="","",SUMIFS(결제내역!$E$3:$E$1002,결제내역!$B$3:$B$1002,$A16))</f>
        <v/>
      </c>
      <c r="E16" s="23" t="str">
        <f aca="false">IF($A16="","",SUMIFS(사용내역!$D$3:$D$3002,사용내역!$B$3:$B$3002,$A16))</f>
        <v/>
      </c>
      <c r="F16" s="23" t="str">
        <f aca="false">IF($A16="","",$D16-$E16)</f>
        <v/>
      </c>
      <c r="G16" s="17" t="str">
        <f aca="false">IF($A16="","",IF(COUNTIFS(결제내역!$B$3:$B$1002,$A16)=0,"",_xlfn.MAXIFS(결제내역!$G$3:$G$1002,결제내역!$B$3:$B$1002,$A16)))</f>
        <v/>
      </c>
      <c r="H16" s="24" t="str">
        <f aca="true">IF(OR($A16="",$G16=""),"",$G16-TODAY())</f>
        <v/>
      </c>
      <c r="I16" s="16" t="str">
        <f aca="false">IF($A16="","",SUMIFS(결제내역!$H$3:$H$1002,결제내역!$B$3:$B$1002,$A16))</f>
        <v/>
      </c>
      <c r="J16" s="25" t="str">
        <f aca="false">IF($A16="","",IF($D16=0,"미결제",IF($F16&lt;=0,"횟수소진",IF($H16="","",IF($H16&lt;0,"기간만료",IF(OR($F16&lt;=사용안내!$C$18,$H16&lt;=사용안내!$C$17),"재결제 안내","정상"))))))</f>
        <v/>
      </c>
    </row>
    <row r="17" customFormat="false" ht="15" hidden="false" customHeight="true" outlineLevel="0" collapsed="false">
      <c r="A17" s="15" t="str">
        <f aca="false">IF(회원명부!$A14="","",회원명부!$A14)</f>
        <v/>
      </c>
      <c r="B17" s="15" t="str">
        <f aca="false">IF($A17="","",회원명부!$B14)</f>
        <v/>
      </c>
      <c r="C17" s="15" t="str">
        <f aca="false">IF($A17="","",회원명부!$C14)</f>
        <v/>
      </c>
      <c r="D17" s="23" t="str">
        <f aca="false">IF($A17="","",SUMIFS(결제내역!$E$3:$E$1002,결제내역!$B$3:$B$1002,$A17))</f>
        <v/>
      </c>
      <c r="E17" s="23" t="str">
        <f aca="false">IF($A17="","",SUMIFS(사용내역!$D$3:$D$3002,사용내역!$B$3:$B$3002,$A17))</f>
        <v/>
      </c>
      <c r="F17" s="23" t="str">
        <f aca="false">IF($A17="","",$D17-$E17)</f>
        <v/>
      </c>
      <c r="G17" s="17" t="str">
        <f aca="false">IF($A17="","",IF(COUNTIFS(결제내역!$B$3:$B$1002,$A17)=0,"",_xlfn.MAXIFS(결제내역!$G$3:$G$1002,결제내역!$B$3:$B$1002,$A17)))</f>
        <v/>
      </c>
      <c r="H17" s="24" t="str">
        <f aca="true">IF(OR($A17="",$G17=""),"",$G17-TODAY())</f>
        <v/>
      </c>
      <c r="I17" s="16" t="str">
        <f aca="false">IF($A17="","",SUMIFS(결제내역!$H$3:$H$1002,결제내역!$B$3:$B$1002,$A17))</f>
        <v/>
      </c>
      <c r="J17" s="25" t="str">
        <f aca="false">IF($A17="","",IF($D17=0,"미결제",IF($F17&lt;=0,"횟수소진",IF($H17="","",IF($H17&lt;0,"기간만료",IF(OR($F17&lt;=사용안내!$C$18,$H17&lt;=사용안내!$C$17),"재결제 안내","정상"))))))</f>
        <v/>
      </c>
    </row>
    <row r="18" customFormat="false" ht="15" hidden="false" customHeight="true" outlineLevel="0" collapsed="false">
      <c r="A18" s="15" t="str">
        <f aca="false">IF(회원명부!$A15="","",회원명부!$A15)</f>
        <v/>
      </c>
      <c r="B18" s="15" t="str">
        <f aca="false">IF($A18="","",회원명부!$B15)</f>
        <v/>
      </c>
      <c r="C18" s="15" t="str">
        <f aca="false">IF($A18="","",회원명부!$C15)</f>
        <v/>
      </c>
      <c r="D18" s="23" t="str">
        <f aca="false">IF($A18="","",SUMIFS(결제내역!$E$3:$E$1002,결제내역!$B$3:$B$1002,$A18))</f>
        <v/>
      </c>
      <c r="E18" s="23" t="str">
        <f aca="false">IF($A18="","",SUMIFS(사용내역!$D$3:$D$3002,사용내역!$B$3:$B$3002,$A18))</f>
        <v/>
      </c>
      <c r="F18" s="23" t="str">
        <f aca="false">IF($A18="","",$D18-$E18)</f>
        <v/>
      </c>
      <c r="G18" s="17" t="str">
        <f aca="false">IF($A18="","",IF(COUNTIFS(결제내역!$B$3:$B$1002,$A18)=0,"",_xlfn.MAXIFS(결제내역!$G$3:$G$1002,결제내역!$B$3:$B$1002,$A18)))</f>
        <v/>
      </c>
      <c r="H18" s="24" t="str">
        <f aca="true">IF(OR($A18="",$G18=""),"",$G18-TODAY())</f>
        <v/>
      </c>
      <c r="I18" s="16" t="str">
        <f aca="false">IF($A18="","",SUMIFS(결제내역!$H$3:$H$1002,결제내역!$B$3:$B$1002,$A18))</f>
        <v/>
      </c>
      <c r="J18" s="25" t="str">
        <f aca="false">IF($A18="","",IF($D18=0,"미결제",IF($F18&lt;=0,"횟수소진",IF($H18="","",IF($H18&lt;0,"기간만료",IF(OR($F18&lt;=사용안내!$C$18,$H18&lt;=사용안내!$C$17),"재결제 안내","정상"))))))</f>
        <v/>
      </c>
    </row>
    <row r="19" customFormat="false" ht="15" hidden="false" customHeight="true" outlineLevel="0" collapsed="false">
      <c r="A19" s="15" t="str">
        <f aca="false">IF(회원명부!$A16="","",회원명부!$A16)</f>
        <v/>
      </c>
      <c r="B19" s="15" t="str">
        <f aca="false">IF($A19="","",회원명부!$B16)</f>
        <v/>
      </c>
      <c r="C19" s="15" t="str">
        <f aca="false">IF($A19="","",회원명부!$C16)</f>
        <v/>
      </c>
      <c r="D19" s="23" t="str">
        <f aca="false">IF($A19="","",SUMIFS(결제내역!$E$3:$E$1002,결제내역!$B$3:$B$1002,$A19))</f>
        <v/>
      </c>
      <c r="E19" s="23" t="str">
        <f aca="false">IF($A19="","",SUMIFS(사용내역!$D$3:$D$3002,사용내역!$B$3:$B$3002,$A19))</f>
        <v/>
      </c>
      <c r="F19" s="23" t="str">
        <f aca="false">IF($A19="","",$D19-$E19)</f>
        <v/>
      </c>
      <c r="G19" s="17" t="str">
        <f aca="false">IF($A19="","",IF(COUNTIFS(결제내역!$B$3:$B$1002,$A19)=0,"",_xlfn.MAXIFS(결제내역!$G$3:$G$1002,결제내역!$B$3:$B$1002,$A19)))</f>
        <v/>
      </c>
      <c r="H19" s="24" t="str">
        <f aca="true">IF(OR($A19="",$G19=""),"",$G19-TODAY())</f>
        <v/>
      </c>
      <c r="I19" s="16" t="str">
        <f aca="false">IF($A19="","",SUMIFS(결제내역!$H$3:$H$1002,결제내역!$B$3:$B$1002,$A19))</f>
        <v/>
      </c>
      <c r="J19" s="25" t="str">
        <f aca="false">IF($A19="","",IF($D19=0,"미결제",IF($F19&lt;=0,"횟수소진",IF($H19="","",IF($H19&lt;0,"기간만료",IF(OR($F19&lt;=사용안내!$C$18,$H19&lt;=사용안내!$C$17),"재결제 안내","정상"))))))</f>
        <v/>
      </c>
    </row>
    <row r="20" customFormat="false" ht="15" hidden="false" customHeight="true" outlineLevel="0" collapsed="false">
      <c r="A20" s="15" t="str">
        <f aca="false">IF(회원명부!$A17="","",회원명부!$A17)</f>
        <v/>
      </c>
      <c r="B20" s="15" t="str">
        <f aca="false">IF($A20="","",회원명부!$B17)</f>
        <v/>
      </c>
      <c r="C20" s="15" t="str">
        <f aca="false">IF($A20="","",회원명부!$C17)</f>
        <v/>
      </c>
      <c r="D20" s="23" t="str">
        <f aca="false">IF($A20="","",SUMIFS(결제내역!$E$3:$E$1002,결제내역!$B$3:$B$1002,$A20))</f>
        <v/>
      </c>
      <c r="E20" s="23" t="str">
        <f aca="false">IF($A20="","",SUMIFS(사용내역!$D$3:$D$3002,사용내역!$B$3:$B$3002,$A20))</f>
        <v/>
      </c>
      <c r="F20" s="23" t="str">
        <f aca="false">IF($A20="","",$D20-$E20)</f>
        <v/>
      </c>
      <c r="G20" s="17" t="str">
        <f aca="false">IF($A20="","",IF(COUNTIFS(결제내역!$B$3:$B$1002,$A20)=0,"",_xlfn.MAXIFS(결제내역!$G$3:$G$1002,결제내역!$B$3:$B$1002,$A20)))</f>
        <v/>
      </c>
      <c r="H20" s="24" t="str">
        <f aca="true">IF(OR($A20="",$G20=""),"",$G20-TODAY())</f>
        <v/>
      </c>
      <c r="I20" s="16" t="str">
        <f aca="false">IF($A20="","",SUMIFS(결제내역!$H$3:$H$1002,결제내역!$B$3:$B$1002,$A20))</f>
        <v/>
      </c>
      <c r="J20" s="25" t="str">
        <f aca="false">IF($A20="","",IF($D20=0,"미결제",IF($F20&lt;=0,"횟수소진",IF($H20="","",IF($H20&lt;0,"기간만료",IF(OR($F20&lt;=사용안내!$C$18,$H20&lt;=사용안내!$C$17),"재결제 안내","정상"))))))</f>
        <v/>
      </c>
    </row>
    <row r="21" customFormat="false" ht="15" hidden="false" customHeight="true" outlineLevel="0" collapsed="false">
      <c r="A21" s="15" t="str">
        <f aca="false">IF(회원명부!$A18="","",회원명부!$A18)</f>
        <v/>
      </c>
      <c r="B21" s="15" t="str">
        <f aca="false">IF($A21="","",회원명부!$B18)</f>
        <v/>
      </c>
      <c r="C21" s="15" t="str">
        <f aca="false">IF($A21="","",회원명부!$C18)</f>
        <v/>
      </c>
      <c r="D21" s="23" t="str">
        <f aca="false">IF($A21="","",SUMIFS(결제내역!$E$3:$E$1002,결제내역!$B$3:$B$1002,$A21))</f>
        <v/>
      </c>
      <c r="E21" s="23" t="str">
        <f aca="false">IF($A21="","",SUMIFS(사용내역!$D$3:$D$3002,사용내역!$B$3:$B$3002,$A21))</f>
        <v/>
      </c>
      <c r="F21" s="23" t="str">
        <f aca="false">IF($A21="","",$D21-$E21)</f>
        <v/>
      </c>
      <c r="G21" s="17" t="str">
        <f aca="false">IF($A21="","",IF(COUNTIFS(결제내역!$B$3:$B$1002,$A21)=0,"",_xlfn.MAXIFS(결제내역!$G$3:$G$1002,결제내역!$B$3:$B$1002,$A21)))</f>
        <v/>
      </c>
      <c r="H21" s="24" t="str">
        <f aca="true">IF(OR($A21="",$G21=""),"",$G21-TODAY())</f>
        <v/>
      </c>
      <c r="I21" s="16" t="str">
        <f aca="false">IF($A21="","",SUMIFS(결제내역!$H$3:$H$1002,결제내역!$B$3:$B$1002,$A21))</f>
        <v/>
      </c>
      <c r="J21" s="25" t="str">
        <f aca="false">IF($A21="","",IF($D21=0,"미결제",IF($F21&lt;=0,"횟수소진",IF($H21="","",IF($H21&lt;0,"기간만료",IF(OR($F21&lt;=사용안내!$C$18,$H21&lt;=사용안내!$C$17),"재결제 안내","정상"))))))</f>
        <v/>
      </c>
    </row>
    <row r="22" customFormat="false" ht="15" hidden="false" customHeight="true" outlineLevel="0" collapsed="false">
      <c r="A22" s="15" t="str">
        <f aca="false">IF(회원명부!$A19="","",회원명부!$A19)</f>
        <v/>
      </c>
      <c r="B22" s="15" t="str">
        <f aca="false">IF($A22="","",회원명부!$B19)</f>
        <v/>
      </c>
      <c r="C22" s="15" t="str">
        <f aca="false">IF($A22="","",회원명부!$C19)</f>
        <v/>
      </c>
      <c r="D22" s="23" t="str">
        <f aca="false">IF($A22="","",SUMIFS(결제내역!$E$3:$E$1002,결제내역!$B$3:$B$1002,$A22))</f>
        <v/>
      </c>
      <c r="E22" s="23" t="str">
        <f aca="false">IF($A22="","",SUMIFS(사용내역!$D$3:$D$3002,사용내역!$B$3:$B$3002,$A22))</f>
        <v/>
      </c>
      <c r="F22" s="23" t="str">
        <f aca="false">IF($A22="","",$D22-$E22)</f>
        <v/>
      </c>
      <c r="G22" s="17" t="str">
        <f aca="false">IF($A22="","",IF(COUNTIFS(결제내역!$B$3:$B$1002,$A22)=0,"",_xlfn.MAXIFS(결제내역!$G$3:$G$1002,결제내역!$B$3:$B$1002,$A22)))</f>
        <v/>
      </c>
      <c r="H22" s="24" t="str">
        <f aca="true">IF(OR($A22="",$G22=""),"",$G22-TODAY())</f>
        <v/>
      </c>
      <c r="I22" s="16" t="str">
        <f aca="false">IF($A22="","",SUMIFS(결제내역!$H$3:$H$1002,결제내역!$B$3:$B$1002,$A22))</f>
        <v/>
      </c>
      <c r="J22" s="25" t="str">
        <f aca="false">IF($A22="","",IF($D22=0,"미결제",IF($F22&lt;=0,"횟수소진",IF($H22="","",IF($H22&lt;0,"기간만료",IF(OR($F22&lt;=사용안내!$C$18,$H22&lt;=사용안내!$C$17),"재결제 안내","정상"))))))</f>
        <v/>
      </c>
    </row>
    <row r="23" customFormat="false" ht="15" hidden="false" customHeight="true" outlineLevel="0" collapsed="false">
      <c r="A23" s="15" t="str">
        <f aca="false">IF(회원명부!$A20="","",회원명부!$A20)</f>
        <v/>
      </c>
      <c r="B23" s="15" t="str">
        <f aca="false">IF($A23="","",회원명부!$B20)</f>
        <v/>
      </c>
      <c r="C23" s="15" t="str">
        <f aca="false">IF($A23="","",회원명부!$C20)</f>
        <v/>
      </c>
      <c r="D23" s="23" t="str">
        <f aca="false">IF($A23="","",SUMIFS(결제내역!$E$3:$E$1002,결제내역!$B$3:$B$1002,$A23))</f>
        <v/>
      </c>
      <c r="E23" s="23" t="str">
        <f aca="false">IF($A23="","",SUMIFS(사용내역!$D$3:$D$3002,사용내역!$B$3:$B$3002,$A23))</f>
        <v/>
      </c>
      <c r="F23" s="23" t="str">
        <f aca="false">IF($A23="","",$D23-$E23)</f>
        <v/>
      </c>
      <c r="G23" s="17" t="str">
        <f aca="false">IF($A23="","",IF(COUNTIFS(결제내역!$B$3:$B$1002,$A23)=0,"",_xlfn.MAXIFS(결제내역!$G$3:$G$1002,결제내역!$B$3:$B$1002,$A23)))</f>
        <v/>
      </c>
      <c r="H23" s="24" t="str">
        <f aca="true">IF(OR($A23="",$G23=""),"",$G23-TODAY())</f>
        <v/>
      </c>
      <c r="I23" s="16" t="str">
        <f aca="false">IF($A23="","",SUMIFS(결제내역!$H$3:$H$1002,결제내역!$B$3:$B$1002,$A23))</f>
        <v/>
      </c>
      <c r="J23" s="25" t="str">
        <f aca="false">IF($A23="","",IF($D23=0,"미결제",IF($F23&lt;=0,"횟수소진",IF($H23="","",IF($H23&lt;0,"기간만료",IF(OR($F23&lt;=사용안내!$C$18,$H23&lt;=사용안내!$C$17),"재결제 안내","정상"))))))</f>
        <v/>
      </c>
    </row>
    <row r="24" customFormat="false" ht="15" hidden="false" customHeight="true" outlineLevel="0" collapsed="false">
      <c r="A24" s="15" t="str">
        <f aca="false">IF(회원명부!$A21="","",회원명부!$A21)</f>
        <v/>
      </c>
      <c r="B24" s="15" t="str">
        <f aca="false">IF($A24="","",회원명부!$B21)</f>
        <v/>
      </c>
      <c r="C24" s="15" t="str">
        <f aca="false">IF($A24="","",회원명부!$C21)</f>
        <v/>
      </c>
      <c r="D24" s="23" t="str">
        <f aca="false">IF($A24="","",SUMIFS(결제내역!$E$3:$E$1002,결제내역!$B$3:$B$1002,$A24))</f>
        <v/>
      </c>
      <c r="E24" s="23" t="str">
        <f aca="false">IF($A24="","",SUMIFS(사용내역!$D$3:$D$3002,사용내역!$B$3:$B$3002,$A24))</f>
        <v/>
      </c>
      <c r="F24" s="23" t="str">
        <f aca="false">IF($A24="","",$D24-$E24)</f>
        <v/>
      </c>
      <c r="G24" s="17" t="str">
        <f aca="false">IF($A24="","",IF(COUNTIFS(결제내역!$B$3:$B$1002,$A24)=0,"",_xlfn.MAXIFS(결제내역!$G$3:$G$1002,결제내역!$B$3:$B$1002,$A24)))</f>
        <v/>
      </c>
      <c r="H24" s="24" t="str">
        <f aca="true">IF(OR($A24="",$G24=""),"",$G24-TODAY())</f>
        <v/>
      </c>
      <c r="I24" s="16" t="str">
        <f aca="false">IF($A24="","",SUMIFS(결제내역!$H$3:$H$1002,결제내역!$B$3:$B$1002,$A24))</f>
        <v/>
      </c>
      <c r="J24" s="25" t="str">
        <f aca="false">IF($A24="","",IF($D24=0,"미결제",IF($F24&lt;=0,"횟수소진",IF($H24="","",IF($H24&lt;0,"기간만료",IF(OR($F24&lt;=사용안내!$C$18,$H24&lt;=사용안내!$C$17),"재결제 안내","정상"))))))</f>
        <v/>
      </c>
    </row>
    <row r="25" customFormat="false" ht="15" hidden="false" customHeight="true" outlineLevel="0" collapsed="false">
      <c r="A25" s="15" t="str">
        <f aca="false">IF(회원명부!$A22="","",회원명부!$A22)</f>
        <v/>
      </c>
      <c r="B25" s="15" t="str">
        <f aca="false">IF($A25="","",회원명부!$B22)</f>
        <v/>
      </c>
      <c r="C25" s="15" t="str">
        <f aca="false">IF($A25="","",회원명부!$C22)</f>
        <v/>
      </c>
      <c r="D25" s="23" t="str">
        <f aca="false">IF($A25="","",SUMIFS(결제내역!$E$3:$E$1002,결제내역!$B$3:$B$1002,$A25))</f>
        <v/>
      </c>
      <c r="E25" s="23" t="str">
        <f aca="false">IF($A25="","",SUMIFS(사용내역!$D$3:$D$3002,사용내역!$B$3:$B$3002,$A25))</f>
        <v/>
      </c>
      <c r="F25" s="23" t="str">
        <f aca="false">IF($A25="","",$D25-$E25)</f>
        <v/>
      </c>
      <c r="G25" s="17" t="str">
        <f aca="false">IF($A25="","",IF(COUNTIFS(결제내역!$B$3:$B$1002,$A25)=0,"",_xlfn.MAXIFS(결제내역!$G$3:$G$1002,결제내역!$B$3:$B$1002,$A25)))</f>
        <v/>
      </c>
      <c r="H25" s="24" t="str">
        <f aca="true">IF(OR($A25="",$G25=""),"",$G25-TODAY())</f>
        <v/>
      </c>
      <c r="I25" s="16" t="str">
        <f aca="false">IF($A25="","",SUMIFS(결제내역!$H$3:$H$1002,결제내역!$B$3:$B$1002,$A25))</f>
        <v/>
      </c>
      <c r="J25" s="25" t="str">
        <f aca="false">IF($A25="","",IF($D25=0,"미결제",IF($F25&lt;=0,"횟수소진",IF($H25="","",IF($H25&lt;0,"기간만료",IF(OR($F25&lt;=사용안내!$C$18,$H25&lt;=사용안내!$C$17),"재결제 안내","정상"))))))</f>
        <v/>
      </c>
    </row>
    <row r="26" customFormat="false" ht="15" hidden="false" customHeight="true" outlineLevel="0" collapsed="false">
      <c r="A26" s="15" t="str">
        <f aca="false">IF(회원명부!$A23="","",회원명부!$A23)</f>
        <v/>
      </c>
      <c r="B26" s="15" t="str">
        <f aca="false">IF($A26="","",회원명부!$B23)</f>
        <v/>
      </c>
      <c r="C26" s="15" t="str">
        <f aca="false">IF($A26="","",회원명부!$C23)</f>
        <v/>
      </c>
      <c r="D26" s="23" t="str">
        <f aca="false">IF($A26="","",SUMIFS(결제내역!$E$3:$E$1002,결제내역!$B$3:$B$1002,$A26))</f>
        <v/>
      </c>
      <c r="E26" s="23" t="str">
        <f aca="false">IF($A26="","",SUMIFS(사용내역!$D$3:$D$3002,사용내역!$B$3:$B$3002,$A26))</f>
        <v/>
      </c>
      <c r="F26" s="23" t="str">
        <f aca="false">IF($A26="","",$D26-$E26)</f>
        <v/>
      </c>
      <c r="G26" s="17" t="str">
        <f aca="false">IF($A26="","",IF(COUNTIFS(결제내역!$B$3:$B$1002,$A26)=0,"",_xlfn.MAXIFS(결제내역!$G$3:$G$1002,결제내역!$B$3:$B$1002,$A26)))</f>
        <v/>
      </c>
      <c r="H26" s="24" t="str">
        <f aca="true">IF(OR($A26="",$G26=""),"",$G26-TODAY())</f>
        <v/>
      </c>
      <c r="I26" s="16" t="str">
        <f aca="false">IF($A26="","",SUMIFS(결제내역!$H$3:$H$1002,결제내역!$B$3:$B$1002,$A26))</f>
        <v/>
      </c>
      <c r="J26" s="25" t="str">
        <f aca="false">IF($A26="","",IF($D26=0,"미결제",IF($F26&lt;=0,"횟수소진",IF($H26="","",IF($H26&lt;0,"기간만료",IF(OR($F26&lt;=사용안내!$C$18,$H26&lt;=사용안내!$C$17),"재결제 안내","정상"))))))</f>
        <v/>
      </c>
    </row>
    <row r="27" customFormat="false" ht="15" hidden="false" customHeight="true" outlineLevel="0" collapsed="false">
      <c r="A27" s="15" t="str">
        <f aca="false">IF(회원명부!$A24="","",회원명부!$A24)</f>
        <v/>
      </c>
      <c r="B27" s="15" t="str">
        <f aca="false">IF($A27="","",회원명부!$B24)</f>
        <v/>
      </c>
      <c r="C27" s="15" t="str">
        <f aca="false">IF($A27="","",회원명부!$C24)</f>
        <v/>
      </c>
      <c r="D27" s="23" t="str">
        <f aca="false">IF($A27="","",SUMIFS(결제내역!$E$3:$E$1002,결제내역!$B$3:$B$1002,$A27))</f>
        <v/>
      </c>
      <c r="E27" s="23" t="str">
        <f aca="false">IF($A27="","",SUMIFS(사용내역!$D$3:$D$3002,사용내역!$B$3:$B$3002,$A27))</f>
        <v/>
      </c>
      <c r="F27" s="23" t="str">
        <f aca="false">IF($A27="","",$D27-$E27)</f>
        <v/>
      </c>
      <c r="G27" s="17" t="str">
        <f aca="false">IF($A27="","",IF(COUNTIFS(결제내역!$B$3:$B$1002,$A27)=0,"",_xlfn.MAXIFS(결제내역!$G$3:$G$1002,결제내역!$B$3:$B$1002,$A27)))</f>
        <v/>
      </c>
      <c r="H27" s="24" t="str">
        <f aca="true">IF(OR($A27="",$G27=""),"",$G27-TODAY())</f>
        <v/>
      </c>
      <c r="I27" s="16" t="str">
        <f aca="false">IF($A27="","",SUMIFS(결제내역!$H$3:$H$1002,결제내역!$B$3:$B$1002,$A27))</f>
        <v/>
      </c>
      <c r="J27" s="25" t="str">
        <f aca="false">IF($A27="","",IF($D27=0,"미결제",IF($F27&lt;=0,"횟수소진",IF($H27="","",IF($H27&lt;0,"기간만료",IF(OR($F27&lt;=사용안내!$C$18,$H27&lt;=사용안내!$C$17),"재결제 안내","정상"))))))</f>
        <v/>
      </c>
    </row>
    <row r="28" customFormat="false" ht="15" hidden="false" customHeight="true" outlineLevel="0" collapsed="false">
      <c r="A28" s="15" t="str">
        <f aca="false">IF(회원명부!$A25="","",회원명부!$A25)</f>
        <v/>
      </c>
      <c r="B28" s="15" t="str">
        <f aca="false">IF($A28="","",회원명부!$B25)</f>
        <v/>
      </c>
      <c r="C28" s="15" t="str">
        <f aca="false">IF($A28="","",회원명부!$C25)</f>
        <v/>
      </c>
      <c r="D28" s="23" t="str">
        <f aca="false">IF($A28="","",SUMIFS(결제내역!$E$3:$E$1002,결제내역!$B$3:$B$1002,$A28))</f>
        <v/>
      </c>
      <c r="E28" s="23" t="str">
        <f aca="false">IF($A28="","",SUMIFS(사용내역!$D$3:$D$3002,사용내역!$B$3:$B$3002,$A28))</f>
        <v/>
      </c>
      <c r="F28" s="23" t="str">
        <f aca="false">IF($A28="","",$D28-$E28)</f>
        <v/>
      </c>
      <c r="G28" s="17" t="str">
        <f aca="false">IF($A28="","",IF(COUNTIFS(결제내역!$B$3:$B$1002,$A28)=0,"",_xlfn.MAXIFS(결제내역!$G$3:$G$1002,결제내역!$B$3:$B$1002,$A28)))</f>
        <v/>
      </c>
      <c r="H28" s="24" t="str">
        <f aca="true">IF(OR($A28="",$G28=""),"",$G28-TODAY())</f>
        <v/>
      </c>
      <c r="I28" s="16" t="str">
        <f aca="false">IF($A28="","",SUMIFS(결제내역!$H$3:$H$1002,결제내역!$B$3:$B$1002,$A28))</f>
        <v/>
      </c>
      <c r="J28" s="25" t="str">
        <f aca="false">IF($A28="","",IF($D28=0,"미결제",IF($F28&lt;=0,"횟수소진",IF($H28="","",IF($H28&lt;0,"기간만료",IF(OR($F28&lt;=사용안내!$C$18,$H28&lt;=사용안내!$C$17),"재결제 안내","정상"))))))</f>
        <v/>
      </c>
    </row>
    <row r="29" customFormat="false" ht="15" hidden="false" customHeight="true" outlineLevel="0" collapsed="false">
      <c r="A29" s="15" t="str">
        <f aca="false">IF(회원명부!$A26="","",회원명부!$A26)</f>
        <v/>
      </c>
      <c r="B29" s="15" t="str">
        <f aca="false">IF($A29="","",회원명부!$B26)</f>
        <v/>
      </c>
      <c r="C29" s="15" t="str">
        <f aca="false">IF($A29="","",회원명부!$C26)</f>
        <v/>
      </c>
      <c r="D29" s="23" t="str">
        <f aca="false">IF($A29="","",SUMIFS(결제내역!$E$3:$E$1002,결제내역!$B$3:$B$1002,$A29))</f>
        <v/>
      </c>
      <c r="E29" s="23" t="str">
        <f aca="false">IF($A29="","",SUMIFS(사용내역!$D$3:$D$3002,사용내역!$B$3:$B$3002,$A29))</f>
        <v/>
      </c>
      <c r="F29" s="23" t="str">
        <f aca="false">IF($A29="","",$D29-$E29)</f>
        <v/>
      </c>
      <c r="G29" s="17" t="str">
        <f aca="false">IF($A29="","",IF(COUNTIFS(결제내역!$B$3:$B$1002,$A29)=0,"",_xlfn.MAXIFS(결제내역!$G$3:$G$1002,결제내역!$B$3:$B$1002,$A29)))</f>
        <v/>
      </c>
      <c r="H29" s="24" t="str">
        <f aca="true">IF(OR($A29="",$G29=""),"",$G29-TODAY())</f>
        <v/>
      </c>
      <c r="I29" s="16" t="str">
        <f aca="false">IF($A29="","",SUMIFS(결제내역!$H$3:$H$1002,결제내역!$B$3:$B$1002,$A29))</f>
        <v/>
      </c>
      <c r="J29" s="25" t="str">
        <f aca="false">IF($A29="","",IF($D29=0,"미결제",IF($F29&lt;=0,"횟수소진",IF($H29="","",IF($H29&lt;0,"기간만료",IF(OR($F29&lt;=사용안내!$C$18,$H29&lt;=사용안내!$C$17),"재결제 안내","정상"))))))</f>
        <v/>
      </c>
    </row>
    <row r="30" customFormat="false" ht="15" hidden="false" customHeight="true" outlineLevel="0" collapsed="false">
      <c r="A30" s="15" t="str">
        <f aca="false">IF(회원명부!$A27="","",회원명부!$A27)</f>
        <v/>
      </c>
      <c r="B30" s="15" t="str">
        <f aca="false">IF($A30="","",회원명부!$B27)</f>
        <v/>
      </c>
      <c r="C30" s="15" t="str">
        <f aca="false">IF($A30="","",회원명부!$C27)</f>
        <v/>
      </c>
      <c r="D30" s="23" t="str">
        <f aca="false">IF($A30="","",SUMIFS(결제내역!$E$3:$E$1002,결제내역!$B$3:$B$1002,$A30))</f>
        <v/>
      </c>
      <c r="E30" s="23" t="str">
        <f aca="false">IF($A30="","",SUMIFS(사용내역!$D$3:$D$3002,사용내역!$B$3:$B$3002,$A30))</f>
        <v/>
      </c>
      <c r="F30" s="23" t="str">
        <f aca="false">IF($A30="","",$D30-$E30)</f>
        <v/>
      </c>
      <c r="G30" s="17" t="str">
        <f aca="false">IF($A30="","",IF(COUNTIFS(결제내역!$B$3:$B$1002,$A30)=0,"",_xlfn.MAXIFS(결제내역!$G$3:$G$1002,결제내역!$B$3:$B$1002,$A30)))</f>
        <v/>
      </c>
      <c r="H30" s="24" t="str">
        <f aca="true">IF(OR($A30="",$G30=""),"",$G30-TODAY())</f>
        <v/>
      </c>
      <c r="I30" s="16" t="str">
        <f aca="false">IF($A30="","",SUMIFS(결제내역!$H$3:$H$1002,결제내역!$B$3:$B$1002,$A30))</f>
        <v/>
      </c>
      <c r="J30" s="25" t="str">
        <f aca="false">IF($A30="","",IF($D30=0,"미결제",IF($F30&lt;=0,"횟수소진",IF($H30="","",IF($H30&lt;0,"기간만료",IF(OR($F30&lt;=사용안내!$C$18,$H30&lt;=사용안내!$C$17),"재결제 안내","정상"))))))</f>
        <v/>
      </c>
    </row>
    <row r="31" customFormat="false" ht="15" hidden="false" customHeight="true" outlineLevel="0" collapsed="false">
      <c r="A31" s="15" t="str">
        <f aca="false">IF(회원명부!$A28="","",회원명부!$A28)</f>
        <v/>
      </c>
      <c r="B31" s="15" t="str">
        <f aca="false">IF($A31="","",회원명부!$B28)</f>
        <v/>
      </c>
      <c r="C31" s="15" t="str">
        <f aca="false">IF($A31="","",회원명부!$C28)</f>
        <v/>
      </c>
      <c r="D31" s="23" t="str">
        <f aca="false">IF($A31="","",SUMIFS(결제내역!$E$3:$E$1002,결제내역!$B$3:$B$1002,$A31))</f>
        <v/>
      </c>
      <c r="E31" s="23" t="str">
        <f aca="false">IF($A31="","",SUMIFS(사용내역!$D$3:$D$3002,사용내역!$B$3:$B$3002,$A31))</f>
        <v/>
      </c>
      <c r="F31" s="23" t="str">
        <f aca="false">IF($A31="","",$D31-$E31)</f>
        <v/>
      </c>
      <c r="G31" s="17" t="str">
        <f aca="false">IF($A31="","",IF(COUNTIFS(결제내역!$B$3:$B$1002,$A31)=0,"",_xlfn.MAXIFS(결제내역!$G$3:$G$1002,결제내역!$B$3:$B$1002,$A31)))</f>
        <v/>
      </c>
      <c r="H31" s="24" t="str">
        <f aca="true">IF(OR($A31="",$G31=""),"",$G31-TODAY())</f>
        <v/>
      </c>
      <c r="I31" s="16" t="str">
        <f aca="false">IF($A31="","",SUMIFS(결제내역!$H$3:$H$1002,결제내역!$B$3:$B$1002,$A31))</f>
        <v/>
      </c>
      <c r="J31" s="25" t="str">
        <f aca="false">IF($A31="","",IF($D31=0,"미결제",IF($F31&lt;=0,"횟수소진",IF($H31="","",IF($H31&lt;0,"기간만료",IF(OR($F31&lt;=사용안내!$C$18,$H31&lt;=사용안내!$C$17),"재결제 안내","정상"))))))</f>
        <v/>
      </c>
    </row>
    <row r="32" customFormat="false" ht="15" hidden="false" customHeight="true" outlineLevel="0" collapsed="false">
      <c r="A32" s="15" t="str">
        <f aca="false">IF(회원명부!$A29="","",회원명부!$A29)</f>
        <v/>
      </c>
      <c r="B32" s="15" t="str">
        <f aca="false">IF($A32="","",회원명부!$B29)</f>
        <v/>
      </c>
      <c r="C32" s="15" t="str">
        <f aca="false">IF($A32="","",회원명부!$C29)</f>
        <v/>
      </c>
      <c r="D32" s="23" t="str">
        <f aca="false">IF($A32="","",SUMIFS(결제내역!$E$3:$E$1002,결제내역!$B$3:$B$1002,$A32))</f>
        <v/>
      </c>
      <c r="E32" s="23" t="str">
        <f aca="false">IF($A32="","",SUMIFS(사용내역!$D$3:$D$3002,사용내역!$B$3:$B$3002,$A32))</f>
        <v/>
      </c>
      <c r="F32" s="23" t="str">
        <f aca="false">IF($A32="","",$D32-$E32)</f>
        <v/>
      </c>
      <c r="G32" s="17" t="str">
        <f aca="false">IF($A32="","",IF(COUNTIFS(결제내역!$B$3:$B$1002,$A32)=0,"",_xlfn.MAXIFS(결제내역!$G$3:$G$1002,결제내역!$B$3:$B$1002,$A32)))</f>
        <v/>
      </c>
      <c r="H32" s="24" t="str">
        <f aca="true">IF(OR($A32="",$G32=""),"",$G32-TODAY())</f>
        <v/>
      </c>
      <c r="I32" s="16" t="str">
        <f aca="false">IF($A32="","",SUMIFS(결제내역!$H$3:$H$1002,결제내역!$B$3:$B$1002,$A32))</f>
        <v/>
      </c>
      <c r="J32" s="25" t="str">
        <f aca="false">IF($A32="","",IF($D32=0,"미결제",IF($F32&lt;=0,"횟수소진",IF($H32="","",IF($H32&lt;0,"기간만료",IF(OR($F32&lt;=사용안내!$C$18,$H32&lt;=사용안내!$C$17),"재결제 안내","정상"))))))</f>
        <v/>
      </c>
    </row>
    <row r="33" customFormat="false" ht="15" hidden="false" customHeight="true" outlineLevel="0" collapsed="false">
      <c r="A33" s="15" t="str">
        <f aca="false">IF(회원명부!$A30="","",회원명부!$A30)</f>
        <v/>
      </c>
      <c r="B33" s="15" t="str">
        <f aca="false">IF($A33="","",회원명부!$B30)</f>
        <v/>
      </c>
      <c r="C33" s="15" t="str">
        <f aca="false">IF($A33="","",회원명부!$C30)</f>
        <v/>
      </c>
      <c r="D33" s="23" t="str">
        <f aca="false">IF($A33="","",SUMIFS(결제내역!$E$3:$E$1002,결제내역!$B$3:$B$1002,$A33))</f>
        <v/>
      </c>
      <c r="E33" s="23" t="str">
        <f aca="false">IF($A33="","",SUMIFS(사용내역!$D$3:$D$3002,사용내역!$B$3:$B$3002,$A33))</f>
        <v/>
      </c>
      <c r="F33" s="23" t="str">
        <f aca="false">IF($A33="","",$D33-$E33)</f>
        <v/>
      </c>
      <c r="G33" s="17" t="str">
        <f aca="false">IF($A33="","",IF(COUNTIFS(결제내역!$B$3:$B$1002,$A33)=0,"",_xlfn.MAXIFS(결제내역!$G$3:$G$1002,결제내역!$B$3:$B$1002,$A33)))</f>
        <v/>
      </c>
      <c r="H33" s="24" t="str">
        <f aca="true">IF(OR($A33="",$G33=""),"",$G33-TODAY())</f>
        <v/>
      </c>
      <c r="I33" s="16" t="str">
        <f aca="false">IF($A33="","",SUMIFS(결제내역!$H$3:$H$1002,결제내역!$B$3:$B$1002,$A33))</f>
        <v/>
      </c>
      <c r="J33" s="25" t="str">
        <f aca="false">IF($A33="","",IF($D33=0,"미결제",IF($F33&lt;=0,"횟수소진",IF($H33="","",IF($H33&lt;0,"기간만료",IF(OR($F33&lt;=사용안내!$C$18,$H33&lt;=사용안내!$C$17),"재결제 안내","정상"))))))</f>
        <v/>
      </c>
    </row>
    <row r="34" customFormat="false" ht="15" hidden="false" customHeight="true" outlineLevel="0" collapsed="false">
      <c r="A34" s="15" t="str">
        <f aca="false">IF(회원명부!$A31="","",회원명부!$A31)</f>
        <v/>
      </c>
      <c r="B34" s="15" t="str">
        <f aca="false">IF($A34="","",회원명부!$B31)</f>
        <v/>
      </c>
      <c r="C34" s="15" t="str">
        <f aca="false">IF($A34="","",회원명부!$C31)</f>
        <v/>
      </c>
      <c r="D34" s="23" t="str">
        <f aca="false">IF($A34="","",SUMIFS(결제내역!$E$3:$E$1002,결제내역!$B$3:$B$1002,$A34))</f>
        <v/>
      </c>
      <c r="E34" s="23" t="str">
        <f aca="false">IF($A34="","",SUMIFS(사용내역!$D$3:$D$3002,사용내역!$B$3:$B$3002,$A34))</f>
        <v/>
      </c>
      <c r="F34" s="23" t="str">
        <f aca="false">IF($A34="","",$D34-$E34)</f>
        <v/>
      </c>
      <c r="G34" s="17" t="str">
        <f aca="false">IF($A34="","",IF(COUNTIFS(결제내역!$B$3:$B$1002,$A34)=0,"",_xlfn.MAXIFS(결제내역!$G$3:$G$1002,결제내역!$B$3:$B$1002,$A34)))</f>
        <v/>
      </c>
      <c r="H34" s="24" t="str">
        <f aca="true">IF(OR($A34="",$G34=""),"",$G34-TODAY())</f>
        <v/>
      </c>
      <c r="I34" s="16" t="str">
        <f aca="false">IF($A34="","",SUMIFS(결제내역!$H$3:$H$1002,결제내역!$B$3:$B$1002,$A34))</f>
        <v/>
      </c>
      <c r="J34" s="25" t="str">
        <f aca="false">IF($A34="","",IF($D34=0,"미결제",IF($F34&lt;=0,"횟수소진",IF($H34="","",IF($H34&lt;0,"기간만료",IF(OR($F34&lt;=사용안내!$C$18,$H34&lt;=사용안내!$C$17),"재결제 안내","정상"))))))</f>
        <v/>
      </c>
    </row>
    <row r="35" customFormat="false" ht="15" hidden="false" customHeight="true" outlineLevel="0" collapsed="false">
      <c r="A35" s="15" t="str">
        <f aca="false">IF(회원명부!$A32="","",회원명부!$A32)</f>
        <v/>
      </c>
      <c r="B35" s="15" t="str">
        <f aca="false">IF($A35="","",회원명부!$B32)</f>
        <v/>
      </c>
      <c r="C35" s="15" t="str">
        <f aca="false">IF($A35="","",회원명부!$C32)</f>
        <v/>
      </c>
      <c r="D35" s="23" t="str">
        <f aca="false">IF($A35="","",SUMIFS(결제내역!$E$3:$E$1002,결제내역!$B$3:$B$1002,$A35))</f>
        <v/>
      </c>
      <c r="E35" s="23" t="str">
        <f aca="false">IF($A35="","",SUMIFS(사용내역!$D$3:$D$3002,사용내역!$B$3:$B$3002,$A35))</f>
        <v/>
      </c>
      <c r="F35" s="23" t="str">
        <f aca="false">IF($A35="","",$D35-$E35)</f>
        <v/>
      </c>
      <c r="G35" s="17" t="str">
        <f aca="false">IF($A35="","",IF(COUNTIFS(결제내역!$B$3:$B$1002,$A35)=0,"",_xlfn.MAXIFS(결제내역!$G$3:$G$1002,결제내역!$B$3:$B$1002,$A35)))</f>
        <v/>
      </c>
      <c r="H35" s="24" t="str">
        <f aca="true">IF(OR($A35="",$G35=""),"",$G35-TODAY())</f>
        <v/>
      </c>
      <c r="I35" s="16" t="str">
        <f aca="false">IF($A35="","",SUMIFS(결제내역!$H$3:$H$1002,결제내역!$B$3:$B$1002,$A35))</f>
        <v/>
      </c>
      <c r="J35" s="25" t="str">
        <f aca="false">IF($A35="","",IF($D35=0,"미결제",IF($F35&lt;=0,"횟수소진",IF($H35="","",IF($H35&lt;0,"기간만료",IF(OR($F35&lt;=사용안내!$C$18,$H35&lt;=사용안내!$C$17),"재결제 안내","정상"))))))</f>
        <v/>
      </c>
    </row>
    <row r="36" customFormat="false" ht="15" hidden="false" customHeight="true" outlineLevel="0" collapsed="false">
      <c r="A36" s="15" t="str">
        <f aca="false">IF(회원명부!$A33="","",회원명부!$A33)</f>
        <v/>
      </c>
      <c r="B36" s="15" t="str">
        <f aca="false">IF($A36="","",회원명부!$B33)</f>
        <v/>
      </c>
      <c r="C36" s="15" t="str">
        <f aca="false">IF($A36="","",회원명부!$C33)</f>
        <v/>
      </c>
      <c r="D36" s="23" t="str">
        <f aca="false">IF($A36="","",SUMIFS(결제내역!$E$3:$E$1002,결제내역!$B$3:$B$1002,$A36))</f>
        <v/>
      </c>
      <c r="E36" s="23" t="str">
        <f aca="false">IF($A36="","",SUMIFS(사용내역!$D$3:$D$3002,사용내역!$B$3:$B$3002,$A36))</f>
        <v/>
      </c>
      <c r="F36" s="23" t="str">
        <f aca="false">IF($A36="","",$D36-$E36)</f>
        <v/>
      </c>
      <c r="G36" s="17" t="str">
        <f aca="false">IF($A36="","",IF(COUNTIFS(결제내역!$B$3:$B$1002,$A36)=0,"",_xlfn.MAXIFS(결제내역!$G$3:$G$1002,결제내역!$B$3:$B$1002,$A36)))</f>
        <v/>
      </c>
      <c r="H36" s="24" t="str">
        <f aca="true">IF(OR($A36="",$G36=""),"",$G36-TODAY())</f>
        <v/>
      </c>
      <c r="I36" s="16" t="str">
        <f aca="false">IF($A36="","",SUMIFS(결제내역!$H$3:$H$1002,결제내역!$B$3:$B$1002,$A36))</f>
        <v/>
      </c>
      <c r="J36" s="25" t="str">
        <f aca="false">IF($A36="","",IF($D36=0,"미결제",IF($F36&lt;=0,"횟수소진",IF($H36="","",IF($H36&lt;0,"기간만료",IF(OR($F36&lt;=사용안내!$C$18,$H36&lt;=사용안내!$C$17),"재결제 안내","정상"))))))</f>
        <v/>
      </c>
    </row>
    <row r="37" customFormat="false" ht="15" hidden="false" customHeight="true" outlineLevel="0" collapsed="false">
      <c r="A37" s="15" t="str">
        <f aca="false">IF(회원명부!$A34="","",회원명부!$A34)</f>
        <v/>
      </c>
      <c r="B37" s="15" t="str">
        <f aca="false">IF($A37="","",회원명부!$B34)</f>
        <v/>
      </c>
      <c r="C37" s="15" t="str">
        <f aca="false">IF($A37="","",회원명부!$C34)</f>
        <v/>
      </c>
      <c r="D37" s="23" t="str">
        <f aca="false">IF($A37="","",SUMIFS(결제내역!$E$3:$E$1002,결제내역!$B$3:$B$1002,$A37))</f>
        <v/>
      </c>
      <c r="E37" s="23" t="str">
        <f aca="false">IF($A37="","",SUMIFS(사용내역!$D$3:$D$3002,사용내역!$B$3:$B$3002,$A37))</f>
        <v/>
      </c>
      <c r="F37" s="23" t="str">
        <f aca="false">IF($A37="","",$D37-$E37)</f>
        <v/>
      </c>
      <c r="G37" s="17" t="str">
        <f aca="false">IF($A37="","",IF(COUNTIFS(결제내역!$B$3:$B$1002,$A37)=0,"",_xlfn.MAXIFS(결제내역!$G$3:$G$1002,결제내역!$B$3:$B$1002,$A37)))</f>
        <v/>
      </c>
      <c r="H37" s="24" t="str">
        <f aca="true">IF(OR($A37="",$G37=""),"",$G37-TODAY())</f>
        <v/>
      </c>
      <c r="I37" s="16" t="str">
        <f aca="false">IF($A37="","",SUMIFS(결제내역!$H$3:$H$1002,결제내역!$B$3:$B$1002,$A37))</f>
        <v/>
      </c>
      <c r="J37" s="25" t="str">
        <f aca="false">IF($A37="","",IF($D37=0,"미결제",IF($F37&lt;=0,"횟수소진",IF($H37="","",IF($H37&lt;0,"기간만료",IF(OR($F37&lt;=사용안내!$C$18,$H37&lt;=사용안내!$C$17),"재결제 안내","정상"))))))</f>
        <v/>
      </c>
    </row>
    <row r="38" customFormat="false" ht="15" hidden="false" customHeight="true" outlineLevel="0" collapsed="false">
      <c r="A38" s="15" t="str">
        <f aca="false">IF(회원명부!$A35="","",회원명부!$A35)</f>
        <v/>
      </c>
      <c r="B38" s="15" t="str">
        <f aca="false">IF($A38="","",회원명부!$B35)</f>
        <v/>
      </c>
      <c r="C38" s="15" t="str">
        <f aca="false">IF($A38="","",회원명부!$C35)</f>
        <v/>
      </c>
      <c r="D38" s="23" t="str">
        <f aca="false">IF($A38="","",SUMIFS(결제내역!$E$3:$E$1002,결제내역!$B$3:$B$1002,$A38))</f>
        <v/>
      </c>
      <c r="E38" s="23" t="str">
        <f aca="false">IF($A38="","",SUMIFS(사용내역!$D$3:$D$3002,사용내역!$B$3:$B$3002,$A38))</f>
        <v/>
      </c>
      <c r="F38" s="23" t="str">
        <f aca="false">IF($A38="","",$D38-$E38)</f>
        <v/>
      </c>
      <c r="G38" s="17" t="str">
        <f aca="false">IF($A38="","",IF(COUNTIFS(결제내역!$B$3:$B$1002,$A38)=0,"",_xlfn.MAXIFS(결제내역!$G$3:$G$1002,결제내역!$B$3:$B$1002,$A38)))</f>
        <v/>
      </c>
      <c r="H38" s="24" t="str">
        <f aca="true">IF(OR($A38="",$G38=""),"",$G38-TODAY())</f>
        <v/>
      </c>
      <c r="I38" s="16" t="str">
        <f aca="false">IF($A38="","",SUMIFS(결제내역!$H$3:$H$1002,결제내역!$B$3:$B$1002,$A38))</f>
        <v/>
      </c>
      <c r="J38" s="25" t="str">
        <f aca="false">IF($A38="","",IF($D38=0,"미결제",IF($F38&lt;=0,"횟수소진",IF($H38="","",IF($H38&lt;0,"기간만료",IF(OR($F38&lt;=사용안내!$C$18,$H38&lt;=사용안내!$C$17),"재결제 안내","정상"))))))</f>
        <v/>
      </c>
    </row>
    <row r="39" customFormat="false" ht="15" hidden="false" customHeight="true" outlineLevel="0" collapsed="false">
      <c r="A39" s="15" t="str">
        <f aca="false">IF(회원명부!$A36="","",회원명부!$A36)</f>
        <v/>
      </c>
      <c r="B39" s="15" t="str">
        <f aca="false">IF($A39="","",회원명부!$B36)</f>
        <v/>
      </c>
      <c r="C39" s="15" t="str">
        <f aca="false">IF($A39="","",회원명부!$C36)</f>
        <v/>
      </c>
      <c r="D39" s="23" t="str">
        <f aca="false">IF($A39="","",SUMIFS(결제내역!$E$3:$E$1002,결제내역!$B$3:$B$1002,$A39))</f>
        <v/>
      </c>
      <c r="E39" s="23" t="str">
        <f aca="false">IF($A39="","",SUMIFS(사용내역!$D$3:$D$3002,사용내역!$B$3:$B$3002,$A39))</f>
        <v/>
      </c>
      <c r="F39" s="23" t="str">
        <f aca="false">IF($A39="","",$D39-$E39)</f>
        <v/>
      </c>
      <c r="G39" s="17" t="str">
        <f aca="false">IF($A39="","",IF(COUNTIFS(결제내역!$B$3:$B$1002,$A39)=0,"",_xlfn.MAXIFS(결제내역!$G$3:$G$1002,결제내역!$B$3:$B$1002,$A39)))</f>
        <v/>
      </c>
      <c r="H39" s="24" t="str">
        <f aca="true">IF(OR($A39="",$G39=""),"",$G39-TODAY())</f>
        <v/>
      </c>
      <c r="I39" s="16" t="str">
        <f aca="false">IF($A39="","",SUMIFS(결제내역!$H$3:$H$1002,결제내역!$B$3:$B$1002,$A39))</f>
        <v/>
      </c>
      <c r="J39" s="25" t="str">
        <f aca="false">IF($A39="","",IF($D39=0,"미결제",IF($F39&lt;=0,"횟수소진",IF($H39="","",IF($H39&lt;0,"기간만료",IF(OR($F39&lt;=사용안내!$C$18,$H39&lt;=사용안내!$C$17),"재결제 안내","정상"))))))</f>
        <v/>
      </c>
    </row>
    <row r="40" customFormat="false" ht="15" hidden="false" customHeight="true" outlineLevel="0" collapsed="false">
      <c r="A40" s="15" t="str">
        <f aca="false">IF(회원명부!$A37="","",회원명부!$A37)</f>
        <v/>
      </c>
      <c r="B40" s="15" t="str">
        <f aca="false">IF($A40="","",회원명부!$B37)</f>
        <v/>
      </c>
      <c r="C40" s="15" t="str">
        <f aca="false">IF($A40="","",회원명부!$C37)</f>
        <v/>
      </c>
      <c r="D40" s="23" t="str">
        <f aca="false">IF($A40="","",SUMIFS(결제내역!$E$3:$E$1002,결제내역!$B$3:$B$1002,$A40))</f>
        <v/>
      </c>
      <c r="E40" s="23" t="str">
        <f aca="false">IF($A40="","",SUMIFS(사용내역!$D$3:$D$3002,사용내역!$B$3:$B$3002,$A40))</f>
        <v/>
      </c>
      <c r="F40" s="23" t="str">
        <f aca="false">IF($A40="","",$D40-$E40)</f>
        <v/>
      </c>
      <c r="G40" s="17" t="str">
        <f aca="false">IF($A40="","",IF(COUNTIFS(결제내역!$B$3:$B$1002,$A40)=0,"",_xlfn.MAXIFS(결제내역!$G$3:$G$1002,결제내역!$B$3:$B$1002,$A40)))</f>
        <v/>
      </c>
      <c r="H40" s="24" t="str">
        <f aca="true">IF(OR($A40="",$G40=""),"",$G40-TODAY())</f>
        <v/>
      </c>
      <c r="I40" s="16" t="str">
        <f aca="false">IF($A40="","",SUMIFS(결제내역!$H$3:$H$1002,결제내역!$B$3:$B$1002,$A40))</f>
        <v/>
      </c>
      <c r="J40" s="25" t="str">
        <f aca="false">IF($A40="","",IF($D40=0,"미결제",IF($F40&lt;=0,"횟수소진",IF($H40="","",IF($H40&lt;0,"기간만료",IF(OR($F40&lt;=사용안내!$C$18,$H40&lt;=사용안내!$C$17),"재결제 안내","정상"))))))</f>
        <v/>
      </c>
    </row>
    <row r="41" customFormat="false" ht="15" hidden="false" customHeight="true" outlineLevel="0" collapsed="false">
      <c r="A41" s="15" t="str">
        <f aca="false">IF(회원명부!$A38="","",회원명부!$A38)</f>
        <v/>
      </c>
      <c r="B41" s="15" t="str">
        <f aca="false">IF($A41="","",회원명부!$B38)</f>
        <v/>
      </c>
      <c r="C41" s="15" t="str">
        <f aca="false">IF($A41="","",회원명부!$C38)</f>
        <v/>
      </c>
      <c r="D41" s="23" t="str">
        <f aca="false">IF($A41="","",SUMIFS(결제내역!$E$3:$E$1002,결제내역!$B$3:$B$1002,$A41))</f>
        <v/>
      </c>
      <c r="E41" s="23" t="str">
        <f aca="false">IF($A41="","",SUMIFS(사용내역!$D$3:$D$3002,사용내역!$B$3:$B$3002,$A41))</f>
        <v/>
      </c>
      <c r="F41" s="23" t="str">
        <f aca="false">IF($A41="","",$D41-$E41)</f>
        <v/>
      </c>
      <c r="G41" s="17" t="str">
        <f aca="false">IF($A41="","",IF(COUNTIFS(결제내역!$B$3:$B$1002,$A41)=0,"",_xlfn.MAXIFS(결제내역!$G$3:$G$1002,결제내역!$B$3:$B$1002,$A41)))</f>
        <v/>
      </c>
      <c r="H41" s="24" t="str">
        <f aca="true">IF(OR($A41="",$G41=""),"",$G41-TODAY())</f>
        <v/>
      </c>
      <c r="I41" s="16" t="str">
        <f aca="false">IF($A41="","",SUMIFS(결제내역!$H$3:$H$1002,결제내역!$B$3:$B$1002,$A41))</f>
        <v/>
      </c>
      <c r="J41" s="25" t="str">
        <f aca="false">IF($A41="","",IF($D41=0,"미결제",IF($F41&lt;=0,"횟수소진",IF($H41="","",IF($H41&lt;0,"기간만료",IF(OR($F41&lt;=사용안내!$C$18,$H41&lt;=사용안내!$C$17),"재결제 안내","정상"))))))</f>
        <v/>
      </c>
    </row>
    <row r="42" customFormat="false" ht="15" hidden="false" customHeight="true" outlineLevel="0" collapsed="false">
      <c r="A42" s="15" t="str">
        <f aca="false">IF(회원명부!$A39="","",회원명부!$A39)</f>
        <v/>
      </c>
      <c r="B42" s="15" t="str">
        <f aca="false">IF($A42="","",회원명부!$B39)</f>
        <v/>
      </c>
      <c r="C42" s="15" t="str">
        <f aca="false">IF($A42="","",회원명부!$C39)</f>
        <v/>
      </c>
      <c r="D42" s="23" t="str">
        <f aca="false">IF($A42="","",SUMIFS(결제내역!$E$3:$E$1002,결제내역!$B$3:$B$1002,$A42))</f>
        <v/>
      </c>
      <c r="E42" s="23" t="str">
        <f aca="false">IF($A42="","",SUMIFS(사용내역!$D$3:$D$3002,사용내역!$B$3:$B$3002,$A42))</f>
        <v/>
      </c>
      <c r="F42" s="23" t="str">
        <f aca="false">IF($A42="","",$D42-$E42)</f>
        <v/>
      </c>
      <c r="G42" s="17" t="str">
        <f aca="false">IF($A42="","",IF(COUNTIFS(결제내역!$B$3:$B$1002,$A42)=0,"",_xlfn.MAXIFS(결제내역!$G$3:$G$1002,결제내역!$B$3:$B$1002,$A42)))</f>
        <v/>
      </c>
      <c r="H42" s="24" t="str">
        <f aca="true">IF(OR($A42="",$G42=""),"",$G42-TODAY())</f>
        <v/>
      </c>
      <c r="I42" s="16" t="str">
        <f aca="false">IF($A42="","",SUMIFS(결제내역!$H$3:$H$1002,결제내역!$B$3:$B$1002,$A42))</f>
        <v/>
      </c>
      <c r="J42" s="25" t="str">
        <f aca="false">IF($A42="","",IF($D42=0,"미결제",IF($F42&lt;=0,"횟수소진",IF($H42="","",IF($H42&lt;0,"기간만료",IF(OR($F42&lt;=사용안내!$C$18,$H42&lt;=사용안내!$C$17),"재결제 안내","정상"))))))</f>
        <v/>
      </c>
    </row>
    <row r="43" customFormat="false" ht="15" hidden="false" customHeight="true" outlineLevel="0" collapsed="false">
      <c r="A43" s="15" t="str">
        <f aca="false">IF(회원명부!$A40="","",회원명부!$A40)</f>
        <v/>
      </c>
      <c r="B43" s="15" t="str">
        <f aca="false">IF($A43="","",회원명부!$B40)</f>
        <v/>
      </c>
      <c r="C43" s="15" t="str">
        <f aca="false">IF($A43="","",회원명부!$C40)</f>
        <v/>
      </c>
      <c r="D43" s="23" t="str">
        <f aca="false">IF($A43="","",SUMIFS(결제내역!$E$3:$E$1002,결제내역!$B$3:$B$1002,$A43))</f>
        <v/>
      </c>
      <c r="E43" s="23" t="str">
        <f aca="false">IF($A43="","",SUMIFS(사용내역!$D$3:$D$3002,사용내역!$B$3:$B$3002,$A43))</f>
        <v/>
      </c>
      <c r="F43" s="23" t="str">
        <f aca="false">IF($A43="","",$D43-$E43)</f>
        <v/>
      </c>
      <c r="G43" s="17" t="str">
        <f aca="false">IF($A43="","",IF(COUNTIFS(결제내역!$B$3:$B$1002,$A43)=0,"",_xlfn.MAXIFS(결제내역!$G$3:$G$1002,결제내역!$B$3:$B$1002,$A43)))</f>
        <v/>
      </c>
      <c r="H43" s="24" t="str">
        <f aca="true">IF(OR($A43="",$G43=""),"",$G43-TODAY())</f>
        <v/>
      </c>
      <c r="I43" s="16" t="str">
        <f aca="false">IF($A43="","",SUMIFS(결제내역!$H$3:$H$1002,결제내역!$B$3:$B$1002,$A43))</f>
        <v/>
      </c>
      <c r="J43" s="25" t="str">
        <f aca="false">IF($A43="","",IF($D43=0,"미결제",IF($F43&lt;=0,"횟수소진",IF($H43="","",IF($H43&lt;0,"기간만료",IF(OR($F43&lt;=사용안내!$C$18,$H43&lt;=사용안내!$C$17),"재결제 안내","정상"))))))</f>
        <v/>
      </c>
    </row>
    <row r="44" customFormat="false" ht="15" hidden="false" customHeight="true" outlineLevel="0" collapsed="false">
      <c r="A44" s="15" t="str">
        <f aca="false">IF(회원명부!$A41="","",회원명부!$A41)</f>
        <v/>
      </c>
      <c r="B44" s="15" t="str">
        <f aca="false">IF($A44="","",회원명부!$B41)</f>
        <v/>
      </c>
      <c r="C44" s="15" t="str">
        <f aca="false">IF($A44="","",회원명부!$C41)</f>
        <v/>
      </c>
      <c r="D44" s="23" t="str">
        <f aca="false">IF($A44="","",SUMIFS(결제내역!$E$3:$E$1002,결제내역!$B$3:$B$1002,$A44))</f>
        <v/>
      </c>
      <c r="E44" s="23" t="str">
        <f aca="false">IF($A44="","",SUMIFS(사용내역!$D$3:$D$3002,사용내역!$B$3:$B$3002,$A44))</f>
        <v/>
      </c>
      <c r="F44" s="23" t="str">
        <f aca="false">IF($A44="","",$D44-$E44)</f>
        <v/>
      </c>
      <c r="G44" s="17" t="str">
        <f aca="false">IF($A44="","",IF(COUNTIFS(결제내역!$B$3:$B$1002,$A44)=0,"",_xlfn.MAXIFS(결제내역!$G$3:$G$1002,결제내역!$B$3:$B$1002,$A44)))</f>
        <v/>
      </c>
      <c r="H44" s="24" t="str">
        <f aca="true">IF(OR($A44="",$G44=""),"",$G44-TODAY())</f>
        <v/>
      </c>
      <c r="I44" s="16" t="str">
        <f aca="false">IF($A44="","",SUMIFS(결제내역!$H$3:$H$1002,결제내역!$B$3:$B$1002,$A44))</f>
        <v/>
      </c>
      <c r="J44" s="25" t="str">
        <f aca="false">IF($A44="","",IF($D44=0,"미결제",IF($F44&lt;=0,"횟수소진",IF($H44="","",IF($H44&lt;0,"기간만료",IF(OR($F44&lt;=사용안내!$C$18,$H44&lt;=사용안내!$C$17),"재결제 안내","정상"))))))</f>
        <v/>
      </c>
    </row>
    <row r="45" customFormat="false" ht="15" hidden="false" customHeight="true" outlineLevel="0" collapsed="false">
      <c r="A45" s="15" t="str">
        <f aca="false">IF(회원명부!$A42="","",회원명부!$A42)</f>
        <v/>
      </c>
      <c r="B45" s="15" t="str">
        <f aca="false">IF($A45="","",회원명부!$B42)</f>
        <v/>
      </c>
      <c r="C45" s="15" t="str">
        <f aca="false">IF($A45="","",회원명부!$C42)</f>
        <v/>
      </c>
      <c r="D45" s="23" t="str">
        <f aca="false">IF($A45="","",SUMIFS(결제내역!$E$3:$E$1002,결제내역!$B$3:$B$1002,$A45))</f>
        <v/>
      </c>
      <c r="E45" s="23" t="str">
        <f aca="false">IF($A45="","",SUMIFS(사용내역!$D$3:$D$3002,사용내역!$B$3:$B$3002,$A45))</f>
        <v/>
      </c>
      <c r="F45" s="23" t="str">
        <f aca="false">IF($A45="","",$D45-$E45)</f>
        <v/>
      </c>
      <c r="G45" s="17" t="str">
        <f aca="false">IF($A45="","",IF(COUNTIFS(결제내역!$B$3:$B$1002,$A45)=0,"",_xlfn.MAXIFS(결제내역!$G$3:$G$1002,결제내역!$B$3:$B$1002,$A45)))</f>
        <v/>
      </c>
      <c r="H45" s="24" t="str">
        <f aca="true">IF(OR($A45="",$G45=""),"",$G45-TODAY())</f>
        <v/>
      </c>
      <c r="I45" s="16" t="str">
        <f aca="false">IF($A45="","",SUMIFS(결제내역!$H$3:$H$1002,결제내역!$B$3:$B$1002,$A45))</f>
        <v/>
      </c>
      <c r="J45" s="25" t="str">
        <f aca="false">IF($A45="","",IF($D45=0,"미결제",IF($F45&lt;=0,"횟수소진",IF($H45="","",IF($H45&lt;0,"기간만료",IF(OR($F45&lt;=사용안내!$C$18,$H45&lt;=사용안내!$C$17),"재결제 안내","정상"))))))</f>
        <v/>
      </c>
    </row>
    <row r="46" customFormat="false" ht="15" hidden="false" customHeight="true" outlineLevel="0" collapsed="false">
      <c r="A46" s="15" t="str">
        <f aca="false">IF(회원명부!$A43="","",회원명부!$A43)</f>
        <v/>
      </c>
      <c r="B46" s="15" t="str">
        <f aca="false">IF($A46="","",회원명부!$B43)</f>
        <v/>
      </c>
      <c r="C46" s="15" t="str">
        <f aca="false">IF($A46="","",회원명부!$C43)</f>
        <v/>
      </c>
      <c r="D46" s="23" t="str">
        <f aca="false">IF($A46="","",SUMIFS(결제내역!$E$3:$E$1002,결제내역!$B$3:$B$1002,$A46))</f>
        <v/>
      </c>
      <c r="E46" s="23" t="str">
        <f aca="false">IF($A46="","",SUMIFS(사용내역!$D$3:$D$3002,사용내역!$B$3:$B$3002,$A46))</f>
        <v/>
      </c>
      <c r="F46" s="23" t="str">
        <f aca="false">IF($A46="","",$D46-$E46)</f>
        <v/>
      </c>
      <c r="G46" s="17" t="str">
        <f aca="false">IF($A46="","",IF(COUNTIFS(결제내역!$B$3:$B$1002,$A46)=0,"",_xlfn.MAXIFS(결제내역!$G$3:$G$1002,결제내역!$B$3:$B$1002,$A46)))</f>
        <v/>
      </c>
      <c r="H46" s="24" t="str">
        <f aca="true">IF(OR($A46="",$G46=""),"",$G46-TODAY())</f>
        <v/>
      </c>
      <c r="I46" s="16" t="str">
        <f aca="false">IF($A46="","",SUMIFS(결제내역!$H$3:$H$1002,결제내역!$B$3:$B$1002,$A46))</f>
        <v/>
      </c>
      <c r="J46" s="25" t="str">
        <f aca="false">IF($A46="","",IF($D46=0,"미결제",IF($F46&lt;=0,"횟수소진",IF($H46="","",IF($H46&lt;0,"기간만료",IF(OR($F46&lt;=사용안내!$C$18,$H46&lt;=사용안내!$C$17),"재결제 안내","정상"))))))</f>
        <v/>
      </c>
    </row>
    <row r="47" customFormat="false" ht="15" hidden="false" customHeight="true" outlineLevel="0" collapsed="false">
      <c r="A47" s="15" t="str">
        <f aca="false">IF(회원명부!$A44="","",회원명부!$A44)</f>
        <v/>
      </c>
      <c r="B47" s="15" t="str">
        <f aca="false">IF($A47="","",회원명부!$B44)</f>
        <v/>
      </c>
      <c r="C47" s="15" t="str">
        <f aca="false">IF($A47="","",회원명부!$C44)</f>
        <v/>
      </c>
      <c r="D47" s="23" t="str">
        <f aca="false">IF($A47="","",SUMIFS(결제내역!$E$3:$E$1002,결제내역!$B$3:$B$1002,$A47))</f>
        <v/>
      </c>
      <c r="E47" s="23" t="str">
        <f aca="false">IF($A47="","",SUMIFS(사용내역!$D$3:$D$3002,사용내역!$B$3:$B$3002,$A47))</f>
        <v/>
      </c>
      <c r="F47" s="23" t="str">
        <f aca="false">IF($A47="","",$D47-$E47)</f>
        <v/>
      </c>
      <c r="G47" s="17" t="str">
        <f aca="false">IF($A47="","",IF(COUNTIFS(결제내역!$B$3:$B$1002,$A47)=0,"",_xlfn.MAXIFS(결제내역!$G$3:$G$1002,결제내역!$B$3:$B$1002,$A47)))</f>
        <v/>
      </c>
      <c r="H47" s="24" t="str">
        <f aca="true">IF(OR($A47="",$G47=""),"",$G47-TODAY())</f>
        <v/>
      </c>
      <c r="I47" s="16" t="str">
        <f aca="false">IF($A47="","",SUMIFS(결제내역!$H$3:$H$1002,결제내역!$B$3:$B$1002,$A47))</f>
        <v/>
      </c>
      <c r="J47" s="25" t="str">
        <f aca="false">IF($A47="","",IF($D47=0,"미결제",IF($F47&lt;=0,"횟수소진",IF($H47="","",IF($H47&lt;0,"기간만료",IF(OR($F47&lt;=사용안내!$C$18,$H47&lt;=사용안내!$C$17),"재결제 안내","정상"))))))</f>
        <v/>
      </c>
    </row>
    <row r="48" customFormat="false" ht="15" hidden="false" customHeight="true" outlineLevel="0" collapsed="false">
      <c r="A48" s="15" t="str">
        <f aca="false">IF(회원명부!$A45="","",회원명부!$A45)</f>
        <v/>
      </c>
      <c r="B48" s="15" t="str">
        <f aca="false">IF($A48="","",회원명부!$B45)</f>
        <v/>
      </c>
      <c r="C48" s="15" t="str">
        <f aca="false">IF($A48="","",회원명부!$C45)</f>
        <v/>
      </c>
      <c r="D48" s="23" t="str">
        <f aca="false">IF($A48="","",SUMIFS(결제내역!$E$3:$E$1002,결제내역!$B$3:$B$1002,$A48))</f>
        <v/>
      </c>
      <c r="E48" s="23" t="str">
        <f aca="false">IF($A48="","",SUMIFS(사용내역!$D$3:$D$3002,사용내역!$B$3:$B$3002,$A48))</f>
        <v/>
      </c>
      <c r="F48" s="23" t="str">
        <f aca="false">IF($A48="","",$D48-$E48)</f>
        <v/>
      </c>
      <c r="G48" s="17" t="str">
        <f aca="false">IF($A48="","",IF(COUNTIFS(결제내역!$B$3:$B$1002,$A48)=0,"",_xlfn.MAXIFS(결제내역!$G$3:$G$1002,결제내역!$B$3:$B$1002,$A48)))</f>
        <v/>
      </c>
      <c r="H48" s="24" t="str">
        <f aca="true">IF(OR($A48="",$G48=""),"",$G48-TODAY())</f>
        <v/>
      </c>
      <c r="I48" s="16" t="str">
        <f aca="false">IF($A48="","",SUMIFS(결제내역!$H$3:$H$1002,결제내역!$B$3:$B$1002,$A48))</f>
        <v/>
      </c>
      <c r="J48" s="25" t="str">
        <f aca="false">IF($A48="","",IF($D48=0,"미결제",IF($F48&lt;=0,"횟수소진",IF($H48="","",IF($H48&lt;0,"기간만료",IF(OR($F48&lt;=사용안내!$C$18,$H48&lt;=사용안내!$C$17),"재결제 안내","정상"))))))</f>
        <v/>
      </c>
    </row>
    <row r="49" customFormat="false" ht="15" hidden="false" customHeight="true" outlineLevel="0" collapsed="false">
      <c r="A49" s="15" t="str">
        <f aca="false">IF(회원명부!$A46="","",회원명부!$A46)</f>
        <v/>
      </c>
      <c r="B49" s="15" t="str">
        <f aca="false">IF($A49="","",회원명부!$B46)</f>
        <v/>
      </c>
      <c r="C49" s="15" t="str">
        <f aca="false">IF($A49="","",회원명부!$C46)</f>
        <v/>
      </c>
      <c r="D49" s="23" t="str">
        <f aca="false">IF($A49="","",SUMIFS(결제내역!$E$3:$E$1002,결제내역!$B$3:$B$1002,$A49))</f>
        <v/>
      </c>
      <c r="E49" s="23" t="str">
        <f aca="false">IF($A49="","",SUMIFS(사용내역!$D$3:$D$3002,사용내역!$B$3:$B$3002,$A49))</f>
        <v/>
      </c>
      <c r="F49" s="23" t="str">
        <f aca="false">IF($A49="","",$D49-$E49)</f>
        <v/>
      </c>
      <c r="G49" s="17" t="str">
        <f aca="false">IF($A49="","",IF(COUNTIFS(결제내역!$B$3:$B$1002,$A49)=0,"",_xlfn.MAXIFS(결제내역!$G$3:$G$1002,결제내역!$B$3:$B$1002,$A49)))</f>
        <v/>
      </c>
      <c r="H49" s="24" t="str">
        <f aca="true">IF(OR($A49="",$G49=""),"",$G49-TODAY())</f>
        <v/>
      </c>
      <c r="I49" s="16" t="str">
        <f aca="false">IF($A49="","",SUMIFS(결제내역!$H$3:$H$1002,결제내역!$B$3:$B$1002,$A49))</f>
        <v/>
      </c>
      <c r="J49" s="25" t="str">
        <f aca="false">IF($A49="","",IF($D49=0,"미결제",IF($F49&lt;=0,"횟수소진",IF($H49="","",IF($H49&lt;0,"기간만료",IF(OR($F49&lt;=사용안내!$C$18,$H49&lt;=사용안내!$C$17),"재결제 안내","정상"))))))</f>
        <v/>
      </c>
    </row>
    <row r="50" customFormat="false" ht="15" hidden="false" customHeight="true" outlineLevel="0" collapsed="false">
      <c r="A50" s="15" t="str">
        <f aca="false">IF(회원명부!$A47="","",회원명부!$A47)</f>
        <v/>
      </c>
      <c r="B50" s="15" t="str">
        <f aca="false">IF($A50="","",회원명부!$B47)</f>
        <v/>
      </c>
      <c r="C50" s="15" t="str">
        <f aca="false">IF($A50="","",회원명부!$C47)</f>
        <v/>
      </c>
      <c r="D50" s="23" t="str">
        <f aca="false">IF($A50="","",SUMIFS(결제내역!$E$3:$E$1002,결제내역!$B$3:$B$1002,$A50))</f>
        <v/>
      </c>
      <c r="E50" s="23" t="str">
        <f aca="false">IF($A50="","",SUMIFS(사용내역!$D$3:$D$3002,사용내역!$B$3:$B$3002,$A50))</f>
        <v/>
      </c>
      <c r="F50" s="23" t="str">
        <f aca="false">IF($A50="","",$D50-$E50)</f>
        <v/>
      </c>
      <c r="G50" s="17" t="str">
        <f aca="false">IF($A50="","",IF(COUNTIFS(결제내역!$B$3:$B$1002,$A50)=0,"",_xlfn.MAXIFS(결제내역!$G$3:$G$1002,결제내역!$B$3:$B$1002,$A50)))</f>
        <v/>
      </c>
      <c r="H50" s="24" t="str">
        <f aca="true">IF(OR($A50="",$G50=""),"",$G50-TODAY())</f>
        <v/>
      </c>
      <c r="I50" s="16" t="str">
        <f aca="false">IF($A50="","",SUMIFS(결제내역!$H$3:$H$1002,결제내역!$B$3:$B$1002,$A50))</f>
        <v/>
      </c>
      <c r="J50" s="25" t="str">
        <f aca="false">IF($A50="","",IF($D50=0,"미결제",IF($F50&lt;=0,"횟수소진",IF($H50="","",IF($H50&lt;0,"기간만료",IF(OR($F50&lt;=사용안내!$C$18,$H50&lt;=사용안내!$C$17),"재결제 안내","정상"))))))</f>
        <v/>
      </c>
    </row>
    <row r="51" customFormat="false" ht="15" hidden="false" customHeight="true" outlineLevel="0" collapsed="false">
      <c r="A51" s="15" t="str">
        <f aca="false">IF(회원명부!$A48="","",회원명부!$A48)</f>
        <v/>
      </c>
      <c r="B51" s="15" t="str">
        <f aca="false">IF($A51="","",회원명부!$B48)</f>
        <v/>
      </c>
      <c r="C51" s="15" t="str">
        <f aca="false">IF($A51="","",회원명부!$C48)</f>
        <v/>
      </c>
      <c r="D51" s="23" t="str">
        <f aca="false">IF($A51="","",SUMIFS(결제내역!$E$3:$E$1002,결제내역!$B$3:$B$1002,$A51))</f>
        <v/>
      </c>
      <c r="E51" s="23" t="str">
        <f aca="false">IF($A51="","",SUMIFS(사용내역!$D$3:$D$3002,사용내역!$B$3:$B$3002,$A51))</f>
        <v/>
      </c>
      <c r="F51" s="23" t="str">
        <f aca="false">IF($A51="","",$D51-$E51)</f>
        <v/>
      </c>
      <c r="G51" s="17" t="str">
        <f aca="false">IF($A51="","",IF(COUNTIFS(결제내역!$B$3:$B$1002,$A51)=0,"",_xlfn.MAXIFS(결제내역!$G$3:$G$1002,결제내역!$B$3:$B$1002,$A51)))</f>
        <v/>
      </c>
      <c r="H51" s="24" t="str">
        <f aca="true">IF(OR($A51="",$G51=""),"",$G51-TODAY())</f>
        <v/>
      </c>
      <c r="I51" s="16" t="str">
        <f aca="false">IF($A51="","",SUMIFS(결제내역!$H$3:$H$1002,결제내역!$B$3:$B$1002,$A51))</f>
        <v/>
      </c>
      <c r="J51" s="25" t="str">
        <f aca="false">IF($A51="","",IF($D51=0,"미결제",IF($F51&lt;=0,"횟수소진",IF($H51="","",IF($H51&lt;0,"기간만료",IF(OR($F51&lt;=사용안내!$C$18,$H51&lt;=사용안내!$C$17),"재결제 안내","정상"))))))</f>
        <v/>
      </c>
    </row>
    <row r="52" customFormat="false" ht="15" hidden="false" customHeight="true" outlineLevel="0" collapsed="false">
      <c r="A52" s="15" t="str">
        <f aca="false">IF(회원명부!$A49="","",회원명부!$A49)</f>
        <v/>
      </c>
      <c r="B52" s="15" t="str">
        <f aca="false">IF($A52="","",회원명부!$B49)</f>
        <v/>
      </c>
      <c r="C52" s="15" t="str">
        <f aca="false">IF($A52="","",회원명부!$C49)</f>
        <v/>
      </c>
      <c r="D52" s="23" t="str">
        <f aca="false">IF($A52="","",SUMIFS(결제내역!$E$3:$E$1002,결제내역!$B$3:$B$1002,$A52))</f>
        <v/>
      </c>
      <c r="E52" s="23" t="str">
        <f aca="false">IF($A52="","",SUMIFS(사용내역!$D$3:$D$3002,사용내역!$B$3:$B$3002,$A52))</f>
        <v/>
      </c>
      <c r="F52" s="23" t="str">
        <f aca="false">IF($A52="","",$D52-$E52)</f>
        <v/>
      </c>
      <c r="G52" s="17" t="str">
        <f aca="false">IF($A52="","",IF(COUNTIFS(결제내역!$B$3:$B$1002,$A52)=0,"",_xlfn.MAXIFS(결제내역!$G$3:$G$1002,결제내역!$B$3:$B$1002,$A52)))</f>
        <v/>
      </c>
      <c r="H52" s="24" t="str">
        <f aca="true">IF(OR($A52="",$G52=""),"",$G52-TODAY())</f>
        <v/>
      </c>
      <c r="I52" s="16" t="str">
        <f aca="false">IF($A52="","",SUMIFS(결제내역!$H$3:$H$1002,결제내역!$B$3:$B$1002,$A52))</f>
        <v/>
      </c>
      <c r="J52" s="25" t="str">
        <f aca="false">IF($A52="","",IF($D52=0,"미결제",IF($F52&lt;=0,"횟수소진",IF($H52="","",IF($H52&lt;0,"기간만료",IF(OR($F52&lt;=사용안내!$C$18,$H52&lt;=사용안내!$C$17),"재결제 안내","정상"))))))</f>
        <v/>
      </c>
    </row>
    <row r="53" customFormat="false" ht="15" hidden="false" customHeight="true" outlineLevel="0" collapsed="false">
      <c r="A53" s="15" t="str">
        <f aca="false">IF(회원명부!$A50="","",회원명부!$A50)</f>
        <v/>
      </c>
      <c r="B53" s="15" t="str">
        <f aca="false">IF($A53="","",회원명부!$B50)</f>
        <v/>
      </c>
      <c r="C53" s="15" t="str">
        <f aca="false">IF($A53="","",회원명부!$C50)</f>
        <v/>
      </c>
      <c r="D53" s="23" t="str">
        <f aca="false">IF($A53="","",SUMIFS(결제내역!$E$3:$E$1002,결제내역!$B$3:$B$1002,$A53))</f>
        <v/>
      </c>
      <c r="E53" s="23" t="str">
        <f aca="false">IF($A53="","",SUMIFS(사용내역!$D$3:$D$3002,사용내역!$B$3:$B$3002,$A53))</f>
        <v/>
      </c>
      <c r="F53" s="23" t="str">
        <f aca="false">IF($A53="","",$D53-$E53)</f>
        <v/>
      </c>
      <c r="G53" s="17" t="str">
        <f aca="false">IF($A53="","",IF(COUNTIFS(결제내역!$B$3:$B$1002,$A53)=0,"",_xlfn.MAXIFS(결제내역!$G$3:$G$1002,결제내역!$B$3:$B$1002,$A53)))</f>
        <v/>
      </c>
      <c r="H53" s="24" t="str">
        <f aca="true">IF(OR($A53="",$G53=""),"",$G53-TODAY())</f>
        <v/>
      </c>
      <c r="I53" s="16" t="str">
        <f aca="false">IF($A53="","",SUMIFS(결제내역!$H$3:$H$1002,결제내역!$B$3:$B$1002,$A53))</f>
        <v/>
      </c>
      <c r="J53" s="25" t="str">
        <f aca="false">IF($A53="","",IF($D53=0,"미결제",IF($F53&lt;=0,"횟수소진",IF($H53="","",IF($H53&lt;0,"기간만료",IF(OR($F53&lt;=사용안내!$C$18,$H53&lt;=사용안내!$C$17),"재결제 안내","정상"))))))</f>
        <v/>
      </c>
    </row>
    <row r="54" customFormat="false" ht="15" hidden="false" customHeight="true" outlineLevel="0" collapsed="false">
      <c r="A54" s="15" t="str">
        <f aca="false">IF(회원명부!$A51="","",회원명부!$A51)</f>
        <v/>
      </c>
      <c r="B54" s="15" t="str">
        <f aca="false">IF($A54="","",회원명부!$B51)</f>
        <v/>
      </c>
      <c r="C54" s="15" t="str">
        <f aca="false">IF($A54="","",회원명부!$C51)</f>
        <v/>
      </c>
      <c r="D54" s="23" t="str">
        <f aca="false">IF($A54="","",SUMIFS(결제내역!$E$3:$E$1002,결제내역!$B$3:$B$1002,$A54))</f>
        <v/>
      </c>
      <c r="E54" s="23" t="str">
        <f aca="false">IF($A54="","",SUMIFS(사용내역!$D$3:$D$3002,사용내역!$B$3:$B$3002,$A54))</f>
        <v/>
      </c>
      <c r="F54" s="23" t="str">
        <f aca="false">IF($A54="","",$D54-$E54)</f>
        <v/>
      </c>
      <c r="G54" s="17" t="str">
        <f aca="false">IF($A54="","",IF(COUNTIFS(결제내역!$B$3:$B$1002,$A54)=0,"",_xlfn.MAXIFS(결제내역!$G$3:$G$1002,결제내역!$B$3:$B$1002,$A54)))</f>
        <v/>
      </c>
      <c r="H54" s="24" t="str">
        <f aca="true">IF(OR($A54="",$G54=""),"",$G54-TODAY())</f>
        <v/>
      </c>
      <c r="I54" s="16" t="str">
        <f aca="false">IF($A54="","",SUMIFS(결제내역!$H$3:$H$1002,결제내역!$B$3:$B$1002,$A54))</f>
        <v/>
      </c>
      <c r="J54" s="25" t="str">
        <f aca="false">IF($A54="","",IF($D54=0,"미결제",IF($F54&lt;=0,"횟수소진",IF($H54="","",IF($H54&lt;0,"기간만료",IF(OR($F54&lt;=사용안내!$C$18,$H54&lt;=사용안내!$C$17),"재결제 안내","정상"))))))</f>
        <v/>
      </c>
    </row>
    <row r="55" customFormat="false" ht="15" hidden="false" customHeight="true" outlineLevel="0" collapsed="false">
      <c r="A55" s="15" t="str">
        <f aca="false">IF(회원명부!$A52="","",회원명부!$A52)</f>
        <v/>
      </c>
      <c r="B55" s="15" t="str">
        <f aca="false">IF($A55="","",회원명부!$B52)</f>
        <v/>
      </c>
      <c r="C55" s="15" t="str">
        <f aca="false">IF($A55="","",회원명부!$C52)</f>
        <v/>
      </c>
      <c r="D55" s="23" t="str">
        <f aca="false">IF($A55="","",SUMIFS(결제내역!$E$3:$E$1002,결제내역!$B$3:$B$1002,$A55))</f>
        <v/>
      </c>
      <c r="E55" s="23" t="str">
        <f aca="false">IF($A55="","",SUMIFS(사용내역!$D$3:$D$3002,사용내역!$B$3:$B$3002,$A55))</f>
        <v/>
      </c>
      <c r="F55" s="23" t="str">
        <f aca="false">IF($A55="","",$D55-$E55)</f>
        <v/>
      </c>
      <c r="G55" s="17" t="str">
        <f aca="false">IF($A55="","",IF(COUNTIFS(결제내역!$B$3:$B$1002,$A55)=0,"",_xlfn.MAXIFS(결제내역!$G$3:$G$1002,결제내역!$B$3:$B$1002,$A55)))</f>
        <v/>
      </c>
      <c r="H55" s="24" t="str">
        <f aca="true">IF(OR($A55="",$G55=""),"",$G55-TODAY())</f>
        <v/>
      </c>
      <c r="I55" s="16" t="str">
        <f aca="false">IF($A55="","",SUMIFS(결제내역!$H$3:$H$1002,결제내역!$B$3:$B$1002,$A55))</f>
        <v/>
      </c>
      <c r="J55" s="25" t="str">
        <f aca="false">IF($A55="","",IF($D55=0,"미결제",IF($F55&lt;=0,"횟수소진",IF($H55="","",IF($H55&lt;0,"기간만료",IF(OR($F55&lt;=사용안내!$C$18,$H55&lt;=사용안내!$C$17),"재결제 안내","정상"))))))</f>
        <v/>
      </c>
    </row>
    <row r="56" customFormat="false" ht="15" hidden="false" customHeight="true" outlineLevel="0" collapsed="false">
      <c r="A56" s="15" t="str">
        <f aca="false">IF(회원명부!$A53="","",회원명부!$A53)</f>
        <v/>
      </c>
      <c r="B56" s="15" t="str">
        <f aca="false">IF($A56="","",회원명부!$B53)</f>
        <v/>
      </c>
      <c r="C56" s="15" t="str">
        <f aca="false">IF($A56="","",회원명부!$C53)</f>
        <v/>
      </c>
      <c r="D56" s="23" t="str">
        <f aca="false">IF($A56="","",SUMIFS(결제내역!$E$3:$E$1002,결제내역!$B$3:$B$1002,$A56))</f>
        <v/>
      </c>
      <c r="E56" s="23" t="str">
        <f aca="false">IF($A56="","",SUMIFS(사용내역!$D$3:$D$3002,사용내역!$B$3:$B$3002,$A56))</f>
        <v/>
      </c>
      <c r="F56" s="23" t="str">
        <f aca="false">IF($A56="","",$D56-$E56)</f>
        <v/>
      </c>
      <c r="G56" s="17" t="str">
        <f aca="false">IF($A56="","",IF(COUNTIFS(결제내역!$B$3:$B$1002,$A56)=0,"",_xlfn.MAXIFS(결제내역!$G$3:$G$1002,결제내역!$B$3:$B$1002,$A56)))</f>
        <v/>
      </c>
      <c r="H56" s="24" t="str">
        <f aca="true">IF(OR($A56="",$G56=""),"",$G56-TODAY())</f>
        <v/>
      </c>
      <c r="I56" s="16" t="str">
        <f aca="false">IF($A56="","",SUMIFS(결제내역!$H$3:$H$1002,결제내역!$B$3:$B$1002,$A56))</f>
        <v/>
      </c>
      <c r="J56" s="25" t="str">
        <f aca="false">IF($A56="","",IF($D56=0,"미결제",IF($F56&lt;=0,"횟수소진",IF($H56="","",IF($H56&lt;0,"기간만료",IF(OR($F56&lt;=사용안내!$C$18,$H56&lt;=사용안내!$C$17),"재결제 안내","정상"))))))</f>
        <v/>
      </c>
    </row>
    <row r="57" customFormat="false" ht="15" hidden="false" customHeight="true" outlineLevel="0" collapsed="false">
      <c r="A57" s="15" t="str">
        <f aca="false">IF(회원명부!$A54="","",회원명부!$A54)</f>
        <v/>
      </c>
      <c r="B57" s="15" t="str">
        <f aca="false">IF($A57="","",회원명부!$B54)</f>
        <v/>
      </c>
      <c r="C57" s="15" t="str">
        <f aca="false">IF($A57="","",회원명부!$C54)</f>
        <v/>
      </c>
      <c r="D57" s="23" t="str">
        <f aca="false">IF($A57="","",SUMIFS(결제내역!$E$3:$E$1002,결제내역!$B$3:$B$1002,$A57))</f>
        <v/>
      </c>
      <c r="E57" s="23" t="str">
        <f aca="false">IF($A57="","",SUMIFS(사용내역!$D$3:$D$3002,사용내역!$B$3:$B$3002,$A57))</f>
        <v/>
      </c>
      <c r="F57" s="23" t="str">
        <f aca="false">IF($A57="","",$D57-$E57)</f>
        <v/>
      </c>
      <c r="G57" s="17" t="str">
        <f aca="false">IF($A57="","",IF(COUNTIFS(결제내역!$B$3:$B$1002,$A57)=0,"",_xlfn.MAXIFS(결제내역!$G$3:$G$1002,결제내역!$B$3:$B$1002,$A57)))</f>
        <v/>
      </c>
      <c r="H57" s="24" t="str">
        <f aca="true">IF(OR($A57="",$G57=""),"",$G57-TODAY())</f>
        <v/>
      </c>
      <c r="I57" s="16" t="str">
        <f aca="false">IF($A57="","",SUMIFS(결제내역!$H$3:$H$1002,결제내역!$B$3:$B$1002,$A57))</f>
        <v/>
      </c>
      <c r="J57" s="25" t="str">
        <f aca="false">IF($A57="","",IF($D57=0,"미결제",IF($F57&lt;=0,"횟수소진",IF($H57="","",IF($H57&lt;0,"기간만료",IF(OR($F57&lt;=사용안내!$C$18,$H57&lt;=사용안내!$C$17),"재결제 안내","정상"))))))</f>
        <v/>
      </c>
    </row>
    <row r="58" customFormat="false" ht="15" hidden="false" customHeight="true" outlineLevel="0" collapsed="false">
      <c r="A58" s="15" t="str">
        <f aca="false">IF(회원명부!$A55="","",회원명부!$A55)</f>
        <v/>
      </c>
      <c r="B58" s="15" t="str">
        <f aca="false">IF($A58="","",회원명부!$B55)</f>
        <v/>
      </c>
      <c r="C58" s="15" t="str">
        <f aca="false">IF($A58="","",회원명부!$C55)</f>
        <v/>
      </c>
      <c r="D58" s="23" t="str">
        <f aca="false">IF($A58="","",SUMIFS(결제내역!$E$3:$E$1002,결제내역!$B$3:$B$1002,$A58))</f>
        <v/>
      </c>
      <c r="E58" s="23" t="str">
        <f aca="false">IF($A58="","",SUMIFS(사용내역!$D$3:$D$3002,사용내역!$B$3:$B$3002,$A58))</f>
        <v/>
      </c>
      <c r="F58" s="23" t="str">
        <f aca="false">IF($A58="","",$D58-$E58)</f>
        <v/>
      </c>
      <c r="G58" s="17" t="str">
        <f aca="false">IF($A58="","",IF(COUNTIFS(결제내역!$B$3:$B$1002,$A58)=0,"",_xlfn.MAXIFS(결제내역!$G$3:$G$1002,결제내역!$B$3:$B$1002,$A58)))</f>
        <v/>
      </c>
      <c r="H58" s="24" t="str">
        <f aca="true">IF(OR($A58="",$G58=""),"",$G58-TODAY())</f>
        <v/>
      </c>
      <c r="I58" s="16" t="str">
        <f aca="false">IF($A58="","",SUMIFS(결제내역!$H$3:$H$1002,결제내역!$B$3:$B$1002,$A58))</f>
        <v/>
      </c>
      <c r="J58" s="25" t="str">
        <f aca="false">IF($A58="","",IF($D58=0,"미결제",IF($F58&lt;=0,"횟수소진",IF($H58="","",IF($H58&lt;0,"기간만료",IF(OR($F58&lt;=사용안내!$C$18,$H58&lt;=사용안내!$C$17),"재결제 안내","정상"))))))</f>
        <v/>
      </c>
    </row>
    <row r="59" customFormat="false" ht="15" hidden="false" customHeight="true" outlineLevel="0" collapsed="false">
      <c r="A59" s="15" t="str">
        <f aca="false">IF(회원명부!$A56="","",회원명부!$A56)</f>
        <v/>
      </c>
      <c r="B59" s="15" t="str">
        <f aca="false">IF($A59="","",회원명부!$B56)</f>
        <v/>
      </c>
      <c r="C59" s="15" t="str">
        <f aca="false">IF($A59="","",회원명부!$C56)</f>
        <v/>
      </c>
      <c r="D59" s="23" t="str">
        <f aca="false">IF($A59="","",SUMIFS(결제내역!$E$3:$E$1002,결제내역!$B$3:$B$1002,$A59))</f>
        <v/>
      </c>
      <c r="E59" s="23" t="str">
        <f aca="false">IF($A59="","",SUMIFS(사용내역!$D$3:$D$3002,사용내역!$B$3:$B$3002,$A59))</f>
        <v/>
      </c>
      <c r="F59" s="23" t="str">
        <f aca="false">IF($A59="","",$D59-$E59)</f>
        <v/>
      </c>
      <c r="G59" s="17" t="str">
        <f aca="false">IF($A59="","",IF(COUNTIFS(결제내역!$B$3:$B$1002,$A59)=0,"",_xlfn.MAXIFS(결제내역!$G$3:$G$1002,결제내역!$B$3:$B$1002,$A59)))</f>
        <v/>
      </c>
      <c r="H59" s="24" t="str">
        <f aca="true">IF(OR($A59="",$G59=""),"",$G59-TODAY())</f>
        <v/>
      </c>
      <c r="I59" s="16" t="str">
        <f aca="false">IF($A59="","",SUMIFS(결제내역!$H$3:$H$1002,결제내역!$B$3:$B$1002,$A59))</f>
        <v/>
      </c>
      <c r="J59" s="25" t="str">
        <f aca="false">IF($A59="","",IF($D59=0,"미결제",IF($F59&lt;=0,"횟수소진",IF($H59="","",IF($H59&lt;0,"기간만료",IF(OR($F59&lt;=사용안내!$C$18,$H59&lt;=사용안내!$C$17),"재결제 안내","정상"))))))</f>
        <v/>
      </c>
    </row>
    <row r="60" customFormat="false" ht="15" hidden="false" customHeight="true" outlineLevel="0" collapsed="false">
      <c r="A60" s="15" t="str">
        <f aca="false">IF(회원명부!$A57="","",회원명부!$A57)</f>
        <v/>
      </c>
      <c r="B60" s="15" t="str">
        <f aca="false">IF($A60="","",회원명부!$B57)</f>
        <v/>
      </c>
      <c r="C60" s="15" t="str">
        <f aca="false">IF($A60="","",회원명부!$C57)</f>
        <v/>
      </c>
      <c r="D60" s="23" t="str">
        <f aca="false">IF($A60="","",SUMIFS(결제내역!$E$3:$E$1002,결제내역!$B$3:$B$1002,$A60))</f>
        <v/>
      </c>
      <c r="E60" s="23" t="str">
        <f aca="false">IF($A60="","",SUMIFS(사용내역!$D$3:$D$3002,사용내역!$B$3:$B$3002,$A60))</f>
        <v/>
      </c>
      <c r="F60" s="23" t="str">
        <f aca="false">IF($A60="","",$D60-$E60)</f>
        <v/>
      </c>
      <c r="G60" s="17" t="str">
        <f aca="false">IF($A60="","",IF(COUNTIFS(결제내역!$B$3:$B$1002,$A60)=0,"",_xlfn.MAXIFS(결제내역!$G$3:$G$1002,결제내역!$B$3:$B$1002,$A60)))</f>
        <v/>
      </c>
      <c r="H60" s="24" t="str">
        <f aca="true">IF(OR($A60="",$G60=""),"",$G60-TODAY())</f>
        <v/>
      </c>
      <c r="I60" s="16" t="str">
        <f aca="false">IF($A60="","",SUMIFS(결제내역!$H$3:$H$1002,결제내역!$B$3:$B$1002,$A60))</f>
        <v/>
      </c>
      <c r="J60" s="25" t="str">
        <f aca="false">IF($A60="","",IF($D60=0,"미결제",IF($F60&lt;=0,"횟수소진",IF($H60="","",IF($H60&lt;0,"기간만료",IF(OR($F60&lt;=사용안내!$C$18,$H60&lt;=사용안내!$C$17),"재결제 안내","정상"))))))</f>
        <v/>
      </c>
    </row>
    <row r="61" customFormat="false" ht="15" hidden="false" customHeight="true" outlineLevel="0" collapsed="false">
      <c r="A61" s="15" t="str">
        <f aca="false">IF(회원명부!$A58="","",회원명부!$A58)</f>
        <v/>
      </c>
      <c r="B61" s="15" t="str">
        <f aca="false">IF($A61="","",회원명부!$B58)</f>
        <v/>
      </c>
      <c r="C61" s="15" t="str">
        <f aca="false">IF($A61="","",회원명부!$C58)</f>
        <v/>
      </c>
      <c r="D61" s="23" t="str">
        <f aca="false">IF($A61="","",SUMIFS(결제내역!$E$3:$E$1002,결제내역!$B$3:$B$1002,$A61))</f>
        <v/>
      </c>
      <c r="E61" s="23" t="str">
        <f aca="false">IF($A61="","",SUMIFS(사용내역!$D$3:$D$3002,사용내역!$B$3:$B$3002,$A61))</f>
        <v/>
      </c>
      <c r="F61" s="23" t="str">
        <f aca="false">IF($A61="","",$D61-$E61)</f>
        <v/>
      </c>
      <c r="G61" s="17" t="str">
        <f aca="false">IF($A61="","",IF(COUNTIFS(결제내역!$B$3:$B$1002,$A61)=0,"",_xlfn.MAXIFS(결제내역!$G$3:$G$1002,결제내역!$B$3:$B$1002,$A61)))</f>
        <v/>
      </c>
      <c r="H61" s="24" t="str">
        <f aca="true">IF(OR($A61="",$G61=""),"",$G61-TODAY())</f>
        <v/>
      </c>
      <c r="I61" s="16" t="str">
        <f aca="false">IF($A61="","",SUMIFS(결제내역!$H$3:$H$1002,결제내역!$B$3:$B$1002,$A61))</f>
        <v/>
      </c>
      <c r="J61" s="25" t="str">
        <f aca="false">IF($A61="","",IF($D61=0,"미결제",IF($F61&lt;=0,"횟수소진",IF($H61="","",IF($H61&lt;0,"기간만료",IF(OR($F61&lt;=사용안내!$C$18,$H61&lt;=사용안내!$C$17),"재결제 안내","정상"))))))</f>
        <v/>
      </c>
    </row>
    <row r="62" customFormat="false" ht="15" hidden="false" customHeight="true" outlineLevel="0" collapsed="false">
      <c r="A62" s="15" t="str">
        <f aca="false">IF(회원명부!$A59="","",회원명부!$A59)</f>
        <v/>
      </c>
      <c r="B62" s="15" t="str">
        <f aca="false">IF($A62="","",회원명부!$B59)</f>
        <v/>
      </c>
      <c r="C62" s="15" t="str">
        <f aca="false">IF($A62="","",회원명부!$C59)</f>
        <v/>
      </c>
      <c r="D62" s="23" t="str">
        <f aca="false">IF($A62="","",SUMIFS(결제내역!$E$3:$E$1002,결제내역!$B$3:$B$1002,$A62))</f>
        <v/>
      </c>
      <c r="E62" s="23" t="str">
        <f aca="false">IF($A62="","",SUMIFS(사용내역!$D$3:$D$3002,사용내역!$B$3:$B$3002,$A62))</f>
        <v/>
      </c>
      <c r="F62" s="23" t="str">
        <f aca="false">IF($A62="","",$D62-$E62)</f>
        <v/>
      </c>
      <c r="G62" s="17" t="str">
        <f aca="false">IF($A62="","",IF(COUNTIFS(결제내역!$B$3:$B$1002,$A62)=0,"",_xlfn.MAXIFS(결제내역!$G$3:$G$1002,결제내역!$B$3:$B$1002,$A62)))</f>
        <v/>
      </c>
      <c r="H62" s="24" t="str">
        <f aca="true">IF(OR($A62="",$G62=""),"",$G62-TODAY())</f>
        <v/>
      </c>
      <c r="I62" s="16" t="str">
        <f aca="false">IF($A62="","",SUMIFS(결제내역!$H$3:$H$1002,결제내역!$B$3:$B$1002,$A62))</f>
        <v/>
      </c>
      <c r="J62" s="25" t="str">
        <f aca="false">IF($A62="","",IF($D62=0,"미결제",IF($F62&lt;=0,"횟수소진",IF($H62="","",IF($H62&lt;0,"기간만료",IF(OR($F62&lt;=사용안내!$C$18,$H62&lt;=사용안내!$C$17),"재결제 안내","정상"))))))</f>
        <v/>
      </c>
    </row>
    <row r="63" customFormat="false" ht="15" hidden="false" customHeight="true" outlineLevel="0" collapsed="false">
      <c r="A63" s="15" t="str">
        <f aca="false">IF(회원명부!$A60="","",회원명부!$A60)</f>
        <v/>
      </c>
      <c r="B63" s="15" t="str">
        <f aca="false">IF($A63="","",회원명부!$B60)</f>
        <v/>
      </c>
      <c r="C63" s="15" t="str">
        <f aca="false">IF($A63="","",회원명부!$C60)</f>
        <v/>
      </c>
      <c r="D63" s="23" t="str">
        <f aca="false">IF($A63="","",SUMIFS(결제내역!$E$3:$E$1002,결제내역!$B$3:$B$1002,$A63))</f>
        <v/>
      </c>
      <c r="E63" s="23" t="str">
        <f aca="false">IF($A63="","",SUMIFS(사용내역!$D$3:$D$3002,사용내역!$B$3:$B$3002,$A63))</f>
        <v/>
      </c>
      <c r="F63" s="23" t="str">
        <f aca="false">IF($A63="","",$D63-$E63)</f>
        <v/>
      </c>
      <c r="G63" s="17" t="str">
        <f aca="false">IF($A63="","",IF(COUNTIFS(결제내역!$B$3:$B$1002,$A63)=0,"",_xlfn.MAXIFS(결제내역!$G$3:$G$1002,결제내역!$B$3:$B$1002,$A63)))</f>
        <v/>
      </c>
      <c r="H63" s="24" t="str">
        <f aca="true">IF(OR($A63="",$G63=""),"",$G63-TODAY())</f>
        <v/>
      </c>
      <c r="I63" s="16" t="str">
        <f aca="false">IF($A63="","",SUMIFS(결제내역!$H$3:$H$1002,결제내역!$B$3:$B$1002,$A63))</f>
        <v/>
      </c>
      <c r="J63" s="25" t="str">
        <f aca="false">IF($A63="","",IF($D63=0,"미결제",IF($F63&lt;=0,"횟수소진",IF($H63="","",IF($H63&lt;0,"기간만료",IF(OR($F63&lt;=사용안내!$C$18,$H63&lt;=사용안내!$C$17),"재결제 안내","정상"))))))</f>
        <v/>
      </c>
    </row>
    <row r="64" customFormat="false" ht="15" hidden="false" customHeight="true" outlineLevel="0" collapsed="false">
      <c r="A64" s="15" t="str">
        <f aca="false">IF(회원명부!$A61="","",회원명부!$A61)</f>
        <v/>
      </c>
      <c r="B64" s="15" t="str">
        <f aca="false">IF($A64="","",회원명부!$B61)</f>
        <v/>
      </c>
      <c r="C64" s="15" t="str">
        <f aca="false">IF($A64="","",회원명부!$C61)</f>
        <v/>
      </c>
      <c r="D64" s="23" t="str">
        <f aca="false">IF($A64="","",SUMIFS(결제내역!$E$3:$E$1002,결제내역!$B$3:$B$1002,$A64))</f>
        <v/>
      </c>
      <c r="E64" s="23" t="str">
        <f aca="false">IF($A64="","",SUMIFS(사용내역!$D$3:$D$3002,사용내역!$B$3:$B$3002,$A64))</f>
        <v/>
      </c>
      <c r="F64" s="23" t="str">
        <f aca="false">IF($A64="","",$D64-$E64)</f>
        <v/>
      </c>
      <c r="G64" s="17" t="str">
        <f aca="false">IF($A64="","",IF(COUNTIFS(결제내역!$B$3:$B$1002,$A64)=0,"",_xlfn.MAXIFS(결제내역!$G$3:$G$1002,결제내역!$B$3:$B$1002,$A64)))</f>
        <v/>
      </c>
      <c r="H64" s="24" t="str">
        <f aca="true">IF(OR($A64="",$G64=""),"",$G64-TODAY())</f>
        <v/>
      </c>
      <c r="I64" s="16" t="str">
        <f aca="false">IF($A64="","",SUMIFS(결제내역!$H$3:$H$1002,결제내역!$B$3:$B$1002,$A64))</f>
        <v/>
      </c>
      <c r="J64" s="25" t="str">
        <f aca="false">IF($A64="","",IF($D64=0,"미결제",IF($F64&lt;=0,"횟수소진",IF($H64="","",IF($H64&lt;0,"기간만료",IF(OR($F64&lt;=사용안내!$C$18,$H64&lt;=사용안내!$C$17),"재결제 안내","정상"))))))</f>
        <v/>
      </c>
    </row>
    <row r="65" customFormat="false" ht="15" hidden="false" customHeight="true" outlineLevel="0" collapsed="false">
      <c r="A65" s="15" t="str">
        <f aca="false">IF(회원명부!$A62="","",회원명부!$A62)</f>
        <v/>
      </c>
      <c r="B65" s="15" t="str">
        <f aca="false">IF($A65="","",회원명부!$B62)</f>
        <v/>
      </c>
      <c r="C65" s="15" t="str">
        <f aca="false">IF($A65="","",회원명부!$C62)</f>
        <v/>
      </c>
      <c r="D65" s="23" t="str">
        <f aca="false">IF($A65="","",SUMIFS(결제내역!$E$3:$E$1002,결제내역!$B$3:$B$1002,$A65))</f>
        <v/>
      </c>
      <c r="E65" s="23" t="str">
        <f aca="false">IF($A65="","",SUMIFS(사용내역!$D$3:$D$3002,사용내역!$B$3:$B$3002,$A65))</f>
        <v/>
      </c>
      <c r="F65" s="23" t="str">
        <f aca="false">IF($A65="","",$D65-$E65)</f>
        <v/>
      </c>
      <c r="G65" s="17" t="str">
        <f aca="false">IF($A65="","",IF(COUNTIFS(결제내역!$B$3:$B$1002,$A65)=0,"",_xlfn.MAXIFS(결제내역!$G$3:$G$1002,결제내역!$B$3:$B$1002,$A65)))</f>
        <v/>
      </c>
      <c r="H65" s="24" t="str">
        <f aca="true">IF(OR($A65="",$G65=""),"",$G65-TODAY())</f>
        <v/>
      </c>
      <c r="I65" s="16" t="str">
        <f aca="false">IF($A65="","",SUMIFS(결제내역!$H$3:$H$1002,결제내역!$B$3:$B$1002,$A65))</f>
        <v/>
      </c>
      <c r="J65" s="25" t="str">
        <f aca="false">IF($A65="","",IF($D65=0,"미결제",IF($F65&lt;=0,"횟수소진",IF($H65="","",IF($H65&lt;0,"기간만료",IF(OR($F65&lt;=사용안내!$C$18,$H65&lt;=사용안내!$C$17),"재결제 안내","정상"))))))</f>
        <v/>
      </c>
    </row>
    <row r="66" customFormat="false" ht="15" hidden="false" customHeight="true" outlineLevel="0" collapsed="false">
      <c r="A66" s="15" t="str">
        <f aca="false">IF(회원명부!$A63="","",회원명부!$A63)</f>
        <v/>
      </c>
      <c r="B66" s="15" t="str">
        <f aca="false">IF($A66="","",회원명부!$B63)</f>
        <v/>
      </c>
      <c r="C66" s="15" t="str">
        <f aca="false">IF($A66="","",회원명부!$C63)</f>
        <v/>
      </c>
      <c r="D66" s="23" t="str">
        <f aca="false">IF($A66="","",SUMIFS(결제내역!$E$3:$E$1002,결제내역!$B$3:$B$1002,$A66))</f>
        <v/>
      </c>
      <c r="E66" s="23" t="str">
        <f aca="false">IF($A66="","",SUMIFS(사용내역!$D$3:$D$3002,사용내역!$B$3:$B$3002,$A66))</f>
        <v/>
      </c>
      <c r="F66" s="23" t="str">
        <f aca="false">IF($A66="","",$D66-$E66)</f>
        <v/>
      </c>
      <c r="G66" s="17" t="str">
        <f aca="false">IF($A66="","",IF(COUNTIFS(결제내역!$B$3:$B$1002,$A66)=0,"",_xlfn.MAXIFS(결제내역!$G$3:$G$1002,결제내역!$B$3:$B$1002,$A66)))</f>
        <v/>
      </c>
      <c r="H66" s="24" t="str">
        <f aca="true">IF(OR($A66="",$G66=""),"",$G66-TODAY())</f>
        <v/>
      </c>
      <c r="I66" s="16" t="str">
        <f aca="false">IF($A66="","",SUMIFS(결제내역!$H$3:$H$1002,결제내역!$B$3:$B$1002,$A66))</f>
        <v/>
      </c>
      <c r="J66" s="25" t="str">
        <f aca="false">IF($A66="","",IF($D66=0,"미결제",IF($F66&lt;=0,"횟수소진",IF($H66="","",IF($H66&lt;0,"기간만료",IF(OR($F66&lt;=사용안내!$C$18,$H66&lt;=사용안내!$C$17),"재결제 안내","정상"))))))</f>
        <v/>
      </c>
    </row>
    <row r="67" customFormat="false" ht="15" hidden="false" customHeight="true" outlineLevel="0" collapsed="false">
      <c r="A67" s="15" t="str">
        <f aca="false">IF(회원명부!$A64="","",회원명부!$A64)</f>
        <v/>
      </c>
      <c r="B67" s="15" t="str">
        <f aca="false">IF($A67="","",회원명부!$B64)</f>
        <v/>
      </c>
      <c r="C67" s="15" t="str">
        <f aca="false">IF($A67="","",회원명부!$C64)</f>
        <v/>
      </c>
      <c r="D67" s="23" t="str">
        <f aca="false">IF($A67="","",SUMIFS(결제내역!$E$3:$E$1002,결제내역!$B$3:$B$1002,$A67))</f>
        <v/>
      </c>
      <c r="E67" s="23" t="str">
        <f aca="false">IF($A67="","",SUMIFS(사용내역!$D$3:$D$3002,사용내역!$B$3:$B$3002,$A67))</f>
        <v/>
      </c>
      <c r="F67" s="23" t="str">
        <f aca="false">IF($A67="","",$D67-$E67)</f>
        <v/>
      </c>
      <c r="G67" s="17" t="str">
        <f aca="false">IF($A67="","",IF(COUNTIFS(결제내역!$B$3:$B$1002,$A67)=0,"",_xlfn.MAXIFS(결제내역!$G$3:$G$1002,결제내역!$B$3:$B$1002,$A67)))</f>
        <v/>
      </c>
      <c r="H67" s="24" t="str">
        <f aca="true">IF(OR($A67="",$G67=""),"",$G67-TODAY())</f>
        <v/>
      </c>
      <c r="I67" s="16" t="str">
        <f aca="false">IF($A67="","",SUMIFS(결제내역!$H$3:$H$1002,결제내역!$B$3:$B$1002,$A67))</f>
        <v/>
      </c>
      <c r="J67" s="25" t="str">
        <f aca="false">IF($A67="","",IF($D67=0,"미결제",IF($F67&lt;=0,"횟수소진",IF($H67="","",IF($H67&lt;0,"기간만료",IF(OR($F67&lt;=사용안내!$C$18,$H67&lt;=사용안내!$C$17),"재결제 안내","정상"))))))</f>
        <v/>
      </c>
    </row>
    <row r="68" customFormat="false" ht="15" hidden="false" customHeight="true" outlineLevel="0" collapsed="false">
      <c r="A68" s="15" t="str">
        <f aca="false">IF(회원명부!$A65="","",회원명부!$A65)</f>
        <v/>
      </c>
      <c r="B68" s="15" t="str">
        <f aca="false">IF($A68="","",회원명부!$B65)</f>
        <v/>
      </c>
      <c r="C68" s="15" t="str">
        <f aca="false">IF($A68="","",회원명부!$C65)</f>
        <v/>
      </c>
      <c r="D68" s="23" t="str">
        <f aca="false">IF($A68="","",SUMIFS(결제내역!$E$3:$E$1002,결제내역!$B$3:$B$1002,$A68))</f>
        <v/>
      </c>
      <c r="E68" s="23" t="str">
        <f aca="false">IF($A68="","",SUMIFS(사용내역!$D$3:$D$3002,사용내역!$B$3:$B$3002,$A68))</f>
        <v/>
      </c>
      <c r="F68" s="23" t="str">
        <f aca="false">IF($A68="","",$D68-$E68)</f>
        <v/>
      </c>
      <c r="G68" s="17" t="str">
        <f aca="false">IF($A68="","",IF(COUNTIFS(결제내역!$B$3:$B$1002,$A68)=0,"",_xlfn.MAXIFS(결제내역!$G$3:$G$1002,결제내역!$B$3:$B$1002,$A68)))</f>
        <v/>
      </c>
      <c r="H68" s="24" t="str">
        <f aca="true">IF(OR($A68="",$G68=""),"",$G68-TODAY())</f>
        <v/>
      </c>
      <c r="I68" s="16" t="str">
        <f aca="false">IF($A68="","",SUMIFS(결제내역!$H$3:$H$1002,결제내역!$B$3:$B$1002,$A68))</f>
        <v/>
      </c>
      <c r="J68" s="25" t="str">
        <f aca="false">IF($A68="","",IF($D68=0,"미결제",IF($F68&lt;=0,"횟수소진",IF($H68="","",IF($H68&lt;0,"기간만료",IF(OR($F68&lt;=사용안내!$C$18,$H68&lt;=사용안내!$C$17),"재결제 안내","정상"))))))</f>
        <v/>
      </c>
    </row>
    <row r="69" customFormat="false" ht="15" hidden="false" customHeight="true" outlineLevel="0" collapsed="false">
      <c r="A69" s="15" t="str">
        <f aca="false">IF(회원명부!$A66="","",회원명부!$A66)</f>
        <v/>
      </c>
      <c r="B69" s="15" t="str">
        <f aca="false">IF($A69="","",회원명부!$B66)</f>
        <v/>
      </c>
      <c r="C69" s="15" t="str">
        <f aca="false">IF($A69="","",회원명부!$C66)</f>
        <v/>
      </c>
      <c r="D69" s="23" t="str">
        <f aca="false">IF($A69="","",SUMIFS(결제내역!$E$3:$E$1002,결제내역!$B$3:$B$1002,$A69))</f>
        <v/>
      </c>
      <c r="E69" s="23" t="str">
        <f aca="false">IF($A69="","",SUMIFS(사용내역!$D$3:$D$3002,사용내역!$B$3:$B$3002,$A69))</f>
        <v/>
      </c>
      <c r="F69" s="23" t="str">
        <f aca="false">IF($A69="","",$D69-$E69)</f>
        <v/>
      </c>
      <c r="G69" s="17" t="str">
        <f aca="false">IF($A69="","",IF(COUNTIFS(결제내역!$B$3:$B$1002,$A69)=0,"",_xlfn.MAXIFS(결제내역!$G$3:$G$1002,결제내역!$B$3:$B$1002,$A69)))</f>
        <v/>
      </c>
      <c r="H69" s="24" t="str">
        <f aca="true">IF(OR($A69="",$G69=""),"",$G69-TODAY())</f>
        <v/>
      </c>
      <c r="I69" s="16" t="str">
        <f aca="false">IF($A69="","",SUMIFS(결제내역!$H$3:$H$1002,결제내역!$B$3:$B$1002,$A69))</f>
        <v/>
      </c>
      <c r="J69" s="25" t="str">
        <f aca="false">IF($A69="","",IF($D69=0,"미결제",IF($F69&lt;=0,"횟수소진",IF($H69="","",IF($H69&lt;0,"기간만료",IF(OR($F69&lt;=사용안내!$C$18,$H69&lt;=사용안내!$C$17),"재결제 안내","정상"))))))</f>
        <v/>
      </c>
    </row>
    <row r="70" customFormat="false" ht="15" hidden="false" customHeight="true" outlineLevel="0" collapsed="false">
      <c r="A70" s="15" t="str">
        <f aca="false">IF(회원명부!$A67="","",회원명부!$A67)</f>
        <v/>
      </c>
      <c r="B70" s="15" t="str">
        <f aca="false">IF($A70="","",회원명부!$B67)</f>
        <v/>
      </c>
      <c r="C70" s="15" t="str">
        <f aca="false">IF($A70="","",회원명부!$C67)</f>
        <v/>
      </c>
      <c r="D70" s="23" t="str">
        <f aca="false">IF($A70="","",SUMIFS(결제내역!$E$3:$E$1002,결제내역!$B$3:$B$1002,$A70))</f>
        <v/>
      </c>
      <c r="E70" s="23" t="str">
        <f aca="false">IF($A70="","",SUMIFS(사용내역!$D$3:$D$3002,사용내역!$B$3:$B$3002,$A70))</f>
        <v/>
      </c>
      <c r="F70" s="23" t="str">
        <f aca="false">IF($A70="","",$D70-$E70)</f>
        <v/>
      </c>
      <c r="G70" s="17" t="str">
        <f aca="false">IF($A70="","",IF(COUNTIFS(결제내역!$B$3:$B$1002,$A70)=0,"",_xlfn.MAXIFS(결제내역!$G$3:$G$1002,결제내역!$B$3:$B$1002,$A70)))</f>
        <v/>
      </c>
      <c r="H70" s="24" t="str">
        <f aca="true">IF(OR($A70="",$G70=""),"",$G70-TODAY())</f>
        <v/>
      </c>
      <c r="I70" s="16" t="str">
        <f aca="false">IF($A70="","",SUMIFS(결제내역!$H$3:$H$1002,결제내역!$B$3:$B$1002,$A70))</f>
        <v/>
      </c>
      <c r="J70" s="25" t="str">
        <f aca="false">IF($A70="","",IF($D70=0,"미결제",IF($F70&lt;=0,"횟수소진",IF($H70="","",IF($H70&lt;0,"기간만료",IF(OR($F70&lt;=사용안내!$C$18,$H70&lt;=사용안내!$C$17),"재결제 안내","정상"))))))</f>
        <v/>
      </c>
    </row>
    <row r="71" customFormat="false" ht="15" hidden="false" customHeight="true" outlineLevel="0" collapsed="false">
      <c r="A71" s="15" t="str">
        <f aca="false">IF(회원명부!$A68="","",회원명부!$A68)</f>
        <v/>
      </c>
      <c r="B71" s="15" t="str">
        <f aca="false">IF($A71="","",회원명부!$B68)</f>
        <v/>
      </c>
      <c r="C71" s="15" t="str">
        <f aca="false">IF($A71="","",회원명부!$C68)</f>
        <v/>
      </c>
      <c r="D71" s="23" t="str">
        <f aca="false">IF($A71="","",SUMIFS(결제내역!$E$3:$E$1002,결제내역!$B$3:$B$1002,$A71))</f>
        <v/>
      </c>
      <c r="E71" s="23" t="str">
        <f aca="false">IF($A71="","",SUMIFS(사용내역!$D$3:$D$3002,사용내역!$B$3:$B$3002,$A71))</f>
        <v/>
      </c>
      <c r="F71" s="23" t="str">
        <f aca="false">IF($A71="","",$D71-$E71)</f>
        <v/>
      </c>
      <c r="G71" s="17" t="str">
        <f aca="false">IF($A71="","",IF(COUNTIFS(결제내역!$B$3:$B$1002,$A71)=0,"",_xlfn.MAXIFS(결제내역!$G$3:$G$1002,결제내역!$B$3:$B$1002,$A71)))</f>
        <v/>
      </c>
      <c r="H71" s="24" t="str">
        <f aca="true">IF(OR($A71="",$G71=""),"",$G71-TODAY())</f>
        <v/>
      </c>
      <c r="I71" s="16" t="str">
        <f aca="false">IF($A71="","",SUMIFS(결제내역!$H$3:$H$1002,결제내역!$B$3:$B$1002,$A71))</f>
        <v/>
      </c>
      <c r="J71" s="25" t="str">
        <f aca="false">IF($A71="","",IF($D71=0,"미결제",IF($F71&lt;=0,"횟수소진",IF($H71="","",IF($H71&lt;0,"기간만료",IF(OR($F71&lt;=사용안내!$C$18,$H71&lt;=사용안내!$C$17),"재결제 안내","정상"))))))</f>
        <v/>
      </c>
    </row>
    <row r="72" customFormat="false" ht="15" hidden="false" customHeight="true" outlineLevel="0" collapsed="false">
      <c r="A72" s="15" t="str">
        <f aca="false">IF(회원명부!$A69="","",회원명부!$A69)</f>
        <v/>
      </c>
      <c r="B72" s="15" t="str">
        <f aca="false">IF($A72="","",회원명부!$B69)</f>
        <v/>
      </c>
      <c r="C72" s="15" t="str">
        <f aca="false">IF($A72="","",회원명부!$C69)</f>
        <v/>
      </c>
      <c r="D72" s="23" t="str">
        <f aca="false">IF($A72="","",SUMIFS(결제내역!$E$3:$E$1002,결제내역!$B$3:$B$1002,$A72))</f>
        <v/>
      </c>
      <c r="E72" s="23" t="str">
        <f aca="false">IF($A72="","",SUMIFS(사용내역!$D$3:$D$3002,사용내역!$B$3:$B$3002,$A72))</f>
        <v/>
      </c>
      <c r="F72" s="23" t="str">
        <f aca="false">IF($A72="","",$D72-$E72)</f>
        <v/>
      </c>
      <c r="G72" s="17" t="str">
        <f aca="false">IF($A72="","",IF(COUNTIFS(결제내역!$B$3:$B$1002,$A72)=0,"",_xlfn.MAXIFS(결제내역!$G$3:$G$1002,결제내역!$B$3:$B$1002,$A72)))</f>
        <v/>
      </c>
      <c r="H72" s="24" t="str">
        <f aca="true">IF(OR($A72="",$G72=""),"",$G72-TODAY())</f>
        <v/>
      </c>
      <c r="I72" s="16" t="str">
        <f aca="false">IF($A72="","",SUMIFS(결제내역!$H$3:$H$1002,결제내역!$B$3:$B$1002,$A72))</f>
        <v/>
      </c>
      <c r="J72" s="25" t="str">
        <f aca="false">IF($A72="","",IF($D72=0,"미결제",IF($F72&lt;=0,"횟수소진",IF($H72="","",IF($H72&lt;0,"기간만료",IF(OR($F72&lt;=사용안내!$C$18,$H72&lt;=사용안내!$C$17),"재결제 안내","정상"))))))</f>
        <v/>
      </c>
    </row>
    <row r="73" customFormat="false" ht="15" hidden="false" customHeight="true" outlineLevel="0" collapsed="false">
      <c r="A73" s="15" t="str">
        <f aca="false">IF(회원명부!$A70="","",회원명부!$A70)</f>
        <v/>
      </c>
      <c r="B73" s="15" t="str">
        <f aca="false">IF($A73="","",회원명부!$B70)</f>
        <v/>
      </c>
      <c r="C73" s="15" t="str">
        <f aca="false">IF($A73="","",회원명부!$C70)</f>
        <v/>
      </c>
      <c r="D73" s="23" t="str">
        <f aca="false">IF($A73="","",SUMIFS(결제내역!$E$3:$E$1002,결제내역!$B$3:$B$1002,$A73))</f>
        <v/>
      </c>
      <c r="E73" s="23" t="str">
        <f aca="false">IF($A73="","",SUMIFS(사용내역!$D$3:$D$3002,사용내역!$B$3:$B$3002,$A73))</f>
        <v/>
      </c>
      <c r="F73" s="23" t="str">
        <f aca="false">IF($A73="","",$D73-$E73)</f>
        <v/>
      </c>
      <c r="G73" s="17" t="str">
        <f aca="false">IF($A73="","",IF(COUNTIFS(결제내역!$B$3:$B$1002,$A73)=0,"",_xlfn.MAXIFS(결제내역!$G$3:$G$1002,결제내역!$B$3:$B$1002,$A73)))</f>
        <v/>
      </c>
      <c r="H73" s="24" t="str">
        <f aca="true">IF(OR($A73="",$G73=""),"",$G73-TODAY())</f>
        <v/>
      </c>
      <c r="I73" s="16" t="str">
        <f aca="false">IF($A73="","",SUMIFS(결제내역!$H$3:$H$1002,결제내역!$B$3:$B$1002,$A73))</f>
        <v/>
      </c>
      <c r="J73" s="25" t="str">
        <f aca="false">IF($A73="","",IF($D73=0,"미결제",IF($F73&lt;=0,"횟수소진",IF($H73="","",IF($H73&lt;0,"기간만료",IF(OR($F73&lt;=사용안내!$C$18,$H73&lt;=사용안내!$C$17),"재결제 안내","정상"))))))</f>
        <v/>
      </c>
    </row>
    <row r="74" customFormat="false" ht="15" hidden="false" customHeight="true" outlineLevel="0" collapsed="false">
      <c r="A74" s="15" t="str">
        <f aca="false">IF(회원명부!$A71="","",회원명부!$A71)</f>
        <v/>
      </c>
      <c r="B74" s="15" t="str">
        <f aca="false">IF($A74="","",회원명부!$B71)</f>
        <v/>
      </c>
      <c r="C74" s="15" t="str">
        <f aca="false">IF($A74="","",회원명부!$C71)</f>
        <v/>
      </c>
      <c r="D74" s="23" t="str">
        <f aca="false">IF($A74="","",SUMIFS(결제내역!$E$3:$E$1002,결제내역!$B$3:$B$1002,$A74))</f>
        <v/>
      </c>
      <c r="E74" s="23" t="str">
        <f aca="false">IF($A74="","",SUMIFS(사용내역!$D$3:$D$3002,사용내역!$B$3:$B$3002,$A74))</f>
        <v/>
      </c>
      <c r="F74" s="23" t="str">
        <f aca="false">IF($A74="","",$D74-$E74)</f>
        <v/>
      </c>
      <c r="G74" s="17" t="str">
        <f aca="false">IF($A74="","",IF(COUNTIFS(결제내역!$B$3:$B$1002,$A74)=0,"",_xlfn.MAXIFS(결제내역!$G$3:$G$1002,결제내역!$B$3:$B$1002,$A74)))</f>
        <v/>
      </c>
      <c r="H74" s="24" t="str">
        <f aca="true">IF(OR($A74="",$G74=""),"",$G74-TODAY())</f>
        <v/>
      </c>
      <c r="I74" s="16" t="str">
        <f aca="false">IF($A74="","",SUMIFS(결제내역!$H$3:$H$1002,결제내역!$B$3:$B$1002,$A74))</f>
        <v/>
      </c>
      <c r="J74" s="25" t="str">
        <f aca="false">IF($A74="","",IF($D74=0,"미결제",IF($F74&lt;=0,"횟수소진",IF($H74="","",IF($H74&lt;0,"기간만료",IF(OR($F74&lt;=사용안내!$C$18,$H74&lt;=사용안내!$C$17),"재결제 안내","정상"))))))</f>
        <v/>
      </c>
    </row>
    <row r="75" customFormat="false" ht="15" hidden="false" customHeight="true" outlineLevel="0" collapsed="false">
      <c r="A75" s="15" t="str">
        <f aca="false">IF(회원명부!$A72="","",회원명부!$A72)</f>
        <v/>
      </c>
      <c r="B75" s="15" t="str">
        <f aca="false">IF($A75="","",회원명부!$B72)</f>
        <v/>
      </c>
      <c r="C75" s="15" t="str">
        <f aca="false">IF($A75="","",회원명부!$C72)</f>
        <v/>
      </c>
      <c r="D75" s="23" t="str">
        <f aca="false">IF($A75="","",SUMIFS(결제내역!$E$3:$E$1002,결제내역!$B$3:$B$1002,$A75))</f>
        <v/>
      </c>
      <c r="E75" s="23" t="str">
        <f aca="false">IF($A75="","",SUMIFS(사용내역!$D$3:$D$3002,사용내역!$B$3:$B$3002,$A75))</f>
        <v/>
      </c>
      <c r="F75" s="23" t="str">
        <f aca="false">IF($A75="","",$D75-$E75)</f>
        <v/>
      </c>
      <c r="G75" s="17" t="str">
        <f aca="false">IF($A75="","",IF(COUNTIFS(결제내역!$B$3:$B$1002,$A75)=0,"",_xlfn.MAXIFS(결제내역!$G$3:$G$1002,결제내역!$B$3:$B$1002,$A75)))</f>
        <v/>
      </c>
      <c r="H75" s="24" t="str">
        <f aca="true">IF(OR($A75="",$G75=""),"",$G75-TODAY())</f>
        <v/>
      </c>
      <c r="I75" s="16" t="str">
        <f aca="false">IF($A75="","",SUMIFS(결제내역!$H$3:$H$1002,결제내역!$B$3:$B$1002,$A75))</f>
        <v/>
      </c>
      <c r="J75" s="25" t="str">
        <f aca="false">IF($A75="","",IF($D75=0,"미결제",IF($F75&lt;=0,"횟수소진",IF($H75="","",IF($H75&lt;0,"기간만료",IF(OR($F75&lt;=사용안내!$C$18,$H75&lt;=사용안내!$C$17),"재결제 안내","정상"))))))</f>
        <v/>
      </c>
    </row>
    <row r="76" customFormat="false" ht="15" hidden="false" customHeight="true" outlineLevel="0" collapsed="false">
      <c r="A76" s="15" t="str">
        <f aca="false">IF(회원명부!$A73="","",회원명부!$A73)</f>
        <v/>
      </c>
      <c r="B76" s="15" t="str">
        <f aca="false">IF($A76="","",회원명부!$B73)</f>
        <v/>
      </c>
      <c r="C76" s="15" t="str">
        <f aca="false">IF($A76="","",회원명부!$C73)</f>
        <v/>
      </c>
      <c r="D76" s="23" t="str">
        <f aca="false">IF($A76="","",SUMIFS(결제내역!$E$3:$E$1002,결제내역!$B$3:$B$1002,$A76))</f>
        <v/>
      </c>
      <c r="E76" s="23" t="str">
        <f aca="false">IF($A76="","",SUMIFS(사용내역!$D$3:$D$3002,사용내역!$B$3:$B$3002,$A76))</f>
        <v/>
      </c>
      <c r="F76" s="23" t="str">
        <f aca="false">IF($A76="","",$D76-$E76)</f>
        <v/>
      </c>
      <c r="G76" s="17" t="str">
        <f aca="false">IF($A76="","",IF(COUNTIFS(결제내역!$B$3:$B$1002,$A76)=0,"",_xlfn.MAXIFS(결제내역!$G$3:$G$1002,결제내역!$B$3:$B$1002,$A76)))</f>
        <v/>
      </c>
      <c r="H76" s="24" t="str">
        <f aca="true">IF(OR($A76="",$G76=""),"",$G76-TODAY())</f>
        <v/>
      </c>
      <c r="I76" s="16" t="str">
        <f aca="false">IF($A76="","",SUMIFS(결제내역!$H$3:$H$1002,결제내역!$B$3:$B$1002,$A76))</f>
        <v/>
      </c>
      <c r="J76" s="25" t="str">
        <f aca="false">IF($A76="","",IF($D76=0,"미결제",IF($F76&lt;=0,"횟수소진",IF($H76="","",IF($H76&lt;0,"기간만료",IF(OR($F76&lt;=사용안내!$C$18,$H76&lt;=사용안내!$C$17),"재결제 안내","정상"))))))</f>
        <v/>
      </c>
    </row>
    <row r="77" customFormat="false" ht="15" hidden="false" customHeight="true" outlineLevel="0" collapsed="false">
      <c r="A77" s="15" t="str">
        <f aca="false">IF(회원명부!$A74="","",회원명부!$A74)</f>
        <v/>
      </c>
      <c r="B77" s="15" t="str">
        <f aca="false">IF($A77="","",회원명부!$B74)</f>
        <v/>
      </c>
      <c r="C77" s="15" t="str">
        <f aca="false">IF($A77="","",회원명부!$C74)</f>
        <v/>
      </c>
      <c r="D77" s="23" t="str">
        <f aca="false">IF($A77="","",SUMIFS(결제내역!$E$3:$E$1002,결제내역!$B$3:$B$1002,$A77))</f>
        <v/>
      </c>
      <c r="E77" s="23" t="str">
        <f aca="false">IF($A77="","",SUMIFS(사용내역!$D$3:$D$3002,사용내역!$B$3:$B$3002,$A77))</f>
        <v/>
      </c>
      <c r="F77" s="23" t="str">
        <f aca="false">IF($A77="","",$D77-$E77)</f>
        <v/>
      </c>
      <c r="G77" s="17" t="str">
        <f aca="false">IF($A77="","",IF(COUNTIFS(결제내역!$B$3:$B$1002,$A77)=0,"",_xlfn.MAXIFS(결제내역!$G$3:$G$1002,결제내역!$B$3:$B$1002,$A77)))</f>
        <v/>
      </c>
      <c r="H77" s="24" t="str">
        <f aca="true">IF(OR($A77="",$G77=""),"",$G77-TODAY())</f>
        <v/>
      </c>
      <c r="I77" s="16" t="str">
        <f aca="false">IF($A77="","",SUMIFS(결제내역!$H$3:$H$1002,결제내역!$B$3:$B$1002,$A77))</f>
        <v/>
      </c>
      <c r="J77" s="25" t="str">
        <f aca="false">IF($A77="","",IF($D77=0,"미결제",IF($F77&lt;=0,"횟수소진",IF($H77="","",IF($H77&lt;0,"기간만료",IF(OR($F77&lt;=사용안내!$C$18,$H77&lt;=사용안내!$C$17),"재결제 안내","정상"))))))</f>
        <v/>
      </c>
    </row>
    <row r="78" customFormat="false" ht="15" hidden="false" customHeight="true" outlineLevel="0" collapsed="false">
      <c r="A78" s="15" t="str">
        <f aca="false">IF(회원명부!$A75="","",회원명부!$A75)</f>
        <v/>
      </c>
      <c r="B78" s="15" t="str">
        <f aca="false">IF($A78="","",회원명부!$B75)</f>
        <v/>
      </c>
      <c r="C78" s="15" t="str">
        <f aca="false">IF($A78="","",회원명부!$C75)</f>
        <v/>
      </c>
      <c r="D78" s="23" t="str">
        <f aca="false">IF($A78="","",SUMIFS(결제내역!$E$3:$E$1002,결제내역!$B$3:$B$1002,$A78))</f>
        <v/>
      </c>
      <c r="E78" s="23" t="str">
        <f aca="false">IF($A78="","",SUMIFS(사용내역!$D$3:$D$3002,사용내역!$B$3:$B$3002,$A78))</f>
        <v/>
      </c>
      <c r="F78" s="23" t="str">
        <f aca="false">IF($A78="","",$D78-$E78)</f>
        <v/>
      </c>
      <c r="G78" s="17" t="str">
        <f aca="false">IF($A78="","",IF(COUNTIFS(결제내역!$B$3:$B$1002,$A78)=0,"",_xlfn.MAXIFS(결제내역!$G$3:$G$1002,결제내역!$B$3:$B$1002,$A78)))</f>
        <v/>
      </c>
      <c r="H78" s="24" t="str">
        <f aca="true">IF(OR($A78="",$G78=""),"",$G78-TODAY())</f>
        <v/>
      </c>
      <c r="I78" s="16" t="str">
        <f aca="false">IF($A78="","",SUMIFS(결제내역!$H$3:$H$1002,결제내역!$B$3:$B$1002,$A78))</f>
        <v/>
      </c>
      <c r="J78" s="25" t="str">
        <f aca="false">IF($A78="","",IF($D78=0,"미결제",IF($F78&lt;=0,"횟수소진",IF($H78="","",IF($H78&lt;0,"기간만료",IF(OR($F78&lt;=사용안내!$C$18,$H78&lt;=사용안내!$C$17),"재결제 안내","정상"))))))</f>
        <v/>
      </c>
    </row>
    <row r="79" customFormat="false" ht="15" hidden="false" customHeight="true" outlineLevel="0" collapsed="false">
      <c r="A79" s="15" t="str">
        <f aca="false">IF(회원명부!$A76="","",회원명부!$A76)</f>
        <v/>
      </c>
      <c r="B79" s="15" t="str">
        <f aca="false">IF($A79="","",회원명부!$B76)</f>
        <v/>
      </c>
      <c r="C79" s="15" t="str">
        <f aca="false">IF($A79="","",회원명부!$C76)</f>
        <v/>
      </c>
      <c r="D79" s="23" t="str">
        <f aca="false">IF($A79="","",SUMIFS(결제내역!$E$3:$E$1002,결제내역!$B$3:$B$1002,$A79))</f>
        <v/>
      </c>
      <c r="E79" s="23" t="str">
        <f aca="false">IF($A79="","",SUMIFS(사용내역!$D$3:$D$3002,사용내역!$B$3:$B$3002,$A79))</f>
        <v/>
      </c>
      <c r="F79" s="23" t="str">
        <f aca="false">IF($A79="","",$D79-$E79)</f>
        <v/>
      </c>
      <c r="G79" s="17" t="str">
        <f aca="false">IF($A79="","",IF(COUNTIFS(결제내역!$B$3:$B$1002,$A79)=0,"",_xlfn.MAXIFS(결제내역!$G$3:$G$1002,결제내역!$B$3:$B$1002,$A79)))</f>
        <v/>
      </c>
      <c r="H79" s="24" t="str">
        <f aca="true">IF(OR($A79="",$G79=""),"",$G79-TODAY())</f>
        <v/>
      </c>
      <c r="I79" s="16" t="str">
        <f aca="false">IF($A79="","",SUMIFS(결제내역!$H$3:$H$1002,결제내역!$B$3:$B$1002,$A79))</f>
        <v/>
      </c>
      <c r="J79" s="25" t="str">
        <f aca="false">IF($A79="","",IF($D79=0,"미결제",IF($F79&lt;=0,"횟수소진",IF($H79="","",IF($H79&lt;0,"기간만료",IF(OR($F79&lt;=사용안내!$C$18,$H79&lt;=사용안내!$C$17),"재결제 안내","정상"))))))</f>
        <v/>
      </c>
    </row>
    <row r="80" customFormat="false" ht="15" hidden="false" customHeight="true" outlineLevel="0" collapsed="false">
      <c r="A80" s="15" t="str">
        <f aca="false">IF(회원명부!$A77="","",회원명부!$A77)</f>
        <v/>
      </c>
      <c r="B80" s="15" t="str">
        <f aca="false">IF($A80="","",회원명부!$B77)</f>
        <v/>
      </c>
      <c r="C80" s="15" t="str">
        <f aca="false">IF($A80="","",회원명부!$C77)</f>
        <v/>
      </c>
      <c r="D80" s="23" t="str">
        <f aca="false">IF($A80="","",SUMIFS(결제내역!$E$3:$E$1002,결제내역!$B$3:$B$1002,$A80))</f>
        <v/>
      </c>
      <c r="E80" s="23" t="str">
        <f aca="false">IF($A80="","",SUMIFS(사용내역!$D$3:$D$3002,사용내역!$B$3:$B$3002,$A80))</f>
        <v/>
      </c>
      <c r="F80" s="23" t="str">
        <f aca="false">IF($A80="","",$D80-$E80)</f>
        <v/>
      </c>
      <c r="G80" s="17" t="str">
        <f aca="false">IF($A80="","",IF(COUNTIFS(결제내역!$B$3:$B$1002,$A80)=0,"",_xlfn.MAXIFS(결제내역!$G$3:$G$1002,결제내역!$B$3:$B$1002,$A80)))</f>
        <v/>
      </c>
      <c r="H80" s="24" t="str">
        <f aca="true">IF(OR($A80="",$G80=""),"",$G80-TODAY())</f>
        <v/>
      </c>
      <c r="I80" s="16" t="str">
        <f aca="false">IF($A80="","",SUMIFS(결제내역!$H$3:$H$1002,결제내역!$B$3:$B$1002,$A80))</f>
        <v/>
      </c>
      <c r="J80" s="25" t="str">
        <f aca="false">IF($A80="","",IF($D80=0,"미결제",IF($F80&lt;=0,"횟수소진",IF($H80="","",IF($H80&lt;0,"기간만료",IF(OR($F80&lt;=사용안내!$C$18,$H80&lt;=사용안내!$C$17),"재결제 안내","정상"))))))</f>
        <v/>
      </c>
    </row>
    <row r="81" customFormat="false" ht="15" hidden="false" customHeight="true" outlineLevel="0" collapsed="false">
      <c r="A81" s="15" t="str">
        <f aca="false">IF(회원명부!$A78="","",회원명부!$A78)</f>
        <v/>
      </c>
      <c r="B81" s="15" t="str">
        <f aca="false">IF($A81="","",회원명부!$B78)</f>
        <v/>
      </c>
      <c r="C81" s="15" t="str">
        <f aca="false">IF($A81="","",회원명부!$C78)</f>
        <v/>
      </c>
      <c r="D81" s="23" t="str">
        <f aca="false">IF($A81="","",SUMIFS(결제내역!$E$3:$E$1002,결제내역!$B$3:$B$1002,$A81))</f>
        <v/>
      </c>
      <c r="E81" s="23" t="str">
        <f aca="false">IF($A81="","",SUMIFS(사용내역!$D$3:$D$3002,사용내역!$B$3:$B$3002,$A81))</f>
        <v/>
      </c>
      <c r="F81" s="23" t="str">
        <f aca="false">IF($A81="","",$D81-$E81)</f>
        <v/>
      </c>
      <c r="G81" s="17" t="str">
        <f aca="false">IF($A81="","",IF(COUNTIFS(결제내역!$B$3:$B$1002,$A81)=0,"",_xlfn.MAXIFS(결제내역!$G$3:$G$1002,결제내역!$B$3:$B$1002,$A81)))</f>
        <v/>
      </c>
      <c r="H81" s="24" t="str">
        <f aca="true">IF(OR($A81="",$G81=""),"",$G81-TODAY())</f>
        <v/>
      </c>
      <c r="I81" s="16" t="str">
        <f aca="false">IF($A81="","",SUMIFS(결제내역!$H$3:$H$1002,결제내역!$B$3:$B$1002,$A81))</f>
        <v/>
      </c>
      <c r="J81" s="25" t="str">
        <f aca="false">IF($A81="","",IF($D81=0,"미결제",IF($F81&lt;=0,"횟수소진",IF($H81="","",IF($H81&lt;0,"기간만료",IF(OR($F81&lt;=사용안내!$C$18,$H81&lt;=사용안내!$C$17),"재결제 안내","정상"))))))</f>
        <v/>
      </c>
    </row>
    <row r="82" customFormat="false" ht="15" hidden="false" customHeight="true" outlineLevel="0" collapsed="false">
      <c r="A82" s="15" t="str">
        <f aca="false">IF(회원명부!$A79="","",회원명부!$A79)</f>
        <v/>
      </c>
      <c r="B82" s="15" t="str">
        <f aca="false">IF($A82="","",회원명부!$B79)</f>
        <v/>
      </c>
      <c r="C82" s="15" t="str">
        <f aca="false">IF($A82="","",회원명부!$C79)</f>
        <v/>
      </c>
      <c r="D82" s="23" t="str">
        <f aca="false">IF($A82="","",SUMIFS(결제내역!$E$3:$E$1002,결제내역!$B$3:$B$1002,$A82))</f>
        <v/>
      </c>
      <c r="E82" s="23" t="str">
        <f aca="false">IF($A82="","",SUMIFS(사용내역!$D$3:$D$3002,사용내역!$B$3:$B$3002,$A82))</f>
        <v/>
      </c>
      <c r="F82" s="23" t="str">
        <f aca="false">IF($A82="","",$D82-$E82)</f>
        <v/>
      </c>
      <c r="G82" s="17" t="str">
        <f aca="false">IF($A82="","",IF(COUNTIFS(결제내역!$B$3:$B$1002,$A82)=0,"",_xlfn.MAXIFS(결제내역!$G$3:$G$1002,결제내역!$B$3:$B$1002,$A82)))</f>
        <v/>
      </c>
      <c r="H82" s="24" t="str">
        <f aca="true">IF(OR($A82="",$G82=""),"",$G82-TODAY())</f>
        <v/>
      </c>
      <c r="I82" s="16" t="str">
        <f aca="false">IF($A82="","",SUMIFS(결제내역!$H$3:$H$1002,결제내역!$B$3:$B$1002,$A82))</f>
        <v/>
      </c>
      <c r="J82" s="25" t="str">
        <f aca="false">IF($A82="","",IF($D82=0,"미결제",IF($F82&lt;=0,"횟수소진",IF($H82="","",IF($H82&lt;0,"기간만료",IF(OR($F82&lt;=사용안내!$C$18,$H82&lt;=사용안내!$C$17),"재결제 안내","정상"))))))</f>
        <v/>
      </c>
    </row>
    <row r="83" customFormat="false" ht="15" hidden="false" customHeight="true" outlineLevel="0" collapsed="false">
      <c r="A83" s="15" t="str">
        <f aca="false">IF(회원명부!$A80="","",회원명부!$A80)</f>
        <v/>
      </c>
      <c r="B83" s="15" t="str">
        <f aca="false">IF($A83="","",회원명부!$B80)</f>
        <v/>
      </c>
      <c r="C83" s="15" t="str">
        <f aca="false">IF($A83="","",회원명부!$C80)</f>
        <v/>
      </c>
      <c r="D83" s="23" t="str">
        <f aca="false">IF($A83="","",SUMIFS(결제내역!$E$3:$E$1002,결제내역!$B$3:$B$1002,$A83))</f>
        <v/>
      </c>
      <c r="E83" s="23" t="str">
        <f aca="false">IF($A83="","",SUMIFS(사용내역!$D$3:$D$3002,사용내역!$B$3:$B$3002,$A83))</f>
        <v/>
      </c>
      <c r="F83" s="23" t="str">
        <f aca="false">IF($A83="","",$D83-$E83)</f>
        <v/>
      </c>
      <c r="G83" s="17" t="str">
        <f aca="false">IF($A83="","",IF(COUNTIFS(결제내역!$B$3:$B$1002,$A83)=0,"",_xlfn.MAXIFS(결제내역!$G$3:$G$1002,결제내역!$B$3:$B$1002,$A83)))</f>
        <v/>
      </c>
      <c r="H83" s="24" t="str">
        <f aca="true">IF(OR($A83="",$G83=""),"",$G83-TODAY())</f>
        <v/>
      </c>
      <c r="I83" s="16" t="str">
        <f aca="false">IF($A83="","",SUMIFS(결제내역!$H$3:$H$1002,결제내역!$B$3:$B$1002,$A83))</f>
        <v/>
      </c>
      <c r="J83" s="25" t="str">
        <f aca="false">IF($A83="","",IF($D83=0,"미결제",IF($F83&lt;=0,"횟수소진",IF($H83="","",IF($H83&lt;0,"기간만료",IF(OR($F83&lt;=사용안내!$C$18,$H83&lt;=사용안내!$C$17),"재결제 안내","정상"))))))</f>
        <v/>
      </c>
    </row>
    <row r="84" customFormat="false" ht="15" hidden="false" customHeight="true" outlineLevel="0" collapsed="false">
      <c r="A84" s="15" t="str">
        <f aca="false">IF(회원명부!$A81="","",회원명부!$A81)</f>
        <v/>
      </c>
      <c r="B84" s="15" t="str">
        <f aca="false">IF($A84="","",회원명부!$B81)</f>
        <v/>
      </c>
      <c r="C84" s="15" t="str">
        <f aca="false">IF($A84="","",회원명부!$C81)</f>
        <v/>
      </c>
      <c r="D84" s="23" t="str">
        <f aca="false">IF($A84="","",SUMIFS(결제내역!$E$3:$E$1002,결제내역!$B$3:$B$1002,$A84))</f>
        <v/>
      </c>
      <c r="E84" s="23" t="str">
        <f aca="false">IF($A84="","",SUMIFS(사용내역!$D$3:$D$3002,사용내역!$B$3:$B$3002,$A84))</f>
        <v/>
      </c>
      <c r="F84" s="23" t="str">
        <f aca="false">IF($A84="","",$D84-$E84)</f>
        <v/>
      </c>
      <c r="G84" s="17" t="str">
        <f aca="false">IF($A84="","",IF(COUNTIFS(결제내역!$B$3:$B$1002,$A84)=0,"",_xlfn.MAXIFS(결제내역!$G$3:$G$1002,결제내역!$B$3:$B$1002,$A84)))</f>
        <v/>
      </c>
      <c r="H84" s="24" t="str">
        <f aca="true">IF(OR($A84="",$G84=""),"",$G84-TODAY())</f>
        <v/>
      </c>
      <c r="I84" s="16" t="str">
        <f aca="false">IF($A84="","",SUMIFS(결제내역!$H$3:$H$1002,결제내역!$B$3:$B$1002,$A84))</f>
        <v/>
      </c>
      <c r="J84" s="25" t="str">
        <f aca="false">IF($A84="","",IF($D84=0,"미결제",IF($F84&lt;=0,"횟수소진",IF($H84="","",IF($H84&lt;0,"기간만료",IF(OR($F84&lt;=사용안내!$C$18,$H84&lt;=사용안내!$C$17),"재결제 안내","정상"))))))</f>
        <v/>
      </c>
    </row>
    <row r="85" customFormat="false" ht="15" hidden="false" customHeight="true" outlineLevel="0" collapsed="false">
      <c r="A85" s="15" t="str">
        <f aca="false">IF(회원명부!$A82="","",회원명부!$A82)</f>
        <v/>
      </c>
      <c r="B85" s="15" t="str">
        <f aca="false">IF($A85="","",회원명부!$B82)</f>
        <v/>
      </c>
      <c r="C85" s="15" t="str">
        <f aca="false">IF($A85="","",회원명부!$C82)</f>
        <v/>
      </c>
      <c r="D85" s="23" t="str">
        <f aca="false">IF($A85="","",SUMIFS(결제내역!$E$3:$E$1002,결제내역!$B$3:$B$1002,$A85))</f>
        <v/>
      </c>
      <c r="E85" s="23" t="str">
        <f aca="false">IF($A85="","",SUMIFS(사용내역!$D$3:$D$3002,사용내역!$B$3:$B$3002,$A85))</f>
        <v/>
      </c>
      <c r="F85" s="23" t="str">
        <f aca="false">IF($A85="","",$D85-$E85)</f>
        <v/>
      </c>
      <c r="G85" s="17" t="str">
        <f aca="false">IF($A85="","",IF(COUNTIFS(결제내역!$B$3:$B$1002,$A85)=0,"",_xlfn.MAXIFS(결제내역!$G$3:$G$1002,결제내역!$B$3:$B$1002,$A85)))</f>
        <v/>
      </c>
      <c r="H85" s="24" t="str">
        <f aca="true">IF(OR($A85="",$G85=""),"",$G85-TODAY())</f>
        <v/>
      </c>
      <c r="I85" s="16" t="str">
        <f aca="false">IF($A85="","",SUMIFS(결제내역!$H$3:$H$1002,결제내역!$B$3:$B$1002,$A85))</f>
        <v/>
      </c>
      <c r="J85" s="25" t="str">
        <f aca="false">IF($A85="","",IF($D85=0,"미결제",IF($F85&lt;=0,"횟수소진",IF($H85="","",IF($H85&lt;0,"기간만료",IF(OR($F85&lt;=사용안내!$C$18,$H85&lt;=사용안내!$C$17),"재결제 안내","정상"))))))</f>
        <v/>
      </c>
    </row>
    <row r="86" customFormat="false" ht="15" hidden="false" customHeight="true" outlineLevel="0" collapsed="false">
      <c r="A86" s="15" t="str">
        <f aca="false">IF(회원명부!$A83="","",회원명부!$A83)</f>
        <v/>
      </c>
      <c r="B86" s="15" t="str">
        <f aca="false">IF($A86="","",회원명부!$B83)</f>
        <v/>
      </c>
      <c r="C86" s="15" t="str">
        <f aca="false">IF($A86="","",회원명부!$C83)</f>
        <v/>
      </c>
      <c r="D86" s="23" t="str">
        <f aca="false">IF($A86="","",SUMIFS(결제내역!$E$3:$E$1002,결제내역!$B$3:$B$1002,$A86))</f>
        <v/>
      </c>
      <c r="E86" s="23" t="str">
        <f aca="false">IF($A86="","",SUMIFS(사용내역!$D$3:$D$3002,사용내역!$B$3:$B$3002,$A86))</f>
        <v/>
      </c>
      <c r="F86" s="23" t="str">
        <f aca="false">IF($A86="","",$D86-$E86)</f>
        <v/>
      </c>
      <c r="G86" s="17" t="str">
        <f aca="false">IF($A86="","",IF(COUNTIFS(결제내역!$B$3:$B$1002,$A86)=0,"",_xlfn.MAXIFS(결제내역!$G$3:$G$1002,결제내역!$B$3:$B$1002,$A86)))</f>
        <v/>
      </c>
      <c r="H86" s="24" t="str">
        <f aca="true">IF(OR($A86="",$G86=""),"",$G86-TODAY())</f>
        <v/>
      </c>
      <c r="I86" s="16" t="str">
        <f aca="false">IF($A86="","",SUMIFS(결제내역!$H$3:$H$1002,결제내역!$B$3:$B$1002,$A86))</f>
        <v/>
      </c>
      <c r="J86" s="25" t="str">
        <f aca="false">IF($A86="","",IF($D86=0,"미결제",IF($F86&lt;=0,"횟수소진",IF($H86="","",IF($H86&lt;0,"기간만료",IF(OR($F86&lt;=사용안내!$C$18,$H86&lt;=사용안내!$C$17),"재결제 안내","정상"))))))</f>
        <v/>
      </c>
    </row>
    <row r="87" customFormat="false" ht="15" hidden="false" customHeight="true" outlineLevel="0" collapsed="false">
      <c r="A87" s="15" t="str">
        <f aca="false">IF(회원명부!$A84="","",회원명부!$A84)</f>
        <v/>
      </c>
      <c r="B87" s="15" t="str">
        <f aca="false">IF($A87="","",회원명부!$B84)</f>
        <v/>
      </c>
      <c r="C87" s="15" t="str">
        <f aca="false">IF($A87="","",회원명부!$C84)</f>
        <v/>
      </c>
      <c r="D87" s="23" t="str">
        <f aca="false">IF($A87="","",SUMIFS(결제내역!$E$3:$E$1002,결제내역!$B$3:$B$1002,$A87))</f>
        <v/>
      </c>
      <c r="E87" s="23" t="str">
        <f aca="false">IF($A87="","",SUMIFS(사용내역!$D$3:$D$3002,사용내역!$B$3:$B$3002,$A87))</f>
        <v/>
      </c>
      <c r="F87" s="23" t="str">
        <f aca="false">IF($A87="","",$D87-$E87)</f>
        <v/>
      </c>
      <c r="G87" s="17" t="str">
        <f aca="false">IF($A87="","",IF(COUNTIFS(결제내역!$B$3:$B$1002,$A87)=0,"",_xlfn.MAXIFS(결제내역!$G$3:$G$1002,결제내역!$B$3:$B$1002,$A87)))</f>
        <v/>
      </c>
      <c r="H87" s="24" t="str">
        <f aca="true">IF(OR($A87="",$G87=""),"",$G87-TODAY())</f>
        <v/>
      </c>
      <c r="I87" s="16" t="str">
        <f aca="false">IF($A87="","",SUMIFS(결제내역!$H$3:$H$1002,결제내역!$B$3:$B$1002,$A87))</f>
        <v/>
      </c>
      <c r="J87" s="25" t="str">
        <f aca="false">IF($A87="","",IF($D87=0,"미결제",IF($F87&lt;=0,"횟수소진",IF($H87="","",IF($H87&lt;0,"기간만료",IF(OR($F87&lt;=사용안내!$C$18,$H87&lt;=사용안내!$C$17),"재결제 안내","정상"))))))</f>
        <v/>
      </c>
    </row>
    <row r="88" customFormat="false" ht="15" hidden="false" customHeight="true" outlineLevel="0" collapsed="false">
      <c r="A88" s="15" t="str">
        <f aca="false">IF(회원명부!$A85="","",회원명부!$A85)</f>
        <v/>
      </c>
      <c r="B88" s="15" t="str">
        <f aca="false">IF($A88="","",회원명부!$B85)</f>
        <v/>
      </c>
      <c r="C88" s="15" t="str">
        <f aca="false">IF($A88="","",회원명부!$C85)</f>
        <v/>
      </c>
      <c r="D88" s="23" t="str">
        <f aca="false">IF($A88="","",SUMIFS(결제내역!$E$3:$E$1002,결제내역!$B$3:$B$1002,$A88))</f>
        <v/>
      </c>
      <c r="E88" s="23" t="str">
        <f aca="false">IF($A88="","",SUMIFS(사용내역!$D$3:$D$3002,사용내역!$B$3:$B$3002,$A88))</f>
        <v/>
      </c>
      <c r="F88" s="23" t="str">
        <f aca="false">IF($A88="","",$D88-$E88)</f>
        <v/>
      </c>
      <c r="G88" s="17" t="str">
        <f aca="false">IF($A88="","",IF(COUNTIFS(결제내역!$B$3:$B$1002,$A88)=0,"",_xlfn.MAXIFS(결제내역!$G$3:$G$1002,결제내역!$B$3:$B$1002,$A88)))</f>
        <v/>
      </c>
      <c r="H88" s="24" t="str">
        <f aca="true">IF(OR($A88="",$G88=""),"",$G88-TODAY())</f>
        <v/>
      </c>
      <c r="I88" s="16" t="str">
        <f aca="false">IF($A88="","",SUMIFS(결제내역!$H$3:$H$1002,결제내역!$B$3:$B$1002,$A88))</f>
        <v/>
      </c>
      <c r="J88" s="25" t="str">
        <f aca="false">IF($A88="","",IF($D88=0,"미결제",IF($F88&lt;=0,"횟수소진",IF($H88="","",IF($H88&lt;0,"기간만료",IF(OR($F88&lt;=사용안내!$C$18,$H88&lt;=사용안내!$C$17),"재결제 안내","정상"))))))</f>
        <v/>
      </c>
    </row>
    <row r="89" customFormat="false" ht="15" hidden="false" customHeight="true" outlineLevel="0" collapsed="false">
      <c r="A89" s="15" t="str">
        <f aca="false">IF(회원명부!$A86="","",회원명부!$A86)</f>
        <v/>
      </c>
      <c r="B89" s="15" t="str">
        <f aca="false">IF($A89="","",회원명부!$B86)</f>
        <v/>
      </c>
      <c r="C89" s="15" t="str">
        <f aca="false">IF($A89="","",회원명부!$C86)</f>
        <v/>
      </c>
      <c r="D89" s="23" t="str">
        <f aca="false">IF($A89="","",SUMIFS(결제내역!$E$3:$E$1002,결제내역!$B$3:$B$1002,$A89))</f>
        <v/>
      </c>
      <c r="E89" s="23" t="str">
        <f aca="false">IF($A89="","",SUMIFS(사용내역!$D$3:$D$3002,사용내역!$B$3:$B$3002,$A89))</f>
        <v/>
      </c>
      <c r="F89" s="23" t="str">
        <f aca="false">IF($A89="","",$D89-$E89)</f>
        <v/>
      </c>
      <c r="G89" s="17" t="str">
        <f aca="false">IF($A89="","",IF(COUNTIFS(결제내역!$B$3:$B$1002,$A89)=0,"",_xlfn.MAXIFS(결제내역!$G$3:$G$1002,결제내역!$B$3:$B$1002,$A89)))</f>
        <v/>
      </c>
      <c r="H89" s="24" t="str">
        <f aca="true">IF(OR($A89="",$G89=""),"",$G89-TODAY())</f>
        <v/>
      </c>
      <c r="I89" s="16" t="str">
        <f aca="false">IF($A89="","",SUMIFS(결제내역!$H$3:$H$1002,결제내역!$B$3:$B$1002,$A89))</f>
        <v/>
      </c>
      <c r="J89" s="25" t="str">
        <f aca="false">IF($A89="","",IF($D89=0,"미결제",IF($F89&lt;=0,"횟수소진",IF($H89="","",IF($H89&lt;0,"기간만료",IF(OR($F89&lt;=사용안내!$C$18,$H89&lt;=사용안내!$C$17),"재결제 안내","정상"))))))</f>
        <v/>
      </c>
    </row>
    <row r="90" customFormat="false" ht="15" hidden="false" customHeight="true" outlineLevel="0" collapsed="false">
      <c r="A90" s="15" t="str">
        <f aca="false">IF(회원명부!$A87="","",회원명부!$A87)</f>
        <v/>
      </c>
      <c r="B90" s="15" t="str">
        <f aca="false">IF($A90="","",회원명부!$B87)</f>
        <v/>
      </c>
      <c r="C90" s="15" t="str">
        <f aca="false">IF($A90="","",회원명부!$C87)</f>
        <v/>
      </c>
      <c r="D90" s="23" t="str">
        <f aca="false">IF($A90="","",SUMIFS(결제내역!$E$3:$E$1002,결제내역!$B$3:$B$1002,$A90))</f>
        <v/>
      </c>
      <c r="E90" s="23" t="str">
        <f aca="false">IF($A90="","",SUMIFS(사용내역!$D$3:$D$3002,사용내역!$B$3:$B$3002,$A90))</f>
        <v/>
      </c>
      <c r="F90" s="23" t="str">
        <f aca="false">IF($A90="","",$D90-$E90)</f>
        <v/>
      </c>
      <c r="G90" s="17" t="str">
        <f aca="false">IF($A90="","",IF(COUNTIFS(결제내역!$B$3:$B$1002,$A90)=0,"",_xlfn.MAXIFS(결제내역!$G$3:$G$1002,결제내역!$B$3:$B$1002,$A90)))</f>
        <v/>
      </c>
      <c r="H90" s="24" t="str">
        <f aca="true">IF(OR($A90="",$G90=""),"",$G90-TODAY())</f>
        <v/>
      </c>
      <c r="I90" s="16" t="str">
        <f aca="false">IF($A90="","",SUMIFS(결제내역!$H$3:$H$1002,결제내역!$B$3:$B$1002,$A90))</f>
        <v/>
      </c>
      <c r="J90" s="25" t="str">
        <f aca="false">IF($A90="","",IF($D90=0,"미결제",IF($F90&lt;=0,"횟수소진",IF($H90="","",IF($H90&lt;0,"기간만료",IF(OR($F90&lt;=사용안내!$C$18,$H90&lt;=사용안내!$C$17),"재결제 안내","정상"))))))</f>
        <v/>
      </c>
    </row>
    <row r="91" customFormat="false" ht="15" hidden="false" customHeight="true" outlineLevel="0" collapsed="false">
      <c r="A91" s="15" t="str">
        <f aca="false">IF(회원명부!$A88="","",회원명부!$A88)</f>
        <v/>
      </c>
      <c r="B91" s="15" t="str">
        <f aca="false">IF($A91="","",회원명부!$B88)</f>
        <v/>
      </c>
      <c r="C91" s="15" t="str">
        <f aca="false">IF($A91="","",회원명부!$C88)</f>
        <v/>
      </c>
      <c r="D91" s="23" t="str">
        <f aca="false">IF($A91="","",SUMIFS(결제내역!$E$3:$E$1002,결제내역!$B$3:$B$1002,$A91))</f>
        <v/>
      </c>
      <c r="E91" s="23" t="str">
        <f aca="false">IF($A91="","",SUMIFS(사용내역!$D$3:$D$3002,사용내역!$B$3:$B$3002,$A91))</f>
        <v/>
      </c>
      <c r="F91" s="23" t="str">
        <f aca="false">IF($A91="","",$D91-$E91)</f>
        <v/>
      </c>
      <c r="G91" s="17" t="str">
        <f aca="false">IF($A91="","",IF(COUNTIFS(결제내역!$B$3:$B$1002,$A91)=0,"",_xlfn.MAXIFS(결제내역!$G$3:$G$1002,결제내역!$B$3:$B$1002,$A91)))</f>
        <v/>
      </c>
      <c r="H91" s="24" t="str">
        <f aca="true">IF(OR($A91="",$G91=""),"",$G91-TODAY())</f>
        <v/>
      </c>
      <c r="I91" s="16" t="str">
        <f aca="false">IF($A91="","",SUMIFS(결제내역!$H$3:$H$1002,결제내역!$B$3:$B$1002,$A91))</f>
        <v/>
      </c>
      <c r="J91" s="25" t="str">
        <f aca="false">IF($A91="","",IF($D91=0,"미결제",IF($F91&lt;=0,"횟수소진",IF($H91="","",IF($H91&lt;0,"기간만료",IF(OR($F91&lt;=사용안내!$C$18,$H91&lt;=사용안내!$C$17),"재결제 안내","정상"))))))</f>
        <v/>
      </c>
    </row>
    <row r="92" customFormat="false" ht="15" hidden="false" customHeight="true" outlineLevel="0" collapsed="false">
      <c r="A92" s="15" t="str">
        <f aca="false">IF(회원명부!$A89="","",회원명부!$A89)</f>
        <v/>
      </c>
      <c r="B92" s="15" t="str">
        <f aca="false">IF($A92="","",회원명부!$B89)</f>
        <v/>
      </c>
      <c r="C92" s="15" t="str">
        <f aca="false">IF($A92="","",회원명부!$C89)</f>
        <v/>
      </c>
      <c r="D92" s="23" t="str">
        <f aca="false">IF($A92="","",SUMIFS(결제내역!$E$3:$E$1002,결제내역!$B$3:$B$1002,$A92))</f>
        <v/>
      </c>
      <c r="E92" s="23" t="str">
        <f aca="false">IF($A92="","",SUMIFS(사용내역!$D$3:$D$3002,사용내역!$B$3:$B$3002,$A92))</f>
        <v/>
      </c>
      <c r="F92" s="23" t="str">
        <f aca="false">IF($A92="","",$D92-$E92)</f>
        <v/>
      </c>
      <c r="G92" s="17" t="str">
        <f aca="false">IF($A92="","",IF(COUNTIFS(결제내역!$B$3:$B$1002,$A92)=0,"",_xlfn.MAXIFS(결제내역!$G$3:$G$1002,결제내역!$B$3:$B$1002,$A92)))</f>
        <v/>
      </c>
      <c r="H92" s="24" t="str">
        <f aca="true">IF(OR($A92="",$G92=""),"",$G92-TODAY())</f>
        <v/>
      </c>
      <c r="I92" s="16" t="str">
        <f aca="false">IF($A92="","",SUMIFS(결제내역!$H$3:$H$1002,결제내역!$B$3:$B$1002,$A92))</f>
        <v/>
      </c>
      <c r="J92" s="25" t="str">
        <f aca="false">IF($A92="","",IF($D92=0,"미결제",IF($F92&lt;=0,"횟수소진",IF($H92="","",IF($H92&lt;0,"기간만료",IF(OR($F92&lt;=사용안내!$C$18,$H92&lt;=사용안내!$C$17),"재결제 안내","정상"))))))</f>
        <v/>
      </c>
    </row>
    <row r="93" customFormat="false" ht="15" hidden="false" customHeight="true" outlineLevel="0" collapsed="false">
      <c r="A93" s="15" t="str">
        <f aca="false">IF(회원명부!$A90="","",회원명부!$A90)</f>
        <v/>
      </c>
      <c r="B93" s="15" t="str">
        <f aca="false">IF($A93="","",회원명부!$B90)</f>
        <v/>
      </c>
      <c r="C93" s="15" t="str">
        <f aca="false">IF($A93="","",회원명부!$C90)</f>
        <v/>
      </c>
      <c r="D93" s="23" t="str">
        <f aca="false">IF($A93="","",SUMIFS(결제내역!$E$3:$E$1002,결제내역!$B$3:$B$1002,$A93))</f>
        <v/>
      </c>
      <c r="E93" s="23" t="str">
        <f aca="false">IF($A93="","",SUMIFS(사용내역!$D$3:$D$3002,사용내역!$B$3:$B$3002,$A93))</f>
        <v/>
      </c>
      <c r="F93" s="23" t="str">
        <f aca="false">IF($A93="","",$D93-$E93)</f>
        <v/>
      </c>
      <c r="G93" s="17" t="str">
        <f aca="false">IF($A93="","",IF(COUNTIFS(결제내역!$B$3:$B$1002,$A93)=0,"",_xlfn.MAXIFS(결제내역!$G$3:$G$1002,결제내역!$B$3:$B$1002,$A93)))</f>
        <v/>
      </c>
      <c r="H93" s="24" t="str">
        <f aca="true">IF(OR($A93="",$G93=""),"",$G93-TODAY())</f>
        <v/>
      </c>
      <c r="I93" s="16" t="str">
        <f aca="false">IF($A93="","",SUMIFS(결제내역!$H$3:$H$1002,결제내역!$B$3:$B$1002,$A93))</f>
        <v/>
      </c>
      <c r="J93" s="25" t="str">
        <f aca="false">IF($A93="","",IF($D93=0,"미결제",IF($F93&lt;=0,"횟수소진",IF($H93="","",IF($H93&lt;0,"기간만료",IF(OR($F93&lt;=사용안내!$C$18,$H93&lt;=사용안내!$C$17),"재결제 안내","정상"))))))</f>
        <v/>
      </c>
    </row>
    <row r="94" customFormat="false" ht="15" hidden="false" customHeight="true" outlineLevel="0" collapsed="false">
      <c r="A94" s="15" t="str">
        <f aca="false">IF(회원명부!$A91="","",회원명부!$A91)</f>
        <v/>
      </c>
      <c r="B94" s="15" t="str">
        <f aca="false">IF($A94="","",회원명부!$B91)</f>
        <v/>
      </c>
      <c r="C94" s="15" t="str">
        <f aca="false">IF($A94="","",회원명부!$C91)</f>
        <v/>
      </c>
      <c r="D94" s="23" t="str">
        <f aca="false">IF($A94="","",SUMIFS(결제내역!$E$3:$E$1002,결제내역!$B$3:$B$1002,$A94))</f>
        <v/>
      </c>
      <c r="E94" s="23" t="str">
        <f aca="false">IF($A94="","",SUMIFS(사용내역!$D$3:$D$3002,사용내역!$B$3:$B$3002,$A94))</f>
        <v/>
      </c>
      <c r="F94" s="23" t="str">
        <f aca="false">IF($A94="","",$D94-$E94)</f>
        <v/>
      </c>
      <c r="G94" s="17" t="str">
        <f aca="false">IF($A94="","",IF(COUNTIFS(결제내역!$B$3:$B$1002,$A94)=0,"",_xlfn.MAXIFS(결제내역!$G$3:$G$1002,결제내역!$B$3:$B$1002,$A94)))</f>
        <v/>
      </c>
      <c r="H94" s="24" t="str">
        <f aca="true">IF(OR($A94="",$G94=""),"",$G94-TODAY())</f>
        <v/>
      </c>
      <c r="I94" s="16" t="str">
        <f aca="false">IF($A94="","",SUMIFS(결제내역!$H$3:$H$1002,결제내역!$B$3:$B$1002,$A94))</f>
        <v/>
      </c>
      <c r="J94" s="25" t="str">
        <f aca="false">IF($A94="","",IF($D94=0,"미결제",IF($F94&lt;=0,"횟수소진",IF($H94="","",IF($H94&lt;0,"기간만료",IF(OR($F94&lt;=사용안내!$C$18,$H94&lt;=사용안내!$C$17),"재결제 안내","정상"))))))</f>
        <v/>
      </c>
    </row>
    <row r="95" customFormat="false" ht="15" hidden="false" customHeight="true" outlineLevel="0" collapsed="false">
      <c r="A95" s="15" t="str">
        <f aca="false">IF(회원명부!$A92="","",회원명부!$A92)</f>
        <v/>
      </c>
      <c r="B95" s="15" t="str">
        <f aca="false">IF($A95="","",회원명부!$B92)</f>
        <v/>
      </c>
      <c r="C95" s="15" t="str">
        <f aca="false">IF($A95="","",회원명부!$C92)</f>
        <v/>
      </c>
      <c r="D95" s="23" t="str">
        <f aca="false">IF($A95="","",SUMIFS(결제내역!$E$3:$E$1002,결제내역!$B$3:$B$1002,$A95))</f>
        <v/>
      </c>
      <c r="E95" s="23" t="str">
        <f aca="false">IF($A95="","",SUMIFS(사용내역!$D$3:$D$3002,사용내역!$B$3:$B$3002,$A95))</f>
        <v/>
      </c>
      <c r="F95" s="23" t="str">
        <f aca="false">IF($A95="","",$D95-$E95)</f>
        <v/>
      </c>
      <c r="G95" s="17" t="str">
        <f aca="false">IF($A95="","",IF(COUNTIFS(결제내역!$B$3:$B$1002,$A95)=0,"",_xlfn.MAXIFS(결제내역!$G$3:$G$1002,결제내역!$B$3:$B$1002,$A95)))</f>
        <v/>
      </c>
      <c r="H95" s="24" t="str">
        <f aca="true">IF(OR($A95="",$G95=""),"",$G95-TODAY())</f>
        <v/>
      </c>
      <c r="I95" s="16" t="str">
        <f aca="false">IF($A95="","",SUMIFS(결제내역!$H$3:$H$1002,결제내역!$B$3:$B$1002,$A95))</f>
        <v/>
      </c>
      <c r="J95" s="25" t="str">
        <f aca="false">IF($A95="","",IF($D95=0,"미결제",IF($F95&lt;=0,"횟수소진",IF($H95="","",IF($H95&lt;0,"기간만료",IF(OR($F95&lt;=사용안내!$C$18,$H95&lt;=사용안내!$C$17),"재결제 안내","정상"))))))</f>
        <v/>
      </c>
    </row>
    <row r="96" customFormat="false" ht="15" hidden="false" customHeight="true" outlineLevel="0" collapsed="false">
      <c r="A96" s="15" t="str">
        <f aca="false">IF(회원명부!$A93="","",회원명부!$A93)</f>
        <v/>
      </c>
      <c r="B96" s="15" t="str">
        <f aca="false">IF($A96="","",회원명부!$B93)</f>
        <v/>
      </c>
      <c r="C96" s="15" t="str">
        <f aca="false">IF($A96="","",회원명부!$C93)</f>
        <v/>
      </c>
      <c r="D96" s="23" t="str">
        <f aca="false">IF($A96="","",SUMIFS(결제내역!$E$3:$E$1002,결제내역!$B$3:$B$1002,$A96))</f>
        <v/>
      </c>
      <c r="E96" s="23" t="str">
        <f aca="false">IF($A96="","",SUMIFS(사용내역!$D$3:$D$3002,사용내역!$B$3:$B$3002,$A96))</f>
        <v/>
      </c>
      <c r="F96" s="23" t="str">
        <f aca="false">IF($A96="","",$D96-$E96)</f>
        <v/>
      </c>
      <c r="G96" s="17" t="str">
        <f aca="false">IF($A96="","",IF(COUNTIFS(결제내역!$B$3:$B$1002,$A96)=0,"",_xlfn.MAXIFS(결제내역!$G$3:$G$1002,결제내역!$B$3:$B$1002,$A96)))</f>
        <v/>
      </c>
      <c r="H96" s="24" t="str">
        <f aca="true">IF(OR($A96="",$G96=""),"",$G96-TODAY())</f>
        <v/>
      </c>
      <c r="I96" s="16" t="str">
        <f aca="false">IF($A96="","",SUMIFS(결제내역!$H$3:$H$1002,결제내역!$B$3:$B$1002,$A96))</f>
        <v/>
      </c>
      <c r="J96" s="25" t="str">
        <f aca="false">IF($A96="","",IF($D96=0,"미결제",IF($F96&lt;=0,"횟수소진",IF($H96="","",IF($H96&lt;0,"기간만료",IF(OR($F96&lt;=사용안내!$C$18,$H96&lt;=사용안내!$C$17),"재결제 안내","정상"))))))</f>
        <v/>
      </c>
    </row>
    <row r="97" customFormat="false" ht="15" hidden="false" customHeight="true" outlineLevel="0" collapsed="false">
      <c r="A97" s="15" t="str">
        <f aca="false">IF(회원명부!$A94="","",회원명부!$A94)</f>
        <v/>
      </c>
      <c r="B97" s="15" t="str">
        <f aca="false">IF($A97="","",회원명부!$B94)</f>
        <v/>
      </c>
      <c r="C97" s="15" t="str">
        <f aca="false">IF($A97="","",회원명부!$C94)</f>
        <v/>
      </c>
      <c r="D97" s="23" t="str">
        <f aca="false">IF($A97="","",SUMIFS(결제내역!$E$3:$E$1002,결제내역!$B$3:$B$1002,$A97))</f>
        <v/>
      </c>
      <c r="E97" s="23" t="str">
        <f aca="false">IF($A97="","",SUMIFS(사용내역!$D$3:$D$3002,사용내역!$B$3:$B$3002,$A97))</f>
        <v/>
      </c>
      <c r="F97" s="23" t="str">
        <f aca="false">IF($A97="","",$D97-$E97)</f>
        <v/>
      </c>
      <c r="G97" s="17" t="str">
        <f aca="false">IF($A97="","",IF(COUNTIFS(결제내역!$B$3:$B$1002,$A97)=0,"",_xlfn.MAXIFS(결제내역!$G$3:$G$1002,결제내역!$B$3:$B$1002,$A97)))</f>
        <v/>
      </c>
      <c r="H97" s="24" t="str">
        <f aca="true">IF(OR($A97="",$G97=""),"",$G97-TODAY())</f>
        <v/>
      </c>
      <c r="I97" s="16" t="str">
        <f aca="false">IF($A97="","",SUMIFS(결제내역!$H$3:$H$1002,결제내역!$B$3:$B$1002,$A97))</f>
        <v/>
      </c>
      <c r="J97" s="25" t="str">
        <f aca="false">IF($A97="","",IF($D97=0,"미결제",IF($F97&lt;=0,"횟수소진",IF($H97="","",IF($H97&lt;0,"기간만료",IF(OR($F97&lt;=사용안내!$C$18,$H97&lt;=사용안내!$C$17),"재결제 안내","정상"))))))</f>
        <v/>
      </c>
    </row>
    <row r="98" customFormat="false" ht="15" hidden="false" customHeight="true" outlineLevel="0" collapsed="false">
      <c r="A98" s="15" t="str">
        <f aca="false">IF(회원명부!$A95="","",회원명부!$A95)</f>
        <v/>
      </c>
      <c r="B98" s="15" t="str">
        <f aca="false">IF($A98="","",회원명부!$B95)</f>
        <v/>
      </c>
      <c r="C98" s="15" t="str">
        <f aca="false">IF($A98="","",회원명부!$C95)</f>
        <v/>
      </c>
      <c r="D98" s="23" t="str">
        <f aca="false">IF($A98="","",SUMIFS(결제내역!$E$3:$E$1002,결제내역!$B$3:$B$1002,$A98))</f>
        <v/>
      </c>
      <c r="E98" s="23" t="str">
        <f aca="false">IF($A98="","",SUMIFS(사용내역!$D$3:$D$3002,사용내역!$B$3:$B$3002,$A98))</f>
        <v/>
      </c>
      <c r="F98" s="23" t="str">
        <f aca="false">IF($A98="","",$D98-$E98)</f>
        <v/>
      </c>
      <c r="G98" s="17" t="str">
        <f aca="false">IF($A98="","",IF(COUNTIFS(결제내역!$B$3:$B$1002,$A98)=0,"",_xlfn.MAXIFS(결제내역!$G$3:$G$1002,결제내역!$B$3:$B$1002,$A98)))</f>
        <v/>
      </c>
      <c r="H98" s="24" t="str">
        <f aca="true">IF(OR($A98="",$G98=""),"",$G98-TODAY())</f>
        <v/>
      </c>
      <c r="I98" s="16" t="str">
        <f aca="false">IF($A98="","",SUMIFS(결제내역!$H$3:$H$1002,결제내역!$B$3:$B$1002,$A98))</f>
        <v/>
      </c>
      <c r="J98" s="25" t="str">
        <f aca="false">IF($A98="","",IF($D98=0,"미결제",IF($F98&lt;=0,"횟수소진",IF($H98="","",IF($H98&lt;0,"기간만료",IF(OR($F98&lt;=사용안내!$C$18,$H98&lt;=사용안내!$C$17),"재결제 안내","정상"))))))</f>
        <v/>
      </c>
    </row>
    <row r="99" customFormat="false" ht="15" hidden="false" customHeight="true" outlineLevel="0" collapsed="false">
      <c r="A99" s="15" t="str">
        <f aca="false">IF(회원명부!$A96="","",회원명부!$A96)</f>
        <v/>
      </c>
      <c r="B99" s="15" t="str">
        <f aca="false">IF($A99="","",회원명부!$B96)</f>
        <v/>
      </c>
      <c r="C99" s="15" t="str">
        <f aca="false">IF($A99="","",회원명부!$C96)</f>
        <v/>
      </c>
      <c r="D99" s="23" t="str">
        <f aca="false">IF($A99="","",SUMIFS(결제내역!$E$3:$E$1002,결제내역!$B$3:$B$1002,$A99))</f>
        <v/>
      </c>
      <c r="E99" s="23" t="str">
        <f aca="false">IF($A99="","",SUMIFS(사용내역!$D$3:$D$3002,사용내역!$B$3:$B$3002,$A99))</f>
        <v/>
      </c>
      <c r="F99" s="23" t="str">
        <f aca="false">IF($A99="","",$D99-$E99)</f>
        <v/>
      </c>
      <c r="G99" s="17" t="str">
        <f aca="false">IF($A99="","",IF(COUNTIFS(결제내역!$B$3:$B$1002,$A99)=0,"",_xlfn.MAXIFS(결제내역!$G$3:$G$1002,결제내역!$B$3:$B$1002,$A99)))</f>
        <v/>
      </c>
      <c r="H99" s="24" t="str">
        <f aca="true">IF(OR($A99="",$G99=""),"",$G99-TODAY())</f>
        <v/>
      </c>
      <c r="I99" s="16" t="str">
        <f aca="false">IF($A99="","",SUMIFS(결제내역!$H$3:$H$1002,결제내역!$B$3:$B$1002,$A99))</f>
        <v/>
      </c>
      <c r="J99" s="25" t="str">
        <f aca="false">IF($A99="","",IF($D99=0,"미결제",IF($F99&lt;=0,"횟수소진",IF($H99="","",IF($H99&lt;0,"기간만료",IF(OR($F99&lt;=사용안내!$C$18,$H99&lt;=사용안내!$C$17),"재결제 안내","정상"))))))</f>
        <v/>
      </c>
    </row>
    <row r="100" customFormat="false" ht="15" hidden="false" customHeight="true" outlineLevel="0" collapsed="false">
      <c r="A100" s="15" t="str">
        <f aca="false">IF(회원명부!$A97="","",회원명부!$A97)</f>
        <v/>
      </c>
      <c r="B100" s="15" t="str">
        <f aca="false">IF($A100="","",회원명부!$B97)</f>
        <v/>
      </c>
      <c r="C100" s="15" t="str">
        <f aca="false">IF($A100="","",회원명부!$C97)</f>
        <v/>
      </c>
      <c r="D100" s="23" t="str">
        <f aca="false">IF($A100="","",SUMIFS(결제내역!$E$3:$E$1002,결제내역!$B$3:$B$1002,$A100))</f>
        <v/>
      </c>
      <c r="E100" s="23" t="str">
        <f aca="false">IF($A100="","",SUMIFS(사용내역!$D$3:$D$3002,사용내역!$B$3:$B$3002,$A100))</f>
        <v/>
      </c>
      <c r="F100" s="23" t="str">
        <f aca="false">IF($A100="","",$D100-$E100)</f>
        <v/>
      </c>
      <c r="G100" s="17" t="str">
        <f aca="false">IF($A100="","",IF(COUNTIFS(결제내역!$B$3:$B$1002,$A100)=0,"",_xlfn.MAXIFS(결제내역!$G$3:$G$1002,결제내역!$B$3:$B$1002,$A100)))</f>
        <v/>
      </c>
      <c r="H100" s="24" t="str">
        <f aca="true">IF(OR($A100="",$G100=""),"",$G100-TODAY())</f>
        <v/>
      </c>
      <c r="I100" s="16" t="str">
        <f aca="false">IF($A100="","",SUMIFS(결제내역!$H$3:$H$1002,결제내역!$B$3:$B$1002,$A100))</f>
        <v/>
      </c>
      <c r="J100" s="25" t="str">
        <f aca="false">IF($A100="","",IF($D100=0,"미결제",IF($F100&lt;=0,"횟수소진",IF($H100="","",IF($H100&lt;0,"기간만료",IF(OR($F100&lt;=사용안내!$C$18,$H100&lt;=사용안내!$C$17),"재결제 안내","정상"))))))</f>
        <v/>
      </c>
    </row>
    <row r="101" customFormat="false" ht="15" hidden="false" customHeight="true" outlineLevel="0" collapsed="false">
      <c r="A101" s="15" t="str">
        <f aca="false">IF(회원명부!$A98="","",회원명부!$A98)</f>
        <v/>
      </c>
      <c r="B101" s="15" t="str">
        <f aca="false">IF($A101="","",회원명부!$B98)</f>
        <v/>
      </c>
      <c r="C101" s="15" t="str">
        <f aca="false">IF($A101="","",회원명부!$C98)</f>
        <v/>
      </c>
      <c r="D101" s="23" t="str">
        <f aca="false">IF($A101="","",SUMIFS(결제내역!$E$3:$E$1002,결제내역!$B$3:$B$1002,$A101))</f>
        <v/>
      </c>
      <c r="E101" s="23" t="str">
        <f aca="false">IF($A101="","",SUMIFS(사용내역!$D$3:$D$3002,사용내역!$B$3:$B$3002,$A101))</f>
        <v/>
      </c>
      <c r="F101" s="23" t="str">
        <f aca="false">IF($A101="","",$D101-$E101)</f>
        <v/>
      </c>
      <c r="G101" s="17" t="str">
        <f aca="false">IF($A101="","",IF(COUNTIFS(결제내역!$B$3:$B$1002,$A101)=0,"",_xlfn.MAXIFS(결제내역!$G$3:$G$1002,결제내역!$B$3:$B$1002,$A101)))</f>
        <v/>
      </c>
      <c r="H101" s="24" t="str">
        <f aca="true">IF(OR($A101="",$G101=""),"",$G101-TODAY())</f>
        <v/>
      </c>
      <c r="I101" s="16" t="str">
        <f aca="false">IF($A101="","",SUMIFS(결제내역!$H$3:$H$1002,결제내역!$B$3:$B$1002,$A101))</f>
        <v/>
      </c>
      <c r="J101" s="25" t="str">
        <f aca="false">IF($A101="","",IF($D101=0,"미결제",IF($F101&lt;=0,"횟수소진",IF($H101="","",IF($H101&lt;0,"기간만료",IF(OR($F101&lt;=사용안내!$C$18,$H101&lt;=사용안내!$C$17),"재결제 안내","정상"))))))</f>
        <v/>
      </c>
    </row>
    <row r="102" customFormat="false" ht="15" hidden="false" customHeight="true" outlineLevel="0" collapsed="false">
      <c r="A102" s="15" t="str">
        <f aca="false">IF(회원명부!$A99="","",회원명부!$A99)</f>
        <v/>
      </c>
      <c r="B102" s="15" t="str">
        <f aca="false">IF($A102="","",회원명부!$B99)</f>
        <v/>
      </c>
      <c r="C102" s="15" t="str">
        <f aca="false">IF($A102="","",회원명부!$C99)</f>
        <v/>
      </c>
      <c r="D102" s="23" t="str">
        <f aca="false">IF($A102="","",SUMIFS(결제내역!$E$3:$E$1002,결제내역!$B$3:$B$1002,$A102))</f>
        <v/>
      </c>
      <c r="E102" s="23" t="str">
        <f aca="false">IF($A102="","",SUMIFS(사용내역!$D$3:$D$3002,사용내역!$B$3:$B$3002,$A102))</f>
        <v/>
      </c>
      <c r="F102" s="23" t="str">
        <f aca="false">IF($A102="","",$D102-$E102)</f>
        <v/>
      </c>
      <c r="G102" s="17" t="str">
        <f aca="false">IF($A102="","",IF(COUNTIFS(결제내역!$B$3:$B$1002,$A102)=0,"",_xlfn.MAXIFS(결제내역!$G$3:$G$1002,결제내역!$B$3:$B$1002,$A102)))</f>
        <v/>
      </c>
      <c r="H102" s="24" t="str">
        <f aca="true">IF(OR($A102="",$G102=""),"",$G102-TODAY())</f>
        <v/>
      </c>
      <c r="I102" s="16" t="str">
        <f aca="false">IF($A102="","",SUMIFS(결제내역!$H$3:$H$1002,결제내역!$B$3:$B$1002,$A102))</f>
        <v/>
      </c>
      <c r="J102" s="25" t="str">
        <f aca="false">IF($A102="","",IF($D102=0,"미결제",IF($F102&lt;=0,"횟수소진",IF($H102="","",IF($H102&lt;0,"기간만료",IF(OR($F102&lt;=사용안내!$C$18,$H102&lt;=사용안내!$C$17),"재결제 안내","정상"))))))</f>
        <v/>
      </c>
    </row>
    <row r="103" customFormat="false" ht="15" hidden="false" customHeight="true" outlineLevel="0" collapsed="false">
      <c r="A103" s="15" t="str">
        <f aca="false">IF(회원명부!$A100="","",회원명부!$A100)</f>
        <v/>
      </c>
      <c r="B103" s="15" t="str">
        <f aca="false">IF($A103="","",회원명부!$B100)</f>
        <v/>
      </c>
      <c r="C103" s="15" t="str">
        <f aca="false">IF($A103="","",회원명부!$C100)</f>
        <v/>
      </c>
      <c r="D103" s="23" t="str">
        <f aca="false">IF($A103="","",SUMIFS(결제내역!$E$3:$E$1002,결제내역!$B$3:$B$1002,$A103))</f>
        <v/>
      </c>
      <c r="E103" s="23" t="str">
        <f aca="false">IF($A103="","",SUMIFS(사용내역!$D$3:$D$3002,사용내역!$B$3:$B$3002,$A103))</f>
        <v/>
      </c>
      <c r="F103" s="23" t="str">
        <f aca="false">IF($A103="","",$D103-$E103)</f>
        <v/>
      </c>
      <c r="G103" s="17" t="str">
        <f aca="false">IF($A103="","",IF(COUNTIFS(결제내역!$B$3:$B$1002,$A103)=0,"",_xlfn.MAXIFS(결제내역!$G$3:$G$1002,결제내역!$B$3:$B$1002,$A103)))</f>
        <v/>
      </c>
      <c r="H103" s="24" t="str">
        <f aca="true">IF(OR($A103="",$G103=""),"",$G103-TODAY())</f>
        <v/>
      </c>
      <c r="I103" s="16" t="str">
        <f aca="false">IF($A103="","",SUMIFS(결제내역!$H$3:$H$1002,결제내역!$B$3:$B$1002,$A103))</f>
        <v/>
      </c>
      <c r="J103" s="25" t="str">
        <f aca="false">IF($A103="","",IF($D103=0,"미결제",IF($F103&lt;=0,"횟수소진",IF($H103="","",IF($H103&lt;0,"기간만료",IF(OR($F103&lt;=사용안내!$C$18,$H103&lt;=사용안내!$C$17),"재결제 안내","정상"))))))</f>
        <v/>
      </c>
    </row>
    <row r="104" customFormat="false" ht="15" hidden="false" customHeight="true" outlineLevel="0" collapsed="false">
      <c r="A104" s="15" t="str">
        <f aca="false">IF(회원명부!$A101="","",회원명부!$A101)</f>
        <v/>
      </c>
      <c r="B104" s="15" t="str">
        <f aca="false">IF($A104="","",회원명부!$B101)</f>
        <v/>
      </c>
      <c r="C104" s="15" t="str">
        <f aca="false">IF($A104="","",회원명부!$C101)</f>
        <v/>
      </c>
      <c r="D104" s="23" t="str">
        <f aca="false">IF($A104="","",SUMIFS(결제내역!$E$3:$E$1002,결제내역!$B$3:$B$1002,$A104))</f>
        <v/>
      </c>
      <c r="E104" s="23" t="str">
        <f aca="false">IF($A104="","",SUMIFS(사용내역!$D$3:$D$3002,사용내역!$B$3:$B$3002,$A104))</f>
        <v/>
      </c>
      <c r="F104" s="23" t="str">
        <f aca="false">IF($A104="","",$D104-$E104)</f>
        <v/>
      </c>
      <c r="G104" s="17" t="str">
        <f aca="false">IF($A104="","",IF(COUNTIFS(결제내역!$B$3:$B$1002,$A104)=0,"",_xlfn.MAXIFS(결제내역!$G$3:$G$1002,결제내역!$B$3:$B$1002,$A104)))</f>
        <v/>
      </c>
      <c r="H104" s="24" t="str">
        <f aca="true">IF(OR($A104="",$G104=""),"",$G104-TODAY())</f>
        <v/>
      </c>
      <c r="I104" s="16" t="str">
        <f aca="false">IF($A104="","",SUMIFS(결제내역!$H$3:$H$1002,결제내역!$B$3:$B$1002,$A104))</f>
        <v/>
      </c>
      <c r="J104" s="25" t="str">
        <f aca="false">IF($A104="","",IF($D104=0,"미결제",IF($F104&lt;=0,"횟수소진",IF($H104="","",IF($H104&lt;0,"기간만료",IF(OR($F104&lt;=사용안내!$C$18,$H104&lt;=사용안내!$C$17),"재결제 안내","정상"))))))</f>
        <v/>
      </c>
    </row>
    <row r="105" customFormat="false" ht="15" hidden="false" customHeight="true" outlineLevel="0" collapsed="false">
      <c r="A105" s="15" t="str">
        <f aca="false">IF(회원명부!$A102="","",회원명부!$A102)</f>
        <v/>
      </c>
      <c r="B105" s="15" t="str">
        <f aca="false">IF($A105="","",회원명부!$B102)</f>
        <v/>
      </c>
      <c r="C105" s="15" t="str">
        <f aca="false">IF($A105="","",회원명부!$C102)</f>
        <v/>
      </c>
      <c r="D105" s="23" t="str">
        <f aca="false">IF($A105="","",SUMIFS(결제내역!$E$3:$E$1002,결제내역!$B$3:$B$1002,$A105))</f>
        <v/>
      </c>
      <c r="E105" s="23" t="str">
        <f aca="false">IF($A105="","",SUMIFS(사용내역!$D$3:$D$3002,사용내역!$B$3:$B$3002,$A105))</f>
        <v/>
      </c>
      <c r="F105" s="23" t="str">
        <f aca="false">IF($A105="","",$D105-$E105)</f>
        <v/>
      </c>
      <c r="G105" s="17" t="str">
        <f aca="false">IF($A105="","",IF(COUNTIFS(결제내역!$B$3:$B$1002,$A105)=0,"",_xlfn.MAXIFS(결제내역!$G$3:$G$1002,결제내역!$B$3:$B$1002,$A105)))</f>
        <v/>
      </c>
      <c r="H105" s="24" t="str">
        <f aca="true">IF(OR($A105="",$G105=""),"",$G105-TODAY())</f>
        <v/>
      </c>
      <c r="I105" s="16" t="str">
        <f aca="false">IF($A105="","",SUMIFS(결제내역!$H$3:$H$1002,결제내역!$B$3:$B$1002,$A105))</f>
        <v/>
      </c>
      <c r="J105" s="25" t="str">
        <f aca="false">IF($A105="","",IF($D105=0,"미결제",IF($F105&lt;=0,"횟수소진",IF($H105="","",IF($H105&lt;0,"기간만료",IF(OR($F105&lt;=사용안내!$C$18,$H105&lt;=사용안내!$C$17),"재결제 안내","정상"))))))</f>
        <v/>
      </c>
    </row>
    <row r="106" customFormat="false" ht="15" hidden="false" customHeight="true" outlineLevel="0" collapsed="false">
      <c r="A106" s="15" t="str">
        <f aca="false">IF(회원명부!$A103="","",회원명부!$A103)</f>
        <v/>
      </c>
      <c r="B106" s="15" t="str">
        <f aca="false">IF($A106="","",회원명부!$B103)</f>
        <v/>
      </c>
      <c r="C106" s="15" t="str">
        <f aca="false">IF($A106="","",회원명부!$C103)</f>
        <v/>
      </c>
      <c r="D106" s="23" t="str">
        <f aca="false">IF($A106="","",SUMIFS(결제내역!$E$3:$E$1002,결제내역!$B$3:$B$1002,$A106))</f>
        <v/>
      </c>
      <c r="E106" s="23" t="str">
        <f aca="false">IF($A106="","",SUMIFS(사용내역!$D$3:$D$3002,사용내역!$B$3:$B$3002,$A106))</f>
        <v/>
      </c>
      <c r="F106" s="23" t="str">
        <f aca="false">IF($A106="","",$D106-$E106)</f>
        <v/>
      </c>
      <c r="G106" s="17" t="str">
        <f aca="false">IF($A106="","",IF(COUNTIFS(결제내역!$B$3:$B$1002,$A106)=0,"",_xlfn.MAXIFS(결제내역!$G$3:$G$1002,결제내역!$B$3:$B$1002,$A106)))</f>
        <v/>
      </c>
      <c r="H106" s="24" t="str">
        <f aca="true">IF(OR($A106="",$G106=""),"",$G106-TODAY())</f>
        <v/>
      </c>
      <c r="I106" s="16" t="str">
        <f aca="false">IF($A106="","",SUMIFS(결제내역!$H$3:$H$1002,결제내역!$B$3:$B$1002,$A106))</f>
        <v/>
      </c>
      <c r="J106" s="25" t="str">
        <f aca="false">IF($A106="","",IF($D106=0,"미결제",IF($F106&lt;=0,"횟수소진",IF($H106="","",IF($H106&lt;0,"기간만료",IF(OR($F106&lt;=사용안내!$C$18,$H106&lt;=사용안내!$C$17),"재결제 안내","정상"))))))</f>
        <v/>
      </c>
    </row>
    <row r="107" customFormat="false" ht="15" hidden="false" customHeight="true" outlineLevel="0" collapsed="false">
      <c r="A107" s="15" t="str">
        <f aca="false">IF(회원명부!$A104="","",회원명부!$A104)</f>
        <v/>
      </c>
      <c r="B107" s="15" t="str">
        <f aca="false">IF($A107="","",회원명부!$B104)</f>
        <v/>
      </c>
      <c r="C107" s="15" t="str">
        <f aca="false">IF($A107="","",회원명부!$C104)</f>
        <v/>
      </c>
      <c r="D107" s="23" t="str">
        <f aca="false">IF($A107="","",SUMIFS(결제내역!$E$3:$E$1002,결제내역!$B$3:$B$1002,$A107))</f>
        <v/>
      </c>
      <c r="E107" s="23" t="str">
        <f aca="false">IF($A107="","",SUMIFS(사용내역!$D$3:$D$3002,사용내역!$B$3:$B$3002,$A107))</f>
        <v/>
      </c>
      <c r="F107" s="23" t="str">
        <f aca="false">IF($A107="","",$D107-$E107)</f>
        <v/>
      </c>
      <c r="G107" s="17" t="str">
        <f aca="false">IF($A107="","",IF(COUNTIFS(결제내역!$B$3:$B$1002,$A107)=0,"",_xlfn.MAXIFS(결제내역!$G$3:$G$1002,결제내역!$B$3:$B$1002,$A107)))</f>
        <v/>
      </c>
      <c r="H107" s="24" t="str">
        <f aca="true">IF(OR($A107="",$G107=""),"",$G107-TODAY())</f>
        <v/>
      </c>
      <c r="I107" s="16" t="str">
        <f aca="false">IF($A107="","",SUMIFS(결제내역!$H$3:$H$1002,결제내역!$B$3:$B$1002,$A107))</f>
        <v/>
      </c>
      <c r="J107" s="25" t="str">
        <f aca="false">IF($A107="","",IF($D107=0,"미결제",IF($F107&lt;=0,"횟수소진",IF($H107="","",IF($H107&lt;0,"기간만료",IF(OR($F107&lt;=사용안내!$C$18,$H107&lt;=사용안내!$C$17),"재결제 안내","정상"))))))</f>
        <v/>
      </c>
    </row>
    <row r="108" customFormat="false" ht="15" hidden="false" customHeight="true" outlineLevel="0" collapsed="false">
      <c r="A108" s="15" t="str">
        <f aca="false">IF(회원명부!$A105="","",회원명부!$A105)</f>
        <v/>
      </c>
      <c r="B108" s="15" t="str">
        <f aca="false">IF($A108="","",회원명부!$B105)</f>
        <v/>
      </c>
      <c r="C108" s="15" t="str">
        <f aca="false">IF($A108="","",회원명부!$C105)</f>
        <v/>
      </c>
      <c r="D108" s="23" t="str">
        <f aca="false">IF($A108="","",SUMIFS(결제내역!$E$3:$E$1002,결제내역!$B$3:$B$1002,$A108))</f>
        <v/>
      </c>
      <c r="E108" s="23" t="str">
        <f aca="false">IF($A108="","",SUMIFS(사용내역!$D$3:$D$3002,사용내역!$B$3:$B$3002,$A108))</f>
        <v/>
      </c>
      <c r="F108" s="23" t="str">
        <f aca="false">IF($A108="","",$D108-$E108)</f>
        <v/>
      </c>
      <c r="G108" s="17" t="str">
        <f aca="false">IF($A108="","",IF(COUNTIFS(결제내역!$B$3:$B$1002,$A108)=0,"",_xlfn.MAXIFS(결제내역!$G$3:$G$1002,결제내역!$B$3:$B$1002,$A108)))</f>
        <v/>
      </c>
      <c r="H108" s="24" t="str">
        <f aca="true">IF(OR($A108="",$G108=""),"",$G108-TODAY())</f>
        <v/>
      </c>
      <c r="I108" s="16" t="str">
        <f aca="false">IF($A108="","",SUMIFS(결제내역!$H$3:$H$1002,결제내역!$B$3:$B$1002,$A108))</f>
        <v/>
      </c>
      <c r="J108" s="25" t="str">
        <f aca="false">IF($A108="","",IF($D108=0,"미결제",IF($F108&lt;=0,"횟수소진",IF($H108="","",IF($H108&lt;0,"기간만료",IF(OR($F108&lt;=사용안내!$C$18,$H108&lt;=사용안내!$C$17),"재결제 안내","정상"))))))</f>
        <v/>
      </c>
    </row>
    <row r="109" customFormat="false" ht="15" hidden="false" customHeight="true" outlineLevel="0" collapsed="false">
      <c r="A109" s="15" t="str">
        <f aca="false">IF(회원명부!$A106="","",회원명부!$A106)</f>
        <v/>
      </c>
      <c r="B109" s="15" t="str">
        <f aca="false">IF($A109="","",회원명부!$B106)</f>
        <v/>
      </c>
      <c r="C109" s="15" t="str">
        <f aca="false">IF($A109="","",회원명부!$C106)</f>
        <v/>
      </c>
      <c r="D109" s="23" t="str">
        <f aca="false">IF($A109="","",SUMIFS(결제내역!$E$3:$E$1002,결제내역!$B$3:$B$1002,$A109))</f>
        <v/>
      </c>
      <c r="E109" s="23" t="str">
        <f aca="false">IF($A109="","",SUMIFS(사용내역!$D$3:$D$3002,사용내역!$B$3:$B$3002,$A109))</f>
        <v/>
      </c>
      <c r="F109" s="23" t="str">
        <f aca="false">IF($A109="","",$D109-$E109)</f>
        <v/>
      </c>
      <c r="G109" s="17" t="str">
        <f aca="false">IF($A109="","",IF(COUNTIFS(결제내역!$B$3:$B$1002,$A109)=0,"",_xlfn.MAXIFS(결제내역!$G$3:$G$1002,결제내역!$B$3:$B$1002,$A109)))</f>
        <v/>
      </c>
      <c r="H109" s="24" t="str">
        <f aca="true">IF(OR($A109="",$G109=""),"",$G109-TODAY())</f>
        <v/>
      </c>
      <c r="I109" s="16" t="str">
        <f aca="false">IF($A109="","",SUMIFS(결제내역!$H$3:$H$1002,결제내역!$B$3:$B$1002,$A109))</f>
        <v/>
      </c>
      <c r="J109" s="25" t="str">
        <f aca="false">IF($A109="","",IF($D109=0,"미결제",IF($F109&lt;=0,"횟수소진",IF($H109="","",IF($H109&lt;0,"기간만료",IF(OR($F109&lt;=사용안내!$C$18,$H109&lt;=사용안내!$C$17),"재결제 안내","정상"))))))</f>
        <v/>
      </c>
    </row>
    <row r="110" customFormat="false" ht="15" hidden="false" customHeight="true" outlineLevel="0" collapsed="false">
      <c r="A110" s="15" t="str">
        <f aca="false">IF(회원명부!$A107="","",회원명부!$A107)</f>
        <v/>
      </c>
      <c r="B110" s="15" t="str">
        <f aca="false">IF($A110="","",회원명부!$B107)</f>
        <v/>
      </c>
      <c r="C110" s="15" t="str">
        <f aca="false">IF($A110="","",회원명부!$C107)</f>
        <v/>
      </c>
      <c r="D110" s="23" t="str">
        <f aca="false">IF($A110="","",SUMIFS(결제내역!$E$3:$E$1002,결제내역!$B$3:$B$1002,$A110))</f>
        <v/>
      </c>
      <c r="E110" s="23" t="str">
        <f aca="false">IF($A110="","",SUMIFS(사용내역!$D$3:$D$3002,사용내역!$B$3:$B$3002,$A110))</f>
        <v/>
      </c>
      <c r="F110" s="23" t="str">
        <f aca="false">IF($A110="","",$D110-$E110)</f>
        <v/>
      </c>
      <c r="G110" s="17" t="str">
        <f aca="false">IF($A110="","",IF(COUNTIFS(결제내역!$B$3:$B$1002,$A110)=0,"",_xlfn.MAXIFS(결제내역!$G$3:$G$1002,결제내역!$B$3:$B$1002,$A110)))</f>
        <v/>
      </c>
      <c r="H110" s="24" t="str">
        <f aca="true">IF(OR($A110="",$G110=""),"",$G110-TODAY())</f>
        <v/>
      </c>
      <c r="I110" s="16" t="str">
        <f aca="false">IF($A110="","",SUMIFS(결제내역!$H$3:$H$1002,결제내역!$B$3:$B$1002,$A110))</f>
        <v/>
      </c>
      <c r="J110" s="25" t="str">
        <f aca="false">IF($A110="","",IF($D110=0,"미결제",IF($F110&lt;=0,"횟수소진",IF($H110="","",IF($H110&lt;0,"기간만료",IF(OR($F110&lt;=사용안내!$C$18,$H110&lt;=사용안내!$C$17),"재결제 안내","정상"))))))</f>
        <v/>
      </c>
    </row>
    <row r="111" customFormat="false" ht="15" hidden="false" customHeight="true" outlineLevel="0" collapsed="false">
      <c r="A111" s="15" t="str">
        <f aca="false">IF(회원명부!$A108="","",회원명부!$A108)</f>
        <v/>
      </c>
      <c r="B111" s="15" t="str">
        <f aca="false">IF($A111="","",회원명부!$B108)</f>
        <v/>
      </c>
      <c r="C111" s="15" t="str">
        <f aca="false">IF($A111="","",회원명부!$C108)</f>
        <v/>
      </c>
      <c r="D111" s="23" t="str">
        <f aca="false">IF($A111="","",SUMIFS(결제내역!$E$3:$E$1002,결제내역!$B$3:$B$1002,$A111))</f>
        <v/>
      </c>
      <c r="E111" s="23" t="str">
        <f aca="false">IF($A111="","",SUMIFS(사용내역!$D$3:$D$3002,사용내역!$B$3:$B$3002,$A111))</f>
        <v/>
      </c>
      <c r="F111" s="23" t="str">
        <f aca="false">IF($A111="","",$D111-$E111)</f>
        <v/>
      </c>
      <c r="G111" s="17" t="str">
        <f aca="false">IF($A111="","",IF(COUNTIFS(결제내역!$B$3:$B$1002,$A111)=0,"",_xlfn.MAXIFS(결제내역!$G$3:$G$1002,결제내역!$B$3:$B$1002,$A111)))</f>
        <v/>
      </c>
      <c r="H111" s="24" t="str">
        <f aca="true">IF(OR($A111="",$G111=""),"",$G111-TODAY())</f>
        <v/>
      </c>
      <c r="I111" s="16" t="str">
        <f aca="false">IF($A111="","",SUMIFS(결제내역!$H$3:$H$1002,결제내역!$B$3:$B$1002,$A111))</f>
        <v/>
      </c>
      <c r="J111" s="25" t="str">
        <f aca="false">IF($A111="","",IF($D111=0,"미결제",IF($F111&lt;=0,"횟수소진",IF($H111="","",IF($H111&lt;0,"기간만료",IF(OR($F111&lt;=사용안내!$C$18,$H111&lt;=사용안내!$C$17),"재결제 안내","정상"))))))</f>
        <v/>
      </c>
    </row>
    <row r="112" customFormat="false" ht="15" hidden="false" customHeight="true" outlineLevel="0" collapsed="false">
      <c r="A112" s="15" t="str">
        <f aca="false">IF(회원명부!$A109="","",회원명부!$A109)</f>
        <v/>
      </c>
      <c r="B112" s="15" t="str">
        <f aca="false">IF($A112="","",회원명부!$B109)</f>
        <v/>
      </c>
      <c r="C112" s="15" t="str">
        <f aca="false">IF($A112="","",회원명부!$C109)</f>
        <v/>
      </c>
      <c r="D112" s="23" t="str">
        <f aca="false">IF($A112="","",SUMIFS(결제내역!$E$3:$E$1002,결제내역!$B$3:$B$1002,$A112))</f>
        <v/>
      </c>
      <c r="E112" s="23" t="str">
        <f aca="false">IF($A112="","",SUMIFS(사용내역!$D$3:$D$3002,사용내역!$B$3:$B$3002,$A112))</f>
        <v/>
      </c>
      <c r="F112" s="23" t="str">
        <f aca="false">IF($A112="","",$D112-$E112)</f>
        <v/>
      </c>
      <c r="G112" s="17" t="str">
        <f aca="false">IF($A112="","",IF(COUNTIFS(결제내역!$B$3:$B$1002,$A112)=0,"",_xlfn.MAXIFS(결제내역!$G$3:$G$1002,결제내역!$B$3:$B$1002,$A112)))</f>
        <v/>
      </c>
      <c r="H112" s="24" t="str">
        <f aca="true">IF(OR($A112="",$G112=""),"",$G112-TODAY())</f>
        <v/>
      </c>
      <c r="I112" s="16" t="str">
        <f aca="false">IF($A112="","",SUMIFS(결제내역!$H$3:$H$1002,결제내역!$B$3:$B$1002,$A112))</f>
        <v/>
      </c>
      <c r="J112" s="25" t="str">
        <f aca="false">IF($A112="","",IF($D112=0,"미결제",IF($F112&lt;=0,"횟수소진",IF($H112="","",IF($H112&lt;0,"기간만료",IF(OR($F112&lt;=사용안내!$C$18,$H112&lt;=사용안내!$C$17),"재결제 안내","정상"))))))</f>
        <v/>
      </c>
    </row>
    <row r="113" customFormat="false" ht="15" hidden="false" customHeight="true" outlineLevel="0" collapsed="false">
      <c r="A113" s="15" t="str">
        <f aca="false">IF(회원명부!$A110="","",회원명부!$A110)</f>
        <v/>
      </c>
      <c r="B113" s="15" t="str">
        <f aca="false">IF($A113="","",회원명부!$B110)</f>
        <v/>
      </c>
      <c r="C113" s="15" t="str">
        <f aca="false">IF($A113="","",회원명부!$C110)</f>
        <v/>
      </c>
      <c r="D113" s="23" t="str">
        <f aca="false">IF($A113="","",SUMIFS(결제내역!$E$3:$E$1002,결제내역!$B$3:$B$1002,$A113))</f>
        <v/>
      </c>
      <c r="E113" s="23" t="str">
        <f aca="false">IF($A113="","",SUMIFS(사용내역!$D$3:$D$3002,사용내역!$B$3:$B$3002,$A113))</f>
        <v/>
      </c>
      <c r="F113" s="23" t="str">
        <f aca="false">IF($A113="","",$D113-$E113)</f>
        <v/>
      </c>
      <c r="G113" s="17" t="str">
        <f aca="false">IF($A113="","",IF(COUNTIFS(결제내역!$B$3:$B$1002,$A113)=0,"",_xlfn.MAXIFS(결제내역!$G$3:$G$1002,결제내역!$B$3:$B$1002,$A113)))</f>
        <v/>
      </c>
      <c r="H113" s="24" t="str">
        <f aca="true">IF(OR($A113="",$G113=""),"",$G113-TODAY())</f>
        <v/>
      </c>
      <c r="I113" s="16" t="str">
        <f aca="false">IF($A113="","",SUMIFS(결제내역!$H$3:$H$1002,결제내역!$B$3:$B$1002,$A113))</f>
        <v/>
      </c>
      <c r="J113" s="25" t="str">
        <f aca="false">IF($A113="","",IF($D113=0,"미결제",IF($F113&lt;=0,"횟수소진",IF($H113="","",IF($H113&lt;0,"기간만료",IF(OR($F113&lt;=사용안내!$C$18,$H113&lt;=사용안내!$C$17),"재결제 안내","정상"))))))</f>
        <v/>
      </c>
    </row>
    <row r="114" customFormat="false" ht="15" hidden="false" customHeight="true" outlineLevel="0" collapsed="false">
      <c r="A114" s="15" t="str">
        <f aca="false">IF(회원명부!$A111="","",회원명부!$A111)</f>
        <v/>
      </c>
      <c r="B114" s="15" t="str">
        <f aca="false">IF($A114="","",회원명부!$B111)</f>
        <v/>
      </c>
      <c r="C114" s="15" t="str">
        <f aca="false">IF($A114="","",회원명부!$C111)</f>
        <v/>
      </c>
      <c r="D114" s="23" t="str">
        <f aca="false">IF($A114="","",SUMIFS(결제내역!$E$3:$E$1002,결제내역!$B$3:$B$1002,$A114))</f>
        <v/>
      </c>
      <c r="E114" s="23" t="str">
        <f aca="false">IF($A114="","",SUMIFS(사용내역!$D$3:$D$3002,사용내역!$B$3:$B$3002,$A114))</f>
        <v/>
      </c>
      <c r="F114" s="23" t="str">
        <f aca="false">IF($A114="","",$D114-$E114)</f>
        <v/>
      </c>
      <c r="G114" s="17" t="str">
        <f aca="false">IF($A114="","",IF(COUNTIFS(결제내역!$B$3:$B$1002,$A114)=0,"",_xlfn.MAXIFS(결제내역!$G$3:$G$1002,결제내역!$B$3:$B$1002,$A114)))</f>
        <v/>
      </c>
      <c r="H114" s="24" t="str">
        <f aca="true">IF(OR($A114="",$G114=""),"",$G114-TODAY())</f>
        <v/>
      </c>
      <c r="I114" s="16" t="str">
        <f aca="false">IF($A114="","",SUMIFS(결제내역!$H$3:$H$1002,결제내역!$B$3:$B$1002,$A114))</f>
        <v/>
      </c>
      <c r="J114" s="25" t="str">
        <f aca="false">IF($A114="","",IF($D114=0,"미결제",IF($F114&lt;=0,"횟수소진",IF($H114="","",IF($H114&lt;0,"기간만료",IF(OR($F114&lt;=사용안내!$C$18,$H114&lt;=사용안내!$C$17),"재결제 안내","정상"))))))</f>
        <v/>
      </c>
    </row>
    <row r="115" customFormat="false" ht="15" hidden="false" customHeight="true" outlineLevel="0" collapsed="false">
      <c r="A115" s="15" t="str">
        <f aca="false">IF(회원명부!$A112="","",회원명부!$A112)</f>
        <v/>
      </c>
      <c r="B115" s="15" t="str">
        <f aca="false">IF($A115="","",회원명부!$B112)</f>
        <v/>
      </c>
      <c r="C115" s="15" t="str">
        <f aca="false">IF($A115="","",회원명부!$C112)</f>
        <v/>
      </c>
      <c r="D115" s="23" t="str">
        <f aca="false">IF($A115="","",SUMIFS(결제내역!$E$3:$E$1002,결제내역!$B$3:$B$1002,$A115))</f>
        <v/>
      </c>
      <c r="E115" s="23" t="str">
        <f aca="false">IF($A115="","",SUMIFS(사용내역!$D$3:$D$3002,사용내역!$B$3:$B$3002,$A115))</f>
        <v/>
      </c>
      <c r="F115" s="23" t="str">
        <f aca="false">IF($A115="","",$D115-$E115)</f>
        <v/>
      </c>
      <c r="G115" s="17" t="str">
        <f aca="false">IF($A115="","",IF(COUNTIFS(결제내역!$B$3:$B$1002,$A115)=0,"",_xlfn.MAXIFS(결제내역!$G$3:$G$1002,결제내역!$B$3:$B$1002,$A115)))</f>
        <v/>
      </c>
      <c r="H115" s="24" t="str">
        <f aca="true">IF(OR($A115="",$G115=""),"",$G115-TODAY())</f>
        <v/>
      </c>
      <c r="I115" s="16" t="str">
        <f aca="false">IF($A115="","",SUMIFS(결제내역!$H$3:$H$1002,결제내역!$B$3:$B$1002,$A115))</f>
        <v/>
      </c>
      <c r="J115" s="25" t="str">
        <f aca="false">IF($A115="","",IF($D115=0,"미결제",IF($F115&lt;=0,"횟수소진",IF($H115="","",IF($H115&lt;0,"기간만료",IF(OR($F115&lt;=사용안내!$C$18,$H115&lt;=사용안내!$C$17),"재결제 안내","정상"))))))</f>
        <v/>
      </c>
    </row>
    <row r="116" customFormat="false" ht="15" hidden="false" customHeight="true" outlineLevel="0" collapsed="false">
      <c r="A116" s="15" t="str">
        <f aca="false">IF(회원명부!$A113="","",회원명부!$A113)</f>
        <v/>
      </c>
      <c r="B116" s="15" t="str">
        <f aca="false">IF($A116="","",회원명부!$B113)</f>
        <v/>
      </c>
      <c r="C116" s="15" t="str">
        <f aca="false">IF($A116="","",회원명부!$C113)</f>
        <v/>
      </c>
      <c r="D116" s="23" t="str">
        <f aca="false">IF($A116="","",SUMIFS(결제내역!$E$3:$E$1002,결제내역!$B$3:$B$1002,$A116))</f>
        <v/>
      </c>
      <c r="E116" s="23" t="str">
        <f aca="false">IF($A116="","",SUMIFS(사용내역!$D$3:$D$3002,사용내역!$B$3:$B$3002,$A116))</f>
        <v/>
      </c>
      <c r="F116" s="23" t="str">
        <f aca="false">IF($A116="","",$D116-$E116)</f>
        <v/>
      </c>
      <c r="G116" s="17" t="str">
        <f aca="false">IF($A116="","",IF(COUNTIFS(결제내역!$B$3:$B$1002,$A116)=0,"",_xlfn.MAXIFS(결제내역!$G$3:$G$1002,결제내역!$B$3:$B$1002,$A116)))</f>
        <v/>
      </c>
      <c r="H116" s="24" t="str">
        <f aca="true">IF(OR($A116="",$G116=""),"",$G116-TODAY())</f>
        <v/>
      </c>
      <c r="I116" s="16" t="str">
        <f aca="false">IF($A116="","",SUMIFS(결제내역!$H$3:$H$1002,결제내역!$B$3:$B$1002,$A116))</f>
        <v/>
      </c>
      <c r="J116" s="25" t="str">
        <f aca="false">IF($A116="","",IF($D116=0,"미결제",IF($F116&lt;=0,"횟수소진",IF($H116="","",IF($H116&lt;0,"기간만료",IF(OR($F116&lt;=사용안내!$C$18,$H116&lt;=사용안내!$C$17),"재결제 안내","정상"))))))</f>
        <v/>
      </c>
    </row>
    <row r="117" customFormat="false" ht="15" hidden="false" customHeight="true" outlineLevel="0" collapsed="false">
      <c r="A117" s="15" t="str">
        <f aca="false">IF(회원명부!$A114="","",회원명부!$A114)</f>
        <v/>
      </c>
      <c r="B117" s="15" t="str">
        <f aca="false">IF($A117="","",회원명부!$B114)</f>
        <v/>
      </c>
      <c r="C117" s="15" t="str">
        <f aca="false">IF($A117="","",회원명부!$C114)</f>
        <v/>
      </c>
      <c r="D117" s="23" t="str">
        <f aca="false">IF($A117="","",SUMIFS(결제내역!$E$3:$E$1002,결제내역!$B$3:$B$1002,$A117))</f>
        <v/>
      </c>
      <c r="E117" s="23" t="str">
        <f aca="false">IF($A117="","",SUMIFS(사용내역!$D$3:$D$3002,사용내역!$B$3:$B$3002,$A117))</f>
        <v/>
      </c>
      <c r="F117" s="23" t="str">
        <f aca="false">IF($A117="","",$D117-$E117)</f>
        <v/>
      </c>
      <c r="G117" s="17" t="str">
        <f aca="false">IF($A117="","",IF(COUNTIFS(결제내역!$B$3:$B$1002,$A117)=0,"",_xlfn.MAXIFS(결제내역!$G$3:$G$1002,결제내역!$B$3:$B$1002,$A117)))</f>
        <v/>
      </c>
      <c r="H117" s="24" t="str">
        <f aca="true">IF(OR($A117="",$G117=""),"",$G117-TODAY())</f>
        <v/>
      </c>
      <c r="I117" s="16" t="str">
        <f aca="false">IF($A117="","",SUMIFS(결제내역!$H$3:$H$1002,결제내역!$B$3:$B$1002,$A117))</f>
        <v/>
      </c>
      <c r="J117" s="25" t="str">
        <f aca="false">IF($A117="","",IF($D117=0,"미결제",IF($F117&lt;=0,"횟수소진",IF($H117="","",IF($H117&lt;0,"기간만료",IF(OR($F117&lt;=사용안내!$C$18,$H117&lt;=사용안내!$C$17),"재결제 안내","정상"))))))</f>
        <v/>
      </c>
    </row>
    <row r="118" customFormat="false" ht="15" hidden="false" customHeight="true" outlineLevel="0" collapsed="false">
      <c r="A118" s="15" t="str">
        <f aca="false">IF(회원명부!$A115="","",회원명부!$A115)</f>
        <v/>
      </c>
      <c r="B118" s="15" t="str">
        <f aca="false">IF($A118="","",회원명부!$B115)</f>
        <v/>
      </c>
      <c r="C118" s="15" t="str">
        <f aca="false">IF($A118="","",회원명부!$C115)</f>
        <v/>
      </c>
      <c r="D118" s="23" t="str">
        <f aca="false">IF($A118="","",SUMIFS(결제내역!$E$3:$E$1002,결제내역!$B$3:$B$1002,$A118))</f>
        <v/>
      </c>
      <c r="E118" s="23" t="str">
        <f aca="false">IF($A118="","",SUMIFS(사용내역!$D$3:$D$3002,사용내역!$B$3:$B$3002,$A118))</f>
        <v/>
      </c>
      <c r="F118" s="23" t="str">
        <f aca="false">IF($A118="","",$D118-$E118)</f>
        <v/>
      </c>
      <c r="G118" s="17" t="str">
        <f aca="false">IF($A118="","",IF(COUNTIFS(결제내역!$B$3:$B$1002,$A118)=0,"",_xlfn.MAXIFS(결제내역!$G$3:$G$1002,결제내역!$B$3:$B$1002,$A118)))</f>
        <v/>
      </c>
      <c r="H118" s="24" t="str">
        <f aca="true">IF(OR($A118="",$G118=""),"",$G118-TODAY())</f>
        <v/>
      </c>
      <c r="I118" s="16" t="str">
        <f aca="false">IF($A118="","",SUMIFS(결제내역!$H$3:$H$1002,결제내역!$B$3:$B$1002,$A118))</f>
        <v/>
      </c>
      <c r="J118" s="25" t="str">
        <f aca="false">IF($A118="","",IF($D118=0,"미결제",IF($F118&lt;=0,"횟수소진",IF($H118="","",IF($H118&lt;0,"기간만료",IF(OR($F118&lt;=사용안내!$C$18,$H118&lt;=사용안내!$C$17),"재결제 안내","정상"))))))</f>
        <v/>
      </c>
    </row>
    <row r="119" customFormat="false" ht="15" hidden="false" customHeight="true" outlineLevel="0" collapsed="false">
      <c r="A119" s="15" t="str">
        <f aca="false">IF(회원명부!$A116="","",회원명부!$A116)</f>
        <v/>
      </c>
      <c r="B119" s="15" t="str">
        <f aca="false">IF($A119="","",회원명부!$B116)</f>
        <v/>
      </c>
      <c r="C119" s="15" t="str">
        <f aca="false">IF($A119="","",회원명부!$C116)</f>
        <v/>
      </c>
      <c r="D119" s="23" t="str">
        <f aca="false">IF($A119="","",SUMIFS(결제내역!$E$3:$E$1002,결제내역!$B$3:$B$1002,$A119))</f>
        <v/>
      </c>
      <c r="E119" s="23" t="str">
        <f aca="false">IF($A119="","",SUMIFS(사용내역!$D$3:$D$3002,사용내역!$B$3:$B$3002,$A119))</f>
        <v/>
      </c>
      <c r="F119" s="23" t="str">
        <f aca="false">IF($A119="","",$D119-$E119)</f>
        <v/>
      </c>
      <c r="G119" s="17" t="str">
        <f aca="false">IF($A119="","",IF(COUNTIFS(결제내역!$B$3:$B$1002,$A119)=0,"",_xlfn.MAXIFS(결제내역!$G$3:$G$1002,결제내역!$B$3:$B$1002,$A119)))</f>
        <v/>
      </c>
      <c r="H119" s="24" t="str">
        <f aca="true">IF(OR($A119="",$G119=""),"",$G119-TODAY())</f>
        <v/>
      </c>
      <c r="I119" s="16" t="str">
        <f aca="false">IF($A119="","",SUMIFS(결제내역!$H$3:$H$1002,결제내역!$B$3:$B$1002,$A119))</f>
        <v/>
      </c>
      <c r="J119" s="25" t="str">
        <f aca="false">IF($A119="","",IF($D119=0,"미결제",IF($F119&lt;=0,"횟수소진",IF($H119="","",IF($H119&lt;0,"기간만료",IF(OR($F119&lt;=사용안내!$C$18,$H119&lt;=사용안내!$C$17),"재결제 안내","정상"))))))</f>
        <v/>
      </c>
    </row>
    <row r="120" customFormat="false" ht="15" hidden="false" customHeight="true" outlineLevel="0" collapsed="false">
      <c r="A120" s="15" t="str">
        <f aca="false">IF(회원명부!$A117="","",회원명부!$A117)</f>
        <v/>
      </c>
      <c r="B120" s="15" t="str">
        <f aca="false">IF($A120="","",회원명부!$B117)</f>
        <v/>
      </c>
      <c r="C120" s="15" t="str">
        <f aca="false">IF($A120="","",회원명부!$C117)</f>
        <v/>
      </c>
      <c r="D120" s="23" t="str">
        <f aca="false">IF($A120="","",SUMIFS(결제내역!$E$3:$E$1002,결제내역!$B$3:$B$1002,$A120))</f>
        <v/>
      </c>
      <c r="E120" s="23" t="str">
        <f aca="false">IF($A120="","",SUMIFS(사용내역!$D$3:$D$3002,사용내역!$B$3:$B$3002,$A120))</f>
        <v/>
      </c>
      <c r="F120" s="23" t="str">
        <f aca="false">IF($A120="","",$D120-$E120)</f>
        <v/>
      </c>
      <c r="G120" s="17" t="str">
        <f aca="false">IF($A120="","",IF(COUNTIFS(결제내역!$B$3:$B$1002,$A120)=0,"",_xlfn.MAXIFS(결제내역!$G$3:$G$1002,결제내역!$B$3:$B$1002,$A120)))</f>
        <v/>
      </c>
      <c r="H120" s="24" t="str">
        <f aca="true">IF(OR($A120="",$G120=""),"",$G120-TODAY())</f>
        <v/>
      </c>
      <c r="I120" s="16" t="str">
        <f aca="false">IF($A120="","",SUMIFS(결제내역!$H$3:$H$1002,결제내역!$B$3:$B$1002,$A120))</f>
        <v/>
      </c>
      <c r="J120" s="25" t="str">
        <f aca="false">IF($A120="","",IF($D120=0,"미결제",IF($F120&lt;=0,"횟수소진",IF($H120="","",IF($H120&lt;0,"기간만료",IF(OR($F120&lt;=사용안내!$C$18,$H120&lt;=사용안내!$C$17),"재결제 안내","정상"))))))</f>
        <v/>
      </c>
    </row>
    <row r="121" customFormat="false" ht="15" hidden="false" customHeight="true" outlineLevel="0" collapsed="false">
      <c r="A121" s="15" t="str">
        <f aca="false">IF(회원명부!$A118="","",회원명부!$A118)</f>
        <v/>
      </c>
      <c r="B121" s="15" t="str">
        <f aca="false">IF($A121="","",회원명부!$B118)</f>
        <v/>
      </c>
      <c r="C121" s="15" t="str">
        <f aca="false">IF($A121="","",회원명부!$C118)</f>
        <v/>
      </c>
      <c r="D121" s="23" t="str">
        <f aca="false">IF($A121="","",SUMIFS(결제내역!$E$3:$E$1002,결제내역!$B$3:$B$1002,$A121))</f>
        <v/>
      </c>
      <c r="E121" s="23" t="str">
        <f aca="false">IF($A121="","",SUMIFS(사용내역!$D$3:$D$3002,사용내역!$B$3:$B$3002,$A121))</f>
        <v/>
      </c>
      <c r="F121" s="23" t="str">
        <f aca="false">IF($A121="","",$D121-$E121)</f>
        <v/>
      </c>
      <c r="G121" s="17" t="str">
        <f aca="false">IF($A121="","",IF(COUNTIFS(결제내역!$B$3:$B$1002,$A121)=0,"",_xlfn.MAXIFS(결제내역!$G$3:$G$1002,결제내역!$B$3:$B$1002,$A121)))</f>
        <v/>
      </c>
      <c r="H121" s="24" t="str">
        <f aca="true">IF(OR($A121="",$G121=""),"",$G121-TODAY())</f>
        <v/>
      </c>
      <c r="I121" s="16" t="str">
        <f aca="false">IF($A121="","",SUMIFS(결제내역!$H$3:$H$1002,결제내역!$B$3:$B$1002,$A121))</f>
        <v/>
      </c>
      <c r="J121" s="25" t="str">
        <f aca="false">IF($A121="","",IF($D121=0,"미결제",IF($F121&lt;=0,"횟수소진",IF($H121="","",IF($H121&lt;0,"기간만료",IF(OR($F121&lt;=사용안내!$C$18,$H121&lt;=사용안내!$C$17),"재결제 안내","정상"))))))</f>
        <v/>
      </c>
    </row>
    <row r="122" customFormat="false" ht="15" hidden="false" customHeight="true" outlineLevel="0" collapsed="false">
      <c r="A122" s="15" t="str">
        <f aca="false">IF(회원명부!$A119="","",회원명부!$A119)</f>
        <v/>
      </c>
      <c r="B122" s="15" t="str">
        <f aca="false">IF($A122="","",회원명부!$B119)</f>
        <v/>
      </c>
      <c r="C122" s="15" t="str">
        <f aca="false">IF($A122="","",회원명부!$C119)</f>
        <v/>
      </c>
      <c r="D122" s="23" t="str">
        <f aca="false">IF($A122="","",SUMIFS(결제내역!$E$3:$E$1002,결제내역!$B$3:$B$1002,$A122))</f>
        <v/>
      </c>
      <c r="E122" s="23" t="str">
        <f aca="false">IF($A122="","",SUMIFS(사용내역!$D$3:$D$3002,사용내역!$B$3:$B$3002,$A122))</f>
        <v/>
      </c>
      <c r="F122" s="23" t="str">
        <f aca="false">IF($A122="","",$D122-$E122)</f>
        <v/>
      </c>
      <c r="G122" s="17" t="str">
        <f aca="false">IF($A122="","",IF(COUNTIFS(결제내역!$B$3:$B$1002,$A122)=0,"",_xlfn.MAXIFS(결제내역!$G$3:$G$1002,결제내역!$B$3:$B$1002,$A122)))</f>
        <v/>
      </c>
      <c r="H122" s="24" t="str">
        <f aca="true">IF(OR($A122="",$G122=""),"",$G122-TODAY())</f>
        <v/>
      </c>
      <c r="I122" s="16" t="str">
        <f aca="false">IF($A122="","",SUMIFS(결제내역!$H$3:$H$1002,결제내역!$B$3:$B$1002,$A122))</f>
        <v/>
      </c>
      <c r="J122" s="25" t="str">
        <f aca="false">IF($A122="","",IF($D122=0,"미결제",IF($F122&lt;=0,"횟수소진",IF($H122="","",IF($H122&lt;0,"기간만료",IF(OR($F122&lt;=사용안내!$C$18,$H122&lt;=사용안내!$C$17),"재결제 안내","정상"))))))</f>
        <v/>
      </c>
    </row>
    <row r="123" customFormat="false" ht="15" hidden="false" customHeight="true" outlineLevel="0" collapsed="false">
      <c r="A123" s="15" t="str">
        <f aca="false">IF(회원명부!$A120="","",회원명부!$A120)</f>
        <v/>
      </c>
      <c r="B123" s="15" t="str">
        <f aca="false">IF($A123="","",회원명부!$B120)</f>
        <v/>
      </c>
      <c r="C123" s="15" t="str">
        <f aca="false">IF($A123="","",회원명부!$C120)</f>
        <v/>
      </c>
      <c r="D123" s="23" t="str">
        <f aca="false">IF($A123="","",SUMIFS(결제내역!$E$3:$E$1002,결제내역!$B$3:$B$1002,$A123))</f>
        <v/>
      </c>
      <c r="E123" s="23" t="str">
        <f aca="false">IF($A123="","",SUMIFS(사용내역!$D$3:$D$3002,사용내역!$B$3:$B$3002,$A123))</f>
        <v/>
      </c>
      <c r="F123" s="23" t="str">
        <f aca="false">IF($A123="","",$D123-$E123)</f>
        <v/>
      </c>
      <c r="G123" s="17" t="str">
        <f aca="false">IF($A123="","",IF(COUNTIFS(결제내역!$B$3:$B$1002,$A123)=0,"",_xlfn.MAXIFS(결제내역!$G$3:$G$1002,결제내역!$B$3:$B$1002,$A123)))</f>
        <v/>
      </c>
      <c r="H123" s="24" t="str">
        <f aca="true">IF(OR($A123="",$G123=""),"",$G123-TODAY())</f>
        <v/>
      </c>
      <c r="I123" s="16" t="str">
        <f aca="false">IF($A123="","",SUMIFS(결제내역!$H$3:$H$1002,결제내역!$B$3:$B$1002,$A123))</f>
        <v/>
      </c>
      <c r="J123" s="25" t="str">
        <f aca="false">IF($A123="","",IF($D123=0,"미결제",IF($F123&lt;=0,"횟수소진",IF($H123="","",IF($H123&lt;0,"기간만료",IF(OR($F123&lt;=사용안내!$C$18,$H123&lt;=사용안내!$C$17),"재결제 안내","정상"))))))</f>
        <v/>
      </c>
    </row>
    <row r="124" customFormat="false" ht="15" hidden="false" customHeight="true" outlineLevel="0" collapsed="false">
      <c r="A124" s="15" t="str">
        <f aca="false">IF(회원명부!$A121="","",회원명부!$A121)</f>
        <v/>
      </c>
      <c r="B124" s="15" t="str">
        <f aca="false">IF($A124="","",회원명부!$B121)</f>
        <v/>
      </c>
      <c r="C124" s="15" t="str">
        <f aca="false">IF($A124="","",회원명부!$C121)</f>
        <v/>
      </c>
      <c r="D124" s="23" t="str">
        <f aca="false">IF($A124="","",SUMIFS(결제내역!$E$3:$E$1002,결제내역!$B$3:$B$1002,$A124))</f>
        <v/>
      </c>
      <c r="E124" s="23" t="str">
        <f aca="false">IF($A124="","",SUMIFS(사용내역!$D$3:$D$3002,사용내역!$B$3:$B$3002,$A124))</f>
        <v/>
      </c>
      <c r="F124" s="23" t="str">
        <f aca="false">IF($A124="","",$D124-$E124)</f>
        <v/>
      </c>
      <c r="G124" s="17" t="str">
        <f aca="false">IF($A124="","",IF(COUNTIFS(결제내역!$B$3:$B$1002,$A124)=0,"",_xlfn.MAXIFS(결제내역!$G$3:$G$1002,결제내역!$B$3:$B$1002,$A124)))</f>
        <v/>
      </c>
      <c r="H124" s="24" t="str">
        <f aca="true">IF(OR($A124="",$G124=""),"",$G124-TODAY())</f>
        <v/>
      </c>
      <c r="I124" s="16" t="str">
        <f aca="false">IF($A124="","",SUMIFS(결제내역!$H$3:$H$1002,결제내역!$B$3:$B$1002,$A124))</f>
        <v/>
      </c>
      <c r="J124" s="25" t="str">
        <f aca="false">IF($A124="","",IF($D124=0,"미결제",IF($F124&lt;=0,"횟수소진",IF($H124="","",IF($H124&lt;0,"기간만료",IF(OR($F124&lt;=사용안내!$C$18,$H124&lt;=사용안내!$C$17),"재결제 안내","정상"))))))</f>
        <v/>
      </c>
    </row>
    <row r="125" customFormat="false" ht="15" hidden="false" customHeight="true" outlineLevel="0" collapsed="false">
      <c r="A125" s="15" t="str">
        <f aca="false">IF(회원명부!$A122="","",회원명부!$A122)</f>
        <v/>
      </c>
      <c r="B125" s="15" t="str">
        <f aca="false">IF($A125="","",회원명부!$B122)</f>
        <v/>
      </c>
      <c r="C125" s="15" t="str">
        <f aca="false">IF($A125="","",회원명부!$C122)</f>
        <v/>
      </c>
      <c r="D125" s="23" t="str">
        <f aca="false">IF($A125="","",SUMIFS(결제내역!$E$3:$E$1002,결제내역!$B$3:$B$1002,$A125))</f>
        <v/>
      </c>
      <c r="E125" s="23" t="str">
        <f aca="false">IF($A125="","",SUMIFS(사용내역!$D$3:$D$3002,사용내역!$B$3:$B$3002,$A125))</f>
        <v/>
      </c>
      <c r="F125" s="23" t="str">
        <f aca="false">IF($A125="","",$D125-$E125)</f>
        <v/>
      </c>
      <c r="G125" s="17" t="str">
        <f aca="false">IF($A125="","",IF(COUNTIFS(결제내역!$B$3:$B$1002,$A125)=0,"",_xlfn.MAXIFS(결제내역!$G$3:$G$1002,결제내역!$B$3:$B$1002,$A125)))</f>
        <v/>
      </c>
      <c r="H125" s="24" t="str">
        <f aca="true">IF(OR($A125="",$G125=""),"",$G125-TODAY())</f>
        <v/>
      </c>
      <c r="I125" s="16" t="str">
        <f aca="false">IF($A125="","",SUMIFS(결제내역!$H$3:$H$1002,결제내역!$B$3:$B$1002,$A125))</f>
        <v/>
      </c>
      <c r="J125" s="25" t="str">
        <f aca="false">IF($A125="","",IF($D125=0,"미결제",IF($F125&lt;=0,"횟수소진",IF($H125="","",IF($H125&lt;0,"기간만료",IF(OR($F125&lt;=사용안내!$C$18,$H125&lt;=사용안내!$C$17),"재결제 안내","정상"))))))</f>
        <v/>
      </c>
    </row>
    <row r="126" customFormat="false" ht="15" hidden="false" customHeight="true" outlineLevel="0" collapsed="false">
      <c r="A126" s="15" t="str">
        <f aca="false">IF(회원명부!$A123="","",회원명부!$A123)</f>
        <v/>
      </c>
      <c r="B126" s="15" t="str">
        <f aca="false">IF($A126="","",회원명부!$B123)</f>
        <v/>
      </c>
      <c r="C126" s="15" t="str">
        <f aca="false">IF($A126="","",회원명부!$C123)</f>
        <v/>
      </c>
      <c r="D126" s="23" t="str">
        <f aca="false">IF($A126="","",SUMIFS(결제내역!$E$3:$E$1002,결제내역!$B$3:$B$1002,$A126))</f>
        <v/>
      </c>
      <c r="E126" s="23" t="str">
        <f aca="false">IF($A126="","",SUMIFS(사용내역!$D$3:$D$3002,사용내역!$B$3:$B$3002,$A126))</f>
        <v/>
      </c>
      <c r="F126" s="23" t="str">
        <f aca="false">IF($A126="","",$D126-$E126)</f>
        <v/>
      </c>
      <c r="G126" s="17" t="str">
        <f aca="false">IF($A126="","",IF(COUNTIFS(결제내역!$B$3:$B$1002,$A126)=0,"",_xlfn.MAXIFS(결제내역!$G$3:$G$1002,결제내역!$B$3:$B$1002,$A126)))</f>
        <v/>
      </c>
      <c r="H126" s="24" t="str">
        <f aca="true">IF(OR($A126="",$G126=""),"",$G126-TODAY())</f>
        <v/>
      </c>
      <c r="I126" s="16" t="str">
        <f aca="false">IF($A126="","",SUMIFS(결제내역!$H$3:$H$1002,결제내역!$B$3:$B$1002,$A126))</f>
        <v/>
      </c>
      <c r="J126" s="25" t="str">
        <f aca="false">IF($A126="","",IF($D126=0,"미결제",IF($F126&lt;=0,"횟수소진",IF($H126="","",IF($H126&lt;0,"기간만료",IF(OR($F126&lt;=사용안내!$C$18,$H126&lt;=사용안내!$C$17),"재결제 안내","정상"))))))</f>
        <v/>
      </c>
    </row>
    <row r="127" customFormat="false" ht="15" hidden="false" customHeight="true" outlineLevel="0" collapsed="false">
      <c r="A127" s="15" t="str">
        <f aca="false">IF(회원명부!$A124="","",회원명부!$A124)</f>
        <v/>
      </c>
      <c r="B127" s="15" t="str">
        <f aca="false">IF($A127="","",회원명부!$B124)</f>
        <v/>
      </c>
      <c r="C127" s="15" t="str">
        <f aca="false">IF($A127="","",회원명부!$C124)</f>
        <v/>
      </c>
      <c r="D127" s="23" t="str">
        <f aca="false">IF($A127="","",SUMIFS(결제내역!$E$3:$E$1002,결제내역!$B$3:$B$1002,$A127))</f>
        <v/>
      </c>
      <c r="E127" s="23" t="str">
        <f aca="false">IF($A127="","",SUMIFS(사용내역!$D$3:$D$3002,사용내역!$B$3:$B$3002,$A127))</f>
        <v/>
      </c>
      <c r="F127" s="23" t="str">
        <f aca="false">IF($A127="","",$D127-$E127)</f>
        <v/>
      </c>
      <c r="G127" s="17" t="str">
        <f aca="false">IF($A127="","",IF(COUNTIFS(결제내역!$B$3:$B$1002,$A127)=0,"",_xlfn.MAXIFS(결제내역!$G$3:$G$1002,결제내역!$B$3:$B$1002,$A127)))</f>
        <v/>
      </c>
      <c r="H127" s="24" t="str">
        <f aca="true">IF(OR($A127="",$G127=""),"",$G127-TODAY())</f>
        <v/>
      </c>
      <c r="I127" s="16" t="str">
        <f aca="false">IF($A127="","",SUMIFS(결제내역!$H$3:$H$1002,결제내역!$B$3:$B$1002,$A127))</f>
        <v/>
      </c>
      <c r="J127" s="25" t="str">
        <f aca="false">IF($A127="","",IF($D127=0,"미결제",IF($F127&lt;=0,"횟수소진",IF($H127="","",IF($H127&lt;0,"기간만료",IF(OR($F127&lt;=사용안내!$C$18,$H127&lt;=사용안내!$C$17),"재결제 안내","정상"))))))</f>
        <v/>
      </c>
    </row>
    <row r="128" customFormat="false" ht="15" hidden="false" customHeight="true" outlineLevel="0" collapsed="false">
      <c r="A128" s="15" t="str">
        <f aca="false">IF(회원명부!$A125="","",회원명부!$A125)</f>
        <v/>
      </c>
      <c r="B128" s="15" t="str">
        <f aca="false">IF($A128="","",회원명부!$B125)</f>
        <v/>
      </c>
      <c r="C128" s="15" t="str">
        <f aca="false">IF($A128="","",회원명부!$C125)</f>
        <v/>
      </c>
      <c r="D128" s="23" t="str">
        <f aca="false">IF($A128="","",SUMIFS(결제내역!$E$3:$E$1002,결제내역!$B$3:$B$1002,$A128))</f>
        <v/>
      </c>
      <c r="E128" s="23" t="str">
        <f aca="false">IF($A128="","",SUMIFS(사용내역!$D$3:$D$3002,사용내역!$B$3:$B$3002,$A128))</f>
        <v/>
      </c>
      <c r="F128" s="23" t="str">
        <f aca="false">IF($A128="","",$D128-$E128)</f>
        <v/>
      </c>
      <c r="G128" s="17" t="str">
        <f aca="false">IF($A128="","",IF(COUNTIFS(결제내역!$B$3:$B$1002,$A128)=0,"",_xlfn.MAXIFS(결제내역!$G$3:$G$1002,결제내역!$B$3:$B$1002,$A128)))</f>
        <v/>
      </c>
      <c r="H128" s="24" t="str">
        <f aca="true">IF(OR($A128="",$G128=""),"",$G128-TODAY())</f>
        <v/>
      </c>
      <c r="I128" s="16" t="str">
        <f aca="false">IF($A128="","",SUMIFS(결제내역!$H$3:$H$1002,결제내역!$B$3:$B$1002,$A128))</f>
        <v/>
      </c>
      <c r="J128" s="25" t="str">
        <f aca="false">IF($A128="","",IF($D128=0,"미결제",IF($F128&lt;=0,"횟수소진",IF($H128="","",IF($H128&lt;0,"기간만료",IF(OR($F128&lt;=사용안내!$C$18,$H128&lt;=사용안내!$C$17),"재결제 안내","정상"))))))</f>
        <v/>
      </c>
    </row>
    <row r="129" customFormat="false" ht="15" hidden="false" customHeight="true" outlineLevel="0" collapsed="false">
      <c r="A129" s="15" t="str">
        <f aca="false">IF(회원명부!$A126="","",회원명부!$A126)</f>
        <v/>
      </c>
      <c r="B129" s="15" t="str">
        <f aca="false">IF($A129="","",회원명부!$B126)</f>
        <v/>
      </c>
      <c r="C129" s="15" t="str">
        <f aca="false">IF($A129="","",회원명부!$C126)</f>
        <v/>
      </c>
      <c r="D129" s="23" t="str">
        <f aca="false">IF($A129="","",SUMIFS(결제내역!$E$3:$E$1002,결제내역!$B$3:$B$1002,$A129))</f>
        <v/>
      </c>
      <c r="E129" s="23" t="str">
        <f aca="false">IF($A129="","",SUMIFS(사용내역!$D$3:$D$3002,사용내역!$B$3:$B$3002,$A129))</f>
        <v/>
      </c>
      <c r="F129" s="23" t="str">
        <f aca="false">IF($A129="","",$D129-$E129)</f>
        <v/>
      </c>
      <c r="G129" s="17" t="str">
        <f aca="false">IF($A129="","",IF(COUNTIFS(결제내역!$B$3:$B$1002,$A129)=0,"",_xlfn.MAXIFS(결제내역!$G$3:$G$1002,결제내역!$B$3:$B$1002,$A129)))</f>
        <v/>
      </c>
      <c r="H129" s="24" t="str">
        <f aca="true">IF(OR($A129="",$G129=""),"",$G129-TODAY())</f>
        <v/>
      </c>
      <c r="I129" s="16" t="str">
        <f aca="false">IF($A129="","",SUMIFS(결제내역!$H$3:$H$1002,결제내역!$B$3:$B$1002,$A129))</f>
        <v/>
      </c>
      <c r="J129" s="25" t="str">
        <f aca="false">IF($A129="","",IF($D129=0,"미결제",IF($F129&lt;=0,"횟수소진",IF($H129="","",IF($H129&lt;0,"기간만료",IF(OR($F129&lt;=사용안내!$C$18,$H129&lt;=사용안내!$C$17),"재결제 안내","정상"))))))</f>
        <v/>
      </c>
    </row>
    <row r="130" customFormat="false" ht="15" hidden="false" customHeight="true" outlineLevel="0" collapsed="false">
      <c r="A130" s="15" t="str">
        <f aca="false">IF(회원명부!$A127="","",회원명부!$A127)</f>
        <v/>
      </c>
      <c r="B130" s="15" t="str">
        <f aca="false">IF($A130="","",회원명부!$B127)</f>
        <v/>
      </c>
      <c r="C130" s="15" t="str">
        <f aca="false">IF($A130="","",회원명부!$C127)</f>
        <v/>
      </c>
      <c r="D130" s="23" t="str">
        <f aca="false">IF($A130="","",SUMIFS(결제내역!$E$3:$E$1002,결제내역!$B$3:$B$1002,$A130))</f>
        <v/>
      </c>
      <c r="E130" s="23" t="str">
        <f aca="false">IF($A130="","",SUMIFS(사용내역!$D$3:$D$3002,사용내역!$B$3:$B$3002,$A130))</f>
        <v/>
      </c>
      <c r="F130" s="23" t="str">
        <f aca="false">IF($A130="","",$D130-$E130)</f>
        <v/>
      </c>
      <c r="G130" s="17" t="str">
        <f aca="false">IF($A130="","",IF(COUNTIFS(결제내역!$B$3:$B$1002,$A130)=0,"",_xlfn.MAXIFS(결제내역!$G$3:$G$1002,결제내역!$B$3:$B$1002,$A130)))</f>
        <v/>
      </c>
      <c r="H130" s="24" t="str">
        <f aca="true">IF(OR($A130="",$G130=""),"",$G130-TODAY())</f>
        <v/>
      </c>
      <c r="I130" s="16" t="str">
        <f aca="false">IF($A130="","",SUMIFS(결제내역!$H$3:$H$1002,결제내역!$B$3:$B$1002,$A130))</f>
        <v/>
      </c>
      <c r="J130" s="25" t="str">
        <f aca="false">IF($A130="","",IF($D130=0,"미결제",IF($F130&lt;=0,"횟수소진",IF($H130="","",IF($H130&lt;0,"기간만료",IF(OR($F130&lt;=사용안내!$C$18,$H130&lt;=사용안내!$C$17),"재결제 안내","정상"))))))</f>
        <v/>
      </c>
    </row>
    <row r="131" customFormat="false" ht="15" hidden="false" customHeight="true" outlineLevel="0" collapsed="false">
      <c r="A131" s="15" t="str">
        <f aca="false">IF(회원명부!$A128="","",회원명부!$A128)</f>
        <v/>
      </c>
      <c r="B131" s="15" t="str">
        <f aca="false">IF($A131="","",회원명부!$B128)</f>
        <v/>
      </c>
      <c r="C131" s="15" t="str">
        <f aca="false">IF($A131="","",회원명부!$C128)</f>
        <v/>
      </c>
      <c r="D131" s="23" t="str">
        <f aca="false">IF($A131="","",SUMIFS(결제내역!$E$3:$E$1002,결제내역!$B$3:$B$1002,$A131))</f>
        <v/>
      </c>
      <c r="E131" s="23" t="str">
        <f aca="false">IF($A131="","",SUMIFS(사용내역!$D$3:$D$3002,사용내역!$B$3:$B$3002,$A131))</f>
        <v/>
      </c>
      <c r="F131" s="23" t="str">
        <f aca="false">IF($A131="","",$D131-$E131)</f>
        <v/>
      </c>
      <c r="G131" s="17" t="str">
        <f aca="false">IF($A131="","",IF(COUNTIFS(결제내역!$B$3:$B$1002,$A131)=0,"",_xlfn.MAXIFS(결제내역!$G$3:$G$1002,결제내역!$B$3:$B$1002,$A131)))</f>
        <v/>
      </c>
      <c r="H131" s="24" t="str">
        <f aca="true">IF(OR($A131="",$G131=""),"",$G131-TODAY())</f>
        <v/>
      </c>
      <c r="I131" s="16" t="str">
        <f aca="false">IF($A131="","",SUMIFS(결제내역!$H$3:$H$1002,결제내역!$B$3:$B$1002,$A131))</f>
        <v/>
      </c>
      <c r="J131" s="25" t="str">
        <f aca="false">IF($A131="","",IF($D131=0,"미결제",IF($F131&lt;=0,"횟수소진",IF($H131="","",IF($H131&lt;0,"기간만료",IF(OR($F131&lt;=사용안내!$C$18,$H131&lt;=사용안내!$C$17),"재결제 안내","정상"))))))</f>
        <v/>
      </c>
    </row>
    <row r="132" customFormat="false" ht="15" hidden="false" customHeight="true" outlineLevel="0" collapsed="false">
      <c r="A132" s="15" t="str">
        <f aca="false">IF(회원명부!$A129="","",회원명부!$A129)</f>
        <v/>
      </c>
      <c r="B132" s="15" t="str">
        <f aca="false">IF($A132="","",회원명부!$B129)</f>
        <v/>
      </c>
      <c r="C132" s="15" t="str">
        <f aca="false">IF($A132="","",회원명부!$C129)</f>
        <v/>
      </c>
      <c r="D132" s="23" t="str">
        <f aca="false">IF($A132="","",SUMIFS(결제내역!$E$3:$E$1002,결제내역!$B$3:$B$1002,$A132))</f>
        <v/>
      </c>
      <c r="E132" s="23" t="str">
        <f aca="false">IF($A132="","",SUMIFS(사용내역!$D$3:$D$3002,사용내역!$B$3:$B$3002,$A132))</f>
        <v/>
      </c>
      <c r="F132" s="23" t="str">
        <f aca="false">IF($A132="","",$D132-$E132)</f>
        <v/>
      </c>
      <c r="G132" s="17" t="str">
        <f aca="false">IF($A132="","",IF(COUNTIFS(결제내역!$B$3:$B$1002,$A132)=0,"",_xlfn.MAXIFS(결제내역!$G$3:$G$1002,결제내역!$B$3:$B$1002,$A132)))</f>
        <v/>
      </c>
      <c r="H132" s="24" t="str">
        <f aca="true">IF(OR($A132="",$G132=""),"",$G132-TODAY())</f>
        <v/>
      </c>
      <c r="I132" s="16" t="str">
        <f aca="false">IF($A132="","",SUMIFS(결제내역!$H$3:$H$1002,결제내역!$B$3:$B$1002,$A132))</f>
        <v/>
      </c>
      <c r="J132" s="25" t="str">
        <f aca="false">IF($A132="","",IF($D132=0,"미결제",IF($F132&lt;=0,"횟수소진",IF($H132="","",IF($H132&lt;0,"기간만료",IF(OR($F132&lt;=사용안내!$C$18,$H132&lt;=사용안내!$C$17),"재결제 안내","정상"))))))</f>
        <v/>
      </c>
    </row>
    <row r="133" customFormat="false" ht="15" hidden="false" customHeight="true" outlineLevel="0" collapsed="false">
      <c r="A133" s="15" t="str">
        <f aca="false">IF(회원명부!$A130="","",회원명부!$A130)</f>
        <v/>
      </c>
      <c r="B133" s="15" t="str">
        <f aca="false">IF($A133="","",회원명부!$B130)</f>
        <v/>
      </c>
      <c r="C133" s="15" t="str">
        <f aca="false">IF($A133="","",회원명부!$C130)</f>
        <v/>
      </c>
      <c r="D133" s="23" t="str">
        <f aca="false">IF($A133="","",SUMIFS(결제내역!$E$3:$E$1002,결제내역!$B$3:$B$1002,$A133))</f>
        <v/>
      </c>
      <c r="E133" s="23" t="str">
        <f aca="false">IF($A133="","",SUMIFS(사용내역!$D$3:$D$3002,사용내역!$B$3:$B$3002,$A133))</f>
        <v/>
      </c>
      <c r="F133" s="23" t="str">
        <f aca="false">IF($A133="","",$D133-$E133)</f>
        <v/>
      </c>
      <c r="G133" s="17" t="str">
        <f aca="false">IF($A133="","",IF(COUNTIFS(결제내역!$B$3:$B$1002,$A133)=0,"",_xlfn.MAXIFS(결제내역!$G$3:$G$1002,결제내역!$B$3:$B$1002,$A133)))</f>
        <v/>
      </c>
      <c r="H133" s="24" t="str">
        <f aca="true">IF(OR($A133="",$G133=""),"",$G133-TODAY())</f>
        <v/>
      </c>
      <c r="I133" s="16" t="str">
        <f aca="false">IF($A133="","",SUMIFS(결제내역!$H$3:$H$1002,결제내역!$B$3:$B$1002,$A133))</f>
        <v/>
      </c>
      <c r="J133" s="25" t="str">
        <f aca="false">IF($A133="","",IF($D133=0,"미결제",IF($F133&lt;=0,"횟수소진",IF($H133="","",IF($H133&lt;0,"기간만료",IF(OR($F133&lt;=사용안내!$C$18,$H133&lt;=사용안내!$C$17),"재결제 안내","정상"))))))</f>
        <v/>
      </c>
    </row>
    <row r="134" customFormat="false" ht="15" hidden="false" customHeight="true" outlineLevel="0" collapsed="false">
      <c r="A134" s="15" t="str">
        <f aca="false">IF(회원명부!$A131="","",회원명부!$A131)</f>
        <v/>
      </c>
      <c r="B134" s="15" t="str">
        <f aca="false">IF($A134="","",회원명부!$B131)</f>
        <v/>
      </c>
      <c r="C134" s="15" t="str">
        <f aca="false">IF($A134="","",회원명부!$C131)</f>
        <v/>
      </c>
      <c r="D134" s="23" t="str">
        <f aca="false">IF($A134="","",SUMIFS(결제내역!$E$3:$E$1002,결제내역!$B$3:$B$1002,$A134))</f>
        <v/>
      </c>
      <c r="E134" s="23" t="str">
        <f aca="false">IF($A134="","",SUMIFS(사용내역!$D$3:$D$3002,사용내역!$B$3:$B$3002,$A134))</f>
        <v/>
      </c>
      <c r="F134" s="23" t="str">
        <f aca="false">IF($A134="","",$D134-$E134)</f>
        <v/>
      </c>
      <c r="G134" s="17" t="str">
        <f aca="false">IF($A134="","",IF(COUNTIFS(결제내역!$B$3:$B$1002,$A134)=0,"",_xlfn.MAXIFS(결제내역!$G$3:$G$1002,결제내역!$B$3:$B$1002,$A134)))</f>
        <v/>
      </c>
      <c r="H134" s="24" t="str">
        <f aca="true">IF(OR($A134="",$G134=""),"",$G134-TODAY())</f>
        <v/>
      </c>
      <c r="I134" s="16" t="str">
        <f aca="false">IF($A134="","",SUMIFS(결제내역!$H$3:$H$1002,결제내역!$B$3:$B$1002,$A134))</f>
        <v/>
      </c>
      <c r="J134" s="25" t="str">
        <f aca="false">IF($A134="","",IF($D134=0,"미결제",IF($F134&lt;=0,"횟수소진",IF($H134="","",IF($H134&lt;0,"기간만료",IF(OR($F134&lt;=사용안내!$C$18,$H134&lt;=사용안내!$C$17),"재결제 안내","정상"))))))</f>
        <v/>
      </c>
    </row>
    <row r="135" customFormat="false" ht="15" hidden="false" customHeight="true" outlineLevel="0" collapsed="false">
      <c r="A135" s="15" t="str">
        <f aca="false">IF(회원명부!$A132="","",회원명부!$A132)</f>
        <v/>
      </c>
      <c r="B135" s="15" t="str">
        <f aca="false">IF($A135="","",회원명부!$B132)</f>
        <v/>
      </c>
      <c r="C135" s="15" t="str">
        <f aca="false">IF($A135="","",회원명부!$C132)</f>
        <v/>
      </c>
      <c r="D135" s="23" t="str">
        <f aca="false">IF($A135="","",SUMIFS(결제내역!$E$3:$E$1002,결제내역!$B$3:$B$1002,$A135))</f>
        <v/>
      </c>
      <c r="E135" s="23" t="str">
        <f aca="false">IF($A135="","",SUMIFS(사용내역!$D$3:$D$3002,사용내역!$B$3:$B$3002,$A135))</f>
        <v/>
      </c>
      <c r="F135" s="23" t="str">
        <f aca="false">IF($A135="","",$D135-$E135)</f>
        <v/>
      </c>
      <c r="G135" s="17" t="str">
        <f aca="false">IF($A135="","",IF(COUNTIFS(결제내역!$B$3:$B$1002,$A135)=0,"",_xlfn.MAXIFS(결제내역!$G$3:$G$1002,결제내역!$B$3:$B$1002,$A135)))</f>
        <v/>
      </c>
      <c r="H135" s="24" t="str">
        <f aca="true">IF(OR($A135="",$G135=""),"",$G135-TODAY())</f>
        <v/>
      </c>
      <c r="I135" s="16" t="str">
        <f aca="false">IF($A135="","",SUMIFS(결제내역!$H$3:$H$1002,결제내역!$B$3:$B$1002,$A135))</f>
        <v/>
      </c>
      <c r="J135" s="25" t="str">
        <f aca="false">IF($A135="","",IF($D135=0,"미결제",IF($F135&lt;=0,"횟수소진",IF($H135="","",IF($H135&lt;0,"기간만료",IF(OR($F135&lt;=사용안내!$C$18,$H135&lt;=사용안내!$C$17),"재결제 안내","정상"))))))</f>
        <v/>
      </c>
    </row>
    <row r="136" customFormat="false" ht="15" hidden="false" customHeight="true" outlineLevel="0" collapsed="false">
      <c r="A136" s="15" t="str">
        <f aca="false">IF(회원명부!$A133="","",회원명부!$A133)</f>
        <v/>
      </c>
      <c r="B136" s="15" t="str">
        <f aca="false">IF($A136="","",회원명부!$B133)</f>
        <v/>
      </c>
      <c r="C136" s="15" t="str">
        <f aca="false">IF($A136="","",회원명부!$C133)</f>
        <v/>
      </c>
      <c r="D136" s="23" t="str">
        <f aca="false">IF($A136="","",SUMIFS(결제내역!$E$3:$E$1002,결제내역!$B$3:$B$1002,$A136))</f>
        <v/>
      </c>
      <c r="E136" s="23" t="str">
        <f aca="false">IF($A136="","",SUMIFS(사용내역!$D$3:$D$3002,사용내역!$B$3:$B$3002,$A136))</f>
        <v/>
      </c>
      <c r="F136" s="23" t="str">
        <f aca="false">IF($A136="","",$D136-$E136)</f>
        <v/>
      </c>
      <c r="G136" s="17" t="str">
        <f aca="false">IF($A136="","",IF(COUNTIFS(결제내역!$B$3:$B$1002,$A136)=0,"",_xlfn.MAXIFS(결제내역!$G$3:$G$1002,결제내역!$B$3:$B$1002,$A136)))</f>
        <v/>
      </c>
      <c r="H136" s="24" t="str">
        <f aca="true">IF(OR($A136="",$G136=""),"",$G136-TODAY())</f>
        <v/>
      </c>
      <c r="I136" s="16" t="str">
        <f aca="false">IF($A136="","",SUMIFS(결제내역!$H$3:$H$1002,결제내역!$B$3:$B$1002,$A136))</f>
        <v/>
      </c>
      <c r="J136" s="25" t="str">
        <f aca="false">IF($A136="","",IF($D136=0,"미결제",IF($F136&lt;=0,"횟수소진",IF($H136="","",IF($H136&lt;0,"기간만료",IF(OR($F136&lt;=사용안내!$C$18,$H136&lt;=사용안내!$C$17),"재결제 안내","정상"))))))</f>
        <v/>
      </c>
    </row>
    <row r="137" customFormat="false" ht="15" hidden="false" customHeight="true" outlineLevel="0" collapsed="false">
      <c r="A137" s="15" t="str">
        <f aca="false">IF(회원명부!$A134="","",회원명부!$A134)</f>
        <v/>
      </c>
      <c r="B137" s="15" t="str">
        <f aca="false">IF($A137="","",회원명부!$B134)</f>
        <v/>
      </c>
      <c r="C137" s="15" t="str">
        <f aca="false">IF($A137="","",회원명부!$C134)</f>
        <v/>
      </c>
      <c r="D137" s="23" t="str">
        <f aca="false">IF($A137="","",SUMIFS(결제내역!$E$3:$E$1002,결제내역!$B$3:$B$1002,$A137))</f>
        <v/>
      </c>
      <c r="E137" s="23" t="str">
        <f aca="false">IF($A137="","",SUMIFS(사용내역!$D$3:$D$3002,사용내역!$B$3:$B$3002,$A137))</f>
        <v/>
      </c>
      <c r="F137" s="23" t="str">
        <f aca="false">IF($A137="","",$D137-$E137)</f>
        <v/>
      </c>
      <c r="G137" s="17" t="str">
        <f aca="false">IF($A137="","",IF(COUNTIFS(결제내역!$B$3:$B$1002,$A137)=0,"",_xlfn.MAXIFS(결제내역!$G$3:$G$1002,결제내역!$B$3:$B$1002,$A137)))</f>
        <v/>
      </c>
      <c r="H137" s="24" t="str">
        <f aca="true">IF(OR($A137="",$G137=""),"",$G137-TODAY())</f>
        <v/>
      </c>
      <c r="I137" s="16" t="str">
        <f aca="false">IF($A137="","",SUMIFS(결제내역!$H$3:$H$1002,결제내역!$B$3:$B$1002,$A137))</f>
        <v/>
      </c>
      <c r="J137" s="25" t="str">
        <f aca="false">IF($A137="","",IF($D137=0,"미결제",IF($F137&lt;=0,"횟수소진",IF($H137="","",IF($H137&lt;0,"기간만료",IF(OR($F137&lt;=사용안내!$C$18,$H137&lt;=사용안내!$C$17),"재결제 안내","정상"))))))</f>
        <v/>
      </c>
    </row>
    <row r="138" customFormat="false" ht="15" hidden="false" customHeight="true" outlineLevel="0" collapsed="false">
      <c r="A138" s="15" t="str">
        <f aca="false">IF(회원명부!$A135="","",회원명부!$A135)</f>
        <v/>
      </c>
      <c r="B138" s="15" t="str">
        <f aca="false">IF($A138="","",회원명부!$B135)</f>
        <v/>
      </c>
      <c r="C138" s="15" t="str">
        <f aca="false">IF($A138="","",회원명부!$C135)</f>
        <v/>
      </c>
      <c r="D138" s="23" t="str">
        <f aca="false">IF($A138="","",SUMIFS(결제내역!$E$3:$E$1002,결제내역!$B$3:$B$1002,$A138))</f>
        <v/>
      </c>
      <c r="E138" s="23" t="str">
        <f aca="false">IF($A138="","",SUMIFS(사용내역!$D$3:$D$3002,사용내역!$B$3:$B$3002,$A138))</f>
        <v/>
      </c>
      <c r="F138" s="23" t="str">
        <f aca="false">IF($A138="","",$D138-$E138)</f>
        <v/>
      </c>
      <c r="G138" s="17" t="str">
        <f aca="false">IF($A138="","",IF(COUNTIFS(결제내역!$B$3:$B$1002,$A138)=0,"",_xlfn.MAXIFS(결제내역!$G$3:$G$1002,결제내역!$B$3:$B$1002,$A138)))</f>
        <v/>
      </c>
      <c r="H138" s="24" t="str">
        <f aca="true">IF(OR($A138="",$G138=""),"",$G138-TODAY())</f>
        <v/>
      </c>
      <c r="I138" s="16" t="str">
        <f aca="false">IF($A138="","",SUMIFS(결제내역!$H$3:$H$1002,결제내역!$B$3:$B$1002,$A138))</f>
        <v/>
      </c>
      <c r="J138" s="25" t="str">
        <f aca="false">IF($A138="","",IF($D138=0,"미결제",IF($F138&lt;=0,"횟수소진",IF($H138="","",IF($H138&lt;0,"기간만료",IF(OR($F138&lt;=사용안내!$C$18,$H138&lt;=사용안내!$C$17),"재결제 안내","정상"))))))</f>
        <v/>
      </c>
    </row>
    <row r="139" customFormat="false" ht="15" hidden="false" customHeight="true" outlineLevel="0" collapsed="false">
      <c r="A139" s="15" t="str">
        <f aca="false">IF(회원명부!$A136="","",회원명부!$A136)</f>
        <v/>
      </c>
      <c r="B139" s="15" t="str">
        <f aca="false">IF($A139="","",회원명부!$B136)</f>
        <v/>
      </c>
      <c r="C139" s="15" t="str">
        <f aca="false">IF($A139="","",회원명부!$C136)</f>
        <v/>
      </c>
      <c r="D139" s="23" t="str">
        <f aca="false">IF($A139="","",SUMIFS(결제내역!$E$3:$E$1002,결제내역!$B$3:$B$1002,$A139))</f>
        <v/>
      </c>
      <c r="E139" s="23" t="str">
        <f aca="false">IF($A139="","",SUMIFS(사용내역!$D$3:$D$3002,사용내역!$B$3:$B$3002,$A139))</f>
        <v/>
      </c>
      <c r="F139" s="23" t="str">
        <f aca="false">IF($A139="","",$D139-$E139)</f>
        <v/>
      </c>
      <c r="G139" s="17" t="str">
        <f aca="false">IF($A139="","",IF(COUNTIFS(결제내역!$B$3:$B$1002,$A139)=0,"",_xlfn.MAXIFS(결제내역!$G$3:$G$1002,결제내역!$B$3:$B$1002,$A139)))</f>
        <v/>
      </c>
      <c r="H139" s="24" t="str">
        <f aca="true">IF(OR($A139="",$G139=""),"",$G139-TODAY())</f>
        <v/>
      </c>
      <c r="I139" s="16" t="str">
        <f aca="false">IF($A139="","",SUMIFS(결제내역!$H$3:$H$1002,결제내역!$B$3:$B$1002,$A139))</f>
        <v/>
      </c>
      <c r="J139" s="25" t="str">
        <f aca="false">IF($A139="","",IF($D139=0,"미결제",IF($F139&lt;=0,"횟수소진",IF($H139="","",IF($H139&lt;0,"기간만료",IF(OR($F139&lt;=사용안내!$C$18,$H139&lt;=사용안내!$C$17),"재결제 안내","정상"))))))</f>
        <v/>
      </c>
    </row>
    <row r="140" customFormat="false" ht="15" hidden="false" customHeight="true" outlineLevel="0" collapsed="false">
      <c r="A140" s="15" t="str">
        <f aca="false">IF(회원명부!$A137="","",회원명부!$A137)</f>
        <v/>
      </c>
      <c r="B140" s="15" t="str">
        <f aca="false">IF($A140="","",회원명부!$B137)</f>
        <v/>
      </c>
      <c r="C140" s="15" t="str">
        <f aca="false">IF($A140="","",회원명부!$C137)</f>
        <v/>
      </c>
      <c r="D140" s="23" t="str">
        <f aca="false">IF($A140="","",SUMIFS(결제내역!$E$3:$E$1002,결제내역!$B$3:$B$1002,$A140))</f>
        <v/>
      </c>
      <c r="E140" s="23" t="str">
        <f aca="false">IF($A140="","",SUMIFS(사용내역!$D$3:$D$3002,사용내역!$B$3:$B$3002,$A140))</f>
        <v/>
      </c>
      <c r="F140" s="23" t="str">
        <f aca="false">IF($A140="","",$D140-$E140)</f>
        <v/>
      </c>
      <c r="G140" s="17" t="str">
        <f aca="false">IF($A140="","",IF(COUNTIFS(결제내역!$B$3:$B$1002,$A140)=0,"",_xlfn.MAXIFS(결제내역!$G$3:$G$1002,결제내역!$B$3:$B$1002,$A140)))</f>
        <v/>
      </c>
      <c r="H140" s="24" t="str">
        <f aca="true">IF(OR($A140="",$G140=""),"",$G140-TODAY())</f>
        <v/>
      </c>
      <c r="I140" s="16" t="str">
        <f aca="false">IF($A140="","",SUMIFS(결제내역!$H$3:$H$1002,결제내역!$B$3:$B$1002,$A140))</f>
        <v/>
      </c>
      <c r="J140" s="25" t="str">
        <f aca="false">IF($A140="","",IF($D140=0,"미결제",IF($F140&lt;=0,"횟수소진",IF($H140="","",IF($H140&lt;0,"기간만료",IF(OR($F140&lt;=사용안내!$C$18,$H140&lt;=사용안내!$C$17),"재결제 안내","정상"))))))</f>
        <v/>
      </c>
    </row>
    <row r="141" customFormat="false" ht="15" hidden="false" customHeight="true" outlineLevel="0" collapsed="false">
      <c r="A141" s="15" t="str">
        <f aca="false">IF(회원명부!$A138="","",회원명부!$A138)</f>
        <v/>
      </c>
      <c r="B141" s="15" t="str">
        <f aca="false">IF($A141="","",회원명부!$B138)</f>
        <v/>
      </c>
      <c r="C141" s="15" t="str">
        <f aca="false">IF($A141="","",회원명부!$C138)</f>
        <v/>
      </c>
      <c r="D141" s="23" t="str">
        <f aca="false">IF($A141="","",SUMIFS(결제내역!$E$3:$E$1002,결제내역!$B$3:$B$1002,$A141))</f>
        <v/>
      </c>
      <c r="E141" s="23" t="str">
        <f aca="false">IF($A141="","",SUMIFS(사용내역!$D$3:$D$3002,사용내역!$B$3:$B$3002,$A141))</f>
        <v/>
      </c>
      <c r="F141" s="23" t="str">
        <f aca="false">IF($A141="","",$D141-$E141)</f>
        <v/>
      </c>
      <c r="G141" s="17" t="str">
        <f aca="false">IF($A141="","",IF(COUNTIFS(결제내역!$B$3:$B$1002,$A141)=0,"",_xlfn.MAXIFS(결제내역!$G$3:$G$1002,결제내역!$B$3:$B$1002,$A141)))</f>
        <v/>
      </c>
      <c r="H141" s="24" t="str">
        <f aca="true">IF(OR($A141="",$G141=""),"",$G141-TODAY())</f>
        <v/>
      </c>
      <c r="I141" s="16" t="str">
        <f aca="false">IF($A141="","",SUMIFS(결제내역!$H$3:$H$1002,결제내역!$B$3:$B$1002,$A141))</f>
        <v/>
      </c>
      <c r="J141" s="25" t="str">
        <f aca="false">IF($A141="","",IF($D141=0,"미결제",IF($F141&lt;=0,"횟수소진",IF($H141="","",IF($H141&lt;0,"기간만료",IF(OR($F141&lt;=사용안내!$C$18,$H141&lt;=사용안내!$C$17),"재결제 안내","정상"))))))</f>
        <v/>
      </c>
    </row>
    <row r="142" customFormat="false" ht="15" hidden="false" customHeight="true" outlineLevel="0" collapsed="false">
      <c r="A142" s="15" t="str">
        <f aca="false">IF(회원명부!$A139="","",회원명부!$A139)</f>
        <v/>
      </c>
      <c r="B142" s="15" t="str">
        <f aca="false">IF($A142="","",회원명부!$B139)</f>
        <v/>
      </c>
      <c r="C142" s="15" t="str">
        <f aca="false">IF($A142="","",회원명부!$C139)</f>
        <v/>
      </c>
      <c r="D142" s="23" t="str">
        <f aca="false">IF($A142="","",SUMIFS(결제내역!$E$3:$E$1002,결제내역!$B$3:$B$1002,$A142))</f>
        <v/>
      </c>
      <c r="E142" s="23" t="str">
        <f aca="false">IF($A142="","",SUMIFS(사용내역!$D$3:$D$3002,사용내역!$B$3:$B$3002,$A142))</f>
        <v/>
      </c>
      <c r="F142" s="23" t="str">
        <f aca="false">IF($A142="","",$D142-$E142)</f>
        <v/>
      </c>
      <c r="G142" s="17" t="str">
        <f aca="false">IF($A142="","",IF(COUNTIFS(결제내역!$B$3:$B$1002,$A142)=0,"",_xlfn.MAXIFS(결제내역!$G$3:$G$1002,결제내역!$B$3:$B$1002,$A142)))</f>
        <v/>
      </c>
      <c r="H142" s="24" t="str">
        <f aca="true">IF(OR($A142="",$G142=""),"",$G142-TODAY())</f>
        <v/>
      </c>
      <c r="I142" s="16" t="str">
        <f aca="false">IF($A142="","",SUMIFS(결제내역!$H$3:$H$1002,결제내역!$B$3:$B$1002,$A142))</f>
        <v/>
      </c>
      <c r="J142" s="25" t="str">
        <f aca="false">IF($A142="","",IF($D142=0,"미결제",IF($F142&lt;=0,"횟수소진",IF($H142="","",IF($H142&lt;0,"기간만료",IF(OR($F142&lt;=사용안내!$C$18,$H142&lt;=사용안내!$C$17),"재결제 안내","정상"))))))</f>
        <v/>
      </c>
    </row>
    <row r="143" customFormat="false" ht="15" hidden="false" customHeight="true" outlineLevel="0" collapsed="false">
      <c r="A143" s="15" t="str">
        <f aca="false">IF(회원명부!$A140="","",회원명부!$A140)</f>
        <v/>
      </c>
      <c r="B143" s="15" t="str">
        <f aca="false">IF($A143="","",회원명부!$B140)</f>
        <v/>
      </c>
      <c r="C143" s="15" t="str">
        <f aca="false">IF($A143="","",회원명부!$C140)</f>
        <v/>
      </c>
      <c r="D143" s="23" t="str">
        <f aca="false">IF($A143="","",SUMIFS(결제내역!$E$3:$E$1002,결제내역!$B$3:$B$1002,$A143))</f>
        <v/>
      </c>
      <c r="E143" s="23" t="str">
        <f aca="false">IF($A143="","",SUMIFS(사용내역!$D$3:$D$3002,사용내역!$B$3:$B$3002,$A143))</f>
        <v/>
      </c>
      <c r="F143" s="23" t="str">
        <f aca="false">IF($A143="","",$D143-$E143)</f>
        <v/>
      </c>
      <c r="G143" s="17" t="str">
        <f aca="false">IF($A143="","",IF(COUNTIFS(결제내역!$B$3:$B$1002,$A143)=0,"",_xlfn.MAXIFS(결제내역!$G$3:$G$1002,결제내역!$B$3:$B$1002,$A143)))</f>
        <v/>
      </c>
      <c r="H143" s="24" t="str">
        <f aca="true">IF(OR($A143="",$G143=""),"",$G143-TODAY())</f>
        <v/>
      </c>
      <c r="I143" s="16" t="str">
        <f aca="false">IF($A143="","",SUMIFS(결제내역!$H$3:$H$1002,결제내역!$B$3:$B$1002,$A143))</f>
        <v/>
      </c>
      <c r="J143" s="25" t="str">
        <f aca="false">IF($A143="","",IF($D143=0,"미결제",IF($F143&lt;=0,"횟수소진",IF($H143="","",IF($H143&lt;0,"기간만료",IF(OR($F143&lt;=사용안내!$C$18,$H143&lt;=사용안내!$C$17),"재결제 안내","정상"))))))</f>
        <v/>
      </c>
    </row>
    <row r="144" customFormat="false" ht="15" hidden="false" customHeight="true" outlineLevel="0" collapsed="false">
      <c r="A144" s="15" t="str">
        <f aca="false">IF(회원명부!$A141="","",회원명부!$A141)</f>
        <v/>
      </c>
      <c r="B144" s="15" t="str">
        <f aca="false">IF($A144="","",회원명부!$B141)</f>
        <v/>
      </c>
      <c r="C144" s="15" t="str">
        <f aca="false">IF($A144="","",회원명부!$C141)</f>
        <v/>
      </c>
      <c r="D144" s="23" t="str">
        <f aca="false">IF($A144="","",SUMIFS(결제내역!$E$3:$E$1002,결제내역!$B$3:$B$1002,$A144))</f>
        <v/>
      </c>
      <c r="E144" s="23" t="str">
        <f aca="false">IF($A144="","",SUMIFS(사용내역!$D$3:$D$3002,사용내역!$B$3:$B$3002,$A144))</f>
        <v/>
      </c>
      <c r="F144" s="23" t="str">
        <f aca="false">IF($A144="","",$D144-$E144)</f>
        <v/>
      </c>
      <c r="G144" s="17" t="str">
        <f aca="false">IF($A144="","",IF(COUNTIFS(결제내역!$B$3:$B$1002,$A144)=0,"",_xlfn.MAXIFS(결제내역!$G$3:$G$1002,결제내역!$B$3:$B$1002,$A144)))</f>
        <v/>
      </c>
      <c r="H144" s="24" t="str">
        <f aca="true">IF(OR($A144="",$G144=""),"",$G144-TODAY())</f>
        <v/>
      </c>
      <c r="I144" s="16" t="str">
        <f aca="false">IF($A144="","",SUMIFS(결제내역!$H$3:$H$1002,결제내역!$B$3:$B$1002,$A144))</f>
        <v/>
      </c>
      <c r="J144" s="25" t="str">
        <f aca="false">IF($A144="","",IF($D144=0,"미결제",IF($F144&lt;=0,"횟수소진",IF($H144="","",IF($H144&lt;0,"기간만료",IF(OR($F144&lt;=사용안내!$C$18,$H144&lt;=사용안내!$C$17),"재결제 안내","정상"))))))</f>
        <v/>
      </c>
    </row>
    <row r="145" customFormat="false" ht="15" hidden="false" customHeight="true" outlineLevel="0" collapsed="false">
      <c r="A145" s="15" t="str">
        <f aca="false">IF(회원명부!$A142="","",회원명부!$A142)</f>
        <v/>
      </c>
      <c r="B145" s="15" t="str">
        <f aca="false">IF($A145="","",회원명부!$B142)</f>
        <v/>
      </c>
      <c r="C145" s="15" t="str">
        <f aca="false">IF($A145="","",회원명부!$C142)</f>
        <v/>
      </c>
      <c r="D145" s="23" t="str">
        <f aca="false">IF($A145="","",SUMIFS(결제내역!$E$3:$E$1002,결제내역!$B$3:$B$1002,$A145))</f>
        <v/>
      </c>
      <c r="E145" s="23" t="str">
        <f aca="false">IF($A145="","",SUMIFS(사용내역!$D$3:$D$3002,사용내역!$B$3:$B$3002,$A145))</f>
        <v/>
      </c>
      <c r="F145" s="23" t="str">
        <f aca="false">IF($A145="","",$D145-$E145)</f>
        <v/>
      </c>
      <c r="G145" s="17" t="str">
        <f aca="false">IF($A145="","",IF(COUNTIFS(결제내역!$B$3:$B$1002,$A145)=0,"",_xlfn.MAXIFS(결제내역!$G$3:$G$1002,결제내역!$B$3:$B$1002,$A145)))</f>
        <v/>
      </c>
      <c r="H145" s="24" t="str">
        <f aca="true">IF(OR($A145="",$G145=""),"",$G145-TODAY())</f>
        <v/>
      </c>
      <c r="I145" s="16" t="str">
        <f aca="false">IF($A145="","",SUMIFS(결제내역!$H$3:$H$1002,결제내역!$B$3:$B$1002,$A145))</f>
        <v/>
      </c>
      <c r="J145" s="25" t="str">
        <f aca="false">IF($A145="","",IF($D145=0,"미결제",IF($F145&lt;=0,"횟수소진",IF($H145="","",IF($H145&lt;0,"기간만료",IF(OR($F145&lt;=사용안내!$C$18,$H145&lt;=사용안내!$C$17),"재결제 안내","정상"))))))</f>
        <v/>
      </c>
    </row>
    <row r="146" customFormat="false" ht="15" hidden="false" customHeight="true" outlineLevel="0" collapsed="false">
      <c r="A146" s="15" t="str">
        <f aca="false">IF(회원명부!$A143="","",회원명부!$A143)</f>
        <v/>
      </c>
      <c r="B146" s="15" t="str">
        <f aca="false">IF($A146="","",회원명부!$B143)</f>
        <v/>
      </c>
      <c r="C146" s="15" t="str">
        <f aca="false">IF($A146="","",회원명부!$C143)</f>
        <v/>
      </c>
      <c r="D146" s="23" t="str">
        <f aca="false">IF($A146="","",SUMIFS(결제내역!$E$3:$E$1002,결제내역!$B$3:$B$1002,$A146))</f>
        <v/>
      </c>
      <c r="E146" s="23" t="str">
        <f aca="false">IF($A146="","",SUMIFS(사용내역!$D$3:$D$3002,사용내역!$B$3:$B$3002,$A146))</f>
        <v/>
      </c>
      <c r="F146" s="23" t="str">
        <f aca="false">IF($A146="","",$D146-$E146)</f>
        <v/>
      </c>
      <c r="G146" s="17" t="str">
        <f aca="false">IF($A146="","",IF(COUNTIFS(결제내역!$B$3:$B$1002,$A146)=0,"",_xlfn.MAXIFS(결제내역!$G$3:$G$1002,결제내역!$B$3:$B$1002,$A146)))</f>
        <v/>
      </c>
      <c r="H146" s="24" t="str">
        <f aca="true">IF(OR($A146="",$G146=""),"",$G146-TODAY())</f>
        <v/>
      </c>
      <c r="I146" s="16" t="str">
        <f aca="false">IF($A146="","",SUMIFS(결제내역!$H$3:$H$1002,결제내역!$B$3:$B$1002,$A146))</f>
        <v/>
      </c>
      <c r="J146" s="25" t="str">
        <f aca="false">IF($A146="","",IF($D146=0,"미결제",IF($F146&lt;=0,"횟수소진",IF($H146="","",IF($H146&lt;0,"기간만료",IF(OR($F146&lt;=사용안내!$C$18,$H146&lt;=사용안내!$C$17),"재결제 안내","정상"))))))</f>
        <v/>
      </c>
    </row>
    <row r="147" customFormat="false" ht="15" hidden="false" customHeight="true" outlineLevel="0" collapsed="false">
      <c r="A147" s="15" t="str">
        <f aca="false">IF(회원명부!$A144="","",회원명부!$A144)</f>
        <v/>
      </c>
      <c r="B147" s="15" t="str">
        <f aca="false">IF($A147="","",회원명부!$B144)</f>
        <v/>
      </c>
      <c r="C147" s="15" t="str">
        <f aca="false">IF($A147="","",회원명부!$C144)</f>
        <v/>
      </c>
      <c r="D147" s="23" t="str">
        <f aca="false">IF($A147="","",SUMIFS(결제내역!$E$3:$E$1002,결제내역!$B$3:$B$1002,$A147))</f>
        <v/>
      </c>
      <c r="E147" s="23" t="str">
        <f aca="false">IF($A147="","",SUMIFS(사용내역!$D$3:$D$3002,사용내역!$B$3:$B$3002,$A147))</f>
        <v/>
      </c>
      <c r="F147" s="23" t="str">
        <f aca="false">IF($A147="","",$D147-$E147)</f>
        <v/>
      </c>
      <c r="G147" s="17" t="str">
        <f aca="false">IF($A147="","",IF(COUNTIFS(결제내역!$B$3:$B$1002,$A147)=0,"",_xlfn.MAXIFS(결제내역!$G$3:$G$1002,결제내역!$B$3:$B$1002,$A147)))</f>
        <v/>
      </c>
      <c r="H147" s="24" t="str">
        <f aca="true">IF(OR($A147="",$G147=""),"",$G147-TODAY())</f>
        <v/>
      </c>
      <c r="I147" s="16" t="str">
        <f aca="false">IF($A147="","",SUMIFS(결제내역!$H$3:$H$1002,결제내역!$B$3:$B$1002,$A147))</f>
        <v/>
      </c>
      <c r="J147" s="25" t="str">
        <f aca="false">IF($A147="","",IF($D147=0,"미결제",IF($F147&lt;=0,"횟수소진",IF($H147="","",IF($H147&lt;0,"기간만료",IF(OR($F147&lt;=사용안내!$C$18,$H147&lt;=사용안내!$C$17),"재결제 안내","정상"))))))</f>
        <v/>
      </c>
    </row>
    <row r="148" customFormat="false" ht="15" hidden="false" customHeight="true" outlineLevel="0" collapsed="false">
      <c r="A148" s="15" t="str">
        <f aca="false">IF(회원명부!$A145="","",회원명부!$A145)</f>
        <v/>
      </c>
      <c r="B148" s="15" t="str">
        <f aca="false">IF($A148="","",회원명부!$B145)</f>
        <v/>
      </c>
      <c r="C148" s="15" t="str">
        <f aca="false">IF($A148="","",회원명부!$C145)</f>
        <v/>
      </c>
      <c r="D148" s="23" t="str">
        <f aca="false">IF($A148="","",SUMIFS(결제내역!$E$3:$E$1002,결제내역!$B$3:$B$1002,$A148))</f>
        <v/>
      </c>
      <c r="E148" s="23" t="str">
        <f aca="false">IF($A148="","",SUMIFS(사용내역!$D$3:$D$3002,사용내역!$B$3:$B$3002,$A148))</f>
        <v/>
      </c>
      <c r="F148" s="23" t="str">
        <f aca="false">IF($A148="","",$D148-$E148)</f>
        <v/>
      </c>
      <c r="G148" s="17" t="str">
        <f aca="false">IF($A148="","",IF(COUNTIFS(결제내역!$B$3:$B$1002,$A148)=0,"",_xlfn.MAXIFS(결제내역!$G$3:$G$1002,결제내역!$B$3:$B$1002,$A148)))</f>
        <v/>
      </c>
      <c r="H148" s="24" t="str">
        <f aca="true">IF(OR($A148="",$G148=""),"",$G148-TODAY())</f>
        <v/>
      </c>
      <c r="I148" s="16" t="str">
        <f aca="false">IF($A148="","",SUMIFS(결제내역!$H$3:$H$1002,결제내역!$B$3:$B$1002,$A148))</f>
        <v/>
      </c>
      <c r="J148" s="25" t="str">
        <f aca="false">IF($A148="","",IF($D148=0,"미결제",IF($F148&lt;=0,"횟수소진",IF($H148="","",IF($H148&lt;0,"기간만료",IF(OR($F148&lt;=사용안내!$C$18,$H148&lt;=사용안내!$C$17),"재결제 안내","정상"))))))</f>
        <v/>
      </c>
    </row>
    <row r="149" customFormat="false" ht="15" hidden="false" customHeight="true" outlineLevel="0" collapsed="false">
      <c r="A149" s="15" t="str">
        <f aca="false">IF(회원명부!$A146="","",회원명부!$A146)</f>
        <v/>
      </c>
      <c r="B149" s="15" t="str">
        <f aca="false">IF($A149="","",회원명부!$B146)</f>
        <v/>
      </c>
      <c r="C149" s="15" t="str">
        <f aca="false">IF($A149="","",회원명부!$C146)</f>
        <v/>
      </c>
      <c r="D149" s="23" t="str">
        <f aca="false">IF($A149="","",SUMIFS(결제내역!$E$3:$E$1002,결제내역!$B$3:$B$1002,$A149))</f>
        <v/>
      </c>
      <c r="E149" s="23" t="str">
        <f aca="false">IF($A149="","",SUMIFS(사용내역!$D$3:$D$3002,사용내역!$B$3:$B$3002,$A149))</f>
        <v/>
      </c>
      <c r="F149" s="23" t="str">
        <f aca="false">IF($A149="","",$D149-$E149)</f>
        <v/>
      </c>
      <c r="G149" s="17" t="str">
        <f aca="false">IF($A149="","",IF(COUNTIFS(결제내역!$B$3:$B$1002,$A149)=0,"",_xlfn.MAXIFS(결제내역!$G$3:$G$1002,결제내역!$B$3:$B$1002,$A149)))</f>
        <v/>
      </c>
      <c r="H149" s="24" t="str">
        <f aca="true">IF(OR($A149="",$G149=""),"",$G149-TODAY())</f>
        <v/>
      </c>
      <c r="I149" s="16" t="str">
        <f aca="false">IF($A149="","",SUMIFS(결제내역!$H$3:$H$1002,결제내역!$B$3:$B$1002,$A149))</f>
        <v/>
      </c>
      <c r="J149" s="25" t="str">
        <f aca="false">IF($A149="","",IF($D149=0,"미결제",IF($F149&lt;=0,"횟수소진",IF($H149="","",IF($H149&lt;0,"기간만료",IF(OR($F149&lt;=사용안내!$C$18,$H149&lt;=사용안내!$C$17),"재결제 안내","정상"))))))</f>
        <v/>
      </c>
    </row>
    <row r="150" customFormat="false" ht="15" hidden="false" customHeight="true" outlineLevel="0" collapsed="false">
      <c r="A150" s="15" t="str">
        <f aca="false">IF(회원명부!$A147="","",회원명부!$A147)</f>
        <v/>
      </c>
      <c r="B150" s="15" t="str">
        <f aca="false">IF($A150="","",회원명부!$B147)</f>
        <v/>
      </c>
      <c r="C150" s="15" t="str">
        <f aca="false">IF($A150="","",회원명부!$C147)</f>
        <v/>
      </c>
      <c r="D150" s="23" t="str">
        <f aca="false">IF($A150="","",SUMIFS(결제내역!$E$3:$E$1002,결제내역!$B$3:$B$1002,$A150))</f>
        <v/>
      </c>
      <c r="E150" s="23" t="str">
        <f aca="false">IF($A150="","",SUMIFS(사용내역!$D$3:$D$3002,사용내역!$B$3:$B$3002,$A150))</f>
        <v/>
      </c>
      <c r="F150" s="23" t="str">
        <f aca="false">IF($A150="","",$D150-$E150)</f>
        <v/>
      </c>
      <c r="G150" s="17" t="str">
        <f aca="false">IF($A150="","",IF(COUNTIFS(결제내역!$B$3:$B$1002,$A150)=0,"",_xlfn.MAXIFS(결제내역!$G$3:$G$1002,결제내역!$B$3:$B$1002,$A150)))</f>
        <v/>
      </c>
      <c r="H150" s="24" t="str">
        <f aca="true">IF(OR($A150="",$G150=""),"",$G150-TODAY())</f>
        <v/>
      </c>
      <c r="I150" s="16" t="str">
        <f aca="false">IF($A150="","",SUMIFS(결제내역!$H$3:$H$1002,결제내역!$B$3:$B$1002,$A150))</f>
        <v/>
      </c>
      <c r="J150" s="25" t="str">
        <f aca="false">IF($A150="","",IF($D150=0,"미결제",IF($F150&lt;=0,"횟수소진",IF($H150="","",IF($H150&lt;0,"기간만료",IF(OR($F150&lt;=사용안내!$C$18,$H150&lt;=사용안내!$C$17),"재결제 안내","정상"))))))</f>
        <v/>
      </c>
    </row>
    <row r="151" customFormat="false" ht="15" hidden="false" customHeight="true" outlineLevel="0" collapsed="false">
      <c r="A151" s="15" t="str">
        <f aca="false">IF(회원명부!$A148="","",회원명부!$A148)</f>
        <v/>
      </c>
      <c r="B151" s="15" t="str">
        <f aca="false">IF($A151="","",회원명부!$B148)</f>
        <v/>
      </c>
      <c r="C151" s="15" t="str">
        <f aca="false">IF($A151="","",회원명부!$C148)</f>
        <v/>
      </c>
      <c r="D151" s="23" t="str">
        <f aca="false">IF($A151="","",SUMIFS(결제내역!$E$3:$E$1002,결제내역!$B$3:$B$1002,$A151))</f>
        <v/>
      </c>
      <c r="E151" s="23" t="str">
        <f aca="false">IF($A151="","",SUMIFS(사용내역!$D$3:$D$3002,사용내역!$B$3:$B$3002,$A151))</f>
        <v/>
      </c>
      <c r="F151" s="23" t="str">
        <f aca="false">IF($A151="","",$D151-$E151)</f>
        <v/>
      </c>
      <c r="G151" s="17" t="str">
        <f aca="false">IF($A151="","",IF(COUNTIFS(결제내역!$B$3:$B$1002,$A151)=0,"",_xlfn.MAXIFS(결제내역!$G$3:$G$1002,결제내역!$B$3:$B$1002,$A151)))</f>
        <v/>
      </c>
      <c r="H151" s="24" t="str">
        <f aca="true">IF(OR($A151="",$G151=""),"",$G151-TODAY())</f>
        <v/>
      </c>
      <c r="I151" s="16" t="str">
        <f aca="false">IF($A151="","",SUMIFS(결제내역!$H$3:$H$1002,결제내역!$B$3:$B$1002,$A151))</f>
        <v/>
      </c>
      <c r="J151" s="25" t="str">
        <f aca="false">IF($A151="","",IF($D151=0,"미결제",IF($F151&lt;=0,"횟수소진",IF($H151="","",IF($H151&lt;0,"기간만료",IF(OR($F151&lt;=사용안내!$C$18,$H151&lt;=사용안내!$C$17),"재결제 안내","정상"))))))</f>
        <v/>
      </c>
    </row>
    <row r="152" customFormat="false" ht="15" hidden="false" customHeight="true" outlineLevel="0" collapsed="false">
      <c r="A152" s="15" t="str">
        <f aca="false">IF(회원명부!$A149="","",회원명부!$A149)</f>
        <v/>
      </c>
      <c r="B152" s="15" t="str">
        <f aca="false">IF($A152="","",회원명부!$B149)</f>
        <v/>
      </c>
      <c r="C152" s="15" t="str">
        <f aca="false">IF($A152="","",회원명부!$C149)</f>
        <v/>
      </c>
      <c r="D152" s="23" t="str">
        <f aca="false">IF($A152="","",SUMIFS(결제내역!$E$3:$E$1002,결제내역!$B$3:$B$1002,$A152))</f>
        <v/>
      </c>
      <c r="E152" s="23" t="str">
        <f aca="false">IF($A152="","",SUMIFS(사용내역!$D$3:$D$3002,사용내역!$B$3:$B$3002,$A152))</f>
        <v/>
      </c>
      <c r="F152" s="23" t="str">
        <f aca="false">IF($A152="","",$D152-$E152)</f>
        <v/>
      </c>
      <c r="G152" s="17" t="str">
        <f aca="false">IF($A152="","",IF(COUNTIFS(결제내역!$B$3:$B$1002,$A152)=0,"",_xlfn.MAXIFS(결제내역!$G$3:$G$1002,결제내역!$B$3:$B$1002,$A152)))</f>
        <v/>
      </c>
      <c r="H152" s="24" t="str">
        <f aca="true">IF(OR($A152="",$G152=""),"",$G152-TODAY())</f>
        <v/>
      </c>
      <c r="I152" s="16" t="str">
        <f aca="false">IF($A152="","",SUMIFS(결제내역!$H$3:$H$1002,결제내역!$B$3:$B$1002,$A152))</f>
        <v/>
      </c>
      <c r="J152" s="25" t="str">
        <f aca="false">IF($A152="","",IF($D152=0,"미결제",IF($F152&lt;=0,"횟수소진",IF($H152="","",IF($H152&lt;0,"기간만료",IF(OR($F152&lt;=사용안내!$C$18,$H152&lt;=사용안내!$C$17),"재결제 안내","정상"))))))</f>
        <v/>
      </c>
    </row>
    <row r="153" customFormat="false" ht="15" hidden="false" customHeight="true" outlineLevel="0" collapsed="false">
      <c r="A153" s="15" t="str">
        <f aca="false">IF(회원명부!$A150="","",회원명부!$A150)</f>
        <v/>
      </c>
      <c r="B153" s="15" t="str">
        <f aca="false">IF($A153="","",회원명부!$B150)</f>
        <v/>
      </c>
      <c r="C153" s="15" t="str">
        <f aca="false">IF($A153="","",회원명부!$C150)</f>
        <v/>
      </c>
      <c r="D153" s="23" t="str">
        <f aca="false">IF($A153="","",SUMIFS(결제내역!$E$3:$E$1002,결제내역!$B$3:$B$1002,$A153))</f>
        <v/>
      </c>
      <c r="E153" s="23" t="str">
        <f aca="false">IF($A153="","",SUMIFS(사용내역!$D$3:$D$3002,사용내역!$B$3:$B$3002,$A153))</f>
        <v/>
      </c>
      <c r="F153" s="23" t="str">
        <f aca="false">IF($A153="","",$D153-$E153)</f>
        <v/>
      </c>
      <c r="G153" s="17" t="str">
        <f aca="false">IF($A153="","",IF(COUNTIFS(결제내역!$B$3:$B$1002,$A153)=0,"",_xlfn.MAXIFS(결제내역!$G$3:$G$1002,결제내역!$B$3:$B$1002,$A153)))</f>
        <v/>
      </c>
      <c r="H153" s="24" t="str">
        <f aca="true">IF(OR($A153="",$G153=""),"",$G153-TODAY())</f>
        <v/>
      </c>
      <c r="I153" s="16" t="str">
        <f aca="false">IF($A153="","",SUMIFS(결제내역!$H$3:$H$1002,결제내역!$B$3:$B$1002,$A153))</f>
        <v/>
      </c>
      <c r="J153" s="25" t="str">
        <f aca="false">IF($A153="","",IF($D153=0,"미결제",IF($F153&lt;=0,"횟수소진",IF($H153="","",IF($H153&lt;0,"기간만료",IF(OR($F153&lt;=사용안내!$C$18,$H153&lt;=사용안내!$C$17),"재결제 안내","정상"))))))</f>
        <v/>
      </c>
    </row>
    <row r="154" customFormat="false" ht="15" hidden="false" customHeight="true" outlineLevel="0" collapsed="false">
      <c r="A154" s="15" t="str">
        <f aca="false">IF(회원명부!$A151="","",회원명부!$A151)</f>
        <v/>
      </c>
      <c r="B154" s="15" t="str">
        <f aca="false">IF($A154="","",회원명부!$B151)</f>
        <v/>
      </c>
      <c r="C154" s="15" t="str">
        <f aca="false">IF($A154="","",회원명부!$C151)</f>
        <v/>
      </c>
      <c r="D154" s="23" t="str">
        <f aca="false">IF($A154="","",SUMIFS(결제내역!$E$3:$E$1002,결제내역!$B$3:$B$1002,$A154))</f>
        <v/>
      </c>
      <c r="E154" s="23" t="str">
        <f aca="false">IF($A154="","",SUMIFS(사용내역!$D$3:$D$3002,사용내역!$B$3:$B$3002,$A154))</f>
        <v/>
      </c>
      <c r="F154" s="23" t="str">
        <f aca="false">IF($A154="","",$D154-$E154)</f>
        <v/>
      </c>
      <c r="G154" s="17" t="str">
        <f aca="false">IF($A154="","",IF(COUNTIFS(결제내역!$B$3:$B$1002,$A154)=0,"",_xlfn.MAXIFS(결제내역!$G$3:$G$1002,결제내역!$B$3:$B$1002,$A154)))</f>
        <v/>
      </c>
      <c r="H154" s="24" t="str">
        <f aca="true">IF(OR($A154="",$G154=""),"",$G154-TODAY())</f>
        <v/>
      </c>
      <c r="I154" s="16" t="str">
        <f aca="false">IF($A154="","",SUMIFS(결제내역!$H$3:$H$1002,결제내역!$B$3:$B$1002,$A154))</f>
        <v/>
      </c>
      <c r="J154" s="25" t="str">
        <f aca="false">IF($A154="","",IF($D154=0,"미결제",IF($F154&lt;=0,"횟수소진",IF($H154="","",IF($H154&lt;0,"기간만료",IF(OR($F154&lt;=사용안내!$C$18,$H154&lt;=사용안내!$C$17),"재결제 안내","정상"))))))</f>
        <v/>
      </c>
    </row>
    <row r="155" customFormat="false" ht="15" hidden="false" customHeight="true" outlineLevel="0" collapsed="false">
      <c r="A155" s="15" t="str">
        <f aca="false">IF(회원명부!$A152="","",회원명부!$A152)</f>
        <v/>
      </c>
      <c r="B155" s="15" t="str">
        <f aca="false">IF($A155="","",회원명부!$B152)</f>
        <v/>
      </c>
      <c r="C155" s="15" t="str">
        <f aca="false">IF($A155="","",회원명부!$C152)</f>
        <v/>
      </c>
      <c r="D155" s="23" t="str">
        <f aca="false">IF($A155="","",SUMIFS(결제내역!$E$3:$E$1002,결제내역!$B$3:$B$1002,$A155))</f>
        <v/>
      </c>
      <c r="E155" s="23" t="str">
        <f aca="false">IF($A155="","",SUMIFS(사용내역!$D$3:$D$3002,사용내역!$B$3:$B$3002,$A155))</f>
        <v/>
      </c>
      <c r="F155" s="23" t="str">
        <f aca="false">IF($A155="","",$D155-$E155)</f>
        <v/>
      </c>
      <c r="G155" s="17" t="str">
        <f aca="false">IF($A155="","",IF(COUNTIFS(결제내역!$B$3:$B$1002,$A155)=0,"",_xlfn.MAXIFS(결제내역!$G$3:$G$1002,결제내역!$B$3:$B$1002,$A155)))</f>
        <v/>
      </c>
      <c r="H155" s="24" t="str">
        <f aca="true">IF(OR($A155="",$G155=""),"",$G155-TODAY())</f>
        <v/>
      </c>
      <c r="I155" s="16" t="str">
        <f aca="false">IF($A155="","",SUMIFS(결제내역!$H$3:$H$1002,결제내역!$B$3:$B$1002,$A155))</f>
        <v/>
      </c>
      <c r="J155" s="25" t="str">
        <f aca="false">IF($A155="","",IF($D155=0,"미결제",IF($F155&lt;=0,"횟수소진",IF($H155="","",IF($H155&lt;0,"기간만료",IF(OR($F155&lt;=사용안내!$C$18,$H155&lt;=사용안내!$C$17),"재결제 안내","정상"))))))</f>
        <v/>
      </c>
    </row>
    <row r="156" customFormat="false" ht="15" hidden="false" customHeight="true" outlineLevel="0" collapsed="false">
      <c r="A156" s="15" t="str">
        <f aca="false">IF(회원명부!$A153="","",회원명부!$A153)</f>
        <v/>
      </c>
      <c r="B156" s="15" t="str">
        <f aca="false">IF($A156="","",회원명부!$B153)</f>
        <v/>
      </c>
      <c r="C156" s="15" t="str">
        <f aca="false">IF($A156="","",회원명부!$C153)</f>
        <v/>
      </c>
      <c r="D156" s="23" t="str">
        <f aca="false">IF($A156="","",SUMIFS(결제내역!$E$3:$E$1002,결제내역!$B$3:$B$1002,$A156))</f>
        <v/>
      </c>
      <c r="E156" s="23" t="str">
        <f aca="false">IF($A156="","",SUMIFS(사용내역!$D$3:$D$3002,사용내역!$B$3:$B$3002,$A156))</f>
        <v/>
      </c>
      <c r="F156" s="23" t="str">
        <f aca="false">IF($A156="","",$D156-$E156)</f>
        <v/>
      </c>
      <c r="G156" s="17" t="str">
        <f aca="false">IF($A156="","",IF(COUNTIFS(결제내역!$B$3:$B$1002,$A156)=0,"",_xlfn.MAXIFS(결제내역!$G$3:$G$1002,결제내역!$B$3:$B$1002,$A156)))</f>
        <v/>
      </c>
      <c r="H156" s="24" t="str">
        <f aca="true">IF(OR($A156="",$G156=""),"",$G156-TODAY())</f>
        <v/>
      </c>
      <c r="I156" s="16" t="str">
        <f aca="false">IF($A156="","",SUMIFS(결제내역!$H$3:$H$1002,결제내역!$B$3:$B$1002,$A156))</f>
        <v/>
      </c>
      <c r="J156" s="25" t="str">
        <f aca="false">IF($A156="","",IF($D156=0,"미결제",IF($F156&lt;=0,"횟수소진",IF($H156="","",IF($H156&lt;0,"기간만료",IF(OR($F156&lt;=사용안내!$C$18,$H156&lt;=사용안내!$C$17),"재결제 안내","정상"))))))</f>
        <v/>
      </c>
    </row>
    <row r="157" customFormat="false" ht="15" hidden="false" customHeight="true" outlineLevel="0" collapsed="false">
      <c r="A157" s="15" t="str">
        <f aca="false">IF(회원명부!$A154="","",회원명부!$A154)</f>
        <v/>
      </c>
      <c r="B157" s="15" t="str">
        <f aca="false">IF($A157="","",회원명부!$B154)</f>
        <v/>
      </c>
      <c r="C157" s="15" t="str">
        <f aca="false">IF($A157="","",회원명부!$C154)</f>
        <v/>
      </c>
      <c r="D157" s="23" t="str">
        <f aca="false">IF($A157="","",SUMIFS(결제내역!$E$3:$E$1002,결제내역!$B$3:$B$1002,$A157))</f>
        <v/>
      </c>
      <c r="E157" s="23" t="str">
        <f aca="false">IF($A157="","",SUMIFS(사용내역!$D$3:$D$3002,사용내역!$B$3:$B$3002,$A157))</f>
        <v/>
      </c>
      <c r="F157" s="23" t="str">
        <f aca="false">IF($A157="","",$D157-$E157)</f>
        <v/>
      </c>
      <c r="G157" s="17" t="str">
        <f aca="false">IF($A157="","",IF(COUNTIFS(결제내역!$B$3:$B$1002,$A157)=0,"",_xlfn.MAXIFS(결제내역!$G$3:$G$1002,결제내역!$B$3:$B$1002,$A157)))</f>
        <v/>
      </c>
      <c r="H157" s="24" t="str">
        <f aca="true">IF(OR($A157="",$G157=""),"",$G157-TODAY())</f>
        <v/>
      </c>
      <c r="I157" s="16" t="str">
        <f aca="false">IF($A157="","",SUMIFS(결제내역!$H$3:$H$1002,결제내역!$B$3:$B$1002,$A157))</f>
        <v/>
      </c>
      <c r="J157" s="25" t="str">
        <f aca="false">IF($A157="","",IF($D157=0,"미결제",IF($F157&lt;=0,"횟수소진",IF($H157="","",IF($H157&lt;0,"기간만료",IF(OR($F157&lt;=사용안내!$C$18,$H157&lt;=사용안내!$C$17),"재결제 안내","정상"))))))</f>
        <v/>
      </c>
    </row>
    <row r="158" customFormat="false" ht="15" hidden="false" customHeight="true" outlineLevel="0" collapsed="false">
      <c r="A158" s="15" t="str">
        <f aca="false">IF(회원명부!$A155="","",회원명부!$A155)</f>
        <v/>
      </c>
      <c r="B158" s="15" t="str">
        <f aca="false">IF($A158="","",회원명부!$B155)</f>
        <v/>
      </c>
      <c r="C158" s="15" t="str">
        <f aca="false">IF($A158="","",회원명부!$C155)</f>
        <v/>
      </c>
      <c r="D158" s="23" t="str">
        <f aca="false">IF($A158="","",SUMIFS(결제내역!$E$3:$E$1002,결제내역!$B$3:$B$1002,$A158))</f>
        <v/>
      </c>
      <c r="E158" s="23" t="str">
        <f aca="false">IF($A158="","",SUMIFS(사용내역!$D$3:$D$3002,사용내역!$B$3:$B$3002,$A158))</f>
        <v/>
      </c>
      <c r="F158" s="23" t="str">
        <f aca="false">IF($A158="","",$D158-$E158)</f>
        <v/>
      </c>
      <c r="G158" s="17" t="str">
        <f aca="false">IF($A158="","",IF(COUNTIFS(결제내역!$B$3:$B$1002,$A158)=0,"",_xlfn.MAXIFS(결제내역!$G$3:$G$1002,결제내역!$B$3:$B$1002,$A158)))</f>
        <v/>
      </c>
      <c r="H158" s="24" t="str">
        <f aca="true">IF(OR($A158="",$G158=""),"",$G158-TODAY())</f>
        <v/>
      </c>
      <c r="I158" s="16" t="str">
        <f aca="false">IF($A158="","",SUMIFS(결제내역!$H$3:$H$1002,결제내역!$B$3:$B$1002,$A158))</f>
        <v/>
      </c>
      <c r="J158" s="25" t="str">
        <f aca="false">IF($A158="","",IF($D158=0,"미결제",IF($F158&lt;=0,"횟수소진",IF($H158="","",IF($H158&lt;0,"기간만료",IF(OR($F158&lt;=사용안내!$C$18,$H158&lt;=사용안내!$C$17),"재결제 안내","정상"))))))</f>
        <v/>
      </c>
    </row>
    <row r="159" customFormat="false" ht="15" hidden="false" customHeight="true" outlineLevel="0" collapsed="false">
      <c r="A159" s="15" t="str">
        <f aca="false">IF(회원명부!$A156="","",회원명부!$A156)</f>
        <v/>
      </c>
      <c r="B159" s="15" t="str">
        <f aca="false">IF($A159="","",회원명부!$B156)</f>
        <v/>
      </c>
      <c r="C159" s="15" t="str">
        <f aca="false">IF($A159="","",회원명부!$C156)</f>
        <v/>
      </c>
      <c r="D159" s="23" t="str">
        <f aca="false">IF($A159="","",SUMIFS(결제내역!$E$3:$E$1002,결제내역!$B$3:$B$1002,$A159))</f>
        <v/>
      </c>
      <c r="E159" s="23" t="str">
        <f aca="false">IF($A159="","",SUMIFS(사용내역!$D$3:$D$3002,사용내역!$B$3:$B$3002,$A159))</f>
        <v/>
      </c>
      <c r="F159" s="23" t="str">
        <f aca="false">IF($A159="","",$D159-$E159)</f>
        <v/>
      </c>
      <c r="G159" s="17" t="str">
        <f aca="false">IF($A159="","",IF(COUNTIFS(결제내역!$B$3:$B$1002,$A159)=0,"",_xlfn.MAXIFS(결제내역!$G$3:$G$1002,결제내역!$B$3:$B$1002,$A159)))</f>
        <v/>
      </c>
      <c r="H159" s="24" t="str">
        <f aca="true">IF(OR($A159="",$G159=""),"",$G159-TODAY())</f>
        <v/>
      </c>
      <c r="I159" s="16" t="str">
        <f aca="false">IF($A159="","",SUMIFS(결제내역!$H$3:$H$1002,결제내역!$B$3:$B$1002,$A159))</f>
        <v/>
      </c>
      <c r="J159" s="25" t="str">
        <f aca="false">IF($A159="","",IF($D159=0,"미결제",IF($F159&lt;=0,"횟수소진",IF($H159="","",IF($H159&lt;0,"기간만료",IF(OR($F159&lt;=사용안내!$C$18,$H159&lt;=사용안내!$C$17),"재결제 안내","정상"))))))</f>
        <v/>
      </c>
    </row>
    <row r="160" customFormat="false" ht="15" hidden="false" customHeight="true" outlineLevel="0" collapsed="false">
      <c r="A160" s="15" t="str">
        <f aca="false">IF(회원명부!$A157="","",회원명부!$A157)</f>
        <v/>
      </c>
      <c r="B160" s="15" t="str">
        <f aca="false">IF($A160="","",회원명부!$B157)</f>
        <v/>
      </c>
      <c r="C160" s="15" t="str">
        <f aca="false">IF($A160="","",회원명부!$C157)</f>
        <v/>
      </c>
      <c r="D160" s="23" t="str">
        <f aca="false">IF($A160="","",SUMIFS(결제내역!$E$3:$E$1002,결제내역!$B$3:$B$1002,$A160))</f>
        <v/>
      </c>
      <c r="E160" s="23" t="str">
        <f aca="false">IF($A160="","",SUMIFS(사용내역!$D$3:$D$3002,사용내역!$B$3:$B$3002,$A160))</f>
        <v/>
      </c>
      <c r="F160" s="23" t="str">
        <f aca="false">IF($A160="","",$D160-$E160)</f>
        <v/>
      </c>
      <c r="G160" s="17" t="str">
        <f aca="false">IF($A160="","",IF(COUNTIFS(결제내역!$B$3:$B$1002,$A160)=0,"",_xlfn.MAXIFS(결제내역!$G$3:$G$1002,결제내역!$B$3:$B$1002,$A160)))</f>
        <v/>
      </c>
      <c r="H160" s="24" t="str">
        <f aca="true">IF(OR($A160="",$G160=""),"",$G160-TODAY())</f>
        <v/>
      </c>
      <c r="I160" s="16" t="str">
        <f aca="false">IF($A160="","",SUMIFS(결제내역!$H$3:$H$1002,결제내역!$B$3:$B$1002,$A160))</f>
        <v/>
      </c>
      <c r="J160" s="25" t="str">
        <f aca="false">IF($A160="","",IF($D160=0,"미결제",IF($F160&lt;=0,"횟수소진",IF($H160="","",IF($H160&lt;0,"기간만료",IF(OR($F160&lt;=사용안내!$C$18,$H160&lt;=사용안내!$C$17),"재결제 안내","정상"))))))</f>
        <v/>
      </c>
    </row>
    <row r="161" customFormat="false" ht="15" hidden="false" customHeight="true" outlineLevel="0" collapsed="false">
      <c r="A161" s="15" t="str">
        <f aca="false">IF(회원명부!$A158="","",회원명부!$A158)</f>
        <v/>
      </c>
      <c r="B161" s="15" t="str">
        <f aca="false">IF($A161="","",회원명부!$B158)</f>
        <v/>
      </c>
      <c r="C161" s="15" t="str">
        <f aca="false">IF($A161="","",회원명부!$C158)</f>
        <v/>
      </c>
      <c r="D161" s="23" t="str">
        <f aca="false">IF($A161="","",SUMIFS(결제내역!$E$3:$E$1002,결제내역!$B$3:$B$1002,$A161))</f>
        <v/>
      </c>
      <c r="E161" s="23" t="str">
        <f aca="false">IF($A161="","",SUMIFS(사용내역!$D$3:$D$3002,사용내역!$B$3:$B$3002,$A161))</f>
        <v/>
      </c>
      <c r="F161" s="23" t="str">
        <f aca="false">IF($A161="","",$D161-$E161)</f>
        <v/>
      </c>
      <c r="G161" s="17" t="str">
        <f aca="false">IF($A161="","",IF(COUNTIFS(결제내역!$B$3:$B$1002,$A161)=0,"",_xlfn.MAXIFS(결제내역!$G$3:$G$1002,결제내역!$B$3:$B$1002,$A161)))</f>
        <v/>
      </c>
      <c r="H161" s="24" t="str">
        <f aca="true">IF(OR($A161="",$G161=""),"",$G161-TODAY())</f>
        <v/>
      </c>
      <c r="I161" s="16" t="str">
        <f aca="false">IF($A161="","",SUMIFS(결제내역!$H$3:$H$1002,결제내역!$B$3:$B$1002,$A161))</f>
        <v/>
      </c>
      <c r="J161" s="25" t="str">
        <f aca="false">IF($A161="","",IF($D161=0,"미결제",IF($F161&lt;=0,"횟수소진",IF($H161="","",IF($H161&lt;0,"기간만료",IF(OR($F161&lt;=사용안내!$C$18,$H161&lt;=사용안내!$C$17),"재결제 안내","정상"))))))</f>
        <v/>
      </c>
    </row>
    <row r="162" customFormat="false" ht="15" hidden="false" customHeight="true" outlineLevel="0" collapsed="false">
      <c r="A162" s="15" t="str">
        <f aca="false">IF(회원명부!$A159="","",회원명부!$A159)</f>
        <v/>
      </c>
      <c r="B162" s="15" t="str">
        <f aca="false">IF($A162="","",회원명부!$B159)</f>
        <v/>
      </c>
      <c r="C162" s="15" t="str">
        <f aca="false">IF($A162="","",회원명부!$C159)</f>
        <v/>
      </c>
      <c r="D162" s="23" t="str">
        <f aca="false">IF($A162="","",SUMIFS(결제내역!$E$3:$E$1002,결제내역!$B$3:$B$1002,$A162))</f>
        <v/>
      </c>
      <c r="E162" s="23" t="str">
        <f aca="false">IF($A162="","",SUMIFS(사용내역!$D$3:$D$3002,사용내역!$B$3:$B$3002,$A162))</f>
        <v/>
      </c>
      <c r="F162" s="23" t="str">
        <f aca="false">IF($A162="","",$D162-$E162)</f>
        <v/>
      </c>
      <c r="G162" s="17" t="str">
        <f aca="false">IF($A162="","",IF(COUNTIFS(결제내역!$B$3:$B$1002,$A162)=0,"",_xlfn.MAXIFS(결제내역!$G$3:$G$1002,결제내역!$B$3:$B$1002,$A162)))</f>
        <v/>
      </c>
      <c r="H162" s="24" t="str">
        <f aca="true">IF(OR($A162="",$G162=""),"",$G162-TODAY())</f>
        <v/>
      </c>
      <c r="I162" s="16" t="str">
        <f aca="false">IF($A162="","",SUMIFS(결제내역!$H$3:$H$1002,결제내역!$B$3:$B$1002,$A162))</f>
        <v/>
      </c>
      <c r="J162" s="25" t="str">
        <f aca="false">IF($A162="","",IF($D162=0,"미결제",IF($F162&lt;=0,"횟수소진",IF($H162="","",IF($H162&lt;0,"기간만료",IF(OR($F162&lt;=사용안내!$C$18,$H162&lt;=사용안내!$C$17),"재결제 안내","정상"))))))</f>
        <v/>
      </c>
    </row>
    <row r="163" customFormat="false" ht="15" hidden="false" customHeight="true" outlineLevel="0" collapsed="false">
      <c r="A163" s="15" t="str">
        <f aca="false">IF(회원명부!$A160="","",회원명부!$A160)</f>
        <v/>
      </c>
      <c r="B163" s="15" t="str">
        <f aca="false">IF($A163="","",회원명부!$B160)</f>
        <v/>
      </c>
      <c r="C163" s="15" t="str">
        <f aca="false">IF($A163="","",회원명부!$C160)</f>
        <v/>
      </c>
      <c r="D163" s="23" t="str">
        <f aca="false">IF($A163="","",SUMIFS(결제내역!$E$3:$E$1002,결제내역!$B$3:$B$1002,$A163))</f>
        <v/>
      </c>
      <c r="E163" s="23" t="str">
        <f aca="false">IF($A163="","",SUMIFS(사용내역!$D$3:$D$3002,사용내역!$B$3:$B$3002,$A163))</f>
        <v/>
      </c>
      <c r="F163" s="23" t="str">
        <f aca="false">IF($A163="","",$D163-$E163)</f>
        <v/>
      </c>
      <c r="G163" s="17" t="str">
        <f aca="false">IF($A163="","",IF(COUNTIFS(결제내역!$B$3:$B$1002,$A163)=0,"",_xlfn.MAXIFS(결제내역!$G$3:$G$1002,결제내역!$B$3:$B$1002,$A163)))</f>
        <v/>
      </c>
      <c r="H163" s="24" t="str">
        <f aca="true">IF(OR($A163="",$G163=""),"",$G163-TODAY())</f>
        <v/>
      </c>
      <c r="I163" s="16" t="str">
        <f aca="false">IF($A163="","",SUMIFS(결제내역!$H$3:$H$1002,결제내역!$B$3:$B$1002,$A163))</f>
        <v/>
      </c>
      <c r="J163" s="25" t="str">
        <f aca="false">IF($A163="","",IF($D163=0,"미결제",IF($F163&lt;=0,"횟수소진",IF($H163="","",IF($H163&lt;0,"기간만료",IF(OR($F163&lt;=사용안내!$C$18,$H163&lt;=사용안내!$C$17),"재결제 안내","정상"))))))</f>
        <v/>
      </c>
    </row>
    <row r="164" customFormat="false" ht="15" hidden="false" customHeight="true" outlineLevel="0" collapsed="false">
      <c r="A164" s="15" t="str">
        <f aca="false">IF(회원명부!$A161="","",회원명부!$A161)</f>
        <v/>
      </c>
      <c r="B164" s="15" t="str">
        <f aca="false">IF($A164="","",회원명부!$B161)</f>
        <v/>
      </c>
      <c r="C164" s="15" t="str">
        <f aca="false">IF($A164="","",회원명부!$C161)</f>
        <v/>
      </c>
      <c r="D164" s="23" t="str">
        <f aca="false">IF($A164="","",SUMIFS(결제내역!$E$3:$E$1002,결제내역!$B$3:$B$1002,$A164))</f>
        <v/>
      </c>
      <c r="E164" s="23" t="str">
        <f aca="false">IF($A164="","",SUMIFS(사용내역!$D$3:$D$3002,사용내역!$B$3:$B$3002,$A164))</f>
        <v/>
      </c>
      <c r="F164" s="23" t="str">
        <f aca="false">IF($A164="","",$D164-$E164)</f>
        <v/>
      </c>
      <c r="G164" s="17" t="str">
        <f aca="false">IF($A164="","",IF(COUNTIFS(결제내역!$B$3:$B$1002,$A164)=0,"",_xlfn.MAXIFS(결제내역!$G$3:$G$1002,결제내역!$B$3:$B$1002,$A164)))</f>
        <v/>
      </c>
      <c r="H164" s="24" t="str">
        <f aca="true">IF(OR($A164="",$G164=""),"",$G164-TODAY())</f>
        <v/>
      </c>
      <c r="I164" s="16" t="str">
        <f aca="false">IF($A164="","",SUMIFS(결제내역!$H$3:$H$1002,결제내역!$B$3:$B$1002,$A164))</f>
        <v/>
      </c>
      <c r="J164" s="25" t="str">
        <f aca="false">IF($A164="","",IF($D164=0,"미결제",IF($F164&lt;=0,"횟수소진",IF($H164="","",IF($H164&lt;0,"기간만료",IF(OR($F164&lt;=사용안내!$C$18,$H164&lt;=사용안내!$C$17),"재결제 안내","정상"))))))</f>
        <v/>
      </c>
    </row>
    <row r="165" customFormat="false" ht="15" hidden="false" customHeight="true" outlineLevel="0" collapsed="false">
      <c r="A165" s="15" t="str">
        <f aca="false">IF(회원명부!$A162="","",회원명부!$A162)</f>
        <v/>
      </c>
      <c r="B165" s="15" t="str">
        <f aca="false">IF($A165="","",회원명부!$B162)</f>
        <v/>
      </c>
      <c r="C165" s="15" t="str">
        <f aca="false">IF($A165="","",회원명부!$C162)</f>
        <v/>
      </c>
      <c r="D165" s="23" t="str">
        <f aca="false">IF($A165="","",SUMIFS(결제내역!$E$3:$E$1002,결제내역!$B$3:$B$1002,$A165))</f>
        <v/>
      </c>
      <c r="E165" s="23" t="str">
        <f aca="false">IF($A165="","",SUMIFS(사용내역!$D$3:$D$3002,사용내역!$B$3:$B$3002,$A165))</f>
        <v/>
      </c>
      <c r="F165" s="23" t="str">
        <f aca="false">IF($A165="","",$D165-$E165)</f>
        <v/>
      </c>
      <c r="G165" s="17" t="str">
        <f aca="false">IF($A165="","",IF(COUNTIFS(결제내역!$B$3:$B$1002,$A165)=0,"",_xlfn.MAXIFS(결제내역!$G$3:$G$1002,결제내역!$B$3:$B$1002,$A165)))</f>
        <v/>
      </c>
      <c r="H165" s="24" t="str">
        <f aca="true">IF(OR($A165="",$G165=""),"",$G165-TODAY())</f>
        <v/>
      </c>
      <c r="I165" s="16" t="str">
        <f aca="false">IF($A165="","",SUMIFS(결제내역!$H$3:$H$1002,결제내역!$B$3:$B$1002,$A165))</f>
        <v/>
      </c>
      <c r="J165" s="25" t="str">
        <f aca="false">IF($A165="","",IF($D165=0,"미결제",IF($F165&lt;=0,"횟수소진",IF($H165="","",IF($H165&lt;0,"기간만료",IF(OR($F165&lt;=사용안내!$C$18,$H165&lt;=사용안내!$C$17),"재결제 안내","정상"))))))</f>
        <v/>
      </c>
    </row>
    <row r="166" customFormat="false" ht="15" hidden="false" customHeight="true" outlineLevel="0" collapsed="false">
      <c r="A166" s="15" t="str">
        <f aca="false">IF(회원명부!$A163="","",회원명부!$A163)</f>
        <v/>
      </c>
      <c r="B166" s="15" t="str">
        <f aca="false">IF($A166="","",회원명부!$B163)</f>
        <v/>
      </c>
      <c r="C166" s="15" t="str">
        <f aca="false">IF($A166="","",회원명부!$C163)</f>
        <v/>
      </c>
      <c r="D166" s="23" t="str">
        <f aca="false">IF($A166="","",SUMIFS(결제내역!$E$3:$E$1002,결제내역!$B$3:$B$1002,$A166))</f>
        <v/>
      </c>
      <c r="E166" s="23" t="str">
        <f aca="false">IF($A166="","",SUMIFS(사용내역!$D$3:$D$3002,사용내역!$B$3:$B$3002,$A166))</f>
        <v/>
      </c>
      <c r="F166" s="23" t="str">
        <f aca="false">IF($A166="","",$D166-$E166)</f>
        <v/>
      </c>
      <c r="G166" s="17" t="str">
        <f aca="false">IF($A166="","",IF(COUNTIFS(결제내역!$B$3:$B$1002,$A166)=0,"",_xlfn.MAXIFS(결제내역!$G$3:$G$1002,결제내역!$B$3:$B$1002,$A166)))</f>
        <v/>
      </c>
      <c r="H166" s="24" t="str">
        <f aca="true">IF(OR($A166="",$G166=""),"",$G166-TODAY())</f>
        <v/>
      </c>
      <c r="I166" s="16" t="str">
        <f aca="false">IF($A166="","",SUMIFS(결제내역!$H$3:$H$1002,결제내역!$B$3:$B$1002,$A166))</f>
        <v/>
      </c>
      <c r="J166" s="25" t="str">
        <f aca="false">IF($A166="","",IF($D166=0,"미결제",IF($F166&lt;=0,"횟수소진",IF($H166="","",IF($H166&lt;0,"기간만료",IF(OR($F166&lt;=사용안내!$C$18,$H166&lt;=사용안내!$C$17),"재결제 안내","정상"))))))</f>
        <v/>
      </c>
    </row>
    <row r="167" customFormat="false" ht="15" hidden="false" customHeight="true" outlineLevel="0" collapsed="false">
      <c r="A167" s="15" t="str">
        <f aca="false">IF(회원명부!$A164="","",회원명부!$A164)</f>
        <v/>
      </c>
      <c r="B167" s="15" t="str">
        <f aca="false">IF($A167="","",회원명부!$B164)</f>
        <v/>
      </c>
      <c r="C167" s="15" t="str">
        <f aca="false">IF($A167="","",회원명부!$C164)</f>
        <v/>
      </c>
      <c r="D167" s="23" t="str">
        <f aca="false">IF($A167="","",SUMIFS(결제내역!$E$3:$E$1002,결제내역!$B$3:$B$1002,$A167))</f>
        <v/>
      </c>
      <c r="E167" s="23" t="str">
        <f aca="false">IF($A167="","",SUMIFS(사용내역!$D$3:$D$3002,사용내역!$B$3:$B$3002,$A167))</f>
        <v/>
      </c>
      <c r="F167" s="23" t="str">
        <f aca="false">IF($A167="","",$D167-$E167)</f>
        <v/>
      </c>
      <c r="G167" s="17" t="str">
        <f aca="false">IF($A167="","",IF(COUNTIFS(결제내역!$B$3:$B$1002,$A167)=0,"",_xlfn.MAXIFS(결제내역!$G$3:$G$1002,결제내역!$B$3:$B$1002,$A167)))</f>
        <v/>
      </c>
      <c r="H167" s="24" t="str">
        <f aca="true">IF(OR($A167="",$G167=""),"",$G167-TODAY())</f>
        <v/>
      </c>
      <c r="I167" s="16" t="str">
        <f aca="false">IF($A167="","",SUMIFS(결제내역!$H$3:$H$1002,결제내역!$B$3:$B$1002,$A167))</f>
        <v/>
      </c>
      <c r="J167" s="25" t="str">
        <f aca="false">IF($A167="","",IF($D167=0,"미결제",IF($F167&lt;=0,"횟수소진",IF($H167="","",IF($H167&lt;0,"기간만료",IF(OR($F167&lt;=사용안내!$C$18,$H167&lt;=사용안내!$C$17),"재결제 안내","정상"))))))</f>
        <v/>
      </c>
    </row>
    <row r="168" customFormat="false" ht="15" hidden="false" customHeight="true" outlineLevel="0" collapsed="false">
      <c r="A168" s="15" t="str">
        <f aca="false">IF(회원명부!$A165="","",회원명부!$A165)</f>
        <v/>
      </c>
      <c r="B168" s="15" t="str">
        <f aca="false">IF($A168="","",회원명부!$B165)</f>
        <v/>
      </c>
      <c r="C168" s="15" t="str">
        <f aca="false">IF($A168="","",회원명부!$C165)</f>
        <v/>
      </c>
      <c r="D168" s="23" t="str">
        <f aca="false">IF($A168="","",SUMIFS(결제내역!$E$3:$E$1002,결제내역!$B$3:$B$1002,$A168))</f>
        <v/>
      </c>
      <c r="E168" s="23" t="str">
        <f aca="false">IF($A168="","",SUMIFS(사용내역!$D$3:$D$3002,사용내역!$B$3:$B$3002,$A168))</f>
        <v/>
      </c>
      <c r="F168" s="23" t="str">
        <f aca="false">IF($A168="","",$D168-$E168)</f>
        <v/>
      </c>
      <c r="G168" s="17" t="str">
        <f aca="false">IF($A168="","",IF(COUNTIFS(결제내역!$B$3:$B$1002,$A168)=0,"",_xlfn.MAXIFS(결제내역!$G$3:$G$1002,결제내역!$B$3:$B$1002,$A168)))</f>
        <v/>
      </c>
      <c r="H168" s="24" t="str">
        <f aca="true">IF(OR($A168="",$G168=""),"",$G168-TODAY())</f>
        <v/>
      </c>
      <c r="I168" s="16" t="str">
        <f aca="false">IF($A168="","",SUMIFS(결제내역!$H$3:$H$1002,결제내역!$B$3:$B$1002,$A168))</f>
        <v/>
      </c>
      <c r="J168" s="25" t="str">
        <f aca="false">IF($A168="","",IF($D168=0,"미결제",IF($F168&lt;=0,"횟수소진",IF($H168="","",IF($H168&lt;0,"기간만료",IF(OR($F168&lt;=사용안내!$C$18,$H168&lt;=사용안내!$C$17),"재결제 안내","정상"))))))</f>
        <v/>
      </c>
    </row>
    <row r="169" customFormat="false" ht="15" hidden="false" customHeight="true" outlineLevel="0" collapsed="false">
      <c r="A169" s="15" t="str">
        <f aca="false">IF(회원명부!$A166="","",회원명부!$A166)</f>
        <v/>
      </c>
      <c r="B169" s="15" t="str">
        <f aca="false">IF($A169="","",회원명부!$B166)</f>
        <v/>
      </c>
      <c r="C169" s="15" t="str">
        <f aca="false">IF($A169="","",회원명부!$C166)</f>
        <v/>
      </c>
      <c r="D169" s="23" t="str">
        <f aca="false">IF($A169="","",SUMIFS(결제내역!$E$3:$E$1002,결제내역!$B$3:$B$1002,$A169))</f>
        <v/>
      </c>
      <c r="E169" s="23" t="str">
        <f aca="false">IF($A169="","",SUMIFS(사용내역!$D$3:$D$3002,사용내역!$B$3:$B$3002,$A169))</f>
        <v/>
      </c>
      <c r="F169" s="23" t="str">
        <f aca="false">IF($A169="","",$D169-$E169)</f>
        <v/>
      </c>
      <c r="G169" s="17" t="str">
        <f aca="false">IF($A169="","",IF(COUNTIFS(결제내역!$B$3:$B$1002,$A169)=0,"",_xlfn.MAXIFS(결제내역!$G$3:$G$1002,결제내역!$B$3:$B$1002,$A169)))</f>
        <v/>
      </c>
      <c r="H169" s="24" t="str">
        <f aca="true">IF(OR($A169="",$G169=""),"",$G169-TODAY())</f>
        <v/>
      </c>
      <c r="I169" s="16" t="str">
        <f aca="false">IF($A169="","",SUMIFS(결제내역!$H$3:$H$1002,결제내역!$B$3:$B$1002,$A169))</f>
        <v/>
      </c>
      <c r="J169" s="25" t="str">
        <f aca="false">IF($A169="","",IF($D169=0,"미결제",IF($F169&lt;=0,"횟수소진",IF($H169="","",IF($H169&lt;0,"기간만료",IF(OR($F169&lt;=사용안내!$C$18,$H169&lt;=사용안내!$C$17),"재결제 안내","정상"))))))</f>
        <v/>
      </c>
    </row>
    <row r="170" customFormat="false" ht="15" hidden="false" customHeight="true" outlineLevel="0" collapsed="false">
      <c r="A170" s="15" t="str">
        <f aca="false">IF(회원명부!$A167="","",회원명부!$A167)</f>
        <v/>
      </c>
      <c r="B170" s="15" t="str">
        <f aca="false">IF($A170="","",회원명부!$B167)</f>
        <v/>
      </c>
      <c r="C170" s="15" t="str">
        <f aca="false">IF($A170="","",회원명부!$C167)</f>
        <v/>
      </c>
      <c r="D170" s="23" t="str">
        <f aca="false">IF($A170="","",SUMIFS(결제내역!$E$3:$E$1002,결제내역!$B$3:$B$1002,$A170))</f>
        <v/>
      </c>
      <c r="E170" s="23" t="str">
        <f aca="false">IF($A170="","",SUMIFS(사용내역!$D$3:$D$3002,사용내역!$B$3:$B$3002,$A170))</f>
        <v/>
      </c>
      <c r="F170" s="23" t="str">
        <f aca="false">IF($A170="","",$D170-$E170)</f>
        <v/>
      </c>
      <c r="G170" s="17" t="str">
        <f aca="false">IF($A170="","",IF(COUNTIFS(결제내역!$B$3:$B$1002,$A170)=0,"",_xlfn.MAXIFS(결제내역!$G$3:$G$1002,결제내역!$B$3:$B$1002,$A170)))</f>
        <v/>
      </c>
      <c r="H170" s="24" t="str">
        <f aca="true">IF(OR($A170="",$G170=""),"",$G170-TODAY())</f>
        <v/>
      </c>
      <c r="I170" s="16" t="str">
        <f aca="false">IF($A170="","",SUMIFS(결제내역!$H$3:$H$1002,결제내역!$B$3:$B$1002,$A170))</f>
        <v/>
      </c>
      <c r="J170" s="25" t="str">
        <f aca="false">IF($A170="","",IF($D170=0,"미결제",IF($F170&lt;=0,"횟수소진",IF($H170="","",IF($H170&lt;0,"기간만료",IF(OR($F170&lt;=사용안내!$C$18,$H170&lt;=사용안내!$C$17),"재결제 안내","정상"))))))</f>
        <v/>
      </c>
    </row>
    <row r="171" customFormat="false" ht="15" hidden="false" customHeight="true" outlineLevel="0" collapsed="false">
      <c r="A171" s="15" t="str">
        <f aca="false">IF(회원명부!$A168="","",회원명부!$A168)</f>
        <v/>
      </c>
      <c r="B171" s="15" t="str">
        <f aca="false">IF($A171="","",회원명부!$B168)</f>
        <v/>
      </c>
      <c r="C171" s="15" t="str">
        <f aca="false">IF($A171="","",회원명부!$C168)</f>
        <v/>
      </c>
      <c r="D171" s="23" t="str">
        <f aca="false">IF($A171="","",SUMIFS(결제내역!$E$3:$E$1002,결제내역!$B$3:$B$1002,$A171))</f>
        <v/>
      </c>
      <c r="E171" s="23" t="str">
        <f aca="false">IF($A171="","",SUMIFS(사용내역!$D$3:$D$3002,사용내역!$B$3:$B$3002,$A171))</f>
        <v/>
      </c>
      <c r="F171" s="23" t="str">
        <f aca="false">IF($A171="","",$D171-$E171)</f>
        <v/>
      </c>
      <c r="G171" s="17" t="str">
        <f aca="false">IF($A171="","",IF(COUNTIFS(결제내역!$B$3:$B$1002,$A171)=0,"",_xlfn.MAXIFS(결제내역!$G$3:$G$1002,결제내역!$B$3:$B$1002,$A171)))</f>
        <v/>
      </c>
      <c r="H171" s="24" t="str">
        <f aca="true">IF(OR($A171="",$G171=""),"",$G171-TODAY())</f>
        <v/>
      </c>
      <c r="I171" s="16" t="str">
        <f aca="false">IF($A171="","",SUMIFS(결제내역!$H$3:$H$1002,결제내역!$B$3:$B$1002,$A171))</f>
        <v/>
      </c>
      <c r="J171" s="25" t="str">
        <f aca="false">IF($A171="","",IF($D171=0,"미결제",IF($F171&lt;=0,"횟수소진",IF($H171="","",IF($H171&lt;0,"기간만료",IF(OR($F171&lt;=사용안내!$C$18,$H171&lt;=사용안내!$C$17),"재결제 안내","정상"))))))</f>
        <v/>
      </c>
    </row>
    <row r="172" customFormat="false" ht="15" hidden="false" customHeight="true" outlineLevel="0" collapsed="false">
      <c r="A172" s="15" t="str">
        <f aca="false">IF(회원명부!$A169="","",회원명부!$A169)</f>
        <v/>
      </c>
      <c r="B172" s="15" t="str">
        <f aca="false">IF($A172="","",회원명부!$B169)</f>
        <v/>
      </c>
      <c r="C172" s="15" t="str">
        <f aca="false">IF($A172="","",회원명부!$C169)</f>
        <v/>
      </c>
      <c r="D172" s="23" t="str">
        <f aca="false">IF($A172="","",SUMIFS(결제내역!$E$3:$E$1002,결제내역!$B$3:$B$1002,$A172))</f>
        <v/>
      </c>
      <c r="E172" s="23" t="str">
        <f aca="false">IF($A172="","",SUMIFS(사용내역!$D$3:$D$3002,사용내역!$B$3:$B$3002,$A172))</f>
        <v/>
      </c>
      <c r="F172" s="23" t="str">
        <f aca="false">IF($A172="","",$D172-$E172)</f>
        <v/>
      </c>
      <c r="G172" s="17" t="str">
        <f aca="false">IF($A172="","",IF(COUNTIFS(결제내역!$B$3:$B$1002,$A172)=0,"",_xlfn.MAXIFS(결제내역!$G$3:$G$1002,결제내역!$B$3:$B$1002,$A172)))</f>
        <v/>
      </c>
      <c r="H172" s="24" t="str">
        <f aca="true">IF(OR($A172="",$G172=""),"",$G172-TODAY())</f>
        <v/>
      </c>
      <c r="I172" s="16" t="str">
        <f aca="false">IF($A172="","",SUMIFS(결제내역!$H$3:$H$1002,결제내역!$B$3:$B$1002,$A172))</f>
        <v/>
      </c>
      <c r="J172" s="25" t="str">
        <f aca="false">IF($A172="","",IF($D172=0,"미결제",IF($F172&lt;=0,"횟수소진",IF($H172="","",IF($H172&lt;0,"기간만료",IF(OR($F172&lt;=사용안내!$C$18,$H172&lt;=사용안내!$C$17),"재결제 안내","정상"))))))</f>
        <v/>
      </c>
    </row>
    <row r="173" customFormat="false" ht="15" hidden="false" customHeight="true" outlineLevel="0" collapsed="false">
      <c r="A173" s="15" t="str">
        <f aca="false">IF(회원명부!$A170="","",회원명부!$A170)</f>
        <v/>
      </c>
      <c r="B173" s="15" t="str">
        <f aca="false">IF($A173="","",회원명부!$B170)</f>
        <v/>
      </c>
      <c r="C173" s="15" t="str">
        <f aca="false">IF($A173="","",회원명부!$C170)</f>
        <v/>
      </c>
      <c r="D173" s="23" t="str">
        <f aca="false">IF($A173="","",SUMIFS(결제내역!$E$3:$E$1002,결제내역!$B$3:$B$1002,$A173))</f>
        <v/>
      </c>
      <c r="E173" s="23" t="str">
        <f aca="false">IF($A173="","",SUMIFS(사용내역!$D$3:$D$3002,사용내역!$B$3:$B$3002,$A173))</f>
        <v/>
      </c>
      <c r="F173" s="23" t="str">
        <f aca="false">IF($A173="","",$D173-$E173)</f>
        <v/>
      </c>
      <c r="G173" s="17" t="str">
        <f aca="false">IF($A173="","",IF(COUNTIFS(결제내역!$B$3:$B$1002,$A173)=0,"",_xlfn.MAXIFS(결제내역!$G$3:$G$1002,결제내역!$B$3:$B$1002,$A173)))</f>
        <v/>
      </c>
      <c r="H173" s="24" t="str">
        <f aca="true">IF(OR($A173="",$G173=""),"",$G173-TODAY())</f>
        <v/>
      </c>
      <c r="I173" s="16" t="str">
        <f aca="false">IF($A173="","",SUMIFS(결제내역!$H$3:$H$1002,결제내역!$B$3:$B$1002,$A173))</f>
        <v/>
      </c>
      <c r="J173" s="25" t="str">
        <f aca="false">IF($A173="","",IF($D173=0,"미결제",IF($F173&lt;=0,"횟수소진",IF($H173="","",IF($H173&lt;0,"기간만료",IF(OR($F173&lt;=사용안내!$C$18,$H173&lt;=사용안내!$C$17),"재결제 안내","정상"))))))</f>
        <v/>
      </c>
    </row>
    <row r="174" customFormat="false" ht="15" hidden="false" customHeight="true" outlineLevel="0" collapsed="false">
      <c r="A174" s="15" t="str">
        <f aca="false">IF(회원명부!$A171="","",회원명부!$A171)</f>
        <v/>
      </c>
      <c r="B174" s="15" t="str">
        <f aca="false">IF($A174="","",회원명부!$B171)</f>
        <v/>
      </c>
      <c r="C174" s="15" t="str">
        <f aca="false">IF($A174="","",회원명부!$C171)</f>
        <v/>
      </c>
      <c r="D174" s="23" t="str">
        <f aca="false">IF($A174="","",SUMIFS(결제내역!$E$3:$E$1002,결제내역!$B$3:$B$1002,$A174))</f>
        <v/>
      </c>
      <c r="E174" s="23" t="str">
        <f aca="false">IF($A174="","",SUMIFS(사용내역!$D$3:$D$3002,사용내역!$B$3:$B$3002,$A174))</f>
        <v/>
      </c>
      <c r="F174" s="23" t="str">
        <f aca="false">IF($A174="","",$D174-$E174)</f>
        <v/>
      </c>
      <c r="G174" s="17" t="str">
        <f aca="false">IF($A174="","",IF(COUNTIFS(결제내역!$B$3:$B$1002,$A174)=0,"",_xlfn.MAXIFS(결제내역!$G$3:$G$1002,결제내역!$B$3:$B$1002,$A174)))</f>
        <v/>
      </c>
      <c r="H174" s="24" t="str">
        <f aca="true">IF(OR($A174="",$G174=""),"",$G174-TODAY())</f>
        <v/>
      </c>
      <c r="I174" s="16" t="str">
        <f aca="false">IF($A174="","",SUMIFS(결제내역!$H$3:$H$1002,결제내역!$B$3:$B$1002,$A174))</f>
        <v/>
      </c>
      <c r="J174" s="25" t="str">
        <f aca="false">IF($A174="","",IF($D174=0,"미결제",IF($F174&lt;=0,"횟수소진",IF($H174="","",IF($H174&lt;0,"기간만료",IF(OR($F174&lt;=사용안내!$C$18,$H174&lt;=사용안내!$C$17),"재결제 안내","정상"))))))</f>
        <v/>
      </c>
    </row>
    <row r="175" customFormat="false" ht="15" hidden="false" customHeight="true" outlineLevel="0" collapsed="false">
      <c r="A175" s="15" t="str">
        <f aca="false">IF(회원명부!$A172="","",회원명부!$A172)</f>
        <v/>
      </c>
      <c r="B175" s="15" t="str">
        <f aca="false">IF($A175="","",회원명부!$B172)</f>
        <v/>
      </c>
      <c r="C175" s="15" t="str">
        <f aca="false">IF($A175="","",회원명부!$C172)</f>
        <v/>
      </c>
      <c r="D175" s="23" t="str">
        <f aca="false">IF($A175="","",SUMIFS(결제내역!$E$3:$E$1002,결제내역!$B$3:$B$1002,$A175))</f>
        <v/>
      </c>
      <c r="E175" s="23" t="str">
        <f aca="false">IF($A175="","",SUMIFS(사용내역!$D$3:$D$3002,사용내역!$B$3:$B$3002,$A175))</f>
        <v/>
      </c>
      <c r="F175" s="23" t="str">
        <f aca="false">IF($A175="","",$D175-$E175)</f>
        <v/>
      </c>
      <c r="G175" s="17" t="str">
        <f aca="false">IF($A175="","",IF(COUNTIFS(결제내역!$B$3:$B$1002,$A175)=0,"",_xlfn.MAXIFS(결제내역!$G$3:$G$1002,결제내역!$B$3:$B$1002,$A175)))</f>
        <v/>
      </c>
      <c r="H175" s="24" t="str">
        <f aca="true">IF(OR($A175="",$G175=""),"",$G175-TODAY())</f>
        <v/>
      </c>
      <c r="I175" s="16" t="str">
        <f aca="false">IF($A175="","",SUMIFS(결제내역!$H$3:$H$1002,결제내역!$B$3:$B$1002,$A175))</f>
        <v/>
      </c>
      <c r="J175" s="25" t="str">
        <f aca="false">IF($A175="","",IF($D175=0,"미결제",IF($F175&lt;=0,"횟수소진",IF($H175="","",IF($H175&lt;0,"기간만료",IF(OR($F175&lt;=사용안내!$C$18,$H175&lt;=사용안내!$C$17),"재결제 안내","정상"))))))</f>
        <v/>
      </c>
    </row>
    <row r="176" customFormat="false" ht="15" hidden="false" customHeight="true" outlineLevel="0" collapsed="false">
      <c r="A176" s="15" t="str">
        <f aca="false">IF(회원명부!$A173="","",회원명부!$A173)</f>
        <v/>
      </c>
      <c r="B176" s="15" t="str">
        <f aca="false">IF($A176="","",회원명부!$B173)</f>
        <v/>
      </c>
      <c r="C176" s="15" t="str">
        <f aca="false">IF($A176="","",회원명부!$C173)</f>
        <v/>
      </c>
      <c r="D176" s="23" t="str">
        <f aca="false">IF($A176="","",SUMIFS(결제내역!$E$3:$E$1002,결제내역!$B$3:$B$1002,$A176))</f>
        <v/>
      </c>
      <c r="E176" s="23" t="str">
        <f aca="false">IF($A176="","",SUMIFS(사용내역!$D$3:$D$3002,사용내역!$B$3:$B$3002,$A176))</f>
        <v/>
      </c>
      <c r="F176" s="23" t="str">
        <f aca="false">IF($A176="","",$D176-$E176)</f>
        <v/>
      </c>
      <c r="G176" s="17" t="str">
        <f aca="false">IF($A176="","",IF(COUNTIFS(결제내역!$B$3:$B$1002,$A176)=0,"",_xlfn.MAXIFS(결제내역!$G$3:$G$1002,결제내역!$B$3:$B$1002,$A176)))</f>
        <v/>
      </c>
      <c r="H176" s="24" t="str">
        <f aca="true">IF(OR($A176="",$G176=""),"",$G176-TODAY())</f>
        <v/>
      </c>
      <c r="I176" s="16" t="str">
        <f aca="false">IF($A176="","",SUMIFS(결제내역!$H$3:$H$1002,결제내역!$B$3:$B$1002,$A176))</f>
        <v/>
      </c>
      <c r="J176" s="25" t="str">
        <f aca="false">IF($A176="","",IF($D176=0,"미결제",IF($F176&lt;=0,"횟수소진",IF($H176="","",IF($H176&lt;0,"기간만료",IF(OR($F176&lt;=사용안내!$C$18,$H176&lt;=사용안내!$C$17),"재결제 안내","정상"))))))</f>
        <v/>
      </c>
    </row>
    <row r="177" customFormat="false" ht="15" hidden="false" customHeight="true" outlineLevel="0" collapsed="false">
      <c r="A177" s="15" t="str">
        <f aca="false">IF(회원명부!$A174="","",회원명부!$A174)</f>
        <v/>
      </c>
      <c r="B177" s="15" t="str">
        <f aca="false">IF($A177="","",회원명부!$B174)</f>
        <v/>
      </c>
      <c r="C177" s="15" t="str">
        <f aca="false">IF($A177="","",회원명부!$C174)</f>
        <v/>
      </c>
      <c r="D177" s="23" t="str">
        <f aca="false">IF($A177="","",SUMIFS(결제내역!$E$3:$E$1002,결제내역!$B$3:$B$1002,$A177))</f>
        <v/>
      </c>
      <c r="E177" s="23" t="str">
        <f aca="false">IF($A177="","",SUMIFS(사용내역!$D$3:$D$3002,사용내역!$B$3:$B$3002,$A177))</f>
        <v/>
      </c>
      <c r="F177" s="23" t="str">
        <f aca="false">IF($A177="","",$D177-$E177)</f>
        <v/>
      </c>
      <c r="G177" s="17" t="str">
        <f aca="false">IF($A177="","",IF(COUNTIFS(결제내역!$B$3:$B$1002,$A177)=0,"",_xlfn.MAXIFS(결제내역!$G$3:$G$1002,결제내역!$B$3:$B$1002,$A177)))</f>
        <v/>
      </c>
      <c r="H177" s="24" t="str">
        <f aca="true">IF(OR($A177="",$G177=""),"",$G177-TODAY())</f>
        <v/>
      </c>
      <c r="I177" s="16" t="str">
        <f aca="false">IF($A177="","",SUMIFS(결제내역!$H$3:$H$1002,결제내역!$B$3:$B$1002,$A177))</f>
        <v/>
      </c>
      <c r="J177" s="25" t="str">
        <f aca="false">IF($A177="","",IF($D177=0,"미결제",IF($F177&lt;=0,"횟수소진",IF($H177="","",IF($H177&lt;0,"기간만료",IF(OR($F177&lt;=사용안내!$C$18,$H177&lt;=사용안내!$C$17),"재결제 안내","정상"))))))</f>
        <v/>
      </c>
    </row>
    <row r="178" customFormat="false" ht="15" hidden="false" customHeight="true" outlineLevel="0" collapsed="false">
      <c r="A178" s="15" t="str">
        <f aca="false">IF(회원명부!$A175="","",회원명부!$A175)</f>
        <v/>
      </c>
      <c r="B178" s="15" t="str">
        <f aca="false">IF($A178="","",회원명부!$B175)</f>
        <v/>
      </c>
      <c r="C178" s="15" t="str">
        <f aca="false">IF($A178="","",회원명부!$C175)</f>
        <v/>
      </c>
      <c r="D178" s="23" t="str">
        <f aca="false">IF($A178="","",SUMIFS(결제내역!$E$3:$E$1002,결제내역!$B$3:$B$1002,$A178))</f>
        <v/>
      </c>
      <c r="E178" s="23" t="str">
        <f aca="false">IF($A178="","",SUMIFS(사용내역!$D$3:$D$3002,사용내역!$B$3:$B$3002,$A178))</f>
        <v/>
      </c>
      <c r="F178" s="23" t="str">
        <f aca="false">IF($A178="","",$D178-$E178)</f>
        <v/>
      </c>
      <c r="G178" s="17" t="str">
        <f aca="false">IF($A178="","",IF(COUNTIFS(결제내역!$B$3:$B$1002,$A178)=0,"",_xlfn.MAXIFS(결제내역!$G$3:$G$1002,결제내역!$B$3:$B$1002,$A178)))</f>
        <v/>
      </c>
      <c r="H178" s="24" t="str">
        <f aca="true">IF(OR($A178="",$G178=""),"",$G178-TODAY())</f>
        <v/>
      </c>
      <c r="I178" s="16" t="str">
        <f aca="false">IF($A178="","",SUMIFS(결제내역!$H$3:$H$1002,결제내역!$B$3:$B$1002,$A178))</f>
        <v/>
      </c>
      <c r="J178" s="25" t="str">
        <f aca="false">IF($A178="","",IF($D178=0,"미결제",IF($F178&lt;=0,"횟수소진",IF($H178="","",IF($H178&lt;0,"기간만료",IF(OR($F178&lt;=사용안내!$C$18,$H178&lt;=사용안내!$C$17),"재결제 안내","정상"))))))</f>
        <v/>
      </c>
    </row>
    <row r="179" customFormat="false" ht="15" hidden="false" customHeight="true" outlineLevel="0" collapsed="false">
      <c r="A179" s="15" t="str">
        <f aca="false">IF(회원명부!$A176="","",회원명부!$A176)</f>
        <v/>
      </c>
      <c r="B179" s="15" t="str">
        <f aca="false">IF($A179="","",회원명부!$B176)</f>
        <v/>
      </c>
      <c r="C179" s="15" t="str">
        <f aca="false">IF($A179="","",회원명부!$C176)</f>
        <v/>
      </c>
      <c r="D179" s="23" t="str">
        <f aca="false">IF($A179="","",SUMIFS(결제내역!$E$3:$E$1002,결제내역!$B$3:$B$1002,$A179))</f>
        <v/>
      </c>
      <c r="E179" s="23" t="str">
        <f aca="false">IF($A179="","",SUMIFS(사용내역!$D$3:$D$3002,사용내역!$B$3:$B$3002,$A179))</f>
        <v/>
      </c>
      <c r="F179" s="23" t="str">
        <f aca="false">IF($A179="","",$D179-$E179)</f>
        <v/>
      </c>
      <c r="G179" s="17" t="str">
        <f aca="false">IF($A179="","",IF(COUNTIFS(결제내역!$B$3:$B$1002,$A179)=0,"",_xlfn.MAXIFS(결제내역!$G$3:$G$1002,결제내역!$B$3:$B$1002,$A179)))</f>
        <v/>
      </c>
      <c r="H179" s="24" t="str">
        <f aca="true">IF(OR($A179="",$G179=""),"",$G179-TODAY())</f>
        <v/>
      </c>
      <c r="I179" s="16" t="str">
        <f aca="false">IF($A179="","",SUMIFS(결제내역!$H$3:$H$1002,결제내역!$B$3:$B$1002,$A179))</f>
        <v/>
      </c>
      <c r="J179" s="25" t="str">
        <f aca="false">IF($A179="","",IF($D179=0,"미결제",IF($F179&lt;=0,"횟수소진",IF($H179="","",IF($H179&lt;0,"기간만료",IF(OR($F179&lt;=사용안내!$C$18,$H179&lt;=사용안내!$C$17),"재결제 안내","정상"))))))</f>
        <v/>
      </c>
    </row>
    <row r="180" customFormat="false" ht="15" hidden="false" customHeight="true" outlineLevel="0" collapsed="false">
      <c r="A180" s="15" t="str">
        <f aca="false">IF(회원명부!$A177="","",회원명부!$A177)</f>
        <v/>
      </c>
      <c r="B180" s="15" t="str">
        <f aca="false">IF($A180="","",회원명부!$B177)</f>
        <v/>
      </c>
      <c r="C180" s="15" t="str">
        <f aca="false">IF($A180="","",회원명부!$C177)</f>
        <v/>
      </c>
      <c r="D180" s="23" t="str">
        <f aca="false">IF($A180="","",SUMIFS(결제내역!$E$3:$E$1002,결제내역!$B$3:$B$1002,$A180))</f>
        <v/>
      </c>
      <c r="E180" s="23" t="str">
        <f aca="false">IF($A180="","",SUMIFS(사용내역!$D$3:$D$3002,사용내역!$B$3:$B$3002,$A180))</f>
        <v/>
      </c>
      <c r="F180" s="23" t="str">
        <f aca="false">IF($A180="","",$D180-$E180)</f>
        <v/>
      </c>
      <c r="G180" s="17" t="str">
        <f aca="false">IF($A180="","",IF(COUNTIFS(결제내역!$B$3:$B$1002,$A180)=0,"",_xlfn.MAXIFS(결제내역!$G$3:$G$1002,결제내역!$B$3:$B$1002,$A180)))</f>
        <v/>
      </c>
      <c r="H180" s="24" t="str">
        <f aca="true">IF(OR($A180="",$G180=""),"",$G180-TODAY())</f>
        <v/>
      </c>
      <c r="I180" s="16" t="str">
        <f aca="false">IF($A180="","",SUMIFS(결제내역!$H$3:$H$1002,결제내역!$B$3:$B$1002,$A180))</f>
        <v/>
      </c>
      <c r="J180" s="25" t="str">
        <f aca="false">IF($A180="","",IF($D180=0,"미결제",IF($F180&lt;=0,"횟수소진",IF($H180="","",IF($H180&lt;0,"기간만료",IF(OR($F180&lt;=사용안내!$C$18,$H180&lt;=사용안내!$C$17),"재결제 안내","정상"))))))</f>
        <v/>
      </c>
    </row>
    <row r="181" customFormat="false" ht="15" hidden="false" customHeight="true" outlineLevel="0" collapsed="false">
      <c r="A181" s="15" t="str">
        <f aca="false">IF(회원명부!$A178="","",회원명부!$A178)</f>
        <v/>
      </c>
      <c r="B181" s="15" t="str">
        <f aca="false">IF($A181="","",회원명부!$B178)</f>
        <v/>
      </c>
      <c r="C181" s="15" t="str">
        <f aca="false">IF($A181="","",회원명부!$C178)</f>
        <v/>
      </c>
      <c r="D181" s="23" t="str">
        <f aca="false">IF($A181="","",SUMIFS(결제내역!$E$3:$E$1002,결제내역!$B$3:$B$1002,$A181))</f>
        <v/>
      </c>
      <c r="E181" s="23" t="str">
        <f aca="false">IF($A181="","",SUMIFS(사용내역!$D$3:$D$3002,사용내역!$B$3:$B$3002,$A181))</f>
        <v/>
      </c>
      <c r="F181" s="23" t="str">
        <f aca="false">IF($A181="","",$D181-$E181)</f>
        <v/>
      </c>
      <c r="G181" s="17" t="str">
        <f aca="false">IF($A181="","",IF(COUNTIFS(결제내역!$B$3:$B$1002,$A181)=0,"",_xlfn.MAXIFS(결제내역!$G$3:$G$1002,결제내역!$B$3:$B$1002,$A181)))</f>
        <v/>
      </c>
      <c r="H181" s="24" t="str">
        <f aca="true">IF(OR($A181="",$G181=""),"",$G181-TODAY())</f>
        <v/>
      </c>
      <c r="I181" s="16" t="str">
        <f aca="false">IF($A181="","",SUMIFS(결제내역!$H$3:$H$1002,결제내역!$B$3:$B$1002,$A181))</f>
        <v/>
      </c>
      <c r="J181" s="25" t="str">
        <f aca="false">IF($A181="","",IF($D181=0,"미결제",IF($F181&lt;=0,"횟수소진",IF($H181="","",IF($H181&lt;0,"기간만료",IF(OR($F181&lt;=사용안내!$C$18,$H181&lt;=사용안내!$C$17),"재결제 안내","정상"))))))</f>
        <v/>
      </c>
    </row>
    <row r="182" customFormat="false" ht="15" hidden="false" customHeight="true" outlineLevel="0" collapsed="false">
      <c r="A182" s="15" t="str">
        <f aca="false">IF(회원명부!$A179="","",회원명부!$A179)</f>
        <v/>
      </c>
      <c r="B182" s="15" t="str">
        <f aca="false">IF($A182="","",회원명부!$B179)</f>
        <v/>
      </c>
      <c r="C182" s="15" t="str">
        <f aca="false">IF($A182="","",회원명부!$C179)</f>
        <v/>
      </c>
      <c r="D182" s="23" t="str">
        <f aca="false">IF($A182="","",SUMIFS(결제내역!$E$3:$E$1002,결제내역!$B$3:$B$1002,$A182))</f>
        <v/>
      </c>
      <c r="E182" s="23" t="str">
        <f aca="false">IF($A182="","",SUMIFS(사용내역!$D$3:$D$3002,사용내역!$B$3:$B$3002,$A182))</f>
        <v/>
      </c>
      <c r="F182" s="23" t="str">
        <f aca="false">IF($A182="","",$D182-$E182)</f>
        <v/>
      </c>
      <c r="G182" s="17" t="str">
        <f aca="false">IF($A182="","",IF(COUNTIFS(결제내역!$B$3:$B$1002,$A182)=0,"",_xlfn.MAXIFS(결제내역!$G$3:$G$1002,결제내역!$B$3:$B$1002,$A182)))</f>
        <v/>
      </c>
      <c r="H182" s="24" t="str">
        <f aca="true">IF(OR($A182="",$G182=""),"",$G182-TODAY())</f>
        <v/>
      </c>
      <c r="I182" s="16" t="str">
        <f aca="false">IF($A182="","",SUMIFS(결제내역!$H$3:$H$1002,결제내역!$B$3:$B$1002,$A182))</f>
        <v/>
      </c>
      <c r="J182" s="25" t="str">
        <f aca="false">IF($A182="","",IF($D182=0,"미결제",IF($F182&lt;=0,"횟수소진",IF($H182="","",IF($H182&lt;0,"기간만료",IF(OR($F182&lt;=사용안내!$C$18,$H182&lt;=사용안내!$C$17),"재결제 안내","정상"))))))</f>
        <v/>
      </c>
    </row>
    <row r="183" customFormat="false" ht="15" hidden="false" customHeight="true" outlineLevel="0" collapsed="false">
      <c r="A183" s="15" t="str">
        <f aca="false">IF(회원명부!$A180="","",회원명부!$A180)</f>
        <v/>
      </c>
      <c r="B183" s="15" t="str">
        <f aca="false">IF($A183="","",회원명부!$B180)</f>
        <v/>
      </c>
      <c r="C183" s="15" t="str">
        <f aca="false">IF($A183="","",회원명부!$C180)</f>
        <v/>
      </c>
      <c r="D183" s="23" t="str">
        <f aca="false">IF($A183="","",SUMIFS(결제내역!$E$3:$E$1002,결제내역!$B$3:$B$1002,$A183))</f>
        <v/>
      </c>
      <c r="E183" s="23" t="str">
        <f aca="false">IF($A183="","",SUMIFS(사용내역!$D$3:$D$3002,사용내역!$B$3:$B$3002,$A183))</f>
        <v/>
      </c>
      <c r="F183" s="23" t="str">
        <f aca="false">IF($A183="","",$D183-$E183)</f>
        <v/>
      </c>
      <c r="G183" s="17" t="str">
        <f aca="false">IF($A183="","",IF(COUNTIFS(결제내역!$B$3:$B$1002,$A183)=0,"",_xlfn.MAXIFS(결제내역!$G$3:$G$1002,결제내역!$B$3:$B$1002,$A183)))</f>
        <v/>
      </c>
      <c r="H183" s="24" t="str">
        <f aca="true">IF(OR($A183="",$G183=""),"",$G183-TODAY())</f>
        <v/>
      </c>
      <c r="I183" s="16" t="str">
        <f aca="false">IF($A183="","",SUMIFS(결제내역!$H$3:$H$1002,결제내역!$B$3:$B$1002,$A183))</f>
        <v/>
      </c>
      <c r="J183" s="25" t="str">
        <f aca="false">IF($A183="","",IF($D183=0,"미결제",IF($F183&lt;=0,"횟수소진",IF($H183="","",IF($H183&lt;0,"기간만료",IF(OR($F183&lt;=사용안내!$C$18,$H183&lt;=사용안내!$C$17),"재결제 안내","정상"))))))</f>
        <v/>
      </c>
    </row>
    <row r="184" customFormat="false" ht="15" hidden="false" customHeight="true" outlineLevel="0" collapsed="false">
      <c r="A184" s="15" t="str">
        <f aca="false">IF(회원명부!$A181="","",회원명부!$A181)</f>
        <v/>
      </c>
      <c r="B184" s="15" t="str">
        <f aca="false">IF($A184="","",회원명부!$B181)</f>
        <v/>
      </c>
      <c r="C184" s="15" t="str">
        <f aca="false">IF($A184="","",회원명부!$C181)</f>
        <v/>
      </c>
      <c r="D184" s="23" t="str">
        <f aca="false">IF($A184="","",SUMIFS(결제내역!$E$3:$E$1002,결제내역!$B$3:$B$1002,$A184))</f>
        <v/>
      </c>
      <c r="E184" s="23" t="str">
        <f aca="false">IF($A184="","",SUMIFS(사용내역!$D$3:$D$3002,사용내역!$B$3:$B$3002,$A184))</f>
        <v/>
      </c>
      <c r="F184" s="23" t="str">
        <f aca="false">IF($A184="","",$D184-$E184)</f>
        <v/>
      </c>
      <c r="G184" s="17" t="str">
        <f aca="false">IF($A184="","",IF(COUNTIFS(결제내역!$B$3:$B$1002,$A184)=0,"",_xlfn.MAXIFS(결제내역!$G$3:$G$1002,결제내역!$B$3:$B$1002,$A184)))</f>
        <v/>
      </c>
      <c r="H184" s="24" t="str">
        <f aca="true">IF(OR($A184="",$G184=""),"",$G184-TODAY())</f>
        <v/>
      </c>
      <c r="I184" s="16" t="str">
        <f aca="false">IF($A184="","",SUMIFS(결제내역!$H$3:$H$1002,결제내역!$B$3:$B$1002,$A184))</f>
        <v/>
      </c>
      <c r="J184" s="25" t="str">
        <f aca="false">IF($A184="","",IF($D184=0,"미결제",IF($F184&lt;=0,"횟수소진",IF($H184="","",IF($H184&lt;0,"기간만료",IF(OR($F184&lt;=사용안내!$C$18,$H184&lt;=사용안내!$C$17),"재결제 안내","정상"))))))</f>
        <v/>
      </c>
    </row>
    <row r="185" customFormat="false" ht="15" hidden="false" customHeight="true" outlineLevel="0" collapsed="false">
      <c r="A185" s="15" t="str">
        <f aca="false">IF(회원명부!$A182="","",회원명부!$A182)</f>
        <v/>
      </c>
      <c r="B185" s="15" t="str">
        <f aca="false">IF($A185="","",회원명부!$B182)</f>
        <v/>
      </c>
      <c r="C185" s="15" t="str">
        <f aca="false">IF($A185="","",회원명부!$C182)</f>
        <v/>
      </c>
      <c r="D185" s="23" t="str">
        <f aca="false">IF($A185="","",SUMIFS(결제내역!$E$3:$E$1002,결제내역!$B$3:$B$1002,$A185))</f>
        <v/>
      </c>
      <c r="E185" s="23" t="str">
        <f aca="false">IF($A185="","",SUMIFS(사용내역!$D$3:$D$3002,사용내역!$B$3:$B$3002,$A185))</f>
        <v/>
      </c>
      <c r="F185" s="23" t="str">
        <f aca="false">IF($A185="","",$D185-$E185)</f>
        <v/>
      </c>
      <c r="G185" s="17" t="str">
        <f aca="false">IF($A185="","",IF(COUNTIFS(결제내역!$B$3:$B$1002,$A185)=0,"",_xlfn.MAXIFS(결제내역!$G$3:$G$1002,결제내역!$B$3:$B$1002,$A185)))</f>
        <v/>
      </c>
      <c r="H185" s="24" t="str">
        <f aca="true">IF(OR($A185="",$G185=""),"",$G185-TODAY())</f>
        <v/>
      </c>
      <c r="I185" s="16" t="str">
        <f aca="false">IF($A185="","",SUMIFS(결제내역!$H$3:$H$1002,결제내역!$B$3:$B$1002,$A185))</f>
        <v/>
      </c>
      <c r="J185" s="25" t="str">
        <f aca="false">IF($A185="","",IF($D185=0,"미결제",IF($F185&lt;=0,"횟수소진",IF($H185="","",IF($H185&lt;0,"기간만료",IF(OR($F185&lt;=사용안내!$C$18,$H185&lt;=사용안내!$C$17),"재결제 안내","정상"))))))</f>
        <v/>
      </c>
    </row>
    <row r="186" customFormat="false" ht="15" hidden="false" customHeight="true" outlineLevel="0" collapsed="false">
      <c r="A186" s="15" t="str">
        <f aca="false">IF(회원명부!$A183="","",회원명부!$A183)</f>
        <v/>
      </c>
      <c r="B186" s="15" t="str">
        <f aca="false">IF($A186="","",회원명부!$B183)</f>
        <v/>
      </c>
      <c r="C186" s="15" t="str">
        <f aca="false">IF($A186="","",회원명부!$C183)</f>
        <v/>
      </c>
      <c r="D186" s="23" t="str">
        <f aca="false">IF($A186="","",SUMIFS(결제내역!$E$3:$E$1002,결제내역!$B$3:$B$1002,$A186))</f>
        <v/>
      </c>
      <c r="E186" s="23" t="str">
        <f aca="false">IF($A186="","",SUMIFS(사용내역!$D$3:$D$3002,사용내역!$B$3:$B$3002,$A186))</f>
        <v/>
      </c>
      <c r="F186" s="23" t="str">
        <f aca="false">IF($A186="","",$D186-$E186)</f>
        <v/>
      </c>
      <c r="G186" s="17" t="str">
        <f aca="false">IF($A186="","",IF(COUNTIFS(결제내역!$B$3:$B$1002,$A186)=0,"",_xlfn.MAXIFS(결제내역!$G$3:$G$1002,결제내역!$B$3:$B$1002,$A186)))</f>
        <v/>
      </c>
      <c r="H186" s="24" t="str">
        <f aca="true">IF(OR($A186="",$G186=""),"",$G186-TODAY())</f>
        <v/>
      </c>
      <c r="I186" s="16" t="str">
        <f aca="false">IF($A186="","",SUMIFS(결제내역!$H$3:$H$1002,결제내역!$B$3:$B$1002,$A186))</f>
        <v/>
      </c>
      <c r="J186" s="25" t="str">
        <f aca="false">IF($A186="","",IF($D186=0,"미결제",IF($F186&lt;=0,"횟수소진",IF($H186="","",IF($H186&lt;0,"기간만료",IF(OR($F186&lt;=사용안내!$C$18,$H186&lt;=사용안내!$C$17),"재결제 안내","정상"))))))</f>
        <v/>
      </c>
    </row>
    <row r="187" customFormat="false" ht="15" hidden="false" customHeight="true" outlineLevel="0" collapsed="false">
      <c r="A187" s="15" t="str">
        <f aca="false">IF(회원명부!$A184="","",회원명부!$A184)</f>
        <v/>
      </c>
      <c r="B187" s="15" t="str">
        <f aca="false">IF($A187="","",회원명부!$B184)</f>
        <v/>
      </c>
      <c r="C187" s="15" t="str">
        <f aca="false">IF($A187="","",회원명부!$C184)</f>
        <v/>
      </c>
      <c r="D187" s="23" t="str">
        <f aca="false">IF($A187="","",SUMIFS(결제내역!$E$3:$E$1002,결제내역!$B$3:$B$1002,$A187))</f>
        <v/>
      </c>
      <c r="E187" s="23" t="str">
        <f aca="false">IF($A187="","",SUMIFS(사용내역!$D$3:$D$3002,사용내역!$B$3:$B$3002,$A187))</f>
        <v/>
      </c>
      <c r="F187" s="23" t="str">
        <f aca="false">IF($A187="","",$D187-$E187)</f>
        <v/>
      </c>
      <c r="G187" s="17" t="str">
        <f aca="false">IF($A187="","",IF(COUNTIFS(결제내역!$B$3:$B$1002,$A187)=0,"",_xlfn.MAXIFS(결제내역!$G$3:$G$1002,결제내역!$B$3:$B$1002,$A187)))</f>
        <v/>
      </c>
      <c r="H187" s="24" t="str">
        <f aca="true">IF(OR($A187="",$G187=""),"",$G187-TODAY())</f>
        <v/>
      </c>
      <c r="I187" s="16" t="str">
        <f aca="false">IF($A187="","",SUMIFS(결제내역!$H$3:$H$1002,결제내역!$B$3:$B$1002,$A187))</f>
        <v/>
      </c>
      <c r="J187" s="25" t="str">
        <f aca="false">IF($A187="","",IF($D187=0,"미결제",IF($F187&lt;=0,"횟수소진",IF($H187="","",IF($H187&lt;0,"기간만료",IF(OR($F187&lt;=사용안내!$C$18,$H187&lt;=사용안내!$C$17),"재결제 안내","정상"))))))</f>
        <v/>
      </c>
    </row>
    <row r="188" customFormat="false" ht="15" hidden="false" customHeight="true" outlineLevel="0" collapsed="false">
      <c r="A188" s="15" t="str">
        <f aca="false">IF(회원명부!$A185="","",회원명부!$A185)</f>
        <v/>
      </c>
      <c r="B188" s="15" t="str">
        <f aca="false">IF($A188="","",회원명부!$B185)</f>
        <v/>
      </c>
      <c r="C188" s="15" t="str">
        <f aca="false">IF($A188="","",회원명부!$C185)</f>
        <v/>
      </c>
      <c r="D188" s="23" t="str">
        <f aca="false">IF($A188="","",SUMIFS(결제내역!$E$3:$E$1002,결제내역!$B$3:$B$1002,$A188))</f>
        <v/>
      </c>
      <c r="E188" s="23" t="str">
        <f aca="false">IF($A188="","",SUMIFS(사용내역!$D$3:$D$3002,사용내역!$B$3:$B$3002,$A188))</f>
        <v/>
      </c>
      <c r="F188" s="23" t="str">
        <f aca="false">IF($A188="","",$D188-$E188)</f>
        <v/>
      </c>
      <c r="G188" s="17" t="str">
        <f aca="false">IF($A188="","",IF(COUNTIFS(결제내역!$B$3:$B$1002,$A188)=0,"",_xlfn.MAXIFS(결제내역!$G$3:$G$1002,결제내역!$B$3:$B$1002,$A188)))</f>
        <v/>
      </c>
      <c r="H188" s="24" t="str">
        <f aca="true">IF(OR($A188="",$G188=""),"",$G188-TODAY())</f>
        <v/>
      </c>
      <c r="I188" s="16" t="str">
        <f aca="false">IF($A188="","",SUMIFS(결제내역!$H$3:$H$1002,결제내역!$B$3:$B$1002,$A188))</f>
        <v/>
      </c>
      <c r="J188" s="25" t="str">
        <f aca="false">IF($A188="","",IF($D188=0,"미결제",IF($F188&lt;=0,"횟수소진",IF($H188="","",IF($H188&lt;0,"기간만료",IF(OR($F188&lt;=사용안내!$C$18,$H188&lt;=사용안내!$C$17),"재결제 안내","정상"))))))</f>
        <v/>
      </c>
    </row>
    <row r="189" customFormat="false" ht="15" hidden="false" customHeight="true" outlineLevel="0" collapsed="false">
      <c r="A189" s="15" t="str">
        <f aca="false">IF(회원명부!$A186="","",회원명부!$A186)</f>
        <v/>
      </c>
      <c r="B189" s="15" t="str">
        <f aca="false">IF($A189="","",회원명부!$B186)</f>
        <v/>
      </c>
      <c r="C189" s="15" t="str">
        <f aca="false">IF($A189="","",회원명부!$C186)</f>
        <v/>
      </c>
      <c r="D189" s="23" t="str">
        <f aca="false">IF($A189="","",SUMIFS(결제내역!$E$3:$E$1002,결제내역!$B$3:$B$1002,$A189))</f>
        <v/>
      </c>
      <c r="E189" s="23" t="str">
        <f aca="false">IF($A189="","",SUMIFS(사용내역!$D$3:$D$3002,사용내역!$B$3:$B$3002,$A189))</f>
        <v/>
      </c>
      <c r="F189" s="23" t="str">
        <f aca="false">IF($A189="","",$D189-$E189)</f>
        <v/>
      </c>
      <c r="G189" s="17" t="str">
        <f aca="false">IF($A189="","",IF(COUNTIFS(결제내역!$B$3:$B$1002,$A189)=0,"",_xlfn.MAXIFS(결제내역!$G$3:$G$1002,결제내역!$B$3:$B$1002,$A189)))</f>
        <v/>
      </c>
      <c r="H189" s="24" t="str">
        <f aca="true">IF(OR($A189="",$G189=""),"",$G189-TODAY())</f>
        <v/>
      </c>
      <c r="I189" s="16" t="str">
        <f aca="false">IF($A189="","",SUMIFS(결제내역!$H$3:$H$1002,결제내역!$B$3:$B$1002,$A189))</f>
        <v/>
      </c>
      <c r="J189" s="25" t="str">
        <f aca="false">IF($A189="","",IF($D189=0,"미결제",IF($F189&lt;=0,"횟수소진",IF($H189="","",IF($H189&lt;0,"기간만료",IF(OR($F189&lt;=사용안내!$C$18,$H189&lt;=사용안내!$C$17),"재결제 안내","정상"))))))</f>
        <v/>
      </c>
    </row>
    <row r="190" customFormat="false" ht="15" hidden="false" customHeight="true" outlineLevel="0" collapsed="false">
      <c r="A190" s="15" t="str">
        <f aca="false">IF(회원명부!$A187="","",회원명부!$A187)</f>
        <v/>
      </c>
      <c r="B190" s="15" t="str">
        <f aca="false">IF($A190="","",회원명부!$B187)</f>
        <v/>
      </c>
      <c r="C190" s="15" t="str">
        <f aca="false">IF($A190="","",회원명부!$C187)</f>
        <v/>
      </c>
      <c r="D190" s="23" t="str">
        <f aca="false">IF($A190="","",SUMIFS(결제내역!$E$3:$E$1002,결제내역!$B$3:$B$1002,$A190))</f>
        <v/>
      </c>
      <c r="E190" s="23" t="str">
        <f aca="false">IF($A190="","",SUMIFS(사용내역!$D$3:$D$3002,사용내역!$B$3:$B$3002,$A190))</f>
        <v/>
      </c>
      <c r="F190" s="23" t="str">
        <f aca="false">IF($A190="","",$D190-$E190)</f>
        <v/>
      </c>
      <c r="G190" s="17" t="str">
        <f aca="false">IF($A190="","",IF(COUNTIFS(결제내역!$B$3:$B$1002,$A190)=0,"",_xlfn.MAXIFS(결제내역!$G$3:$G$1002,결제내역!$B$3:$B$1002,$A190)))</f>
        <v/>
      </c>
      <c r="H190" s="24" t="str">
        <f aca="true">IF(OR($A190="",$G190=""),"",$G190-TODAY())</f>
        <v/>
      </c>
      <c r="I190" s="16" t="str">
        <f aca="false">IF($A190="","",SUMIFS(결제내역!$H$3:$H$1002,결제내역!$B$3:$B$1002,$A190))</f>
        <v/>
      </c>
      <c r="J190" s="25" t="str">
        <f aca="false">IF($A190="","",IF($D190=0,"미결제",IF($F190&lt;=0,"횟수소진",IF($H190="","",IF($H190&lt;0,"기간만료",IF(OR($F190&lt;=사용안내!$C$18,$H190&lt;=사용안내!$C$17),"재결제 안내","정상"))))))</f>
        <v/>
      </c>
    </row>
    <row r="191" customFormat="false" ht="15" hidden="false" customHeight="true" outlineLevel="0" collapsed="false">
      <c r="A191" s="15" t="str">
        <f aca="false">IF(회원명부!$A188="","",회원명부!$A188)</f>
        <v/>
      </c>
      <c r="B191" s="15" t="str">
        <f aca="false">IF($A191="","",회원명부!$B188)</f>
        <v/>
      </c>
      <c r="C191" s="15" t="str">
        <f aca="false">IF($A191="","",회원명부!$C188)</f>
        <v/>
      </c>
      <c r="D191" s="23" t="str">
        <f aca="false">IF($A191="","",SUMIFS(결제내역!$E$3:$E$1002,결제내역!$B$3:$B$1002,$A191))</f>
        <v/>
      </c>
      <c r="E191" s="23" t="str">
        <f aca="false">IF($A191="","",SUMIFS(사용내역!$D$3:$D$3002,사용내역!$B$3:$B$3002,$A191))</f>
        <v/>
      </c>
      <c r="F191" s="23" t="str">
        <f aca="false">IF($A191="","",$D191-$E191)</f>
        <v/>
      </c>
      <c r="G191" s="17" t="str">
        <f aca="false">IF($A191="","",IF(COUNTIFS(결제내역!$B$3:$B$1002,$A191)=0,"",_xlfn.MAXIFS(결제내역!$G$3:$G$1002,결제내역!$B$3:$B$1002,$A191)))</f>
        <v/>
      </c>
      <c r="H191" s="24" t="str">
        <f aca="true">IF(OR($A191="",$G191=""),"",$G191-TODAY())</f>
        <v/>
      </c>
      <c r="I191" s="16" t="str">
        <f aca="false">IF($A191="","",SUMIFS(결제내역!$H$3:$H$1002,결제내역!$B$3:$B$1002,$A191))</f>
        <v/>
      </c>
      <c r="J191" s="25" t="str">
        <f aca="false">IF($A191="","",IF($D191=0,"미결제",IF($F191&lt;=0,"횟수소진",IF($H191="","",IF($H191&lt;0,"기간만료",IF(OR($F191&lt;=사용안내!$C$18,$H191&lt;=사용안내!$C$17),"재결제 안내","정상"))))))</f>
        <v/>
      </c>
    </row>
    <row r="192" customFormat="false" ht="15" hidden="false" customHeight="true" outlineLevel="0" collapsed="false">
      <c r="A192" s="15" t="str">
        <f aca="false">IF(회원명부!$A189="","",회원명부!$A189)</f>
        <v/>
      </c>
      <c r="B192" s="15" t="str">
        <f aca="false">IF($A192="","",회원명부!$B189)</f>
        <v/>
      </c>
      <c r="C192" s="15" t="str">
        <f aca="false">IF($A192="","",회원명부!$C189)</f>
        <v/>
      </c>
      <c r="D192" s="23" t="str">
        <f aca="false">IF($A192="","",SUMIFS(결제내역!$E$3:$E$1002,결제내역!$B$3:$B$1002,$A192))</f>
        <v/>
      </c>
      <c r="E192" s="23" t="str">
        <f aca="false">IF($A192="","",SUMIFS(사용내역!$D$3:$D$3002,사용내역!$B$3:$B$3002,$A192))</f>
        <v/>
      </c>
      <c r="F192" s="23" t="str">
        <f aca="false">IF($A192="","",$D192-$E192)</f>
        <v/>
      </c>
      <c r="G192" s="17" t="str">
        <f aca="false">IF($A192="","",IF(COUNTIFS(결제내역!$B$3:$B$1002,$A192)=0,"",_xlfn.MAXIFS(결제내역!$G$3:$G$1002,결제내역!$B$3:$B$1002,$A192)))</f>
        <v/>
      </c>
      <c r="H192" s="24" t="str">
        <f aca="true">IF(OR($A192="",$G192=""),"",$G192-TODAY())</f>
        <v/>
      </c>
      <c r="I192" s="16" t="str">
        <f aca="false">IF($A192="","",SUMIFS(결제내역!$H$3:$H$1002,결제내역!$B$3:$B$1002,$A192))</f>
        <v/>
      </c>
      <c r="J192" s="25" t="str">
        <f aca="false">IF($A192="","",IF($D192=0,"미결제",IF($F192&lt;=0,"횟수소진",IF($H192="","",IF($H192&lt;0,"기간만료",IF(OR($F192&lt;=사용안내!$C$18,$H192&lt;=사용안내!$C$17),"재결제 안내","정상"))))))</f>
        <v/>
      </c>
    </row>
    <row r="193" customFormat="false" ht="15" hidden="false" customHeight="true" outlineLevel="0" collapsed="false">
      <c r="A193" s="15" t="str">
        <f aca="false">IF(회원명부!$A190="","",회원명부!$A190)</f>
        <v/>
      </c>
      <c r="B193" s="15" t="str">
        <f aca="false">IF($A193="","",회원명부!$B190)</f>
        <v/>
      </c>
      <c r="C193" s="15" t="str">
        <f aca="false">IF($A193="","",회원명부!$C190)</f>
        <v/>
      </c>
      <c r="D193" s="23" t="str">
        <f aca="false">IF($A193="","",SUMIFS(결제내역!$E$3:$E$1002,결제내역!$B$3:$B$1002,$A193))</f>
        <v/>
      </c>
      <c r="E193" s="23" t="str">
        <f aca="false">IF($A193="","",SUMIFS(사용내역!$D$3:$D$3002,사용내역!$B$3:$B$3002,$A193))</f>
        <v/>
      </c>
      <c r="F193" s="23" t="str">
        <f aca="false">IF($A193="","",$D193-$E193)</f>
        <v/>
      </c>
      <c r="G193" s="17" t="str">
        <f aca="false">IF($A193="","",IF(COUNTIFS(결제내역!$B$3:$B$1002,$A193)=0,"",_xlfn.MAXIFS(결제내역!$G$3:$G$1002,결제내역!$B$3:$B$1002,$A193)))</f>
        <v/>
      </c>
      <c r="H193" s="24" t="str">
        <f aca="true">IF(OR($A193="",$G193=""),"",$G193-TODAY())</f>
        <v/>
      </c>
      <c r="I193" s="16" t="str">
        <f aca="false">IF($A193="","",SUMIFS(결제내역!$H$3:$H$1002,결제내역!$B$3:$B$1002,$A193))</f>
        <v/>
      </c>
      <c r="J193" s="25" t="str">
        <f aca="false">IF($A193="","",IF($D193=0,"미결제",IF($F193&lt;=0,"횟수소진",IF($H193="","",IF($H193&lt;0,"기간만료",IF(OR($F193&lt;=사용안내!$C$18,$H193&lt;=사용안내!$C$17),"재결제 안내","정상"))))))</f>
        <v/>
      </c>
    </row>
    <row r="194" customFormat="false" ht="15" hidden="false" customHeight="true" outlineLevel="0" collapsed="false">
      <c r="A194" s="15" t="str">
        <f aca="false">IF(회원명부!$A191="","",회원명부!$A191)</f>
        <v/>
      </c>
      <c r="B194" s="15" t="str">
        <f aca="false">IF($A194="","",회원명부!$B191)</f>
        <v/>
      </c>
      <c r="C194" s="15" t="str">
        <f aca="false">IF($A194="","",회원명부!$C191)</f>
        <v/>
      </c>
      <c r="D194" s="23" t="str">
        <f aca="false">IF($A194="","",SUMIFS(결제내역!$E$3:$E$1002,결제내역!$B$3:$B$1002,$A194))</f>
        <v/>
      </c>
      <c r="E194" s="23" t="str">
        <f aca="false">IF($A194="","",SUMIFS(사용내역!$D$3:$D$3002,사용내역!$B$3:$B$3002,$A194))</f>
        <v/>
      </c>
      <c r="F194" s="23" t="str">
        <f aca="false">IF($A194="","",$D194-$E194)</f>
        <v/>
      </c>
      <c r="G194" s="17" t="str">
        <f aca="false">IF($A194="","",IF(COUNTIFS(결제내역!$B$3:$B$1002,$A194)=0,"",_xlfn.MAXIFS(결제내역!$G$3:$G$1002,결제내역!$B$3:$B$1002,$A194)))</f>
        <v/>
      </c>
      <c r="H194" s="24" t="str">
        <f aca="true">IF(OR($A194="",$G194=""),"",$G194-TODAY())</f>
        <v/>
      </c>
      <c r="I194" s="16" t="str">
        <f aca="false">IF($A194="","",SUMIFS(결제내역!$H$3:$H$1002,결제내역!$B$3:$B$1002,$A194))</f>
        <v/>
      </c>
      <c r="J194" s="25" t="str">
        <f aca="false">IF($A194="","",IF($D194=0,"미결제",IF($F194&lt;=0,"횟수소진",IF($H194="","",IF($H194&lt;0,"기간만료",IF(OR($F194&lt;=사용안내!$C$18,$H194&lt;=사용안내!$C$17),"재결제 안내","정상"))))))</f>
        <v/>
      </c>
    </row>
    <row r="195" customFormat="false" ht="15" hidden="false" customHeight="true" outlineLevel="0" collapsed="false">
      <c r="A195" s="15" t="str">
        <f aca="false">IF(회원명부!$A192="","",회원명부!$A192)</f>
        <v/>
      </c>
      <c r="B195" s="15" t="str">
        <f aca="false">IF($A195="","",회원명부!$B192)</f>
        <v/>
      </c>
      <c r="C195" s="15" t="str">
        <f aca="false">IF($A195="","",회원명부!$C192)</f>
        <v/>
      </c>
      <c r="D195" s="23" t="str">
        <f aca="false">IF($A195="","",SUMIFS(결제내역!$E$3:$E$1002,결제내역!$B$3:$B$1002,$A195))</f>
        <v/>
      </c>
      <c r="E195" s="23" t="str">
        <f aca="false">IF($A195="","",SUMIFS(사용내역!$D$3:$D$3002,사용내역!$B$3:$B$3002,$A195))</f>
        <v/>
      </c>
      <c r="F195" s="23" t="str">
        <f aca="false">IF($A195="","",$D195-$E195)</f>
        <v/>
      </c>
      <c r="G195" s="17" t="str">
        <f aca="false">IF($A195="","",IF(COUNTIFS(결제내역!$B$3:$B$1002,$A195)=0,"",_xlfn.MAXIFS(결제내역!$G$3:$G$1002,결제내역!$B$3:$B$1002,$A195)))</f>
        <v/>
      </c>
      <c r="H195" s="24" t="str">
        <f aca="true">IF(OR($A195="",$G195=""),"",$G195-TODAY())</f>
        <v/>
      </c>
      <c r="I195" s="16" t="str">
        <f aca="false">IF($A195="","",SUMIFS(결제내역!$H$3:$H$1002,결제내역!$B$3:$B$1002,$A195))</f>
        <v/>
      </c>
      <c r="J195" s="25" t="str">
        <f aca="false">IF($A195="","",IF($D195=0,"미결제",IF($F195&lt;=0,"횟수소진",IF($H195="","",IF($H195&lt;0,"기간만료",IF(OR($F195&lt;=사용안내!$C$18,$H195&lt;=사용안내!$C$17),"재결제 안내","정상"))))))</f>
        <v/>
      </c>
    </row>
    <row r="196" customFormat="false" ht="15" hidden="false" customHeight="true" outlineLevel="0" collapsed="false">
      <c r="A196" s="15" t="str">
        <f aca="false">IF(회원명부!$A193="","",회원명부!$A193)</f>
        <v/>
      </c>
      <c r="B196" s="15" t="str">
        <f aca="false">IF($A196="","",회원명부!$B193)</f>
        <v/>
      </c>
      <c r="C196" s="15" t="str">
        <f aca="false">IF($A196="","",회원명부!$C193)</f>
        <v/>
      </c>
      <c r="D196" s="23" t="str">
        <f aca="false">IF($A196="","",SUMIFS(결제내역!$E$3:$E$1002,결제내역!$B$3:$B$1002,$A196))</f>
        <v/>
      </c>
      <c r="E196" s="23" t="str">
        <f aca="false">IF($A196="","",SUMIFS(사용내역!$D$3:$D$3002,사용내역!$B$3:$B$3002,$A196))</f>
        <v/>
      </c>
      <c r="F196" s="23" t="str">
        <f aca="false">IF($A196="","",$D196-$E196)</f>
        <v/>
      </c>
      <c r="G196" s="17" t="str">
        <f aca="false">IF($A196="","",IF(COUNTIFS(결제내역!$B$3:$B$1002,$A196)=0,"",_xlfn.MAXIFS(결제내역!$G$3:$G$1002,결제내역!$B$3:$B$1002,$A196)))</f>
        <v/>
      </c>
      <c r="H196" s="24" t="str">
        <f aca="true">IF(OR($A196="",$G196=""),"",$G196-TODAY())</f>
        <v/>
      </c>
      <c r="I196" s="16" t="str">
        <f aca="false">IF($A196="","",SUMIFS(결제내역!$H$3:$H$1002,결제내역!$B$3:$B$1002,$A196))</f>
        <v/>
      </c>
      <c r="J196" s="25" t="str">
        <f aca="false">IF($A196="","",IF($D196=0,"미결제",IF($F196&lt;=0,"횟수소진",IF($H196="","",IF($H196&lt;0,"기간만료",IF(OR($F196&lt;=사용안내!$C$18,$H196&lt;=사용안내!$C$17),"재결제 안내","정상"))))))</f>
        <v/>
      </c>
    </row>
    <row r="197" customFormat="false" ht="15" hidden="false" customHeight="true" outlineLevel="0" collapsed="false">
      <c r="A197" s="15" t="str">
        <f aca="false">IF(회원명부!$A194="","",회원명부!$A194)</f>
        <v/>
      </c>
      <c r="B197" s="15" t="str">
        <f aca="false">IF($A197="","",회원명부!$B194)</f>
        <v/>
      </c>
      <c r="C197" s="15" t="str">
        <f aca="false">IF($A197="","",회원명부!$C194)</f>
        <v/>
      </c>
      <c r="D197" s="23" t="str">
        <f aca="false">IF($A197="","",SUMIFS(결제내역!$E$3:$E$1002,결제내역!$B$3:$B$1002,$A197))</f>
        <v/>
      </c>
      <c r="E197" s="23" t="str">
        <f aca="false">IF($A197="","",SUMIFS(사용내역!$D$3:$D$3002,사용내역!$B$3:$B$3002,$A197))</f>
        <v/>
      </c>
      <c r="F197" s="23" t="str">
        <f aca="false">IF($A197="","",$D197-$E197)</f>
        <v/>
      </c>
      <c r="G197" s="17" t="str">
        <f aca="false">IF($A197="","",IF(COUNTIFS(결제내역!$B$3:$B$1002,$A197)=0,"",_xlfn.MAXIFS(결제내역!$G$3:$G$1002,결제내역!$B$3:$B$1002,$A197)))</f>
        <v/>
      </c>
      <c r="H197" s="24" t="str">
        <f aca="true">IF(OR($A197="",$G197=""),"",$G197-TODAY())</f>
        <v/>
      </c>
      <c r="I197" s="16" t="str">
        <f aca="false">IF($A197="","",SUMIFS(결제내역!$H$3:$H$1002,결제내역!$B$3:$B$1002,$A197))</f>
        <v/>
      </c>
      <c r="J197" s="25" t="str">
        <f aca="false">IF($A197="","",IF($D197=0,"미결제",IF($F197&lt;=0,"횟수소진",IF($H197="","",IF($H197&lt;0,"기간만료",IF(OR($F197&lt;=사용안내!$C$18,$H197&lt;=사용안내!$C$17),"재결제 안내","정상"))))))</f>
        <v/>
      </c>
    </row>
    <row r="198" customFormat="false" ht="15" hidden="false" customHeight="true" outlineLevel="0" collapsed="false">
      <c r="A198" s="15" t="str">
        <f aca="false">IF(회원명부!$A195="","",회원명부!$A195)</f>
        <v/>
      </c>
      <c r="B198" s="15" t="str">
        <f aca="false">IF($A198="","",회원명부!$B195)</f>
        <v/>
      </c>
      <c r="C198" s="15" t="str">
        <f aca="false">IF($A198="","",회원명부!$C195)</f>
        <v/>
      </c>
      <c r="D198" s="23" t="str">
        <f aca="false">IF($A198="","",SUMIFS(결제내역!$E$3:$E$1002,결제내역!$B$3:$B$1002,$A198))</f>
        <v/>
      </c>
      <c r="E198" s="23" t="str">
        <f aca="false">IF($A198="","",SUMIFS(사용내역!$D$3:$D$3002,사용내역!$B$3:$B$3002,$A198))</f>
        <v/>
      </c>
      <c r="F198" s="23" t="str">
        <f aca="false">IF($A198="","",$D198-$E198)</f>
        <v/>
      </c>
      <c r="G198" s="17" t="str">
        <f aca="false">IF($A198="","",IF(COUNTIFS(결제내역!$B$3:$B$1002,$A198)=0,"",_xlfn.MAXIFS(결제내역!$G$3:$G$1002,결제내역!$B$3:$B$1002,$A198)))</f>
        <v/>
      </c>
      <c r="H198" s="24" t="str">
        <f aca="true">IF(OR($A198="",$G198=""),"",$G198-TODAY())</f>
        <v/>
      </c>
      <c r="I198" s="16" t="str">
        <f aca="false">IF($A198="","",SUMIFS(결제내역!$H$3:$H$1002,결제내역!$B$3:$B$1002,$A198))</f>
        <v/>
      </c>
      <c r="J198" s="25" t="str">
        <f aca="false">IF($A198="","",IF($D198=0,"미결제",IF($F198&lt;=0,"횟수소진",IF($H198="","",IF($H198&lt;0,"기간만료",IF(OR($F198&lt;=사용안내!$C$18,$H198&lt;=사용안내!$C$17),"재결제 안내","정상"))))))</f>
        <v/>
      </c>
    </row>
    <row r="199" customFormat="false" ht="15" hidden="false" customHeight="true" outlineLevel="0" collapsed="false">
      <c r="A199" s="15" t="str">
        <f aca="false">IF(회원명부!$A196="","",회원명부!$A196)</f>
        <v/>
      </c>
      <c r="B199" s="15" t="str">
        <f aca="false">IF($A199="","",회원명부!$B196)</f>
        <v/>
      </c>
      <c r="C199" s="15" t="str">
        <f aca="false">IF($A199="","",회원명부!$C196)</f>
        <v/>
      </c>
      <c r="D199" s="23" t="str">
        <f aca="false">IF($A199="","",SUMIFS(결제내역!$E$3:$E$1002,결제내역!$B$3:$B$1002,$A199))</f>
        <v/>
      </c>
      <c r="E199" s="23" t="str">
        <f aca="false">IF($A199="","",SUMIFS(사용내역!$D$3:$D$3002,사용내역!$B$3:$B$3002,$A199))</f>
        <v/>
      </c>
      <c r="F199" s="23" t="str">
        <f aca="false">IF($A199="","",$D199-$E199)</f>
        <v/>
      </c>
      <c r="G199" s="17" t="str">
        <f aca="false">IF($A199="","",IF(COUNTIFS(결제내역!$B$3:$B$1002,$A199)=0,"",_xlfn.MAXIFS(결제내역!$G$3:$G$1002,결제내역!$B$3:$B$1002,$A199)))</f>
        <v/>
      </c>
      <c r="H199" s="24" t="str">
        <f aca="true">IF(OR($A199="",$G199=""),"",$G199-TODAY())</f>
        <v/>
      </c>
      <c r="I199" s="16" t="str">
        <f aca="false">IF($A199="","",SUMIFS(결제내역!$H$3:$H$1002,결제내역!$B$3:$B$1002,$A199))</f>
        <v/>
      </c>
      <c r="J199" s="25" t="str">
        <f aca="false">IF($A199="","",IF($D199=0,"미결제",IF($F199&lt;=0,"횟수소진",IF($H199="","",IF($H199&lt;0,"기간만료",IF(OR($F199&lt;=사용안내!$C$18,$H199&lt;=사용안내!$C$17),"재결제 안내","정상"))))))</f>
        <v/>
      </c>
    </row>
    <row r="200" customFormat="false" ht="15" hidden="false" customHeight="true" outlineLevel="0" collapsed="false">
      <c r="A200" s="15" t="str">
        <f aca="false">IF(회원명부!$A197="","",회원명부!$A197)</f>
        <v/>
      </c>
      <c r="B200" s="15" t="str">
        <f aca="false">IF($A200="","",회원명부!$B197)</f>
        <v/>
      </c>
      <c r="C200" s="15" t="str">
        <f aca="false">IF($A200="","",회원명부!$C197)</f>
        <v/>
      </c>
      <c r="D200" s="23" t="str">
        <f aca="false">IF($A200="","",SUMIFS(결제내역!$E$3:$E$1002,결제내역!$B$3:$B$1002,$A200))</f>
        <v/>
      </c>
      <c r="E200" s="23" t="str">
        <f aca="false">IF($A200="","",SUMIFS(사용내역!$D$3:$D$3002,사용내역!$B$3:$B$3002,$A200))</f>
        <v/>
      </c>
      <c r="F200" s="23" t="str">
        <f aca="false">IF($A200="","",$D200-$E200)</f>
        <v/>
      </c>
      <c r="G200" s="17" t="str">
        <f aca="false">IF($A200="","",IF(COUNTIFS(결제내역!$B$3:$B$1002,$A200)=0,"",_xlfn.MAXIFS(결제내역!$G$3:$G$1002,결제내역!$B$3:$B$1002,$A200)))</f>
        <v/>
      </c>
      <c r="H200" s="24" t="str">
        <f aca="true">IF(OR($A200="",$G200=""),"",$G200-TODAY())</f>
        <v/>
      </c>
      <c r="I200" s="16" t="str">
        <f aca="false">IF($A200="","",SUMIFS(결제내역!$H$3:$H$1002,결제내역!$B$3:$B$1002,$A200))</f>
        <v/>
      </c>
      <c r="J200" s="25" t="str">
        <f aca="false">IF($A200="","",IF($D200=0,"미결제",IF($F200&lt;=0,"횟수소진",IF($H200="","",IF($H200&lt;0,"기간만료",IF(OR($F200&lt;=사용안내!$C$18,$H200&lt;=사용안내!$C$17),"재결제 안내","정상"))))))</f>
        <v/>
      </c>
    </row>
    <row r="201" customFormat="false" ht="15" hidden="false" customHeight="true" outlineLevel="0" collapsed="false">
      <c r="A201" s="15" t="str">
        <f aca="false">IF(회원명부!$A198="","",회원명부!$A198)</f>
        <v/>
      </c>
      <c r="B201" s="15" t="str">
        <f aca="false">IF($A201="","",회원명부!$B198)</f>
        <v/>
      </c>
      <c r="C201" s="15" t="str">
        <f aca="false">IF($A201="","",회원명부!$C198)</f>
        <v/>
      </c>
      <c r="D201" s="23" t="str">
        <f aca="false">IF($A201="","",SUMIFS(결제내역!$E$3:$E$1002,결제내역!$B$3:$B$1002,$A201))</f>
        <v/>
      </c>
      <c r="E201" s="23" t="str">
        <f aca="false">IF($A201="","",SUMIFS(사용내역!$D$3:$D$3002,사용내역!$B$3:$B$3002,$A201))</f>
        <v/>
      </c>
      <c r="F201" s="23" t="str">
        <f aca="false">IF($A201="","",$D201-$E201)</f>
        <v/>
      </c>
      <c r="G201" s="17" t="str">
        <f aca="false">IF($A201="","",IF(COUNTIFS(결제내역!$B$3:$B$1002,$A201)=0,"",_xlfn.MAXIFS(결제내역!$G$3:$G$1002,결제내역!$B$3:$B$1002,$A201)))</f>
        <v/>
      </c>
      <c r="H201" s="24" t="str">
        <f aca="true">IF(OR($A201="",$G201=""),"",$G201-TODAY())</f>
        <v/>
      </c>
      <c r="I201" s="16" t="str">
        <f aca="false">IF($A201="","",SUMIFS(결제내역!$H$3:$H$1002,결제내역!$B$3:$B$1002,$A201))</f>
        <v/>
      </c>
      <c r="J201" s="25" t="str">
        <f aca="false">IF($A201="","",IF($D201=0,"미결제",IF($F201&lt;=0,"횟수소진",IF($H201="","",IF($H201&lt;0,"기간만료",IF(OR($F201&lt;=사용안내!$C$18,$H201&lt;=사용안내!$C$17),"재결제 안내","정상"))))))</f>
        <v/>
      </c>
    </row>
    <row r="202" customFormat="false" ht="15" hidden="false" customHeight="true" outlineLevel="0" collapsed="false">
      <c r="A202" s="15" t="str">
        <f aca="false">IF(회원명부!$A199="","",회원명부!$A199)</f>
        <v/>
      </c>
      <c r="B202" s="15" t="str">
        <f aca="false">IF($A202="","",회원명부!$B199)</f>
        <v/>
      </c>
      <c r="C202" s="15" t="str">
        <f aca="false">IF($A202="","",회원명부!$C199)</f>
        <v/>
      </c>
      <c r="D202" s="23" t="str">
        <f aca="false">IF($A202="","",SUMIFS(결제내역!$E$3:$E$1002,결제내역!$B$3:$B$1002,$A202))</f>
        <v/>
      </c>
      <c r="E202" s="23" t="str">
        <f aca="false">IF($A202="","",SUMIFS(사용내역!$D$3:$D$3002,사용내역!$B$3:$B$3002,$A202))</f>
        <v/>
      </c>
      <c r="F202" s="23" t="str">
        <f aca="false">IF($A202="","",$D202-$E202)</f>
        <v/>
      </c>
      <c r="G202" s="17" t="str">
        <f aca="false">IF($A202="","",IF(COUNTIFS(결제내역!$B$3:$B$1002,$A202)=0,"",_xlfn.MAXIFS(결제내역!$G$3:$G$1002,결제내역!$B$3:$B$1002,$A202)))</f>
        <v/>
      </c>
      <c r="H202" s="24" t="str">
        <f aca="true">IF(OR($A202="",$G202=""),"",$G202-TODAY())</f>
        <v/>
      </c>
      <c r="I202" s="16" t="str">
        <f aca="false">IF($A202="","",SUMIFS(결제내역!$H$3:$H$1002,결제내역!$B$3:$B$1002,$A202))</f>
        <v/>
      </c>
      <c r="J202" s="25" t="str">
        <f aca="false">IF($A202="","",IF($D202=0,"미결제",IF($F202&lt;=0,"횟수소진",IF($H202="","",IF($H202&lt;0,"기간만료",IF(OR($F202&lt;=사용안내!$C$18,$H202&lt;=사용안내!$C$17),"재결제 안내","정상"))))))</f>
        <v/>
      </c>
    </row>
    <row r="203" customFormat="false" ht="15" hidden="false" customHeight="true" outlineLevel="0" collapsed="false">
      <c r="A203" s="15" t="str">
        <f aca="false">IF(회원명부!$A200="","",회원명부!$A200)</f>
        <v/>
      </c>
      <c r="B203" s="15" t="str">
        <f aca="false">IF($A203="","",회원명부!$B200)</f>
        <v/>
      </c>
      <c r="C203" s="15" t="str">
        <f aca="false">IF($A203="","",회원명부!$C200)</f>
        <v/>
      </c>
      <c r="D203" s="23" t="str">
        <f aca="false">IF($A203="","",SUMIFS(결제내역!$E$3:$E$1002,결제내역!$B$3:$B$1002,$A203))</f>
        <v/>
      </c>
      <c r="E203" s="23" t="str">
        <f aca="false">IF($A203="","",SUMIFS(사용내역!$D$3:$D$3002,사용내역!$B$3:$B$3002,$A203))</f>
        <v/>
      </c>
      <c r="F203" s="23" t="str">
        <f aca="false">IF($A203="","",$D203-$E203)</f>
        <v/>
      </c>
      <c r="G203" s="17" t="str">
        <f aca="false">IF($A203="","",IF(COUNTIFS(결제내역!$B$3:$B$1002,$A203)=0,"",_xlfn.MAXIFS(결제내역!$G$3:$G$1002,결제내역!$B$3:$B$1002,$A203)))</f>
        <v/>
      </c>
      <c r="H203" s="24" t="str">
        <f aca="true">IF(OR($A203="",$G203=""),"",$G203-TODAY())</f>
        <v/>
      </c>
      <c r="I203" s="16" t="str">
        <f aca="false">IF($A203="","",SUMIFS(결제내역!$H$3:$H$1002,결제내역!$B$3:$B$1002,$A203))</f>
        <v/>
      </c>
      <c r="J203" s="25" t="str">
        <f aca="false">IF($A203="","",IF($D203=0,"미결제",IF($F203&lt;=0,"횟수소진",IF($H203="","",IF($H203&lt;0,"기간만료",IF(OR($F203&lt;=사용안내!$C$18,$H203&lt;=사용안내!$C$17),"재결제 안내","정상"))))))</f>
        <v/>
      </c>
    </row>
    <row r="204" customFormat="false" ht="15" hidden="false" customHeight="true" outlineLevel="0" collapsed="false">
      <c r="A204" s="15" t="str">
        <f aca="false">IF(회원명부!$A201="","",회원명부!$A201)</f>
        <v/>
      </c>
      <c r="B204" s="15" t="str">
        <f aca="false">IF($A204="","",회원명부!$B201)</f>
        <v/>
      </c>
      <c r="C204" s="15" t="str">
        <f aca="false">IF($A204="","",회원명부!$C201)</f>
        <v/>
      </c>
      <c r="D204" s="23" t="str">
        <f aca="false">IF($A204="","",SUMIFS(결제내역!$E$3:$E$1002,결제내역!$B$3:$B$1002,$A204))</f>
        <v/>
      </c>
      <c r="E204" s="23" t="str">
        <f aca="false">IF($A204="","",SUMIFS(사용내역!$D$3:$D$3002,사용내역!$B$3:$B$3002,$A204))</f>
        <v/>
      </c>
      <c r="F204" s="23" t="str">
        <f aca="false">IF($A204="","",$D204-$E204)</f>
        <v/>
      </c>
      <c r="G204" s="17" t="str">
        <f aca="false">IF($A204="","",IF(COUNTIFS(결제내역!$B$3:$B$1002,$A204)=0,"",_xlfn.MAXIFS(결제내역!$G$3:$G$1002,결제내역!$B$3:$B$1002,$A204)))</f>
        <v/>
      </c>
      <c r="H204" s="24" t="str">
        <f aca="true">IF(OR($A204="",$G204=""),"",$G204-TODAY())</f>
        <v/>
      </c>
      <c r="I204" s="16" t="str">
        <f aca="false">IF($A204="","",SUMIFS(결제내역!$H$3:$H$1002,결제내역!$B$3:$B$1002,$A204))</f>
        <v/>
      </c>
      <c r="J204" s="25" t="str">
        <f aca="false">IF($A204="","",IF($D204=0,"미결제",IF($F204&lt;=0,"횟수소진",IF($H204="","",IF($H204&lt;0,"기간만료",IF(OR($F204&lt;=사용안내!$C$18,$H204&lt;=사용안내!$C$17),"재결제 안내","정상"))))))</f>
        <v/>
      </c>
    </row>
    <row r="205" customFormat="false" ht="15" hidden="false" customHeight="true" outlineLevel="0" collapsed="false">
      <c r="A205" s="15" t="str">
        <f aca="false">IF(회원명부!$A202="","",회원명부!$A202)</f>
        <v/>
      </c>
      <c r="B205" s="15" t="str">
        <f aca="false">IF($A205="","",회원명부!$B202)</f>
        <v/>
      </c>
      <c r="C205" s="15" t="str">
        <f aca="false">IF($A205="","",회원명부!$C202)</f>
        <v/>
      </c>
      <c r="D205" s="23" t="str">
        <f aca="false">IF($A205="","",SUMIFS(결제내역!$E$3:$E$1002,결제내역!$B$3:$B$1002,$A205))</f>
        <v/>
      </c>
      <c r="E205" s="23" t="str">
        <f aca="false">IF($A205="","",SUMIFS(사용내역!$D$3:$D$3002,사용내역!$B$3:$B$3002,$A205))</f>
        <v/>
      </c>
      <c r="F205" s="23" t="str">
        <f aca="false">IF($A205="","",$D205-$E205)</f>
        <v/>
      </c>
      <c r="G205" s="17" t="str">
        <f aca="false">IF($A205="","",IF(COUNTIFS(결제내역!$B$3:$B$1002,$A205)=0,"",_xlfn.MAXIFS(결제내역!$G$3:$G$1002,결제내역!$B$3:$B$1002,$A205)))</f>
        <v/>
      </c>
      <c r="H205" s="24" t="str">
        <f aca="true">IF(OR($A205="",$G205=""),"",$G205-TODAY())</f>
        <v/>
      </c>
      <c r="I205" s="16" t="str">
        <f aca="false">IF($A205="","",SUMIFS(결제내역!$H$3:$H$1002,결제내역!$B$3:$B$1002,$A205))</f>
        <v/>
      </c>
      <c r="J205" s="25" t="str">
        <f aca="false">IF($A205="","",IF($D205=0,"미결제",IF($F205&lt;=0,"횟수소진",IF($H205="","",IF($H205&lt;0,"기간만료",IF(OR($F205&lt;=사용안내!$C$18,$H205&lt;=사용안내!$C$17),"재결제 안내","정상"))))))</f>
        <v/>
      </c>
    </row>
    <row r="206" customFormat="false" ht="15" hidden="false" customHeight="true" outlineLevel="0" collapsed="false">
      <c r="A206" s="15" t="str">
        <f aca="false">IF(회원명부!$A203="","",회원명부!$A203)</f>
        <v/>
      </c>
      <c r="B206" s="15" t="str">
        <f aca="false">IF($A206="","",회원명부!$B203)</f>
        <v/>
      </c>
      <c r="C206" s="15" t="str">
        <f aca="false">IF($A206="","",회원명부!$C203)</f>
        <v/>
      </c>
      <c r="D206" s="23" t="str">
        <f aca="false">IF($A206="","",SUMIFS(결제내역!$E$3:$E$1002,결제내역!$B$3:$B$1002,$A206))</f>
        <v/>
      </c>
      <c r="E206" s="23" t="str">
        <f aca="false">IF($A206="","",SUMIFS(사용내역!$D$3:$D$3002,사용내역!$B$3:$B$3002,$A206))</f>
        <v/>
      </c>
      <c r="F206" s="23" t="str">
        <f aca="false">IF($A206="","",$D206-$E206)</f>
        <v/>
      </c>
      <c r="G206" s="17" t="str">
        <f aca="false">IF($A206="","",IF(COUNTIFS(결제내역!$B$3:$B$1002,$A206)=0,"",_xlfn.MAXIFS(결제내역!$G$3:$G$1002,결제내역!$B$3:$B$1002,$A206)))</f>
        <v/>
      </c>
      <c r="H206" s="24" t="str">
        <f aca="true">IF(OR($A206="",$G206=""),"",$G206-TODAY())</f>
        <v/>
      </c>
      <c r="I206" s="16" t="str">
        <f aca="false">IF($A206="","",SUMIFS(결제내역!$H$3:$H$1002,결제내역!$B$3:$B$1002,$A206))</f>
        <v/>
      </c>
      <c r="J206" s="25" t="str">
        <f aca="false">IF($A206="","",IF($D206=0,"미결제",IF($F206&lt;=0,"횟수소진",IF($H206="","",IF($H206&lt;0,"기간만료",IF(OR($F206&lt;=사용안내!$C$18,$H206&lt;=사용안내!$C$17),"재결제 안내","정상"))))))</f>
        <v/>
      </c>
    </row>
    <row r="207" customFormat="false" ht="15" hidden="false" customHeight="true" outlineLevel="0" collapsed="false">
      <c r="A207" s="15" t="str">
        <f aca="false">IF(회원명부!$A204="","",회원명부!$A204)</f>
        <v/>
      </c>
      <c r="B207" s="15" t="str">
        <f aca="false">IF($A207="","",회원명부!$B204)</f>
        <v/>
      </c>
      <c r="C207" s="15" t="str">
        <f aca="false">IF($A207="","",회원명부!$C204)</f>
        <v/>
      </c>
      <c r="D207" s="23" t="str">
        <f aca="false">IF($A207="","",SUMIFS(결제내역!$E$3:$E$1002,결제내역!$B$3:$B$1002,$A207))</f>
        <v/>
      </c>
      <c r="E207" s="23" t="str">
        <f aca="false">IF($A207="","",SUMIFS(사용내역!$D$3:$D$3002,사용내역!$B$3:$B$3002,$A207))</f>
        <v/>
      </c>
      <c r="F207" s="23" t="str">
        <f aca="false">IF($A207="","",$D207-$E207)</f>
        <v/>
      </c>
      <c r="G207" s="17" t="str">
        <f aca="false">IF($A207="","",IF(COUNTIFS(결제내역!$B$3:$B$1002,$A207)=0,"",_xlfn.MAXIFS(결제내역!$G$3:$G$1002,결제내역!$B$3:$B$1002,$A207)))</f>
        <v/>
      </c>
      <c r="H207" s="24" t="str">
        <f aca="true">IF(OR($A207="",$G207=""),"",$G207-TODAY())</f>
        <v/>
      </c>
      <c r="I207" s="16" t="str">
        <f aca="false">IF($A207="","",SUMIFS(결제내역!$H$3:$H$1002,결제내역!$B$3:$B$1002,$A207))</f>
        <v/>
      </c>
      <c r="J207" s="25" t="str">
        <f aca="false">IF($A207="","",IF($D207=0,"미결제",IF($F207&lt;=0,"횟수소진",IF($H207="","",IF($H207&lt;0,"기간만료",IF(OR($F207&lt;=사용안내!$C$18,$H207&lt;=사용안내!$C$17),"재결제 안내","정상"))))))</f>
        <v/>
      </c>
    </row>
    <row r="208" customFormat="false" ht="15" hidden="false" customHeight="true" outlineLevel="0" collapsed="false">
      <c r="A208" s="15" t="str">
        <f aca="false">IF(회원명부!$A205="","",회원명부!$A205)</f>
        <v/>
      </c>
      <c r="B208" s="15" t="str">
        <f aca="false">IF($A208="","",회원명부!$B205)</f>
        <v/>
      </c>
      <c r="C208" s="15" t="str">
        <f aca="false">IF($A208="","",회원명부!$C205)</f>
        <v/>
      </c>
      <c r="D208" s="23" t="str">
        <f aca="false">IF($A208="","",SUMIFS(결제내역!$E$3:$E$1002,결제내역!$B$3:$B$1002,$A208))</f>
        <v/>
      </c>
      <c r="E208" s="23" t="str">
        <f aca="false">IF($A208="","",SUMIFS(사용내역!$D$3:$D$3002,사용내역!$B$3:$B$3002,$A208))</f>
        <v/>
      </c>
      <c r="F208" s="23" t="str">
        <f aca="false">IF($A208="","",$D208-$E208)</f>
        <v/>
      </c>
      <c r="G208" s="17" t="str">
        <f aca="false">IF($A208="","",IF(COUNTIFS(결제내역!$B$3:$B$1002,$A208)=0,"",_xlfn.MAXIFS(결제내역!$G$3:$G$1002,결제내역!$B$3:$B$1002,$A208)))</f>
        <v/>
      </c>
      <c r="H208" s="24" t="str">
        <f aca="true">IF(OR($A208="",$G208=""),"",$G208-TODAY())</f>
        <v/>
      </c>
      <c r="I208" s="16" t="str">
        <f aca="false">IF($A208="","",SUMIFS(결제내역!$H$3:$H$1002,결제내역!$B$3:$B$1002,$A208))</f>
        <v/>
      </c>
      <c r="J208" s="25" t="str">
        <f aca="false">IF($A208="","",IF($D208=0,"미결제",IF($F208&lt;=0,"횟수소진",IF($H208="","",IF($H208&lt;0,"기간만료",IF(OR($F208&lt;=사용안내!$C$18,$H208&lt;=사용안내!$C$17),"재결제 안내","정상"))))))</f>
        <v/>
      </c>
    </row>
    <row r="209" customFormat="false" ht="15" hidden="false" customHeight="true" outlineLevel="0" collapsed="false">
      <c r="A209" s="15" t="str">
        <f aca="false">IF(회원명부!$A206="","",회원명부!$A206)</f>
        <v/>
      </c>
      <c r="B209" s="15" t="str">
        <f aca="false">IF($A209="","",회원명부!$B206)</f>
        <v/>
      </c>
      <c r="C209" s="15" t="str">
        <f aca="false">IF($A209="","",회원명부!$C206)</f>
        <v/>
      </c>
      <c r="D209" s="23" t="str">
        <f aca="false">IF($A209="","",SUMIFS(결제내역!$E$3:$E$1002,결제내역!$B$3:$B$1002,$A209))</f>
        <v/>
      </c>
      <c r="E209" s="23" t="str">
        <f aca="false">IF($A209="","",SUMIFS(사용내역!$D$3:$D$3002,사용내역!$B$3:$B$3002,$A209))</f>
        <v/>
      </c>
      <c r="F209" s="23" t="str">
        <f aca="false">IF($A209="","",$D209-$E209)</f>
        <v/>
      </c>
      <c r="G209" s="17" t="str">
        <f aca="false">IF($A209="","",IF(COUNTIFS(결제내역!$B$3:$B$1002,$A209)=0,"",_xlfn.MAXIFS(결제내역!$G$3:$G$1002,결제내역!$B$3:$B$1002,$A209)))</f>
        <v/>
      </c>
      <c r="H209" s="24" t="str">
        <f aca="true">IF(OR($A209="",$G209=""),"",$G209-TODAY())</f>
        <v/>
      </c>
      <c r="I209" s="16" t="str">
        <f aca="false">IF($A209="","",SUMIFS(결제내역!$H$3:$H$1002,결제내역!$B$3:$B$1002,$A209))</f>
        <v/>
      </c>
      <c r="J209" s="25" t="str">
        <f aca="false">IF($A209="","",IF($D209=0,"미결제",IF($F209&lt;=0,"횟수소진",IF($H209="","",IF($H209&lt;0,"기간만료",IF(OR($F209&lt;=사용안내!$C$18,$H209&lt;=사용안내!$C$17),"재결제 안내","정상"))))))</f>
        <v/>
      </c>
    </row>
    <row r="210" customFormat="false" ht="15" hidden="false" customHeight="true" outlineLevel="0" collapsed="false">
      <c r="A210" s="15" t="str">
        <f aca="false">IF(회원명부!$A207="","",회원명부!$A207)</f>
        <v/>
      </c>
      <c r="B210" s="15" t="str">
        <f aca="false">IF($A210="","",회원명부!$B207)</f>
        <v/>
      </c>
      <c r="C210" s="15" t="str">
        <f aca="false">IF($A210="","",회원명부!$C207)</f>
        <v/>
      </c>
      <c r="D210" s="23" t="str">
        <f aca="false">IF($A210="","",SUMIFS(결제내역!$E$3:$E$1002,결제내역!$B$3:$B$1002,$A210))</f>
        <v/>
      </c>
      <c r="E210" s="23" t="str">
        <f aca="false">IF($A210="","",SUMIFS(사용내역!$D$3:$D$3002,사용내역!$B$3:$B$3002,$A210))</f>
        <v/>
      </c>
      <c r="F210" s="23" t="str">
        <f aca="false">IF($A210="","",$D210-$E210)</f>
        <v/>
      </c>
      <c r="G210" s="17" t="str">
        <f aca="false">IF($A210="","",IF(COUNTIFS(결제내역!$B$3:$B$1002,$A210)=0,"",_xlfn.MAXIFS(결제내역!$G$3:$G$1002,결제내역!$B$3:$B$1002,$A210)))</f>
        <v/>
      </c>
      <c r="H210" s="24" t="str">
        <f aca="true">IF(OR($A210="",$G210=""),"",$G210-TODAY())</f>
        <v/>
      </c>
      <c r="I210" s="16" t="str">
        <f aca="false">IF($A210="","",SUMIFS(결제내역!$H$3:$H$1002,결제내역!$B$3:$B$1002,$A210))</f>
        <v/>
      </c>
      <c r="J210" s="25" t="str">
        <f aca="false">IF($A210="","",IF($D210=0,"미결제",IF($F210&lt;=0,"횟수소진",IF($H210="","",IF($H210&lt;0,"기간만료",IF(OR($F210&lt;=사용안내!$C$18,$H210&lt;=사용안내!$C$17),"재결제 안내","정상"))))))</f>
        <v/>
      </c>
    </row>
    <row r="211" customFormat="false" ht="15" hidden="false" customHeight="true" outlineLevel="0" collapsed="false">
      <c r="A211" s="15" t="str">
        <f aca="false">IF(회원명부!$A208="","",회원명부!$A208)</f>
        <v/>
      </c>
      <c r="B211" s="15" t="str">
        <f aca="false">IF($A211="","",회원명부!$B208)</f>
        <v/>
      </c>
      <c r="C211" s="15" t="str">
        <f aca="false">IF($A211="","",회원명부!$C208)</f>
        <v/>
      </c>
      <c r="D211" s="23" t="str">
        <f aca="false">IF($A211="","",SUMIFS(결제내역!$E$3:$E$1002,결제내역!$B$3:$B$1002,$A211))</f>
        <v/>
      </c>
      <c r="E211" s="23" t="str">
        <f aca="false">IF($A211="","",SUMIFS(사용내역!$D$3:$D$3002,사용내역!$B$3:$B$3002,$A211))</f>
        <v/>
      </c>
      <c r="F211" s="23" t="str">
        <f aca="false">IF($A211="","",$D211-$E211)</f>
        <v/>
      </c>
      <c r="G211" s="17" t="str">
        <f aca="false">IF($A211="","",IF(COUNTIFS(결제내역!$B$3:$B$1002,$A211)=0,"",_xlfn.MAXIFS(결제내역!$G$3:$G$1002,결제내역!$B$3:$B$1002,$A211)))</f>
        <v/>
      </c>
      <c r="H211" s="24" t="str">
        <f aca="true">IF(OR($A211="",$G211=""),"",$G211-TODAY())</f>
        <v/>
      </c>
      <c r="I211" s="16" t="str">
        <f aca="false">IF($A211="","",SUMIFS(결제내역!$H$3:$H$1002,결제내역!$B$3:$B$1002,$A211))</f>
        <v/>
      </c>
      <c r="J211" s="25" t="str">
        <f aca="false">IF($A211="","",IF($D211=0,"미결제",IF($F211&lt;=0,"횟수소진",IF($H211="","",IF($H211&lt;0,"기간만료",IF(OR($F211&lt;=사용안내!$C$18,$H211&lt;=사용안내!$C$17),"재결제 안내","정상"))))))</f>
        <v/>
      </c>
    </row>
    <row r="212" customFormat="false" ht="15" hidden="false" customHeight="true" outlineLevel="0" collapsed="false">
      <c r="A212" s="15" t="str">
        <f aca="false">IF(회원명부!$A209="","",회원명부!$A209)</f>
        <v/>
      </c>
      <c r="B212" s="15" t="str">
        <f aca="false">IF($A212="","",회원명부!$B209)</f>
        <v/>
      </c>
      <c r="C212" s="15" t="str">
        <f aca="false">IF($A212="","",회원명부!$C209)</f>
        <v/>
      </c>
      <c r="D212" s="23" t="str">
        <f aca="false">IF($A212="","",SUMIFS(결제내역!$E$3:$E$1002,결제내역!$B$3:$B$1002,$A212))</f>
        <v/>
      </c>
      <c r="E212" s="23" t="str">
        <f aca="false">IF($A212="","",SUMIFS(사용내역!$D$3:$D$3002,사용내역!$B$3:$B$3002,$A212))</f>
        <v/>
      </c>
      <c r="F212" s="23" t="str">
        <f aca="false">IF($A212="","",$D212-$E212)</f>
        <v/>
      </c>
      <c r="G212" s="17" t="str">
        <f aca="false">IF($A212="","",IF(COUNTIFS(결제내역!$B$3:$B$1002,$A212)=0,"",_xlfn.MAXIFS(결제내역!$G$3:$G$1002,결제내역!$B$3:$B$1002,$A212)))</f>
        <v/>
      </c>
      <c r="H212" s="24" t="str">
        <f aca="true">IF(OR($A212="",$G212=""),"",$G212-TODAY())</f>
        <v/>
      </c>
      <c r="I212" s="16" t="str">
        <f aca="false">IF($A212="","",SUMIFS(결제내역!$H$3:$H$1002,결제내역!$B$3:$B$1002,$A212))</f>
        <v/>
      </c>
      <c r="J212" s="25" t="str">
        <f aca="false">IF($A212="","",IF($D212=0,"미결제",IF($F212&lt;=0,"횟수소진",IF($H212="","",IF($H212&lt;0,"기간만료",IF(OR($F212&lt;=사용안내!$C$18,$H212&lt;=사용안내!$C$17),"재결제 안내","정상"))))))</f>
        <v/>
      </c>
    </row>
    <row r="213" customFormat="false" ht="15" hidden="false" customHeight="true" outlineLevel="0" collapsed="false">
      <c r="A213" s="15" t="str">
        <f aca="false">IF(회원명부!$A210="","",회원명부!$A210)</f>
        <v/>
      </c>
      <c r="B213" s="15" t="str">
        <f aca="false">IF($A213="","",회원명부!$B210)</f>
        <v/>
      </c>
      <c r="C213" s="15" t="str">
        <f aca="false">IF($A213="","",회원명부!$C210)</f>
        <v/>
      </c>
      <c r="D213" s="23" t="str">
        <f aca="false">IF($A213="","",SUMIFS(결제내역!$E$3:$E$1002,결제내역!$B$3:$B$1002,$A213))</f>
        <v/>
      </c>
      <c r="E213" s="23" t="str">
        <f aca="false">IF($A213="","",SUMIFS(사용내역!$D$3:$D$3002,사용내역!$B$3:$B$3002,$A213))</f>
        <v/>
      </c>
      <c r="F213" s="23" t="str">
        <f aca="false">IF($A213="","",$D213-$E213)</f>
        <v/>
      </c>
      <c r="G213" s="17" t="str">
        <f aca="false">IF($A213="","",IF(COUNTIFS(결제내역!$B$3:$B$1002,$A213)=0,"",_xlfn.MAXIFS(결제내역!$G$3:$G$1002,결제내역!$B$3:$B$1002,$A213)))</f>
        <v/>
      </c>
      <c r="H213" s="24" t="str">
        <f aca="true">IF(OR($A213="",$G213=""),"",$G213-TODAY())</f>
        <v/>
      </c>
      <c r="I213" s="16" t="str">
        <f aca="false">IF($A213="","",SUMIFS(결제내역!$H$3:$H$1002,결제내역!$B$3:$B$1002,$A213))</f>
        <v/>
      </c>
      <c r="J213" s="25" t="str">
        <f aca="false">IF($A213="","",IF($D213=0,"미결제",IF($F213&lt;=0,"횟수소진",IF($H213="","",IF($H213&lt;0,"기간만료",IF(OR($F213&lt;=사용안내!$C$18,$H213&lt;=사용안내!$C$17),"재결제 안내","정상"))))))</f>
        <v/>
      </c>
    </row>
    <row r="214" customFormat="false" ht="15" hidden="false" customHeight="true" outlineLevel="0" collapsed="false">
      <c r="A214" s="15" t="str">
        <f aca="false">IF(회원명부!$A211="","",회원명부!$A211)</f>
        <v/>
      </c>
      <c r="B214" s="15" t="str">
        <f aca="false">IF($A214="","",회원명부!$B211)</f>
        <v/>
      </c>
      <c r="C214" s="15" t="str">
        <f aca="false">IF($A214="","",회원명부!$C211)</f>
        <v/>
      </c>
      <c r="D214" s="23" t="str">
        <f aca="false">IF($A214="","",SUMIFS(결제내역!$E$3:$E$1002,결제내역!$B$3:$B$1002,$A214))</f>
        <v/>
      </c>
      <c r="E214" s="23" t="str">
        <f aca="false">IF($A214="","",SUMIFS(사용내역!$D$3:$D$3002,사용내역!$B$3:$B$3002,$A214))</f>
        <v/>
      </c>
      <c r="F214" s="23" t="str">
        <f aca="false">IF($A214="","",$D214-$E214)</f>
        <v/>
      </c>
      <c r="G214" s="17" t="str">
        <f aca="false">IF($A214="","",IF(COUNTIFS(결제내역!$B$3:$B$1002,$A214)=0,"",_xlfn.MAXIFS(결제내역!$G$3:$G$1002,결제내역!$B$3:$B$1002,$A214)))</f>
        <v/>
      </c>
      <c r="H214" s="24" t="str">
        <f aca="true">IF(OR($A214="",$G214=""),"",$G214-TODAY())</f>
        <v/>
      </c>
      <c r="I214" s="16" t="str">
        <f aca="false">IF($A214="","",SUMIFS(결제내역!$H$3:$H$1002,결제내역!$B$3:$B$1002,$A214))</f>
        <v/>
      </c>
      <c r="J214" s="25" t="str">
        <f aca="false">IF($A214="","",IF($D214=0,"미결제",IF($F214&lt;=0,"횟수소진",IF($H214="","",IF($H214&lt;0,"기간만료",IF(OR($F214&lt;=사용안내!$C$18,$H214&lt;=사용안내!$C$17),"재결제 안내","정상"))))))</f>
        <v/>
      </c>
    </row>
    <row r="215" customFormat="false" ht="15" hidden="false" customHeight="true" outlineLevel="0" collapsed="false">
      <c r="A215" s="15" t="str">
        <f aca="false">IF(회원명부!$A212="","",회원명부!$A212)</f>
        <v/>
      </c>
      <c r="B215" s="15" t="str">
        <f aca="false">IF($A215="","",회원명부!$B212)</f>
        <v/>
      </c>
      <c r="C215" s="15" t="str">
        <f aca="false">IF($A215="","",회원명부!$C212)</f>
        <v/>
      </c>
      <c r="D215" s="23" t="str">
        <f aca="false">IF($A215="","",SUMIFS(결제내역!$E$3:$E$1002,결제내역!$B$3:$B$1002,$A215))</f>
        <v/>
      </c>
      <c r="E215" s="23" t="str">
        <f aca="false">IF($A215="","",SUMIFS(사용내역!$D$3:$D$3002,사용내역!$B$3:$B$3002,$A215))</f>
        <v/>
      </c>
      <c r="F215" s="23" t="str">
        <f aca="false">IF($A215="","",$D215-$E215)</f>
        <v/>
      </c>
      <c r="G215" s="17" t="str">
        <f aca="false">IF($A215="","",IF(COUNTIFS(결제내역!$B$3:$B$1002,$A215)=0,"",_xlfn.MAXIFS(결제내역!$G$3:$G$1002,결제내역!$B$3:$B$1002,$A215)))</f>
        <v/>
      </c>
      <c r="H215" s="24" t="str">
        <f aca="true">IF(OR($A215="",$G215=""),"",$G215-TODAY())</f>
        <v/>
      </c>
      <c r="I215" s="16" t="str">
        <f aca="false">IF($A215="","",SUMIFS(결제내역!$H$3:$H$1002,결제내역!$B$3:$B$1002,$A215))</f>
        <v/>
      </c>
      <c r="J215" s="25" t="str">
        <f aca="false">IF($A215="","",IF($D215=0,"미결제",IF($F215&lt;=0,"횟수소진",IF($H215="","",IF($H215&lt;0,"기간만료",IF(OR($F215&lt;=사용안내!$C$18,$H215&lt;=사용안내!$C$17),"재결제 안내","정상"))))))</f>
        <v/>
      </c>
    </row>
    <row r="216" customFormat="false" ht="15" hidden="false" customHeight="true" outlineLevel="0" collapsed="false">
      <c r="A216" s="15" t="str">
        <f aca="false">IF(회원명부!$A213="","",회원명부!$A213)</f>
        <v/>
      </c>
      <c r="B216" s="15" t="str">
        <f aca="false">IF($A216="","",회원명부!$B213)</f>
        <v/>
      </c>
      <c r="C216" s="15" t="str">
        <f aca="false">IF($A216="","",회원명부!$C213)</f>
        <v/>
      </c>
      <c r="D216" s="23" t="str">
        <f aca="false">IF($A216="","",SUMIFS(결제내역!$E$3:$E$1002,결제내역!$B$3:$B$1002,$A216))</f>
        <v/>
      </c>
      <c r="E216" s="23" t="str">
        <f aca="false">IF($A216="","",SUMIFS(사용내역!$D$3:$D$3002,사용내역!$B$3:$B$3002,$A216))</f>
        <v/>
      </c>
      <c r="F216" s="23" t="str">
        <f aca="false">IF($A216="","",$D216-$E216)</f>
        <v/>
      </c>
      <c r="G216" s="17" t="str">
        <f aca="false">IF($A216="","",IF(COUNTIFS(결제내역!$B$3:$B$1002,$A216)=0,"",_xlfn.MAXIFS(결제내역!$G$3:$G$1002,결제내역!$B$3:$B$1002,$A216)))</f>
        <v/>
      </c>
      <c r="H216" s="24" t="str">
        <f aca="true">IF(OR($A216="",$G216=""),"",$G216-TODAY())</f>
        <v/>
      </c>
      <c r="I216" s="16" t="str">
        <f aca="false">IF($A216="","",SUMIFS(결제내역!$H$3:$H$1002,결제내역!$B$3:$B$1002,$A216))</f>
        <v/>
      </c>
      <c r="J216" s="25" t="str">
        <f aca="false">IF($A216="","",IF($D216=0,"미결제",IF($F216&lt;=0,"횟수소진",IF($H216="","",IF($H216&lt;0,"기간만료",IF(OR($F216&lt;=사용안내!$C$18,$H216&lt;=사용안내!$C$17),"재결제 안내","정상"))))))</f>
        <v/>
      </c>
    </row>
    <row r="217" customFormat="false" ht="15" hidden="false" customHeight="true" outlineLevel="0" collapsed="false">
      <c r="A217" s="15" t="str">
        <f aca="false">IF(회원명부!$A214="","",회원명부!$A214)</f>
        <v/>
      </c>
      <c r="B217" s="15" t="str">
        <f aca="false">IF($A217="","",회원명부!$B214)</f>
        <v/>
      </c>
      <c r="C217" s="15" t="str">
        <f aca="false">IF($A217="","",회원명부!$C214)</f>
        <v/>
      </c>
      <c r="D217" s="23" t="str">
        <f aca="false">IF($A217="","",SUMIFS(결제내역!$E$3:$E$1002,결제내역!$B$3:$B$1002,$A217))</f>
        <v/>
      </c>
      <c r="E217" s="23" t="str">
        <f aca="false">IF($A217="","",SUMIFS(사용내역!$D$3:$D$3002,사용내역!$B$3:$B$3002,$A217))</f>
        <v/>
      </c>
      <c r="F217" s="23" t="str">
        <f aca="false">IF($A217="","",$D217-$E217)</f>
        <v/>
      </c>
      <c r="G217" s="17" t="str">
        <f aca="false">IF($A217="","",IF(COUNTIFS(결제내역!$B$3:$B$1002,$A217)=0,"",_xlfn.MAXIFS(결제내역!$G$3:$G$1002,결제내역!$B$3:$B$1002,$A217)))</f>
        <v/>
      </c>
      <c r="H217" s="24" t="str">
        <f aca="true">IF(OR($A217="",$G217=""),"",$G217-TODAY())</f>
        <v/>
      </c>
      <c r="I217" s="16" t="str">
        <f aca="false">IF($A217="","",SUMIFS(결제내역!$H$3:$H$1002,결제내역!$B$3:$B$1002,$A217))</f>
        <v/>
      </c>
      <c r="J217" s="25" t="str">
        <f aca="false">IF($A217="","",IF($D217=0,"미결제",IF($F217&lt;=0,"횟수소진",IF($H217="","",IF($H217&lt;0,"기간만료",IF(OR($F217&lt;=사용안내!$C$18,$H217&lt;=사용안내!$C$17),"재결제 안내","정상"))))))</f>
        <v/>
      </c>
    </row>
    <row r="218" customFormat="false" ht="15" hidden="false" customHeight="true" outlineLevel="0" collapsed="false">
      <c r="A218" s="15" t="str">
        <f aca="false">IF(회원명부!$A215="","",회원명부!$A215)</f>
        <v/>
      </c>
      <c r="B218" s="15" t="str">
        <f aca="false">IF($A218="","",회원명부!$B215)</f>
        <v/>
      </c>
      <c r="C218" s="15" t="str">
        <f aca="false">IF($A218="","",회원명부!$C215)</f>
        <v/>
      </c>
      <c r="D218" s="23" t="str">
        <f aca="false">IF($A218="","",SUMIFS(결제내역!$E$3:$E$1002,결제내역!$B$3:$B$1002,$A218))</f>
        <v/>
      </c>
      <c r="E218" s="23" t="str">
        <f aca="false">IF($A218="","",SUMIFS(사용내역!$D$3:$D$3002,사용내역!$B$3:$B$3002,$A218))</f>
        <v/>
      </c>
      <c r="F218" s="23" t="str">
        <f aca="false">IF($A218="","",$D218-$E218)</f>
        <v/>
      </c>
      <c r="G218" s="17" t="str">
        <f aca="false">IF($A218="","",IF(COUNTIFS(결제내역!$B$3:$B$1002,$A218)=0,"",_xlfn.MAXIFS(결제내역!$G$3:$G$1002,결제내역!$B$3:$B$1002,$A218)))</f>
        <v/>
      </c>
      <c r="H218" s="24" t="str">
        <f aca="true">IF(OR($A218="",$G218=""),"",$G218-TODAY())</f>
        <v/>
      </c>
      <c r="I218" s="16" t="str">
        <f aca="false">IF($A218="","",SUMIFS(결제내역!$H$3:$H$1002,결제내역!$B$3:$B$1002,$A218))</f>
        <v/>
      </c>
      <c r="J218" s="25" t="str">
        <f aca="false">IF($A218="","",IF($D218=0,"미결제",IF($F218&lt;=0,"횟수소진",IF($H218="","",IF($H218&lt;0,"기간만료",IF(OR($F218&lt;=사용안내!$C$18,$H218&lt;=사용안내!$C$17),"재결제 안내","정상"))))))</f>
        <v/>
      </c>
    </row>
    <row r="219" customFormat="false" ht="15" hidden="false" customHeight="true" outlineLevel="0" collapsed="false">
      <c r="A219" s="15" t="str">
        <f aca="false">IF(회원명부!$A216="","",회원명부!$A216)</f>
        <v/>
      </c>
      <c r="B219" s="15" t="str">
        <f aca="false">IF($A219="","",회원명부!$B216)</f>
        <v/>
      </c>
      <c r="C219" s="15" t="str">
        <f aca="false">IF($A219="","",회원명부!$C216)</f>
        <v/>
      </c>
      <c r="D219" s="23" t="str">
        <f aca="false">IF($A219="","",SUMIFS(결제내역!$E$3:$E$1002,결제내역!$B$3:$B$1002,$A219))</f>
        <v/>
      </c>
      <c r="E219" s="23" t="str">
        <f aca="false">IF($A219="","",SUMIFS(사용내역!$D$3:$D$3002,사용내역!$B$3:$B$3002,$A219))</f>
        <v/>
      </c>
      <c r="F219" s="23" t="str">
        <f aca="false">IF($A219="","",$D219-$E219)</f>
        <v/>
      </c>
      <c r="G219" s="17" t="str">
        <f aca="false">IF($A219="","",IF(COUNTIFS(결제내역!$B$3:$B$1002,$A219)=0,"",_xlfn.MAXIFS(결제내역!$G$3:$G$1002,결제내역!$B$3:$B$1002,$A219)))</f>
        <v/>
      </c>
      <c r="H219" s="24" t="str">
        <f aca="true">IF(OR($A219="",$G219=""),"",$G219-TODAY())</f>
        <v/>
      </c>
      <c r="I219" s="16" t="str">
        <f aca="false">IF($A219="","",SUMIFS(결제내역!$H$3:$H$1002,결제내역!$B$3:$B$1002,$A219))</f>
        <v/>
      </c>
      <c r="J219" s="25" t="str">
        <f aca="false">IF($A219="","",IF($D219=0,"미결제",IF($F219&lt;=0,"횟수소진",IF($H219="","",IF($H219&lt;0,"기간만료",IF(OR($F219&lt;=사용안내!$C$18,$H219&lt;=사용안내!$C$17),"재결제 안내","정상"))))))</f>
        <v/>
      </c>
    </row>
    <row r="220" customFormat="false" ht="15" hidden="false" customHeight="true" outlineLevel="0" collapsed="false">
      <c r="A220" s="15" t="str">
        <f aca="false">IF(회원명부!$A217="","",회원명부!$A217)</f>
        <v/>
      </c>
      <c r="B220" s="15" t="str">
        <f aca="false">IF($A220="","",회원명부!$B217)</f>
        <v/>
      </c>
      <c r="C220" s="15" t="str">
        <f aca="false">IF($A220="","",회원명부!$C217)</f>
        <v/>
      </c>
      <c r="D220" s="23" t="str">
        <f aca="false">IF($A220="","",SUMIFS(결제내역!$E$3:$E$1002,결제내역!$B$3:$B$1002,$A220))</f>
        <v/>
      </c>
      <c r="E220" s="23" t="str">
        <f aca="false">IF($A220="","",SUMIFS(사용내역!$D$3:$D$3002,사용내역!$B$3:$B$3002,$A220))</f>
        <v/>
      </c>
      <c r="F220" s="23" t="str">
        <f aca="false">IF($A220="","",$D220-$E220)</f>
        <v/>
      </c>
      <c r="G220" s="17" t="str">
        <f aca="false">IF($A220="","",IF(COUNTIFS(결제내역!$B$3:$B$1002,$A220)=0,"",_xlfn.MAXIFS(결제내역!$G$3:$G$1002,결제내역!$B$3:$B$1002,$A220)))</f>
        <v/>
      </c>
      <c r="H220" s="24" t="str">
        <f aca="true">IF(OR($A220="",$G220=""),"",$G220-TODAY())</f>
        <v/>
      </c>
      <c r="I220" s="16" t="str">
        <f aca="false">IF($A220="","",SUMIFS(결제내역!$H$3:$H$1002,결제내역!$B$3:$B$1002,$A220))</f>
        <v/>
      </c>
      <c r="J220" s="25" t="str">
        <f aca="false">IF($A220="","",IF($D220=0,"미결제",IF($F220&lt;=0,"횟수소진",IF($H220="","",IF($H220&lt;0,"기간만료",IF(OR($F220&lt;=사용안내!$C$18,$H220&lt;=사용안내!$C$17),"재결제 안내","정상"))))))</f>
        <v/>
      </c>
    </row>
    <row r="221" customFormat="false" ht="15" hidden="false" customHeight="true" outlineLevel="0" collapsed="false">
      <c r="A221" s="15" t="str">
        <f aca="false">IF(회원명부!$A218="","",회원명부!$A218)</f>
        <v/>
      </c>
      <c r="B221" s="15" t="str">
        <f aca="false">IF($A221="","",회원명부!$B218)</f>
        <v/>
      </c>
      <c r="C221" s="15" t="str">
        <f aca="false">IF($A221="","",회원명부!$C218)</f>
        <v/>
      </c>
      <c r="D221" s="23" t="str">
        <f aca="false">IF($A221="","",SUMIFS(결제내역!$E$3:$E$1002,결제내역!$B$3:$B$1002,$A221))</f>
        <v/>
      </c>
      <c r="E221" s="23" t="str">
        <f aca="false">IF($A221="","",SUMIFS(사용내역!$D$3:$D$3002,사용내역!$B$3:$B$3002,$A221))</f>
        <v/>
      </c>
      <c r="F221" s="23" t="str">
        <f aca="false">IF($A221="","",$D221-$E221)</f>
        <v/>
      </c>
      <c r="G221" s="17" t="str">
        <f aca="false">IF($A221="","",IF(COUNTIFS(결제내역!$B$3:$B$1002,$A221)=0,"",_xlfn.MAXIFS(결제내역!$G$3:$G$1002,결제내역!$B$3:$B$1002,$A221)))</f>
        <v/>
      </c>
      <c r="H221" s="24" t="str">
        <f aca="true">IF(OR($A221="",$G221=""),"",$G221-TODAY())</f>
        <v/>
      </c>
      <c r="I221" s="16" t="str">
        <f aca="false">IF($A221="","",SUMIFS(결제내역!$H$3:$H$1002,결제내역!$B$3:$B$1002,$A221))</f>
        <v/>
      </c>
      <c r="J221" s="25" t="str">
        <f aca="false">IF($A221="","",IF($D221=0,"미결제",IF($F221&lt;=0,"횟수소진",IF($H221="","",IF($H221&lt;0,"기간만료",IF(OR($F221&lt;=사용안내!$C$18,$H221&lt;=사용안내!$C$17),"재결제 안내","정상"))))))</f>
        <v/>
      </c>
    </row>
    <row r="222" customFormat="false" ht="15" hidden="false" customHeight="true" outlineLevel="0" collapsed="false">
      <c r="A222" s="15" t="str">
        <f aca="false">IF(회원명부!$A219="","",회원명부!$A219)</f>
        <v/>
      </c>
      <c r="B222" s="15" t="str">
        <f aca="false">IF($A222="","",회원명부!$B219)</f>
        <v/>
      </c>
      <c r="C222" s="15" t="str">
        <f aca="false">IF($A222="","",회원명부!$C219)</f>
        <v/>
      </c>
      <c r="D222" s="23" t="str">
        <f aca="false">IF($A222="","",SUMIFS(결제내역!$E$3:$E$1002,결제내역!$B$3:$B$1002,$A222))</f>
        <v/>
      </c>
      <c r="E222" s="23" t="str">
        <f aca="false">IF($A222="","",SUMIFS(사용내역!$D$3:$D$3002,사용내역!$B$3:$B$3002,$A222))</f>
        <v/>
      </c>
      <c r="F222" s="23" t="str">
        <f aca="false">IF($A222="","",$D222-$E222)</f>
        <v/>
      </c>
      <c r="G222" s="17" t="str">
        <f aca="false">IF($A222="","",IF(COUNTIFS(결제내역!$B$3:$B$1002,$A222)=0,"",_xlfn.MAXIFS(결제내역!$G$3:$G$1002,결제내역!$B$3:$B$1002,$A222)))</f>
        <v/>
      </c>
      <c r="H222" s="24" t="str">
        <f aca="true">IF(OR($A222="",$G222=""),"",$G222-TODAY())</f>
        <v/>
      </c>
      <c r="I222" s="16" t="str">
        <f aca="false">IF($A222="","",SUMIFS(결제내역!$H$3:$H$1002,결제내역!$B$3:$B$1002,$A222))</f>
        <v/>
      </c>
      <c r="J222" s="25" t="str">
        <f aca="false">IF($A222="","",IF($D222=0,"미결제",IF($F222&lt;=0,"횟수소진",IF($H222="","",IF($H222&lt;0,"기간만료",IF(OR($F222&lt;=사용안내!$C$18,$H222&lt;=사용안내!$C$17),"재결제 안내","정상"))))))</f>
        <v/>
      </c>
    </row>
    <row r="223" customFormat="false" ht="15" hidden="false" customHeight="true" outlineLevel="0" collapsed="false">
      <c r="A223" s="15" t="str">
        <f aca="false">IF(회원명부!$A220="","",회원명부!$A220)</f>
        <v/>
      </c>
      <c r="B223" s="15" t="str">
        <f aca="false">IF($A223="","",회원명부!$B220)</f>
        <v/>
      </c>
      <c r="C223" s="15" t="str">
        <f aca="false">IF($A223="","",회원명부!$C220)</f>
        <v/>
      </c>
      <c r="D223" s="23" t="str">
        <f aca="false">IF($A223="","",SUMIFS(결제내역!$E$3:$E$1002,결제내역!$B$3:$B$1002,$A223))</f>
        <v/>
      </c>
      <c r="E223" s="23" t="str">
        <f aca="false">IF($A223="","",SUMIFS(사용내역!$D$3:$D$3002,사용내역!$B$3:$B$3002,$A223))</f>
        <v/>
      </c>
      <c r="F223" s="23" t="str">
        <f aca="false">IF($A223="","",$D223-$E223)</f>
        <v/>
      </c>
      <c r="G223" s="17" t="str">
        <f aca="false">IF($A223="","",IF(COUNTIFS(결제내역!$B$3:$B$1002,$A223)=0,"",_xlfn.MAXIFS(결제내역!$G$3:$G$1002,결제내역!$B$3:$B$1002,$A223)))</f>
        <v/>
      </c>
      <c r="H223" s="24" t="str">
        <f aca="true">IF(OR($A223="",$G223=""),"",$G223-TODAY())</f>
        <v/>
      </c>
      <c r="I223" s="16" t="str">
        <f aca="false">IF($A223="","",SUMIFS(결제내역!$H$3:$H$1002,결제내역!$B$3:$B$1002,$A223))</f>
        <v/>
      </c>
      <c r="J223" s="25" t="str">
        <f aca="false">IF($A223="","",IF($D223=0,"미결제",IF($F223&lt;=0,"횟수소진",IF($H223="","",IF($H223&lt;0,"기간만료",IF(OR($F223&lt;=사용안내!$C$18,$H223&lt;=사용안내!$C$17),"재결제 안내","정상"))))))</f>
        <v/>
      </c>
    </row>
    <row r="224" customFormat="false" ht="15" hidden="false" customHeight="true" outlineLevel="0" collapsed="false">
      <c r="A224" s="15" t="str">
        <f aca="false">IF(회원명부!$A221="","",회원명부!$A221)</f>
        <v/>
      </c>
      <c r="B224" s="15" t="str">
        <f aca="false">IF($A224="","",회원명부!$B221)</f>
        <v/>
      </c>
      <c r="C224" s="15" t="str">
        <f aca="false">IF($A224="","",회원명부!$C221)</f>
        <v/>
      </c>
      <c r="D224" s="23" t="str">
        <f aca="false">IF($A224="","",SUMIFS(결제내역!$E$3:$E$1002,결제내역!$B$3:$B$1002,$A224))</f>
        <v/>
      </c>
      <c r="E224" s="23" t="str">
        <f aca="false">IF($A224="","",SUMIFS(사용내역!$D$3:$D$3002,사용내역!$B$3:$B$3002,$A224))</f>
        <v/>
      </c>
      <c r="F224" s="23" t="str">
        <f aca="false">IF($A224="","",$D224-$E224)</f>
        <v/>
      </c>
      <c r="G224" s="17" t="str">
        <f aca="false">IF($A224="","",IF(COUNTIFS(결제내역!$B$3:$B$1002,$A224)=0,"",_xlfn.MAXIFS(결제내역!$G$3:$G$1002,결제내역!$B$3:$B$1002,$A224)))</f>
        <v/>
      </c>
      <c r="H224" s="24" t="str">
        <f aca="true">IF(OR($A224="",$G224=""),"",$G224-TODAY())</f>
        <v/>
      </c>
      <c r="I224" s="16" t="str">
        <f aca="false">IF($A224="","",SUMIFS(결제내역!$H$3:$H$1002,결제내역!$B$3:$B$1002,$A224))</f>
        <v/>
      </c>
      <c r="J224" s="25" t="str">
        <f aca="false">IF($A224="","",IF($D224=0,"미결제",IF($F224&lt;=0,"횟수소진",IF($H224="","",IF($H224&lt;0,"기간만료",IF(OR($F224&lt;=사용안내!$C$18,$H224&lt;=사용안내!$C$17),"재결제 안내","정상"))))))</f>
        <v/>
      </c>
    </row>
    <row r="225" customFormat="false" ht="15" hidden="false" customHeight="true" outlineLevel="0" collapsed="false">
      <c r="A225" s="15" t="str">
        <f aca="false">IF(회원명부!$A222="","",회원명부!$A222)</f>
        <v/>
      </c>
      <c r="B225" s="15" t="str">
        <f aca="false">IF($A225="","",회원명부!$B222)</f>
        <v/>
      </c>
      <c r="C225" s="15" t="str">
        <f aca="false">IF($A225="","",회원명부!$C222)</f>
        <v/>
      </c>
      <c r="D225" s="23" t="str">
        <f aca="false">IF($A225="","",SUMIFS(결제내역!$E$3:$E$1002,결제내역!$B$3:$B$1002,$A225))</f>
        <v/>
      </c>
      <c r="E225" s="23" t="str">
        <f aca="false">IF($A225="","",SUMIFS(사용내역!$D$3:$D$3002,사용내역!$B$3:$B$3002,$A225))</f>
        <v/>
      </c>
      <c r="F225" s="23" t="str">
        <f aca="false">IF($A225="","",$D225-$E225)</f>
        <v/>
      </c>
      <c r="G225" s="17" t="str">
        <f aca="false">IF($A225="","",IF(COUNTIFS(결제내역!$B$3:$B$1002,$A225)=0,"",_xlfn.MAXIFS(결제내역!$G$3:$G$1002,결제내역!$B$3:$B$1002,$A225)))</f>
        <v/>
      </c>
      <c r="H225" s="24" t="str">
        <f aca="true">IF(OR($A225="",$G225=""),"",$G225-TODAY())</f>
        <v/>
      </c>
      <c r="I225" s="16" t="str">
        <f aca="false">IF($A225="","",SUMIFS(결제내역!$H$3:$H$1002,결제내역!$B$3:$B$1002,$A225))</f>
        <v/>
      </c>
      <c r="J225" s="25" t="str">
        <f aca="false">IF($A225="","",IF($D225=0,"미결제",IF($F225&lt;=0,"횟수소진",IF($H225="","",IF($H225&lt;0,"기간만료",IF(OR($F225&lt;=사용안내!$C$18,$H225&lt;=사용안내!$C$17),"재결제 안내","정상"))))))</f>
        <v/>
      </c>
    </row>
    <row r="226" customFormat="false" ht="15" hidden="false" customHeight="true" outlineLevel="0" collapsed="false">
      <c r="A226" s="15" t="str">
        <f aca="false">IF(회원명부!$A223="","",회원명부!$A223)</f>
        <v/>
      </c>
      <c r="B226" s="15" t="str">
        <f aca="false">IF($A226="","",회원명부!$B223)</f>
        <v/>
      </c>
      <c r="C226" s="15" t="str">
        <f aca="false">IF($A226="","",회원명부!$C223)</f>
        <v/>
      </c>
      <c r="D226" s="23" t="str">
        <f aca="false">IF($A226="","",SUMIFS(결제내역!$E$3:$E$1002,결제내역!$B$3:$B$1002,$A226))</f>
        <v/>
      </c>
      <c r="E226" s="23" t="str">
        <f aca="false">IF($A226="","",SUMIFS(사용내역!$D$3:$D$3002,사용내역!$B$3:$B$3002,$A226))</f>
        <v/>
      </c>
      <c r="F226" s="23" t="str">
        <f aca="false">IF($A226="","",$D226-$E226)</f>
        <v/>
      </c>
      <c r="G226" s="17" t="str">
        <f aca="false">IF($A226="","",IF(COUNTIFS(결제내역!$B$3:$B$1002,$A226)=0,"",_xlfn.MAXIFS(결제내역!$G$3:$G$1002,결제내역!$B$3:$B$1002,$A226)))</f>
        <v/>
      </c>
      <c r="H226" s="24" t="str">
        <f aca="true">IF(OR($A226="",$G226=""),"",$G226-TODAY())</f>
        <v/>
      </c>
      <c r="I226" s="16" t="str">
        <f aca="false">IF($A226="","",SUMIFS(결제내역!$H$3:$H$1002,결제내역!$B$3:$B$1002,$A226))</f>
        <v/>
      </c>
      <c r="J226" s="25" t="str">
        <f aca="false">IF($A226="","",IF($D226=0,"미결제",IF($F226&lt;=0,"횟수소진",IF($H226="","",IF($H226&lt;0,"기간만료",IF(OR($F226&lt;=사용안내!$C$18,$H226&lt;=사용안내!$C$17),"재결제 안내","정상"))))))</f>
        <v/>
      </c>
    </row>
    <row r="227" customFormat="false" ht="15" hidden="false" customHeight="true" outlineLevel="0" collapsed="false">
      <c r="A227" s="15" t="str">
        <f aca="false">IF(회원명부!$A224="","",회원명부!$A224)</f>
        <v/>
      </c>
      <c r="B227" s="15" t="str">
        <f aca="false">IF($A227="","",회원명부!$B224)</f>
        <v/>
      </c>
      <c r="C227" s="15" t="str">
        <f aca="false">IF($A227="","",회원명부!$C224)</f>
        <v/>
      </c>
      <c r="D227" s="23" t="str">
        <f aca="false">IF($A227="","",SUMIFS(결제내역!$E$3:$E$1002,결제내역!$B$3:$B$1002,$A227))</f>
        <v/>
      </c>
      <c r="E227" s="23" t="str">
        <f aca="false">IF($A227="","",SUMIFS(사용내역!$D$3:$D$3002,사용내역!$B$3:$B$3002,$A227))</f>
        <v/>
      </c>
      <c r="F227" s="23" t="str">
        <f aca="false">IF($A227="","",$D227-$E227)</f>
        <v/>
      </c>
      <c r="G227" s="17" t="str">
        <f aca="false">IF($A227="","",IF(COUNTIFS(결제내역!$B$3:$B$1002,$A227)=0,"",_xlfn.MAXIFS(결제내역!$G$3:$G$1002,결제내역!$B$3:$B$1002,$A227)))</f>
        <v/>
      </c>
      <c r="H227" s="24" t="str">
        <f aca="true">IF(OR($A227="",$G227=""),"",$G227-TODAY())</f>
        <v/>
      </c>
      <c r="I227" s="16" t="str">
        <f aca="false">IF($A227="","",SUMIFS(결제내역!$H$3:$H$1002,결제내역!$B$3:$B$1002,$A227))</f>
        <v/>
      </c>
      <c r="J227" s="25" t="str">
        <f aca="false">IF($A227="","",IF($D227=0,"미결제",IF($F227&lt;=0,"횟수소진",IF($H227="","",IF($H227&lt;0,"기간만료",IF(OR($F227&lt;=사용안내!$C$18,$H227&lt;=사용안내!$C$17),"재결제 안내","정상"))))))</f>
        <v/>
      </c>
    </row>
    <row r="228" customFormat="false" ht="15" hidden="false" customHeight="true" outlineLevel="0" collapsed="false">
      <c r="A228" s="15" t="str">
        <f aca="false">IF(회원명부!$A225="","",회원명부!$A225)</f>
        <v/>
      </c>
      <c r="B228" s="15" t="str">
        <f aca="false">IF($A228="","",회원명부!$B225)</f>
        <v/>
      </c>
      <c r="C228" s="15" t="str">
        <f aca="false">IF($A228="","",회원명부!$C225)</f>
        <v/>
      </c>
      <c r="D228" s="23" t="str">
        <f aca="false">IF($A228="","",SUMIFS(결제내역!$E$3:$E$1002,결제내역!$B$3:$B$1002,$A228))</f>
        <v/>
      </c>
      <c r="E228" s="23" t="str">
        <f aca="false">IF($A228="","",SUMIFS(사용내역!$D$3:$D$3002,사용내역!$B$3:$B$3002,$A228))</f>
        <v/>
      </c>
      <c r="F228" s="23" t="str">
        <f aca="false">IF($A228="","",$D228-$E228)</f>
        <v/>
      </c>
      <c r="G228" s="17" t="str">
        <f aca="false">IF($A228="","",IF(COUNTIFS(결제내역!$B$3:$B$1002,$A228)=0,"",_xlfn.MAXIFS(결제내역!$G$3:$G$1002,결제내역!$B$3:$B$1002,$A228)))</f>
        <v/>
      </c>
      <c r="H228" s="24" t="str">
        <f aca="true">IF(OR($A228="",$G228=""),"",$G228-TODAY())</f>
        <v/>
      </c>
      <c r="I228" s="16" t="str">
        <f aca="false">IF($A228="","",SUMIFS(결제내역!$H$3:$H$1002,결제내역!$B$3:$B$1002,$A228))</f>
        <v/>
      </c>
      <c r="J228" s="25" t="str">
        <f aca="false">IF($A228="","",IF($D228=0,"미결제",IF($F228&lt;=0,"횟수소진",IF($H228="","",IF($H228&lt;0,"기간만료",IF(OR($F228&lt;=사용안내!$C$18,$H228&lt;=사용안내!$C$17),"재결제 안내","정상"))))))</f>
        <v/>
      </c>
    </row>
    <row r="229" customFormat="false" ht="15" hidden="false" customHeight="true" outlineLevel="0" collapsed="false">
      <c r="A229" s="15" t="str">
        <f aca="false">IF(회원명부!$A226="","",회원명부!$A226)</f>
        <v/>
      </c>
      <c r="B229" s="15" t="str">
        <f aca="false">IF($A229="","",회원명부!$B226)</f>
        <v/>
      </c>
      <c r="C229" s="15" t="str">
        <f aca="false">IF($A229="","",회원명부!$C226)</f>
        <v/>
      </c>
      <c r="D229" s="23" t="str">
        <f aca="false">IF($A229="","",SUMIFS(결제내역!$E$3:$E$1002,결제내역!$B$3:$B$1002,$A229))</f>
        <v/>
      </c>
      <c r="E229" s="23" t="str">
        <f aca="false">IF($A229="","",SUMIFS(사용내역!$D$3:$D$3002,사용내역!$B$3:$B$3002,$A229))</f>
        <v/>
      </c>
      <c r="F229" s="23" t="str">
        <f aca="false">IF($A229="","",$D229-$E229)</f>
        <v/>
      </c>
      <c r="G229" s="17" t="str">
        <f aca="false">IF($A229="","",IF(COUNTIFS(결제내역!$B$3:$B$1002,$A229)=0,"",_xlfn.MAXIFS(결제내역!$G$3:$G$1002,결제내역!$B$3:$B$1002,$A229)))</f>
        <v/>
      </c>
      <c r="H229" s="24" t="str">
        <f aca="true">IF(OR($A229="",$G229=""),"",$G229-TODAY())</f>
        <v/>
      </c>
      <c r="I229" s="16" t="str">
        <f aca="false">IF($A229="","",SUMIFS(결제내역!$H$3:$H$1002,결제내역!$B$3:$B$1002,$A229))</f>
        <v/>
      </c>
      <c r="J229" s="25" t="str">
        <f aca="false">IF($A229="","",IF($D229=0,"미결제",IF($F229&lt;=0,"횟수소진",IF($H229="","",IF($H229&lt;0,"기간만료",IF(OR($F229&lt;=사용안내!$C$18,$H229&lt;=사용안내!$C$17),"재결제 안내","정상"))))))</f>
        <v/>
      </c>
    </row>
    <row r="230" customFormat="false" ht="15" hidden="false" customHeight="true" outlineLevel="0" collapsed="false">
      <c r="A230" s="15" t="str">
        <f aca="false">IF(회원명부!$A227="","",회원명부!$A227)</f>
        <v/>
      </c>
      <c r="B230" s="15" t="str">
        <f aca="false">IF($A230="","",회원명부!$B227)</f>
        <v/>
      </c>
      <c r="C230" s="15" t="str">
        <f aca="false">IF($A230="","",회원명부!$C227)</f>
        <v/>
      </c>
      <c r="D230" s="23" t="str">
        <f aca="false">IF($A230="","",SUMIFS(결제내역!$E$3:$E$1002,결제내역!$B$3:$B$1002,$A230))</f>
        <v/>
      </c>
      <c r="E230" s="23" t="str">
        <f aca="false">IF($A230="","",SUMIFS(사용내역!$D$3:$D$3002,사용내역!$B$3:$B$3002,$A230))</f>
        <v/>
      </c>
      <c r="F230" s="23" t="str">
        <f aca="false">IF($A230="","",$D230-$E230)</f>
        <v/>
      </c>
      <c r="G230" s="17" t="str">
        <f aca="false">IF($A230="","",IF(COUNTIFS(결제내역!$B$3:$B$1002,$A230)=0,"",_xlfn.MAXIFS(결제내역!$G$3:$G$1002,결제내역!$B$3:$B$1002,$A230)))</f>
        <v/>
      </c>
      <c r="H230" s="24" t="str">
        <f aca="true">IF(OR($A230="",$G230=""),"",$G230-TODAY())</f>
        <v/>
      </c>
      <c r="I230" s="16" t="str">
        <f aca="false">IF($A230="","",SUMIFS(결제내역!$H$3:$H$1002,결제내역!$B$3:$B$1002,$A230))</f>
        <v/>
      </c>
      <c r="J230" s="25" t="str">
        <f aca="false">IF($A230="","",IF($D230=0,"미결제",IF($F230&lt;=0,"횟수소진",IF($H230="","",IF($H230&lt;0,"기간만료",IF(OR($F230&lt;=사용안내!$C$18,$H230&lt;=사용안내!$C$17),"재결제 안내","정상"))))))</f>
        <v/>
      </c>
    </row>
    <row r="231" customFormat="false" ht="15" hidden="false" customHeight="true" outlineLevel="0" collapsed="false">
      <c r="A231" s="15" t="str">
        <f aca="false">IF(회원명부!$A228="","",회원명부!$A228)</f>
        <v/>
      </c>
      <c r="B231" s="15" t="str">
        <f aca="false">IF($A231="","",회원명부!$B228)</f>
        <v/>
      </c>
      <c r="C231" s="15" t="str">
        <f aca="false">IF($A231="","",회원명부!$C228)</f>
        <v/>
      </c>
      <c r="D231" s="23" t="str">
        <f aca="false">IF($A231="","",SUMIFS(결제내역!$E$3:$E$1002,결제내역!$B$3:$B$1002,$A231))</f>
        <v/>
      </c>
      <c r="E231" s="23" t="str">
        <f aca="false">IF($A231="","",SUMIFS(사용내역!$D$3:$D$3002,사용내역!$B$3:$B$3002,$A231))</f>
        <v/>
      </c>
      <c r="F231" s="23" t="str">
        <f aca="false">IF($A231="","",$D231-$E231)</f>
        <v/>
      </c>
      <c r="G231" s="17" t="str">
        <f aca="false">IF($A231="","",IF(COUNTIFS(결제내역!$B$3:$B$1002,$A231)=0,"",_xlfn.MAXIFS(결제내역!$G$3:$G$1002,결제내역!$B$3:$B$1002,$A231)))</f>
        <v/>
      </c>
      <c r="H231" s="24" t="str">
        <f aca="true">IF(OR($A231="",$G231=""),"",$G231-TODAY())</f>
        <v/>
      </c>
      <c r="I231" s="16" t="str">
        <f aca="false">IF($A231="","",SUMIFS(결제내역!$H$3:$H$1002,결제내역!$B$3:$B$1002,$A231))</f>
        <v/>
      </c>
      <c r="J231" s="25" t="str">
        <f aca="false">IF($A231="","",IF($D231=0,"미결제",IF($F231&lt;=0,"횟수소진",IF($H231="","",IF($H231&lt;0,"기간만료",IF(OR($F231&lt;=사용안내!$C$18,$H231&lt;=사용안내!$C$17),"재결제 안내","정상"))))))</f>
        <v/>
      </c>
    </row>
    <row r="232" customFormat="false" ht="15" hidden="false" customHeight="true" outlineLevel="0" collapsed="false">
      <c r="A232" s="15" t="str">
        <f aca="false">IF(회원명부!$A229="","",회원명부!$A229)</f>
        <v/>
      </c>
      <c r="B232" s="15" t="str">
        <f aca="false">IF($A232="","",회원명부!$B229)</f>
        <v/>
      </c>
      <c r="C232" s="15" t="str">
        <f aca="false">IF($A232="","",회원명부!$C229)</f>
        <v/>
      </c>
      <c r="D232" s="23" t="str">
        <f aca="false">IF($A232="","",SUMIFS(결제내역!$E$3:$E$1002,결제내역!$B$3:$B$1002,$A232))</f>
        <v/>
      </c>
      <c r="E232" s="23" t="str">
        <f aca="false">IF($A232="","",SUMIFS(사용내역!$D$3:$D$3002,사용내역!$B$3:$B$3002,$A232))</f>
        <v/>
      </c>
      <c r="F232" s="23" t="str">
        <f aca="false">IF($A232="","",$D232-$E232)</f>
        <v/>
      </c>
      <c r="G232" s="17" t="str">
        <f aca="false">IF($A232="","",IF(COUNTIFS(결제내역!$B$3:$B$1002,$A232)=0,"",_xlfn.MAXIFS(결제내역!$G$3:$G$1002,결제내역!$B$3:$B$1002,$A232)))</f>
        <v/>
      </c>
      <c r="H232" s="24" t="str">
        <f aca="true">IF(OR($A232="",$G232=""),"",$G232-TODAY())</f>
        <v/>
      </c>
      <c r="I232" s="16" t="str">
        <f aca="false">IF($A232="","",SUMIFS(결제내역!$H$3:$H$1002,결제내역!$B$3:$B$1002,$A232))</f>
        <v/>
      </c>
      <c r="J232" s="25" t="str">
        <f aca="false">IF($A232="","",IF($D232=0,"미결제",IF($F232&lt;=0,"횟수소진",IF($H232="","",IF($H232&lt;0,"기간만료",IF(OR($F232&lt;=사용안내!$C$18,$H232&lt;=사용안내!$C$17),"재결제 안내","정상"))))))</f>
        <v/>
      </c>
    </row>
    <row r="233" customFormat="false" ht="15" hidden="false" customHeight="true" outlineLevel="0" collapsed="false">
      <c r="A233" s="15" t="str">
        <f aca="false">IF(회원명부!$A230="","",회원명부!$A230)</f>
        <v/>
      </c>
      <c r="B233" s="15" t="str">
        <f aca="false">IF($A233="","",회원명부!$B230)</f>
        <v/>
      </c>
      <c r="C233" s="15" t="str">
        <f aca="false">IF($A233="","",회원명부!$C230)</f>
        <v/>
      </c>
      <c r="D233" s="23" t="str">
        <f aca="false">IF($A233="","",SUMIFS(결제내역!$E$3:$E$1002,결제내역!$B$3:$B$1002,$A233))</f>
        <v/>
      </c>
      <c r="E233" s="23" t="str">
        <f aca="false">IF($A233="","",SUMIFS(사용내역!$D$3:$D$3002,사용내역!$B$3:$B$3002,$A233))</f>
        <v/>
      </c>
      <c r="F233" s="23" t="str">
        <f aca="false">IF($A233="","",$D233-$E233)</f>
        <v/>
      </c>
      <c r="G233" s="17" t="str">
        <f aca="false">IF($A233="","",IF(COUNTIFS(결제내역!$B$3:$B$1002,$A233)=0,"",_xlfn.MAXIFS(결제내역!$G$3:$G$1002,결제내역!$B$3:$B$1002,$A233)))</f>
        <v/>
      </c>
      <c r="H233" s="24" t="str">
        <f aca="true">IF(OR($A233="",$G233=""),"",$G233-TODAY())</f>
        <v/>
      </c>
      <c r="I233" s="16" t="str">
        <f aca="false">IF($A233="","",SUMIFS(결제내역!$H$3:$H$1002,결제내역!$B$3:$B$1002,$A233))</f>
        <v/>
      </c>
      <c r="J233" s="25" t="str">
        <f aca="false">IF($A233="","",IF($D233=0,"미결제",IF($F233&lt;=0,"횟수소진",IF($H233="","",IF($H233&lt;0,"기간만료",IF(OR($F233&lt;=사용안내!$C$18,$H233&lt;=사용안내!$C$17),"재결제 안내","정상"))))))</f>
        <v/>
      </c>
    </row>
    <row r="234" customFormat="false" ht="15" hidden="false" customHeight="true" outlineLevel="0" collapsed="false">
      <c r="A234" s="15" t="str">
        <f aca="false">IF(회원명부!$A231="","",회원명부!$A231)</f>
        <v/>
      </c>
      <c r="B234" s="15" t="str">
        <f aca="false">IF($A234="","",회원명부!$B231)</f>
        <v/>
      </c>
      <c r="C234" s="15" t="str">
        <f aca="false">IF($A234="","",회원명부!$C231)</f>
        <v/>
      </c>
      <c r="D234" s="23" t="str">
        <f aca="false">IF($A234="","",SUMIFS(결제내역!$E$3:$E$1002,결제내역!$B$3:$B$1002,$A234))</f>
        <v/>
      </c>
      <c r="E234" s="23" t="str">
        <f aca="false">IF($A234="","",SUMIFS(사용내역!$D$3:$D$3002,사용내역!$B$3:$B$3002,$A234))</f>
        <v/>
      </c>
      <c r="F234" s="23" t="str">
        <f aca="false">IF($A234="","",$D234-$E234)</f>
        <v/>
      </c>
      <c r="G234" s="17" t="str">
        <f aca="false">IF($A234="","",IF(COUNTIFS(결제내역!$B$3:$B$1002,$A234)=0,"",_xlfn.MAXIFS(결제내역!$G$3:$G$1002,결제내역!$B$3:$B$1002,$A234)))</f>
        <v/>
      </c>
      <c r="H234" s="24" t="str">
        <f aca="true">IF(OR($A234="",$G234=""),"",$G234-TODAY())</f>
        <v/>
      </c>
      <c r="I234" s="16" t="str">
        <f aca="false">IF($A234="","",SUMIFS(결제내역!$H$3:$H$1002,결제내역!$B$3:$B$1002,$A234))</f>
        <v/>
      </c>
      <c r="J234" s="25" t="str">
        <f aca="false">IF($A234="","",IF($D234=0,"미결제",IF($F234&lt;=0,"횟수소진",IF($H234="","",IF($H234&lt;0,"기간만료",IF(OR($F234&lt;=사용안내!$C$18,$H234&lt;=사용안내!$C$17),"재결제 안내","정상"))))))</f>
        <v/>
      </c>
    </row>
    <row r="235" customFormat="false" ht="15" hidden="false" customHeight="true" outlineLevel="0" collapsed="false">
      <c r="A235" s="15" t="str">
        <f aca="false">IF(회원명부!$A232="","",회원명부!$A232)</f>
        <v/>
      </c>
      <c r="B235" s="15" t="str">
        <f aca="false">IF($A235="","",회원명부!$B232)</f>
        <v/>
      </c>
      <c r="C235" s="15" t="str">
        <f aca="false">IF($A235="","",회원명부!$C232)</f>
        <v/>
      </c>
      <c r="D235" s="23" t="str">
        <f aca="false">IF($A235="","",SUMIFS(결제내역!$E$3:$E$1002,결제내역!$B$3:$B$1002,$A235))</f>
        <v/>
      </c>
      <c r="E235" s="23" t="str">
        <f aca="false">IF($A235="","",SUMIFS(사용내역!$D$3:$D$3002,사용내역!$B$3:$B$3002,$A235))</f>
        <v/>
      </c>
      <c r="F235" s="23" t="str">
        <f aca="false">IF($A235="","",$D235-$E235)</f>
        <v/>
      </c>
      <c r="G235" s="17" t="str">
        <f aca="false">IF($A235="","",IF(COUNTIFS(결제내역!$B$3:$B$1002,$A235)=0,"",_xlfn.MAXIFS(결제내역!$G$3:$G$1002,결제내역!$B$3:$B$1002,$A235)))</f>
        <v/>
      </c>
      <c r="H235" s="24" t="str">
        <f aca="true">IF(OR($A235="",$G235=""),"",$G235-TODAY())</f>
        <v/>
      </c>
      <c r="I235" s="16" t="str">
        <f aca="false">IF($A235="","",SUMIFS(결제내역!$H$3:$H$1002,결제내역!$B$3:$B$1002,$A235))</f>
        <v/>
      </c>
      <c r="J235" s="25" t="str">
        <f aca="false">IF($A235="","",IF($D235=0,"미결제",IF($F235&lt;=0,"횟수소진",IF($H235="","",IF($H235&lt;0,"기간만료",IF(OR($F235&lt;=사용안내!$C$18,$H235&lt;=사용안내!$C$17),"재결제 안내","정상"))))))</f>
        <v/>
      </c>
    </row>
    <row r="236" customFormat="false" ht="15" hidden="false" customHeight="true" outlineLevel="0" collapsed="false">
      <c r="A236" s="15" t="str">
        <f aca="false">IF(회원명부!$A233="","",회원명부!$A233)</f>
        <v/>
      </c>
      <c r="B236" s="15" t="str">
        <f aca="false">IF($A236="","",회원명부!$B233)</f>
        <v/>
      </c>
      <c r="C236" s="15" t="str">
        <f aca="false">IF($A236="","",회원명부!$C233)</f>
        <v/>
      </c>
      <c r="D236" s="23" t="str">
        <f aca="false">IF($A236="","",SUMIFS(결제내역!$E$3:$E$1002,결제내역!$B$3:$B$1002,$A236))</f>
        <v/>
      </c>
      <c r="E236" s="23" t="str">
        <f aca="false">IF($A236="","",SUMIFS(사용내역!$D$3:$D$3002,사용내역!$B$3:$B$3002,$A236))</f>
        <v/>
      </c>
      <c r="F236" s="23" t="str">
        <f aca="false">IF($A236="","",$D236-$E236)</f>
        <v/>
      </c>
      <c r="G236" s="17" t="str">
        <f aca="false">IF($A236="","",IF(COUNTIFS(결제내역!$B$3:$B$1002,$A236)=0,"",_xlfn.MAXIFS(결제내역!$G$3:$G$1002,결제내역!$B$3:$B$1002,$A236)))</f>
        <v/>
      </c>
      <c r="H236" s="24" t="str">
        <f aca="true">IF(OR($A236="",$G236=""),"",$G236-TODAY())</f>
        <v/>
      </c>
      <c r="I236" s="16" t="str">
        <f aca="false">IF($A236="","",SUMIFS(결제내역!$H$3:$H$1002,결제내역!$B$3:$B$1002,$A236))</f>
        <v/>
      </c>
      <c r="J236" s="25" t="str">
        <f aca="false">IF($A236="","",IF($D236=0,"미결제",IF($F236&lt;=0,"횟수소진",IF($H236="","",IF($H236&lt;0,"기간만료",IF(OR($F236&lt;=사용안내!$C$18,$H236&lt;=사용안내!$C$17),"재결제 안내","정상"))))))</f>
        <v/>
      </c>
    </row>
    <row r="237" customFormat="false" ht="15" hidden="false" customHeight="true" outlineLevel="0" collapsed="false">
      <c r="A237" s="15" t="str">
        <f aca="false">IF(회원명부!$A234="","",회원명부!$A234)</f>
        <v/>
      </c>
      <c r="B237" s="15" t="str">
        <f aca="false">IF($A237="","",회원명부!$B234)</f>
        <v/>
      </c>
      <c r="C237" s="15" t="str">
        <f aca="false">IF($A237="","",회원명부!$C234)</f>
        <v/>
      </c>
      <c r="D237" s="23" t="str">
        <f aca="false">IF($A237="","",SUMIFS(결제내역!$E$3:$E$1002,결제내역!$B$3:$B$1002,$A237))</f>
        <v/>
      </c>
      <c r="E237" s="23" t="str">
        <f aca="false">IF($A237="","",SUMIFS(사용내역!$D$3:$D$3002,사용내역!$B$3:$B$3002,$A237))</f>
        <v/>
      </c>
      <c r="F237" s="23" t="str">
        <f aca="false">IF($A237="","",$D237-$E237)</f>
        <v/>
      </c>
      <c r="G237" s="17" t="str">
        <f aca="false">IF($A237="","",IF(COUNTIFS(결제내역!$B$3:$B$1002,$A237)=0,"",_xlfn.MAXIFS(결제내역!$G$3:$G$1002,결제내역!$B$3:$B$1002,$A237)))</f>
        <v/>
      </c>
      <c r="H237" s="24" t="str">
        <f aca="true">IF(OR($A237="",$G237=""),"",$G237-TODAY())</f>
        <v/>
      </c>
      <c r="I237" s="16" t="str">
        <f aca="false">IF($A237="","",SUMIFS(결제내역!$H$3:$H$1002,결제내역!$B$3:$B$1002,$A237))</f>
        <v/>
      </c>
      <c r="J237" s="25" t="str">
        <f aca="false">IF($A237="","",IF($D237=0,"미결제",IF($F237&lt;=0,"횟수소진",IF($H237="","",IF($H237&lt;0,"기간만료",IF(OR($F237&lt;=사용안내!$C$18,$H237&lt;=사용안내!$C$17),"재결제 안내","정상"))))))</f>
        <v/>
      </c>
    </row>
    <row r="238" customFormat="false" ht="15" hidden="false" customHeight="true" outlineLevel="0" collapsed="false">
      <c r="A238" s="15" t="str">
        <f aca="false">IF(회원명부!$A235="","",회원명부!$A235)</f>
        <v/>
      </c>
      <c r="B238" s="15" t="str">
        <f aca="false">IF($A238="","",회원명부!$B235)</f>
        <v/>
      </c>
      <c r="C238" s="15" t="str">
        <f aca="false">IF($A238="","",회원명부!$C235)</f>
        <v/>
      </c>
      <c r="D238" s="23" t="str">
        <f aca="false">IF($A238="","",SUMIFS(결제내역!$E$3:$E$1002,결제내역!$B$3:$B$1002,$A238))</f>
        <v/>
      </c>
      <c r="E238" s="23" t="str">
        <f aca="false">IF($A238="","",SUMIFS(사용내역!$D$3:$D$3002,사용내역!$B$3:$B$3002,$A238))</f>
        <v/>
      </c>
      <c r="F238" s="23" t="str">
        <f aca="false">IF($A238="","",$D238-$E238)</f>
        <v/>
      </c>
      <c r="G238" s="17" t="str">
        <f aca="false">IF($A238="","",IF(COUNTIFS(결제내역!$B$3:$B$1002,$A238)=0,"",_xlfn.MAXIFS(결제내역!$G$3:$G$1002,결제내역!$B$3:$B$1002,$A238)))</f>
        <v/>
      </c>
      <c r="H238" s="24" t="str">
        <f aca="true">IF(OR($A238="",$G238=""),"",$G238-TODAY())</f>
        <v/>
      </c>
      <c r="I238" s="16" t="str">
        <f aca="false">IF($A238="","",SUMIFS(결제내역!$H$3:$H$1002,결제내역!$B$3:$B$1002,$A238))</f>
        <v/>
      </c>
      <c r="J238" s="25" t="str">
        <f aca="false">IF($A238="","",IF($D238=0,"미결제",IF($F238&lt;=0,"횟수소진",IF($H238="","",IF($H238&lt;0,"기간만료",IF(OR($F238&lt;=사용안내!$C$18,$H238&lt;=사용안내!$C$17),"재결제 안내","정상"))))))</f>
        <v/>
      </c>
    </row>
    <row r="239" customFormat="false" ht="15" hidden="false" customHeight="true" outlineLevel="0" collapsed="false">
      <c r="A239" s="15" t="str">
        <f aca="false">IF(회원명부!$A236="","",회원명부!$A236)</f>
        <v/>
      </c>
      <c r="B239" s="15" t="str">
        <f aca="false">IF($A239="","",회원명부!$B236)</f>
        <v/>
      </c>
      <c r="C239" s="15" t="str">
        <f aca="false">IF($A239="","",회원명부!$C236)</f>
        <v/>
      </c>
      <c r="D239" s="23" t="str">
        <f aca="false">IF($A239="","",SUMIFS(결제내역!$E$3:$E$1002,결제내역!$B$3:$B$1002,$A239))</f>
        <v/>
      </c>
      <c r="E239" s="23" t="str">
        <f aca="false">IF($A239="","",SUMIFS(사용내역!$D$3:$D$3002,사용내역!$B$3:$B$3002,$A239))</f>
        <v/>
      </c>
      <c r="F239" s="23" t="str">
        <f aca="false">IF($A239="","",$D239-$E239)</f>
        <v/>
      </c>
      <c r="G239" s="17" t="str">
        <f aca="false">IF($A239="","",IF(COUNTIFS(결제내역!$B$3:$B$1002,$A239)=0,"",_xlfn.MAXIFS(결제내역!$G$3:$G$1002,결제내역!$B$3:$B$1002,$A239)))</f>
        <v/>
      </c>
      <c r="H239" s="24" t="str">
        <f aca="true">IF(OR($A239="",$G239=""),"",$G239-TODAY())</f>
        <v/>
      </c>
      <c r="I239" s="16" t="str">
        <f aca="false">IF($A239="","",SUMIFS(결제내역!$H$3:$H$1002,결제내역!$B$3:$B$1002,$A239))</f>
        <v/>
      </c>
      <c r="J239" s="25" t="str">
        <f aca="false">IF($A239="","",IF($D239=0,"미결제",IF($F239&lt;=0,"횟수소진",IF($H239="","",IF($H239&lt;0,"기간만료",IF(OR($F239&lt;=사용안내!$C$18,$H239&lt;=사용안내!$C$17),"재결제 안내","정상"))))))</f>
        <v/>
      </c>
    </row>
    <row r="240" customFormat="false" ht="15" hidden="false" customHeight="true" outlineLevel="0" collapsed="false">
      <c r="A240" s="15" t="str">
        <f aca="false">IF(회원명부!$A237="","",회원명부!$A237)</f>
        <v/>
      </c>
      <c r="B240" s="15" t="str">
        <f aca="false">IF($A240="","",회원명부!$B237)</f>
        <v/>
      </c>
      <c r="C240" s="15" t="str">
        <f aca="false">IF($A240="","",회원명부!$C237)</f>
        <v/>
      </c>
      <c r="D240" s="23" t="str">
        <f aca="false">IF($A240="","",SUMIFS(결제내역!$E$3:$E$1002,결제내역!$B$3:$B$1002,$A240))</f>
        <v/>
      </c>
      <c r="E240" s="23" t="str">
        <f aca="false">IF($A240="","",SUMIFS(사용내역!$D$3:$D$3002,사용내역!$B$3:$B$3002,$A240))</f>
        <v/>
      </c>
      <c r="F240" s="23" t="str">
        <f aca="false">IF($A240="","",$D240-$E240)</f>
        <v/>
      </c>
      <c r="G240" s="17" t="str">
        <f aca="false">IF($A240="","",IF(COUNTIFS(결제내역!$B$3:$B$1002,$A240)=0,"",_xlfn.MAXIFS(결제내역!$G$3:$G$1002,결제내역!$B$3:$B$1002,$A240)))</f>
        <v/>
      </c>
      <c r="H240" s="24" t="str">
        <f aca="true">IF(OR($A240="",$G240=""),"",$G240-TODAY())</f>
        <v/>
      </c>
      <c r="I240" s="16" t="str">
        <f aca="false">IF($A240="","",SUMIFS(결제내역!$H$3:$H$1002,결제내역!$B$3:$B$1002,$A240))</f>
        <v/>
      </c>
      <c r="J240" s="25" t="str">
        <f aca="false">IF($A240="","",IF($D240=0,"미결제",IF($F240&lt;=0,"횟수소진",IF($H240="","",IF($H240&lt;0,"기간만료",IF(OR($F240&lt;=사용안내!$C$18,$H240&lt;=사용안내!$C$17),"재결제 안내","정상"))))))</f>
        <v/>
      </c>
    </row>
    <row r="241" customFormat="false" ht="15" hidden="false" customHeight="true" outlineLevel="0" collapsed="false">
      <c r="A241" s="15" t="str">
        <f aca="false">IF(회원명부!$A238="","",회원명부!$A238)</f>
        <v/>
      </c>
      <c r="B241" s="15" t="str">
        <f aca="false">IF($A241="","",회원명부!$B238)</f>
        <v/>
      </c>
      <c r="C241" s="15" t="str">
        <f aca="false">IF($A241="","",회원명부!$C238)</f>
        <v/>
      </c>
      <c r="D241" s="23" t="str">
        <f aca="false">IF($A241="","",SUMIFS(결제내역!$E$3:$E$1002,결제내역!$B$3:$B$1002,$A241))</f>
        <v/>
      </c>
      <c r="E241" s="23" t="str">
        <f aca="false">IF($A241="","",SUMIFS(사용내역!$D$3:$D$3002,사용내역!$B$3:$B$3002,$A241))</f>
        <v/>
      </c>
      <c r="F241" s="23" t="str">
        <f aca="false">IF($A241="","",$D241-$E241)</f>
        <v/>
      </c>
      <c r="G241" s="17" t="str">
        <f aca="false">IF($A241="","",IF(COUNTIFS(결제내역!$B$3:$B$1002,$A241)=0,"",_xlfn.MAXIFS(결제내역!$G$3:$G$1002,결제내역!$B$3:$B$1002,$A241)))</f>
        <v/>
      </c>
      <c r="H241" s="24" t="str">
        <f aca="true">IF(OR($A241="",$G241=""),"",$G241-TODAY())</f>
        <v/>
      </c>
      <c r="I241" s="16" t="str">
        <f aca="false">IF($A241="","",SUMIFS(결제내역!$H$3:$H$1002,결제내역!$B$3:$B$1002,$A241))</f>
        <v/>
      </c>
      <c r="J241" s="25" t="str">
        <f aca="false">IF($A241="","",IF($D241=0,"미결제",IF($F241&lt;=0,"횟수소진",IF($H241="","",IF($H241&lt;0,"기간만료",IF(OR($F241&lt;=사용안내!$C$18,$H241&lt;=사용안내!$C$17),"재결제 안내","정상"))))))</f>
        <v/>
      </c>
    </row>
    <row r="242" customFormat="false" ht="15" hidden="false" customHeight="true" outlineLevel="0" collapsed="false">
      <c r="A242" s="15" t="str">
        <f aca="false">IF(회원명부!$A239="","",회원명부!$A239)</f>
        <v/>
      </c>
      <c r="B242" s="15" t="str">
        <f aca="false">IF($A242="","",회원명부!$B239)</f>
        <v/>
      </c>
      <c r="C242" s="15" t="str">
        <f aca="false">IF($A242="","",회원명부!$C239)</f>
        <v/>
      </c>
      <c r="D242" s="23" t="str">
        <f aca="false">IF($A242="","",SUMIFS(결제내역!$E$3:$E$1002,결제내역!$B$3:$B$1002,$A242))</f>
        <v/>
      </c>
      <c r="E242" s="23" t="str">
        <f aca="false">IF($A242="","",SUMIFS(사용내역!$D$3:$D$3002,사용내역!$B$3:$B$3002,$A242))</f>
        <v/>
      </c>
      <c r="F242" s="23" t="str">
        <f aca="false">IF($A242="","",$D242-$E242)</f>
        <v/>
      </c>
      <c r="G242" s="17" t="str">
        <f aca="false">IF($A242="","",IF(COUNTIFS(결제내역!$B$3:$B$1002,$A242)=0,"",_xlfn.MAXIFS(결제내역!$G$3:$G$1002,결제내역!$B$3:$B$1002,$A242)))</f>
        <v/>
      </c>
      <c r="H242" s="24" t="str">
        <f aca="true">IF(OR($A242="",$G242=""),"",$G242-TODAY())</f>
        <v/>
      </c>
      <c r="I242" s="16" t="str">
        <f aca="false">IF($A242="","",SUMIFS(결제내역!$H$3:$H$1002,결제내역!$B$3:$B$1002,$A242))</f>
        <v/>
      </c>
      <c r="J242" s="25" t="str">
        <f aca="false">IF($A242="","",IF($D242=0,"미결제",IF($F242&lt;=0,"횟수소진",IF($H242="","",IF($H242&lt;0,"기간만료",IF(OR($F242&lt;=사용안내!$C$18,$H242&lt;=사용안내!$C$17),"재결제 안내","정상"))))))</f>
        <v/>
      </c>
    </row>
    <row r="243" customFormat="false" ht="15" hidden="false" customHeight="true" outlineLevel="0" collapsed="false">
      <c r="A243" s="15" t="str">
        <f aca="false">IF(회원명부!$A240="","",회원명부!$A240)</f>
        <v/>
      </c>
      <c r="B243" s="15" t="str">
        <f aca="false">IF($A243="","",회원명부!$B240)</f>
        <v/>
      </c>
      <c r="C243" s="15" t="str">
        <f aca="false">IF($A243="","",회원명부!$C240)</f>
        <v/>
      </c>
      <c r="D243" s="23" t="str">
        <f aca="false">IF($A243="","",SUMIFS(결제내역!$E$3:$E$1002,결제내역!$B$3:$B$1002,$A243))</f>
        <v/>
      </c>
      <c r="E243" s="23" t="str">
        <f aca="false">IF($A243="","",SUMIFS(사용내역!$D$3:$D$3002,사용내역!$B$3:$B$3002,$A243))</f>
        <v/>
      </c>
      <c r="F243" s="23" t="str">
        <f aca="false">IF($A243="","",$D243-$E243)</f>
        <v/>
      </c>
      <c r="G243" s="17" t="str">
        <f aca="false">IF($A243="","",IF(COUNTIFS(결제내역!$B$3:$B$1002,$A243)=0,"",_xlfn.MAXIFS(결제내역!$G$3:$G$1002,결제내역!$B$3:$B$1002,$A243)))</f>
        <v/>
      </c>
      <c r="H243" s="24" t="str">
        <f aca="true">IF(OR($A243="",$G243=""),"",$G243-TODAY())</f>
        <v/>
      </c>
      <c r="I243" s="16" t="str">
        <f aca="false">IF($A243="","",SUMIFS(결제내역!$H$3:$H$1002,결제내역!$B$3:$B$1002,$A243))</f>
        <v/>
      </c>
      <c r="J243" s="25" t="str">
        <f aca="false">IF($A243="","",IF($D243=0,"미결제",IF($F243&lt;=0,"횟수소진",IF($H243="","",IF($H243&lt;0,"기간만료",IF(OR($F243&lt;=사용안내!$C$18,$H243&lt;=사용안내!$C$17),"재결제 안내","정상"))))))</f>
        <v/>
      </c>
    </row>
    <row r="244" customFormat="false" ht="15" hidden="false" customHeight="true" outlineLevel="0" collapsed="false">
      <c r="A244" s="15" t="str">
        <f aca="false">IF(회원명부!$A241="","",회원명부!$A241)</f>
        <v/>
      </c>
      <c r="B244" s="15" t="str">
        <f aca="false">IF($A244="","",회원명부!$B241)</f>
        <v/>
      </c>
      <c r="C244" s="15" t="str">
        <f aca="false">IF($A244="","",회원명부!$C241)</f>
        <v/>
      </c>
      <c r="D244" s="23" t="str">
        <f aca="false">IF($A244="","",SUMIFS(결제내역!$E$3:$E$1002,결제내역!$B$3:$B$1002,$A244))</f>
        <v/>
      </c>
      <c r="E244" s="23" t="str">
        <f aca="false">IF($A244="","",SUMIFS(사용내역!$D$3:$D$3002,사용내역!$B$3:$B$3002,$A244))</f>
        <v/>
      </c>
      <c r="F244" s="23" t="str">
        <f aca="false">IF($A244="","",$D244-$E244)</f>
        <v/>
      </c>
      <c r="G244" s="17" t="str">
        <f aca="false">IF($A244="","",IF(COUNTIFS(결제내역!$B$3:$B$1002,$A244)=0,"",_xlfn.MAXIFS(결제내역!$G$3:$G$1002,결제내역!$B$3:$B$1002,$A244)))</f>
        <v/>
      </c>
      <c r="H244" s="24" t="str">
        <f aca="true">IF(OR($A244="",$G244=""),"",$G244-TODAY())</f>
        <v/>
      </c>
      <c r="I244" s="16" t="str">
        <f aca="false">IF($A244="","",SUMIFS(결제내역!$H$3:$H$1002,결제내역!$B$3:$B$1002,$A244))</f>
        <v/>
      </c>
      <c r="J244" s="25" t="str">
        <f aca="false">IF($A244="","",IF($D244=0,"미결제",IF($F244&lt;=0,"횟수소진",IF($H244="","",IF($H244&lt;0,"기간만료",IF(OR($F244&lt;=사용안내!$C$18,$H244&lt;=사용안내!$C$17),"재결제 안내","정상"))))))</f>
        <v/>
      </c>
    </row>
    <row r="245" customFormat="false" ht="15" hidden="false" customHeight="true" outlineLevel="0" collapsed="false">
      <c r="A245" s="15" t="str">
        <f aca="false">IF(회원명부!$A242="","",회원명부!$A242)</f>
        <v/>
      </c>
      <c r="B245" s="15" t="str">
        <f aca="false">IF($A245="","",회원명부!$B242)</f>
        <v/>
      </c>
      <c r="C245" s="15" t="str">
        <f aca="false">IF($A245="","",회원명부!$C242)</f>
        <v/>
      </c>
      <c r="D245" s="23" t="str">
        <f aca="false">IF($A245="","",SUMIFS(결제내역!$E$3:$E$1002,결제내역!$B$3:$B$1002,$A245))</f>
        <v/>
      </c>
      <c r="E245" s="23" t="str">
        <f aca="false">IF($A245="","",SUMIFS(사용내역!$D$3:$D$3002,사용내역!$B$3:$B$3002,$A245))</f>
        <v/>
      </c>
      <c r="F245" s="23" t="str">
        <f aca="false">IF($A245="","",$D245-$E245)</f>
        <v/>
      </c>
      <c r="G245" s="17" t="str">
        <f aca="false">IF($A245="","",IF(COUNTIFS(결제내역!$B$3:$B$1002,$A245)=0,"",_xlfn.MAXIFS(결제내역!$G$3:$G$1002,결제내역!$B$3:$B$1002,$A245)))</f>
        <v/>
      </c>
      <c r="H245" s="24" t="str">
        <f aca="true">IF(OR($A245="",$G245=""),"",$G245-TODAY())</f>
        <v/>
      </c>
      <c r="I245" s="16" t="str">
        <f aca="false">IF($A245="","",SUMIFS(결제내역!$H$3:$H$1002,결제내역!$B$3:$B$1002,$A245))</f>
        <v/>
      </c>
      <c r="J245" s="25" t="str">
        <f aca="false">IF($A245="","",IF($D245=0,"미결제",IF($F245&lt;=0,"횟수소진",IF($H245="","",IF($H245&lt;0,"기간만료",IF(OR($F245&lt;=사용안내!$C$18,$H245&lt;=사용안내!$C$17),"재결제 안내","정상"))))))</f>
        <v/>
      </c>
    </row>
    <row r="246" customFormat="false" ht="15" hidden="false" customHeight="true" outlineLevel="0" collapsed="false">
      <c r="A246" s="15" t="str">
        <f aca="false">IF(회원명부!$A243="","",회원명부!$A243)</f>
        <v/>
      </c>
      <c r="B246" s="15" t="str">
        <f aca="false">IF($A246="","",회원명부!$B243)</f>
        <v/>
      </c>
      <c r="C246" s="15" t="str">
        <f aca="false">IF($A246="","",회원명부!$C243)</f>
        <v/>
      </c>
      <c r="D246" s="23" t="str">
        <f aca="false">IF($A246="","",SUMIFS(결제내역!$E$3:$E$1002,결제내역!$B$3:$B$1002,$A246))</f>
        <v/>
      </c>
      <c r="E246" s="23" t="str">
        <f aca="false">IF($A246="","",SUMIFS(사용내역!$D$3:$D$3002,사용내역!$B$3:$B$3002,$A246))</f>
        <v/>
      </c>
      <c r="F246" s="23" t="str">
        <f aca="false">IF($A246="","",$D246-$E246)</f>
        <v/>
      </c>
      <c r="G246" s="17" t="str">
        <f aca="false">IF($A246="","",IF(COUNTIFS(결제내역!$B$3:$B$1002,$A246)=0,"",_xlfn.MAXIFS(결제내역!$G$3:$G$1002,결제내역!$B$3:$B$1002,$A246)))</f>
        <v/>
      </c>
      <c r="H246" s="24" t="str">
        <f aca="true">IF(OR($A246="",$G246=""),"",$G246-TODAY())</f>
        <v/>
      </c>
      <c r="I246" s="16" t="str">
        <f aca="false">IF($A246="","",SUMIFS(결제내역!$H$3:$H$1002,결제내역!$B$3:$B$1002,$A246))</f>
        <v/>
      </c>
      <c r="J246" s="25" t="str">
        <f aca="false">IF($A246="","",IF($D246=0,"미결제",IF($F246&lt;=0,"횟수소진",IF($H246="","",IF($H246&lt;0,"기간만료",IF(OR($F246&lt;=사용안내!$C$18,$H246&lt;=사용안내!$C$17),"재결제 안내","정상"))))))</f>
        <v/>
      </c>
    </row>
    <row r="247" customFormat="false" ht="15" hidden="false" customHeight="true" outlineLevel="0" collapsed="false">
      <c r="A247" s="15" t="str">
        <f aca="false">IF(회원명부!$A244="","",회원명부!$A244)</f>
        <v/>
      </c>
      <c r="B247" s="15" t="str">
        <f aca="false">IF($A247="","",회원명부!$B244)</f>
        <v/>
      </c>
      <c r="C247" s="15" t="str">
        <f aca="false">IF($A247="","",회원명부!$C244)</f>
        <v/>
      </c>
      <c r="D247" s="23" t="str">
        <f aca="false">IF($A247="","",SUMIFS(결제내역!$E$3:$E$1002,결제내역!$B$3:$B$1002,$A247))</f>
        <v/>
      </c>
      <c r="E247" s="23" t="str">
        <f aca="false">IF($A247="","",SUMIFS(사용내역!$D$3:$D$3002,사용내역!$B$3:$B$3002,$A247))</f>
        <v/>
      </c>
      <c r="F247" s="23" t="str">
        <f aca="false">IF($A247="","",$D247-$E247)</f>
        <v/>
      </c>
      <c r="G247" s="17" t="str">
        <f aca="false">IF($A247="","",IF(COUNTIFS(결제내역!$B$3:$B$1002,$A247)=0,"",_xlfn.MAXIFS(결제내역!$G$3:$G$1002,결제내역!$B$3:$B$1002,$A247)))</f>
        <v/>
      </c>
      <c r="H247" s="24" t="str">
        <f aca="true">IF(OR($A247="",$G247=""),"",$G247-TODAY())</f>
        <v/>
      </c>
      <c r="I247" s="16" t="str">
        <f aca="false">IF($A247="","",SUMIFS(결제내역!$H$3:$H$1002,결제내역!$B$3:$B$1002,$A247))</f>
        <v/>
      </c>
      <c r="J247" s="25" t="str">
        <f aca="false">IF($A247="","",IF($D247=0,"미결제",IF($F247&lt;=0,"횟수소진",IF($H247="","",IF($H247&lt;0,"기간만료",IF(OR($F247&lt;=사용안내!$C$18,$H247&lt;=사용안내!$C$17),"재결제 안내","정상"))))))</f>
        <v/>
      </c>
    </row>
    <row r="248" customFormat="false" ht="15" hidden="false" customHeight="true" outlineLevel="0" collapsed="false">
      <c r="A248" s="15" t="str">
        <f aca="false">IF(회원명부!$A245="","",회원명부!$A245)</f>
        <v/>
      </c>
      <c r="B248" s="15" t="str">
        <f aca="false">IF($A248="","",회원명부!$B245)</f>
        <v/>
      </c>
      <c r="C248" s="15" t="str">
        <f aca="false">IF($A248="","",회원명부!$C245)</f>
        <v/>
      </c>
      <c r="D248" s="23" t="str">
        <f aca="false">IF($A248="","",SUMIFS(결제내역!$E$3:$E$1002,결제내역!$B$3:$B$1002,$A248))</f>
        <v/>
      </c>
      <c r="E248" s="23" t="str">
        <f aca="false">IF($A248="","",SUMIFS(사용내역!$D$3:$D$3002,사용내역!$B$3:$B$3002,$A248))</f>
        <v/>
      </c>
      <c r="F248" s="23" t="str">
        <f aca="false">IF($A248="","",$D248-$E248)</f>
        <v/>
      </c>
      <c r="G248" s="17" t="str">
        <f aca="false">IF($A248="","",IF(COUNTIFS(결제내역!$B$3:$B$1002,$A248)=0,"",_xlfn.MAXIFS(결제내역!$G$3:$G$1002,결제내역!$B$3:$B$1002,$A248)))</f>
        <v/>
      </c>
      <c r="H248" s="24" t="str">
        <f aca="true">IF(OR($A248="",$G248=""),"",$G248-TODAY())</f>
        <v/>
      </c>
      <c r="I248" s="16" t="str">
        <f aca="false">IF($A248="","",SUMIFS(결제내역!$H$3:$H$1002,결제내역!$B$3:$B$1002,$A248))</f>
        <v/>
      </c>
      <c r="J248" s="25" t="str">
        <f aca="false">IF($A248="","",IF($D248=0,"미결제",IF($F248&lt;=0,"횟수소진",IF($H248="","",IF($H248&lt;0,"기간만료",IF(OR($F248&lt;=사용안내!$C$18,$H248&lt;=사용안내!$C$17),"재결제 안내","정상"))))))</f>
        <v/>
      </c>
    </row>
    <row r="249" customFormat="false" ht="15" hidden="false" customHeight="true" outlineLevel="0" collapsed="false">
      <c r="A249" s="15" t="str">
        <f aca="false">IF(회원명부!$A246="","",회원명부!$A246)</f>
        <v/>
      </c>
      <c r="B249" s="15" t="str">
        <f aca="false">IF($A249="","",회원명부!$B246)</f>
        <v/>
      </c>
      <c r="C249" s="15" t="str">
        <f aca="false">IF($A249="","",회원명부!$C246)</f>
        <v/>
      </c>
      <c r="D249" s="23" t="str">
        <f aca="false">IF($A249="","",SUMIFS(결제내역!$E$3:$E$1002,결제내역!$B$3:$B$1002,$A249))</f>
        <v/>
      </c>
      <c r="E249" s="23" t="str">
        <f aca="false">IF($A249="","",SUMIFS(사용내역!$D$3:$D$3002,사용내역!$B$3:$B$3002,$A249))</f>
        <v/>
      </c>
      <c r="F249" s="23" t="str">
        <f aca="false">IF($A249="","",$D249-$E249)</f>
        <v/>
      </c>
      <c r="G249" s="17" t="str">
        <f aca="false">IF($A249="","",IF(COUNTIFS(결제내역!$B$3:$B$1002,$A249)=0,"",_xlfn.MAXIFS(결제내역!$G$3:$G$1002,결제내역!$B$3:$B$1002,$A249)))</f>
        <v/>
      </c>
      <c r="H249" s="24" t="str">
        <f aca="true">IF(OR($A249="",$G249=""),"",$G249-TODAY())</f>
        <v/>
      </c>
      <c r="I249" s="16" t="str">
        <f aca="false">IF($A249="","",SUMIFS(결제내역!$H$3:$H$1002,결제내역!$B$3:$B$1002,$A249))</f>
        <v/>
      </c>
      <c r="J249" s="25" t="str">
        <f aca="false">IF($A249="","",IF($D249=0,"미결제",IF($F249&lt;=0,"횟수소진",IF($H249="","",IF($H249&lt;0,"기간만료",IF(OR($F249&lt;=사용안내!$C$18,$H249&lt;=사용안내!$C$17),"재결제 안내","정상"))))))</f>
        <v/>
      </c>
    </row>
    <row r="250" customFormat="false" ht="15" hidden="false" customHeight="true" outlineLevel="0" collapsed="false">
      <c r="A250" s="15" t="str">
        <f aca="false">IF(회원명부!$A247="","",회원명부!$A247)</f>
        <v/>
      </c>
      <c r="B250" s="15" t="str">
        <f aca="false">IF($A250="","",회원명부!$B247)</f>
        <v/>
      </c>
      <c r="C250" s="15" t="str">
        <f aca="false">IF($A250="","",회원명부!$C247)</f>
        <v/>
      </c>
      <c r="D250" s="23" t="str">
        <f aca="false">IF($A250="","",SUMIFS(결제내역!$E$3:$E$1002,결제내역!$B$3:$B$1002,$A250))</f>
        <v/>
      </c>
      <c r="E250" s="23" t="str">
        <f aca="false">IF($A250="","",SUMIFS(사용내역!$D$3:$D$3002,사용내역!$B$3:$B$3002,$A250))</f>
        <v/>
      </c>
      <c r="F250" s="23" t="str">
        <f aca="false">IF($A250="","",$D250-$E250)</f>
        <v/>
      </c>
      <c r="G250" s="17" t="str">
        <f aca="false">IF($A250="","",IF(COUNTIFS(결제내역!$B$3:$B$1002,$A250)=0,"",_xlfn.MAXIFS(결제내역!$G$3:$G$1002,결제내역!$B$3:$B$1002,$A250)))</f>
        <v/>
      </c>
      <c r="H250" s="24" t="str">
        <f aca="true">IF(OR($A250="",$G250=""),"",$G250-TODAY())</f>
        <v/>
      </c>
      <c r="I250" s="16" t="str">
        <f aca="false">IF($A250="","",SUMIFS(결제내역!$H$3:$H$1002,결제내역!$B$3:$B$1002,$A250))</f>
        <v/>
      </c>
      <c r="J250" s="25" t="str">
        <f aca="false">IF($A250="","",IF($D250=0,"미결제",IF($F250&lt;=0,"횟수소진",IF($H250="","",IF($H250&lt;0,"기간만료",IF(OR($F250&lt;=사용안내!$C$18,$H250&lt;=사용안내!$C$17),"재결제 안내","정상"))))))</f>
        <v/>
      </c>
    </row>
    <row r="251" customFormat="false" ht="15" hidden="false" customHeight="true" outlineLevel="0" collapsed="false">
      <c r="A251" s="15" t="str">
        <f aca="false">IF(회원명부!$A248="","",회원명부!$A248)</f>
        <v/>
      </c>
      <c r="B251" s="15" t="str">
        <f aca="false">IF($A251="","",회원명부!$B248)</f>
        <v/>
      </c>
      <c r="C251" s="15" t="str">
        <f aca="false">IF($A251="","",회원명부!$C248)</f>
        <v/>
      </c>
      <c r="D251" s="23" t="str">
        <f aca="false">IF($A251="","",SUMIFS(결제내역!$E$3:$E$1002,결제내역!$B$3:$B$1002,$A251))</f>
        <v/>
      </c>
      <c r="E251" s="23" t="str">
        <f aca="false">IF($A251="","",SUMIFS(사용내역!$D$3:$D$3002,사용내역!$B$3:$B$3002,$A251))</f>
        <v/>
      </c>
      <c r="F251" s="23" t="str">
        <f aca="false">IF($A251="","",$D251-$E251)</f>
        <v/>
      </c>
      <c r="G251" s="17" t="str">
        <f aca="false">IF($A251="","",IF(COUNTIFS(결제내역!$B$3:$B$1002,$A251)=0,"",_xlfn.MAXIFS(결제내역!$G$3:$G$1002,결제내역!$B$3:$B$1002,$A251)))</f>
        <v/>
      </c>
      <c r="H251" s="24" t="str">
        <f aca="true">IF(OR($A251="",$G251=""),"",$G251-TODAY())</f>
        <v/>
      </c>
      <c r="I251" s="16" t="str">
        <f aca="false">IF($A251="","",SUMIFS(결제내역!$H$3:$H$1002,결제내역!$B$3:$B$1002,$A251))</f>
        <v/>
      </c>
      <c r="J251" s="25" t="str">
        <f aca="false">IF($A251="","",IF($D251=0,"미결제",IF($F251&lt;=0,"횟수소진",IF($H251="","",IF($H251&lt;0,"기간만료",IF(OR($F251&lt;=사용안내!$C$18,$H251&lt;=사용안내!$C$17),"재결제 안내","정상"))))))</f>
        <v/>
      </c>
    </row>
    <row r="252" customFormat="false" ht="15" hidden="false" customHeight="true" outlineLevel="0" collapsed="false">
      <c r="A252" s="15" t="str">
        <f aca="false">IF(회원명부!$A249="","",회원명부!$A249)</f>
        <v/>
      </c>
      <c r="B252" s="15" t="str">
        <f aca="false">IF($A252="","",회원명부!$B249)</f>
        <v/>
      </c>
      <c r="C252" s="15" t="str">
        <f aca="false">IF($A252="","",회원명부!$C249)</f>
        <v/>
      </c>
      <c r="D252" s="23" t="str">
        <f aca="false">IF($A252="","",SUMIFS(결제내역!$E$3:$E$1002,결제내역!$B$3:$B$1002,$A252))</f>
        <v/>
      </c>
      <c r="E252" s="23" t="str">
        <f aca="false">IF($A252="","",SUMIFS(사용내역!$D$3:$D$3002,사용내역!$B$3:$B$3002,$A252))</f>
        <v/>
      </c>
      <c r="F252" s="23" t="str">
        <f aca="false">IF($A252="","",$D252-$E252)</f>
        <v/>
      </c>
      <c r="G252" s="17" t="str">
        <f aca="false">IF($A252="","",IF(COUNTIFS(결제내역!$B$3:$B$1002,$A252)=0,"",_xlfn.MAXIFS(결제내역!$G$3:$G$1002,결제내역!$B$3:$B$1002,$A252)))</f>
        <v/>
      </c>
      <c r="H252" s="24" t="str">
        <f aca="true">IF(OR($A252="",$G252=""),"",$G252-TODAY())</f>
        <v/>
      </c>
      <c r="I252" s="16" t="str">
        <f aca="false">IF($A252="","",SUMIFS(결제내역!$H$3:$H$1002,결제내역!$B$3:$B$1002,$A252))</f>
        <v/>
      </c>
      <c r="J252" s="25" t="str">
        <f aca="false">IF($A252="","",IF($D252=0,"미결제",IF($F252&lt;=0,"횟수소진",IF($H252="","",IF($H252&lt;0,"기간만료",IF(OR($F252&lt;=사용안내!$C$18,$H252&lt;=사용안내!$C$17),"재결제 안내","정상"))))))</f>
        <v/>
      </c>
    </row>
    <row r="253" customFormat="false" ht="15" hidden="false" customHeight="true" outlineLevel="0" collapsed="false">
      <c r="A253" s="15" t="str">
        <f aca="false">IF(회원명부!$A250="","",회원명부!$A250)</f>
        <v/>
      </c>
      <c r="B253" s="15" t="str">
        <f aca="false">IF($A253="","",회원명부!$B250)</f>
        <v/>
      </c>
      <c r="C253" s="15" t="str">
        <f aca="false">IF($A253="","",회원명부!$C250)</f>
        <v/>
      </c>
      <c r="D253" s="23" t="str">
        <f aca="false">IF($A253="","",SUMIFS(결제내역!$E$3:$E$1002,결제내역!$B$3:$B$1002,$A253))</f>
        <v/>
      </c>
      <c r="E253" s="23" t="str">
        <f aca="false">IF($A253="","",SUMIFS(사용내역!$D$3:$D$3002,사용내역!$B$3:$B$3002,$A253))</f>
        <v/>
      </c>
      <c r="F253" s="23" t="str">
        <f aca="false">IF($A253="","",$D253-$E253)</f>
        <v/>
      </c>
      <c r="G253" s="17" t="str">
        <f aca="false">IF($A253="","",IF(COUNTIFS(결제내역!$B$3:$B$1002,$A253)=0,"",_xlfn.MAXIFS(결제내역!$G$3:$G$1002,결제내역!$B$3:$B$1002,$A253)))</f>
        <v/>
      </c>
      <c r="H253" s="24" t="str">
        <f aca="true">IF(OR($A253="",$G253=""),"",$G253-TODAY())</f>
        <v/>
      </c>
      <c r="I253" s="16" t="str">
        <f aca="false">IF($A253="","",SUMIFS(결제내역!$H$3:$H$1002,결제내역!$B$3:$B$1002,$A253))</f>
        <v/>
      </c>
      <c r="J253" s="25" t="str">
        <f aca="false">IF($A253="","",IF($D253=0,"미결제",IF($F253&lt;=0,"횟수소진",IF($H253="","",IF($H253&lt;0,"기간만료",IF(OR($F253&lt;=사용안내!$C$18,$H253&lt;=사용안내!$C$17),"재결제 안내","정상"))))))</f>
        <v/>
      </c>
    </row>
    <row r="254" customFormat="false" ht="15" hidden="false" customHeight="true" outlineLevel="0" collapsed="false">
      <c r="A254" s="15" t="str">
        <f aca="false">IF(회원명부!$A251="","",회원명부!$A251)</f>
        <v/>
      </c>
      <c r="B254" s="15" t="str">
        <f aca="false">IF($A254="","",회원명부!$B251)</f>
        <v/>
      </c>
      <c r="C254" s="15" t="str">
        <f aca="false">IF($A254="","",회원명부!$C251)</f>
        <v/>
      </c>
      <c r="D254" s="23" t="str">
        <f aca="false">IF($A254="","",SUMIFS(결제내역!$E$3:$E$1002,결제내역!$B$3:$B$1002,$A254))</f>
        <v/>
      </c>
      <c r="E254" s="23" t="str">
        <f aca="false">IF($A254="","",SUMIFS(사용내역!$D$3:$D$3002,사용내역!$B$3:$B$3002,$A254))</f>
        <v/>
      </c>
      <c r="F254" s="23" t="str">
        <f aca="false">IF($A254="","",$D254-$E254)</f>
        <v/>
      </c>
      <c r="G254" s="17" t="str">
        <f aca="false">IF($A254="","",IF(COUNTIFS(결제내역!$B$3:$B$1002,$A254)=0,"",_xlfn.MAXIFS(결제내역!$G$3:$G$1002,결제내역!$B$3:$B$1002,$A254)))</f>
        <v/>
      </c>
      <c r="H254" s="24" t="str">
        <f aca="true">IF(OR($A254="",$G254=""),"",$G254-TODAY())</f>
        <v/>
      </c>
      <c r="I254" s="16" t="str">
        <f aca="false">IF($A254="","",SUMIFS(결제내역!$H$3:$H$1002,결제내역!$B$3:$B$1002,$A254))</f>
        <v/>
      </c>
      <c r="J254" s="25" t="str">
        <f aca="false">IF($A254="","",IF($D254=0,"미결제",IF($F254&lt;=0,"횟수소진",IF($H254="","",IF($H254&lt;0,"기간만료",IF(OR($F254&lt;=사용안내!$C$18,$H254&lt;=사용안내!$C$17),"재결제 안내","정상"))))))</f>
        <v/>
      </c>
    </row>
    <row r="255" customFormat="false" ht="15" hidden="false" customHeight="true" outlineLevel="0" collapsed="false">
      <c r="A255" s="15" t="str">
        <f aca="false">IF(회원명부!$A252="","",회원명부!$A252)</f>
        <v/>
      </c>
      <c r="B255" s="15" t="str">
        <f aca="false">IF($A255="","",회원명부!$B252)</f>
        <v/>
      </c>
      <c r="C255" s="15" t="str">
        <f aca="false">IF($A255="","",회원명부!$C252)</f>
        <v/>
      </c>
      <c r="D255" s="23" t="str">
        <f aca="false">IF($A255="","",SUMIFS(결제내역!$E$3:$E$1002,결제내역!$B$3:$B$1002,$A255))</f>
        <v/>
      </c>
      <c r="E255" s="23" t="str">
        <f aca="false">IF($A255="","",SUMIFS(사용내역!$D$3:$D$3002,사용내역!$B$3:$B$3002,$A255))</f>
        <v/>
      </c>
      <c r="F255" s="23" t="str">
        <f aca="false">IF($A255="","",$D255-$E255)</f>
        <v/>
      </c>
      <c r="G255" s="17" t="str">
        <f aca="false">IF($A255="","",IF(COUNTIFS(결제내역!$B$3:$B$1002,$A255)=0,"",_xlfn.MAXIFS(결제내역!$G$3:$G$1002,결제내역!$B$3:$B$1002,$A255)))</f>
        <v/>
      </c>
      <c r="H255" s="24" t="str">
        <f aca="true">IF(OR($A255="",$G255=""),"",$G255-TODAY())</f>
        <v/>
      </c>
      <c r="I255" s="16" t="str">
        <f aca="false">IF($A255="","",SUMIFS(결제내역!$H$3:$H$1002,결제내역!$B$3:$B$1002,$A255))</f>
        <v/>
      </c>
      <c r="J255" s="25" t="str">
        <f aca="false">IF($A255="","",IF($D255=0,"미결제",IF($F255&lt;=0,"횟수소진",IF($H255="","",IF($H255&lt;0,"기간만료",IF(OR($F255&lt;=사용안내!$C$18,$H255&lt;=사용안내!$C$17),"재결제 안내","정상"))))))</f>
        <v/>
      </c>
    </row>
    <row r="256" customFormat="false" ht="15" hidden="false" customHeight="true" outlineLevel="0" collapsed="false">
      <c r="A256" s="15" t="str">
        <f aca="false">IF(회원명부!$A253="","",회원명부!$A253)</f>
        <v/>
      </c>
      <c r="B256" s="15" t="str">
        <f aca="false">IF($A256="","",회원명부!$B253)</f>
        <v/>
      </c>
      <c r="C256" s="15" t="str">
        <f aca="false">IF($A256="","",회원명부!$C253)</f>
        <v/>
      </c>
      <c r="D256" s="23" t="str">
        <f aca="false">IF($A256="","",SUMIFS(결제내역!$E$3:$E$1002,결제내역!$B$3:$B$1002,$A256))</f>
        <v/>
      </c>
      <c r="E256" s="23" t="str">
        <f aca="false">IF($A256="","",SUMIFS(사용내역!$D$3:$D$3002,사용내역!$B$3:$B$3002,$A256))</f>
        <v/>
      </c>
      <c r="F256" s="23" t="str">
        <f aca="false">IF($A256="","",$D256-$E256)</f>
        <v/>
      </c>
      <c r="G256" s="17" t="str">
        <f aca="false">IF($A256="","",IF(COUNTIFS(결제내역!$B$3:$B$1002,$A256)=0,"",_xlfn.MAXIFS(결제내역!$G$3:$G$1002,결제내역!$B$3:$B$1002,$A256)))</f>
        <v/>
      </c>
      <c r="H256" s="24" t="str">
        <f aca="true">IF(OR($A256="",$G256=""),"",$G256-TODAY())</f>
        <v/>
      </c>
      <c r="I256" s="16" t="str">
        <f aca="false">IF($A256="","",SUMIFS(결제내역!$H$3:$H$1002,결제내역!$B$3:$B$1002,$A256))</f>
        <v/>
      </c>
      <c r="J256" s="25" t="str">
        <f aca="false">IF($A256="","",IF($D256=0,"미결제",IF($F256&lt;=0,"횟수소진",IF($H256="","",IF($H256&lt;0,"기간만료",IF(OR($F256&lt;=사용안내!$C$18,$H256&lt;=사용안내!$C$17),"재결제 안내","정상"))))))</f>
        <v/>
      </c>
    </row>
    <row r="257" customFormat="false" ht="15" hidden="false" customHeight="true" outlineLevel="0" collapsed="false">
      <c r="A257" s="15" t="str">
        <f aca="false">IF(회원명부!$A254="","",회원명부!$A254)</f>
        <v/>
      </c>
      <c r="B257" s="15" t="str">
        <f aca="false">IF($A257="","",회원명부!$B254)</f>
        <v/>
      </c>
      <c r="C257" s="15" t="str">
        <f aca="false">IF($A257="","",회원명부!$C254)</f>
        <v/>
      </c>
      <c r="D257" s="23" t="str">
        <f aca="false">IF($A257="","",SUMIFS(결제내역!$E$3:$E$1002,결제내역!$B$3:$B$1002,$A257))</f>
        <v/>
      </c>
      <c r="E257" s="23" t="str">
        <f aca="false">IF($A257="","",SUMIFS(사용내역!$D$3:$D$3002,사용내역!$B$3:$B$3002,$A257))</f>
        <v/>
      </c>
      <c r="F257" s="23" t="str">
        <f aca="false">IF($A257="","",$D257-$E257)</f>
        <v/>
      </c>
      <c r="G257" s="17" t="str">
        <f aca="false">IF($A257="","",IF(COUNTIFS(결제내역!$B$3:$B$1002,$A257)=0,"",_xlfn.MAXIFS(결제내역!$G$3:$G$1002,결제내역!$B$3:$B$1002,$A257)))</f>
        <v/>
      </c>
      <c r="H257" s="24" t="str">
        <f aca="true">IF(OR($A257="",$G257=""),"",$G257-TODAY())</f>
        <v/>
      </c>
      <c r="I257" s="16" t="str">
        <f aca="false">IF($A257="","",SUMIFS(결제내역!$H$3:$H$1002,결제내역!$B$3:$B$1002,$A257))</f>
        <v/>
      </c>
      <c r="J257" s="25" t="str">
        <f aca="false">IF($A257="","",IF($D257=0,"미결제",IF($F257&lt;=0,"횟수소진",IF($H257="","",IF($H257&lt;0,"기간만료",IF(OR($F257&lt;=사용안내!$C$18,$H257&lt;=사용안내!$C$17),"재결제 안내","정상"))))))</f>
        <v/>
      </c>
    </row>
    <row r="258" customFormat="false" ht="15" hidden="false" customHeight="true" outlineLevel="0" collapsed="false">
      <c r="A258" s="15" t="str">
        <f aca="false">IF(회원명부!$A255="","",회원명부!$A255)</f>
        <v/>
      </c>
      <c r="B258" s="15" t="str">
        <f aca="false">IF($A258="","",회원명부!$B255)</f>
        <v/>
      </c>
      <c r="C258" s="15" t="str">
        <f aca="false">IF($A258="","",회원명부!$C255)</f>
        <v/>
      </c>
      <c r="D258" s="23" t="str">
        <f aca="false">IF($A258="","",SUMIFS(결제내역!$E$3:$E$1002,결제내역!$B$3:$B$1002,$A258))</f>
        <v/>
      </c>
      <c r="E258" s="23" t="str">
        <f aca="false">IF($A258="","",SUMIFS(사용내역!$D$3:$D$3002,사용내역!$B$3:$B$3002,$A258))</f>
        <v/>
      </c>
      <c r="F258" s="23" t="str">
        <f aca="false">IF($A258="","",$D258-$E258)</f>
        <v/>
      </c>
      <c r="G258" s="17" t="str">
        <f aca="false">IF($A258="","",IF(COUNTIFS(결제내역!$B$3:$B$1002,$A258)=0,"",_xlfn.MAXIFS(결제내역!$G$3:$G$1002,결제내역!$B$3:$B$1002,$A258)))</f>
        <v/>
      </c>
      <c r="H258" s="24" t="str">
        <f aca="true">IF(OR($A258="",$G258=""),"",$G258-TODAY())</f>
        <v/>
      </c>
      <c r="I258" s="16" t="str">
        <f aca="false">IF($A258="","",SUMIFS(결제내역!$H$3:$H$1002,결제내역!$B$3:$B$1002,$A258))</f>
        <v/>
      </c>
      <c r="J258" s="25" t="str">
        <f aca="false">IF($A258="","",IF($D258=0,"미결제",IF($F258&lt;=0,"횟수소진",IF($H258="","",IF($H258&lt;0,"기간만료",IF(OR($F258&lt;=사용안내!$C$18,$H258&lt;=사용안내!$C$17),"재결제 안내","정상"))))))</f>
        <v/>
      </c>
    </row>
    <row r="259" customFormat="false" ht="15" hidden="false" customHeight="true" outlineLevel="0" collapsed="false">
      <c r="A259" s="15" t="str">
        <f aca="false">IF(회원명부!$A256="","",회원명부!$A256)</f>
        <v/>
      </c>
      <c r="B259" s="15" t="str">
        <f aca="false">IF($A259="","",회원명부!$B256)</f>
        <v/>
      </c>
      <c r="C259" s="15" t="str">
        <f aca="false">IF($A259="","",회원명부!$C256)</f>
        <v/>
      </c>
      <c r="D259" s="23" t="str">
        <f aca="false">IF($A259="","",SUMIFS(결제내역!$E$3:$E$1002,결제내역!$B$3:$B$1002,$A259))</f>
        <v/>
      </c>
      <c r="E259" s="23" t="str">
        <f aca="false">IF($A259="","",SUMIFS(사용내역!$D$3:$D$3002,사용내역!$B$3:$B$3002,$A259))</f>
        <v/>
      </c>
      <c r="F259" s="23" t="str">
        <f aca="false">IF($A259="","",$D259-$E259)</f>
        <v/>
      </c>
      <c r="G259" s="17" t="str">
        <f aca="false">IF($A259="","",IF(COUNTIFS(결제내역!$B$3:$B$1002,$A259)=0,"",_xlfn.MAXIFS(결제내역!$G$3:$G$1002,결제내역!$B$3:$B$1002,$A259)))</f>
        <v/>
      </c>
      <c r="H259" s="24" t="str">
        <f aca="true">IF(OR($A259="",$G259=""),"",$G259-TODAY())</f>
        <v/>
      </c>
      <c r="I259" s="16" t="str">
        <f aca="false">IF($A259="","",SUMIFS(결제내역!$H$3:$H$1002,결제내역!$B$3:$B$1002,$A259))</f>
        <v/>
      </c>
      <c r="J259" s="25" t="str">
        <f aca="false">IF($A259="","",IF($D259=0,"미결제",IF($F259&lt;=0,"횟수소진",IF($H259="","",IF($H259&lt;0,"기간만료",IF(OR($F259&lt;=사용안내!$C$18,$H259&lt;=사용안내!$C$17),"재결제 안내","정상"))))))</f>
        <v/>
      </c>
    </row>
    <row r="260" customFormat="false" ht="15" hidden="false" customHeight="true" outlineLevel="0" collapsed="false">
      <c r="A260" s="15" t="str">
        <f aca="false">IF(회원명부!$A257="","",회원명부!$A257)</f>
        <v/>
      </c>
      <c r="B260" s="15" t="str">
        <f aca="false">IF($A260="","",회원명부!$B257)</f>
        <v/>
      </c>
      <c r="C260" s="15" t="str">
        <f aca="false">IF($A260="","",회원명부!$C257)</f>
        <v/>
      </c>
      <c r="D260" s="23" t="str">
        <f aca="false">IF($A260="","",SUMIFS(결제내역!$E$3:$E$1002,결제내역!$B$3:$B$1002,$A260))</f>
        <v/>
      </c>
      <c r="E260" s="23" t="str">
        <f aca="false">IF($A260="","",SUMIFS(사용내역!$D$3:$D$3002,사용내역!$B$3:$B$3002,$A260))</f>
        <v/>
      </c>
      <c r="F260" s="23" t="str">
        <f aca="false">IF($A260="","",$D260-$E260)</f>
        <v/>
      </c>
      <c r="G260" s="17" t="str">
        <f aca="false">IF($A260="","",IF(COUNTIFS(결제내역!$B$3:$B$1002,$A260)=0,"",_xlfn.MAXIFS(결제내역!$G$3:$G$1002,결제내역!$B$3:$B$1002,$A260)))</f>
        <v/>
      </c>
      <c r="H260" s="24" t="str">
        <f aca="true">IF(OR($A260="",$G260=""),"",$G260-TODAY())</f>
        <v/>
      </c>
      <c r="I260" s="16" t="str">
        <f aca="false">IF($A260="","",SUMIFS(결제내역!$H$3:$H$1002,결제내역!$B$3:$B$1002,$A260))</f>
        <v/>
      </c>
      <c r="J260" s="25" t="str">
        <f aca="false">IF($A260="","",IF($D260=0,"미결제",IF($F260&lt;=0,"횟수소진",IF($H260="","",IF($H260&lt;0,"기간만료",IF(OR($F260&lt;=사용안내!$C$18,$H260&lt;=사용안내!$C$17),"재결제 안내","정상"))))))</f>
        <v/>
      </c>
    </row>
    <row r="261" customFormat="false" ht="15" hidden="false" customHeight="true" outlineLevel="0" collapsed="false">
      <c r="A261" s="15" t="str">
        <f aca="false">IF(회원명부!$A258="","",회원명부!$A258)</f>
        <v/>
      </c>
      <c r="B261" s="15" t="str">
        <f aca="false">IF($A261="","",회원명부!$B258)</f>
        <v/>
      </c>
      <c r="C261" s="15" t="str">
        <f aca="false">IF($A261="","",회원명부!$C258)</f>
        <v/>
      </c>
      <c r="D261" s="23" t="str">
        <f aca="false">IF($A261="","",SUMIFS(결제내역!$E$3:$E$1002,결제내역!$B$3:$B$1002,$A261))</f>
        <v/>
      </c>
      <c r="E261" s="23" t="str">
        <f aca="false">IF($A261="","",SUMIFS(사용내역!$D$3:$D$3002,사용내역!$B$3:$B$3002,$A261))</f>
        <v/>
      </c>
      <c r="F261" s="23" t="str">
        <f aca="false">IF($A261="","",$D261-$E261)</f>
        <v/>
      </c>
      <c r="G261" s="17" t="str">
        <f aca="false">IF($A261="","",IF(COUNTIFS(결제내역!$B$3:$B$1002,$A261)=0,"",_xlfn.MAXIFS(결제내역!$G$3:$G$1002,결제내역!$B$3:$B$1002,$A261)))</f>
        <v/>
      </c>
      <c r="H261" s="24" t="str">
        <f aca="true">IF(OR($A261="",$G261=""),"",$G261-TODAY())</f>
        <v/>
      </c>
      <c r="I261" s="16" t="str">
        <f aca="false">IF($A261="","",SUMIFS(결제내역!$H$3:$H$1002,결제내역!$B$3:$B$1002,$A261))</f>
        <v/>
      </c>
      <c r="J261" s="25" t="str">
        <f aca="false">IF($A261="","",IF($D261=0,"미결제",IF($F261&lt;=0,"횟수소진",IF($H261="","",IF($H261&lt;0,"기간만료",IF(OR($F261&lt;=사용안내!$C$18,$H261&lt;=사용안내!$C$17),"재결제 안내","정상"))))))</f>
        <v/>
      </c>
    </row>
    <row r="262" customFormat="false" ht="15" hidden="false" customHeight="true" outlineLevel="0" collapsed="false">
      <c r="A262" s="15" t="str">
        <f aca="false">IF(회원명부!$A259="","",회원명부!$A259)</f>
        <v/>
      </c>
      <c r="B262" s="15" t="str">
        <f aca="false">IF($A262="","",회원명부!$B259)</f>
        <v/>
      </c>
      <c r="C262" s="15" t="str">
        <f aca="false">IF($A262="","",회원명부!$C259)</f>
        <v/>
      </c>
      <c r="D262" s="23" t="str">
        <f aca="false">IF($A262="","",SUMIFS(결제내역!$E$3:$E$1002,결제내역!$B$3:$B$1002,$A262))</f>
        <v/>
      </c>
      <c r="E262" s="23" t="str">
        <f aca="false">IF($A262="","",SUMIFS(사용내역!$D$3:$D$3002,사용내역!$B$3:$B$3002,$A262))</f>
        <v/>
      </c>
      <c r="F262" s="23" t="str">
        <f aca="false">IF($A262="","",$D262-$E262)</f>
        <v/>
      </c>
      <c r="G262" s="17" t="str">
        <f aca="false">IF($A262="","",IF(COUNTIFS(결제내역!$B$3:$B$1002,$A262)=0,"",_xlfn.MAXIFS(결제내역!$G$3:$G$1002,결제내역!$B$3:$B$1002,$A262)))</f>
        <v/>
      </c>
      <c r="H262" s="24" t="str">
        <f aca="true">IF(OR($A262="",$G262=""),"",$G262-TODAY())</f>
        <v/>
      </c>
      <c r="I262" s="16" t="str">
        <f aca="false">IF($A262="","",SUMIFS(결제내역!$H$3:$H$1002,결제내역!$B$3:$B$1002,$A262))</f>
        <v/>
      </c>
      <c r="J262" s="25" t="str">
        <f aca="false">IF($A262="","",IF($D262=0,"미결제",IF($F262&lt;=0,"횟수소진",IF($H262="","",IF($H262&lt;0,"기간만료",IF(OR($F262&lt;=사용안내!$C$18,$H262&lt;=사용안내!$C$17),"재결제 안내","정상"))))))</f>
        <v/>
      </c>
    </row>
    <row r="263" customFormat="false" ht="15" hidden="false" customHeight="true" outlineLevel="0" collapsed="false">
      <c r="A263" s="15" t="str">
        <f aca="false">IF(회원명부!$A260="","",회원명부!$A260)</f>
        <v/>
      </c>
      <c r="B263" s="15" t="str">
        <f aca="false">IF($A263="","",회원명부!$B260)</f>
        <v/>
      </c>
      <c r="C263" s="15" t="str">
        <f aca="false">IF($A263="","",회원명부!$C260)</f>
        <v/>
      </c>
      <c r="D263" s="23" t="str">
        <f aca="false">IF($A263="","",SUMIFS(결제내역!$E$3:$E$1002,결제내역!$B$3:$B$1002,$A263))</f>
        <v/>
      </c>
      <c r="E263" s="23" t="str">
        <f aca="false">IF($A263="","",SUMIFS(사용내역!$D$3:$D$3002,사용내역!$B$3:$B$3002,$A263))</f>
        <v/>
      </c>
      <c r="F263" s="23" t="str">
        <f aca="false">IF($A263="","",$D263-$E263)</f>
        <v/>
      </c>
      <c r="G263" s="17" t="str">
        <f aca="false">IF($A263="","",IF(COUNTIFS(결제내역!$B$3:$B$1002,$A263)=0,"",_xlfn.MAXIFS(결제내역!$G$3:$G$1002,결제내역!$B$3:$B$1002,$A263)))</f>
        <v/>
      </c>
      <c r="H263" s="24" t="str">
        <f aca="true">IF(OR($A263="",$G263=""),"",$G263-TODAY())</f>
        <v/>
      </c>
      <c r="I263" s="16" t="str">
        <f aca="false">IF($A263="","",SUMIFS(결제내역!$H$3:$H$1002,결제내역!$B$3:$B$1002,$A263))</f>
        <v/>
      </c>
      <c r="J263" s="25" t="str">
        <f aca="false">IF($A263="","",IF($D263=0,"미결제",IF($F263&lt;=0,"횟수소진",IF($H263="","",IF($H263&lt;0,"기간만료",IF(OR($F263&lt;=사용안내!$C$18,$H263&lt;=사용안내!$C$17),"재결제 안내","정상"))))))</f>
        <v/>
      </c>
    </row>
    <row r="264" customFormat="false" ht="15" hidden="false" customHeight="true" outlineLevel="0" collapsed="false">
      <c r="A264" s="15" t="str">
        <f aca="false">IF(회원명부!$A261="","",회원명부!$A261)</f>
        <v/>
      </c>
      <c r="B264" s="15" t="str">
        <f aca="false">IF($A264="","",회원명부!$B261)</f>
        <v/>
      </c>
      <c r="C264" s="15" t="str">
        <f aca="false">IF($A264="","",회원명부!$C261)</f>
        <v/>
      </c>
      <c r="D264" s="23" t="str">
        <f aca="false">IF($A264="","",SUMIFS(결제내역!$E$3:$E$1002,결제내역!$B$3:$B$1002,$A264))</f>
        <v/>
      </c>
      <c r="E264" s="23" t="str">
        <f aca="false">IF($A264="","",SUMIFS(사용내역!$D$3:$D$3002,사용내역!$B$3:$B$3002,$A264))</f>
        <v/>
      </c>
      <c r="F264" s="23" t="str">
        <f aca="false">IF($A264="","",$D264-$E264)</f>
        <v/>
      </c>
      <c r="G264" s="17" t="str">
        <f aca="false">IF($A264="","",IF(COUNTIFS(결제내역!$B$3:$B$1002,$A264)=0,"",_xlfn.MAXIFS(결제내역!$G$3:$G$1002,결제내역!$B$3:$B$1002,$A264)))</f>
        <v/>
      </c>
      <c r="H264" s="24" t="str">
        <f aca="true">IF(OR($A264="",$G264=""),"",$G264-TODAY())</f>
        <v/>
      </c>
      <c r="I264" s="16" t="str">
        <f aca="false">IF($A264="","",SUMIFS(결제내역!$H$3:$H$1002,결제내역!$B$3:$B$1002,$A264))</f>
        <v/>
      </c>
      <c r="J264" s="25" t="str">
        <f aca="false">IF($A264="","",IF($D264=0,"미결제",IF($F264&lt;=0,"횟수소진",IF($H264="","",IF($H264&lt;0,"기간만료",IF(OR($F264&lt;=사용안내!$C$18,$H264&lt;=사용안내!$C$17),"재결제 안내","정상"))))))</f>
        <v/>
      </c>
    </row>
    <row r="265" customFormat="false" ht="15" hidden="false" customHeight="true" outlineLevel="0" collapsed="false">
      <c r="A265" s="15" t="str">
        <f aca="false">IF(회원명부!$A262="","",회원명부!$A262)</f>
        <v/>
      </c>
      <c r="B265" s="15" t="str">
        <f aca="false">IF($A265="","",회원명부!$B262)</f>
        <v/>
      </c>
      <c r="C265" s="15" t="str">
        <f aca="false">IF($A265="","",회원명부!$C262)</f>
        <v/>
      </c>
      <c r="D265" s="23" t="str">
        <f aca="false">IF($A265="","",SUMIFS(결제내역!$E$3:$E$1002,결제내역!$B$3:$B$1002,$A265))</f>
        <v/>
      </c>
      <c r="E265" s="23" t="str">
        <f aca="false">IF($A265="","",SUMIFS(사용내역!$D$3:$D$3002,사용내역!$B$3:$B$3002,$A265))</f>
        <v/>
      </c>
      <c r="F265" s="23" t="str">
        <f aca="false">IF($A265="","",$D265-$E265)</f>
        <v/>
      </c>
      <c r="G265" s="17" t="str">
        <f aca="false">IF($A265="","",IF(COUNTIFS(결제내역!$B$3:$B$1002,$A265)=0,"",_xlfn.MAXIFS(결제내역!$G$3:$G$1002,결제내역!$B$3:$B$1002,$A265)))</f>
        <v/>
      </c>
      <c r="H265" s="24" t="str">
        <f aca="true">IF(OR($A265="",$G265=""),"",$G265-TODAY())</f>
        <v/>
      </c>
      <c r="I265" s="16" t="str">
        <f aca="false">IF($A265="","",SUMIFS(결제내역!$H$3:$H$1002,결제내역!$B$3:$B$1002,$A265))</f>
        <v/>
      </c>
      <c r="J265" s="25" t="str">
        <f aca="false">IF($A265="","",IF($D265=0,"미결제",IF($F265&lt;=0,"횟수소진",IF($H265="","",IF($H265&lt;0,"기간만료",IF(OR($F265&lt;=사용안내!$C$18,$H265&lt;=사용안내!$C$17),"재결제 안내","정상"))))))</f>
        <v/>
      </c>
    </row>
    <row r="266" customFormat="false" ht="15" hidden="false" customHeight="true" outlineLevel="0" collapsed="false">
      <c r="A266" s="15" t="str">
        <f aca="false">IF(회원명부!$A263="","",회원명부!$A263)</f>
        <v/>
      </c>
      <c r="B266" s="15" t="str">
        <f aca="false">IF($A266="","",회원명부!$B263)</f>
        <v/>
      </c>
      <c r="C266" s="15" t="str">
        <f aca="false">IF($A266="","",회원명부!$C263)</f>
        <v/>
      </c>
      <c r="D266" s="23" t="str">
        <f aca="false">IF($A266="","",SUMIFS(결제내역!$E$3:$E$1002,결제내역!$B$3:$B$1002,$A266))</f>
        <v/>
      </c>
      <c r="E266" s="23" t="str">
        <f aca="false">IF($A266="","",SUMIFS(사용내역!$D$3:$D$3002,사용내역!$B$3:$B$3002,$A266))</f>
        <v/>
      </c>
      <c r="F266" s="23" t="str">
        <f aca="false">IF($A266="","",$D266-$E266)</f>
        <v/>
      </c>
      <c r="G266" s="17" t="str">
        <f aca="false">IF($A266="","",IF(COUNTIFS(결제내역!$B$3:$B$1002,$A266)=0,"",_xlfn.MAXIFS(결제내역!$G$3:$G$1002,결제내역!$B$3:$B$1002,$A266)))</f>
        <v/>
      </c>
      <c r="H266" s="24" t="str">
        <f aca="true">IF(OR($A266="",$G266=""),"",$G266-TODAY())</f>
        <v/>
      </c>
      <c r="I266" s="16" t="str">
        <f aca="false">IF($A266="","",SUMIFS(결제내역!$H$3:$H$1002,결제내역!$B$3:$B$1002,$A266))</f>
        <v/>
      </c>
      <c r="J266" s="25" t="str">
        <f aca="false">IF($A266="","",IF($D266=0,"미결제",IF($F266&lt;=0,"횟수소진",IF($H266="","",IF($H266&lt;0,"기간만료",IF(OR($F266&lt;=사용안내!$C$18,$H266&lt;=사용안내!$C$17),"재결제 안내","정상"))))))</f>
        <v/>
      </c>
    </row>
    <row r="267" customFormat="false" ht="15" hidden="false" customHeight="true" outlineLevel="0" collapsed="false">
      <c r="A267" s="15" t="str">
        <f aca="false">IF(회원명부!$A264="","",회원명부!$A264)</f>
        <v/>
      </c>
      <c r="B267" s="15" t="str">
        <f aca="false">IF($A267="","",회원명부!$B264)</f>
        <v/>
      </c>
      <c r="C267" s="15" t="str">
        <f aca="false">IF($A267="","",회원명부!$C264)</f>
        <v/>
      </c>
      <c r="D267" s="23" t="str">
        <f aca="false">IF($A267="","",SUMIFS(결제내역!$E$3:$E$1002,결제내역!$B$3:$B$1002,$A267))</f>
        <v/>
      </c>
      <c r="E267" s="23" t="str">
        <f aca="false">IF($A267="","",SUMIFS(사용내역!$D$3:$D$3002,사용내역!$B$3:$B$3002,$A267))</f>
        <v/>
      </c>
      <c r="F267" s="23" t="str">
        <f aca="false">IF($A267="","",$D267-$E267)</f>
        <v/>
      </c>
      <c r="G267" s="17" t="str">
        <f aca="false">IF($A267="","",IF(COUNTIFS(결제내역!$B$3:$B$1002,$A267)=0,"",_xlfn.MAXIFS(결제내역!$G$3:$G$1002,결제내역!$B$3:$B$1002,$A267)))</f>
        <v/>
      </c>
      <c r="H267" s="24" t="str">
        <f aca="true">IF(OR($A267="",$G267=""),"",$G267-TODAY())</f>
        <v/>
      </c>
      <c r="I267" s="16" t="str">
        <f aca="false">IF($A267="","",SUMIFS(결제내역!$H$3:$H$1002,결제내역!$B$3:$B$1002,$A267))</f>
        <v/>
      </c>
      <c r="J267" s="25" t="str">
        <f aca="false">IF($A267="","",IF($D267=0,"미결제",IF($F267&lt;=0,"횟수소진",IF($H267="","",IF($H267&lt;0,"기간만료",IF(OR($F267&lt;=사용안내!$C$18,$H267&lt;=사용안내!$C$17),"재결제 안내","정상"))))))</f>
        <v/>
      </c>
    </row>
    <row r="268" customFormat="false" ht="15" hidden="false" customHeight="true" outlineLevel="0" collapsed="false">
      <c r="A268" s="15" t="str">
        <f aca="false">IF(회원명부!$A265="","",회원명부!$A265)</f>
        <v/>
      </c>
      <c r="B268" s="15" t="str">
        <f aca="false">IF($A268="","",회원명부!$B265)</f>
        <v/>
      </c>
      <c r="C268" s="15" t="str">
        <f aca="false">IF($A268="","",회원명부!$C265)</f>
        <v/>
      </c>
      <c r="D268" s="23" t="str">
        <f aca="false">IF($A268="","",SUMIFS(결제내역!$E$3:$E$1002,결제내역!$B$3:$B$1002,$A268))</f>
        <v/>
      </c>
      <c r="E268" s="23" t="str">
        <f aca="false">IF($A268="","",SUMIFS(사용내역!$D$3:$D$3002,사용내역!$B$3:$B$3002,$A268))</f>
        <v/>
      </c>
      <c r="F268" s="23" t="str">
        <f aca="false">IF($A268="","",$D268-$E268)</f>
        <v/>
      </c>
      <c r="G268" s="17" t="str">
        <f aca="false">IF($A268="","",IF(COUNTIFS(결제내역!$B$3:$B$1002,$A268)=0,"",_xlfn.MAXIFS(결제내역!$G$3:$G$1002,결제내역!$B$3:$B$1002,$A268)))</f>
        <v/>
      </c>
      <c r="H268" s="24" t="str">
        <f aca="true">IF(OR($A268="",$G268=""),"",$G268-TODAY())</f>
        <v/>
      </c>
      <c r="I268" s="16" t="str">
        <f aca="false">IF($A268="","",SUMIFS(결제내역!$H$3:$H$1002,결제내역!$B$3:$B$1002,$A268))</f>
        <v/>
      </c>
      <c r="J268" s="25" t="str">
        <f aca="false">IF($A268="","",IF($D268=0,"미결제",IF($F268&lt;=0,"횟수소진",IF($H268="","",IF($H268&lt;0,"기간만료",IF(OR($F268&lt;=사용안내!$C$18,$H268&lt;=사용안내!$C$17),"재결제 안내","정상"))))))</f>
        <v/>
      </c>
    </row>
    <row r="269" customFormat="false" ht="15" hidden="false" customHeight="true" outlineLevel="0" collapsed="false">
      <c r="A269" s="15" t="str">
        <f aca="false">IF(회원명부!$A266="","",회원명부!$A266)</f>
        <v/>
      </c>
      <c r="B269" s="15" t="str">
        <f aca="false">IF($A269="","",회원명부!$B266)</f>
        <v/>
      </c>
      <c r="C269" s="15" t="str">
        <f aca="false">IF($A269="","",회원명부!$C266)</f>
        <v/>
      </c>
      <c r="D269" s="23" t="str">
        <f aca="false">IF($A269="","",SUMIFS(결제내역!$E$3:$E$1002,결제내역!$B$3:$B$1002,$A269))</f>
        <v/>
      </c>
      <c r="E269" s="23" t="str">
        <f aca="false">IF($A269="","",SUMIFS(사용내역!$D$3:$D$3002,사용내역!$B$3:$B$3002,$A269))</f>
        <v/>
      </c>
      <c r="F269" s="23" t="str">
        <f aca="false">IF($A269="","",$D269-$E269)</f>
        <v/>
      </c>
      <c r="G269" s="17" t="str">
        <f aca="false">IF($A269="","",IF(COUNTIFS(결제내역!$B$3:$B$1002,$A269)=0,"",_xlfn.MAXIFS(결제내역!$G$3:$G$1002,결제내역!$B$3:$B$1002,$A269)))</f>
        <v/>
      </c>
      <c r="H269" s="24" t="str">
        <f aca="true">IF(OR($A269="",$G269=""),"",$G269-TODAY())</f>
        <v/>
      </c>
      <c r="I269" s="16" t="str">
        <f aca="false">IF($A269="","",SUMIFS(결제내역!$H$3:$H$1002,결제내역!$B$3:$B$1002,$A269))</f>
        <v/>
      </c>
      <c r="J269" s="25" t="str">
        <f aca="false">IF($A269="","",IF($D269=0,"미결제",IF($F269&lt;=0,"횟수소진",IF($H269="","",IF($H269&lt;0,"기간만료",IF(OR($F269&lt;=사용안내!$C$18,$H269&lt;=사용안내!$C$17),"재결제 안내","정상"))))))</f>
        <v/>
      </c>
    </row>
    <row r="270" customFormat="false" ht="15" hidden="false" customHeight="true" outlineLevel="0" collapsed="false">
      <c r="A270" s="15" t="str">
        <f aca="false">IF(회원명부!$A267="","",회원명부!$A267)</f>
        <v/>
      </c>
      <c r="B270" s="15" t="str">
        <f aca="false">IF($A270="","",회원명부!$B267)</f>
        <v/>
      </c>
      <c r="C270" s="15" t="str">
        <f aca="false">IF($A270="","",회원명부!$C267)</f>
        <v/>
      </c>
      <c r="D270" s="23" t="str">
        <f aca="false">IF($A270="","",SUMIFS(결제내역!$E$3:$E$1002,결제내역!$B$3:$B$1002,$A270))</f>
        <v/>
      </c>
      <c r="E270" s="23" t="str">
        <f aca="false">IF($A270="","",SUMIFS(사용내역!$D$3:$D$3002,사용내역!$B$3:$B$3002,$A270))</f>
        <v/>
      </c>
      <c r="F270" s="23" t="str">
        <f aca="false">IF($A270="","",$D270-$E270)</f>
        <v/>
      </c>
      <c r="G270" s="17" t="str">
        <f aca="false">IF($A270="","",IF(COUNTIFS(결제내역!$B$3:$B$1002,$A270)=0,"",_xlfn.MAXIFS(결제내역!$G$3:$G$1002,결제내역!$B$3:$B$1002,$A270)))</f>
        <v/>
      </c>
      <c r="H270" s="24" t="str">
        <f aca="true">IF(OR($A270="",$G270=""),"",$G270-TODAY())</f>
        <v/>
      </c>
      <c r="I270" s="16" t="str">
        <f aca="false">IF($A270="","",SUMIFS(결제내역!$H$3:$H$1002,결제내역!$B$3:$B$1002,$A270))</f>
        <v/>
      </c>
      <c r="J270" s="25" t="str">
        <f aca="false">IF($A270="","",IF($D270=0,"미결제",IF($F270&lt;=0,"횟수소진",IF($H270="","",IF($H270&lt;0,"기간만료",IF(OR($F270&lt;=사용안내!$C$18,$H270&lt;=사용안내!$C$17),"재결제 안내","정상"))))))</f>
        <v/>
      </c>
    </row>
    <row r="271" customFormat="false" ht="15" hidden="false" customHeight="true" outlineLevel="0" collapsed="false">
      <c r="A271" s="15" t="str">
        <f aca="false">IF(회원명부!$A268="","",회원명부!$A268)</f>
        <v/>
      </c>
      <c r="B271" s="15" t="str">
        <f aca="false">IF($A271="","",회원명부!$B268)</f>
        <v/>
      </c>
      <c r="C271" s="15" t="str">
        <f aca="false">IF($A271="","",회원명부!$C268)</f>
        <v/>
      </c>
      <c r="D271" s="23" t="str">
        <f aca="false">IF($A271="","",SUMIFS(결제내역!$E$3:$E$1002,결제내역!$B$3:$B$1002,$A271))</f>
        <v/>
      </c>
      <c r="E271" s="23" t="str">
        <f aca="false">IF($A271="","",SUMIFS(사용내역!$D$3:$D$3002,사용내역!$B$3:$B$3002,$A271))</f>
        <v/>
      </c>
      <c r="F271" s="23" t="str">
        <f aca="false">IF($A271="","",$D271-$E271)</f>
        <v/>
      </c>
      <c r="G271" s="17" t="str">
        <f aca="false">IF($A271="","",IF(COUNTIFS(결제내역!$B$3:$B$1002,$A271)=0,"",_xlfn.MAXIFS(결제내역!$G$3:$G$1002,결제내역!$B$3:$B$1002,$A271)))</f>
        <v/>
      </c>
      <c r="H271" s="24" t="str">
        <f aca="true">IF(OR($A271="",$G271=""),"",$G271-TODAY())</f>
        <v/>
      </c>
      <c r="I271" s="16" t="str">
        <f aca="false">IF($A271="","",SUMIFS(결제내역!$H$3:$H$1002,결제내역!$B$3:$B$1002,$A271))</f>
        <v/>
      </c>
      <c r="J271" s="25" t="str">
        <f aca="false">IF($A271="","",IF($D271=0,"미결제",IF($F271&lt;=0,"횟수소진",IF($H271="","",IF($H271&lt;0,"기간만료",IF(OR($F271&lt;=사용안내!$C$18,$H271&lt;=사용안내!$C$17),"재결제 안내","정상"))))))</f>
        <v/>
      </c>
    </row>
    <row r="272" customFormat="false" ht="15" hidden="false" customHeight="true" outlineLevel="0" collapsed="false">
      <c r="A272" s="15" t="str">
        <f aca="false">IF(회원명부!$A269="","",회원명부!$A269)</f>
        <v/>
      </c>
      <c r="B272" s="15" t="str">
        <f aca="false">IF($A272="","",회원명부!$B269)</f>
        <v/>
      </c>
      <c r="C272" s="15" t="str">
        <f aca="false">IF($A272="","",회원명부!$C269)</f>
        <v/>
      </c>
      <c r="D272" s="23" t="str">
        <f aca="false">IF($A272="","",SUMIFS(결제내역!$E$3:$E$1002,결제내역!$B$3:$B$1002,$A272))</f>
        <v/>
      </c>
      <c r="E272" s="23" t="str">
        <f aca="false">IF($A272="","",SUMIFS(사용내역!$D$3:$D$3002,사용내역!$B$3:$B$3002,$A272))</f>
        <v/>
      </c>
      <c r="F272" s="23" t="str">
        <f aca="false">IF($A272="","",$D272-$E272)</f>
        <v/>
      </c>
      <c r="G272" s="17" t="str">
        <f aca="false">IF($A272="","",IF(COUNTIFS(결제내역!$B$3:$B$1002,$A272)=0,"",_xlfn.MAXIFS(결제내역!$G$3:$G$1002,결제내역!$B$3:$B$1002,$A272)))</f>
        <v/>
      </c>
      <c r="H272" s="24" t="str">
        <f aca="true">IF(OR($A272="",$G272=""),"",$G272-TODAY())</f>
        <v/>
      </c>
      <c r="I272" s="16" t="str">
        <f aca="false">IF($A272="","",SUMIFS(결제내역!$H$3:$H$1002,결제내역!$B$3:$B$1002,$A272))</f>
        <v/>
      </c>
      <c r="J272" s="25" t="str">
        <f aca="false">IF($A272="","",IF($D272=0,"미결제",IF($F272&lt;=0,"횟수소진",IF($H272="","",IF($H272&lt;0,"기간만료",IF(OR($F272&lt;=사용안내!$C$18,$H272&lt;=사용안내!$C$17),"재결제 안내","정상"))))))</f>
        <v/>
      </c>
    </row>
    <row r="273" customFormat="false" ht="15" hidden="false" customHeight="true" outlineLevel="0" collapsed="false">
      <c r="A273" s="15" t="str">
        <f aca="false">IF(회원명부!$A270="","",회원명부!$A270)</f>
        <v/>
      </c>
      <c r="B273" s="15" t="str">
        <f aca="false">IF($A273="","",회원명부!$B270)</f>
        <v/>
      </c>
      <c r="C273" s="15" t="str">
        <f aca="false">IF($A273="","",회원명부!$C270)</f>
        <v/>
      </c>
      <c r="D273" s="23" t="str">
        <f aca="false">IF($A273="","",SUMIFS(결제내역!$E$3:$E$1002,결제내역!$B$3:$B$1002,$A273))</f>
        <v/>
      </c>
      <c r="E273" s="23" t="str">
        <f aca="false">IF($A273="","",SUMIFS(사용내역!$D$3:$D$3002,사용내역!$B$3:$B$3002,$A273))</f>
        <v/>
      </c>
      <c r="F273" s="23" t="str">
        <f aca="false">IF($A273="","",$D273-$E273)</f>
        <v/>
      </c>
      <c r="G273" s="17" t="str">
        <f aca="false">IF($A273="","",IF(COUNTIFS(결제내역!$B$3:$B$1002,$A273)=0,"",_xlfn.MAXIFS(결제내역!$G$3:$G$1002,결제내역!$B$3:$B$1002,$A273)))</f>
        <v/>
      </c>
      <c r="H273" s="24" t="str">
        <f aca="true">IF(OR($A273="",$G273=""),"",$G273-TODAY())</f>
        <v/>
      </c>
      <c r="I273" s="16" t="str">
        <f aca="false">IF($A273="","",SUMIFS(결제내역!$H$3:$H$1002,결제내역!$B$3:$B$1002,$A273))</f>
        <v/>
      </c>
      <c r="J273" s="25" t="str">
        <f aca="false">IF($A273="","",IF($D273=0,"미결제",IF($F273&lt;=0,"횟수소진",IF($H273="","",IF($H273&lt;0,"기간만료",IF(OR($F273&lt;=사용안내!$C$18,$H273&lt;=사용안내!$C$17),"재결제 안내","정상"))))))</f>
        <v/>
      </c>
    </row>
    <row r="274" customFormat="false" ht="15" hidden="false" customHeight="true" outlineLevel="0" collapsed="false">
      <c r="A274" s="15" t="str">
        <f aca="false">IF(회원명부!$A271="","",회원명부!$A271)</f>
        <v/>
      </c>
      <c r="B274" s="15" t="str">
        <f aca="false">IF($A274="","",회원명부!$B271)</f>
        <v/>
      </c>
      <c r="C274" s="15" t="str">
        <f aca="false">IF($A274="","",회원명부!$C271)</f>
        <v/>
      </c>
      <c r="D274" s="23" t="str">
        <f aca="false">IF($A274="","",SUMIFS(결제내역!$E$3:$E$1002,결제내역!$B$3:$B$1002,$A274))</f>
        <v/>
      </c>
      <c r="E274" s="23" t="str">
        <f aca="false">IF($A274="","",SUMIFS(사용내역!$D$3:$D$3002,사용내역!$B$3:$B$3002,$A274))</f>
        <v/>
      </c>
      <c r="F274" s="23" t="str">
        <f aca="false">IF($A274="","",$D274-$E274)</f>
        <v/>
      </c>
      <c r="G274" s="17" t="str">
        <f aca="false">IF($A274="","",IF(COUNTIFS(결제내역!$B$3:$B$1002,$A274)=0,"",_xlfn.MAXIFS(결제내역!$G$3:$G$1002,결제내역!$B$3:$B$1002,$A274)))</f>
        <v/>
      </c>
      <c r="H274" s="24" t="str">
        <f aca="true">IF(OR($A274="",$G274=""),"",$G274-TODAY())</f>
        <v/>
      </c>
      <c r="I274" s="16" t="str">
        <f aca="false">IF($A274="","",SUMIFS(결제내역!$H$3:$H$1002,결제내역!$B$3:$B$1002,$A274))</f>
        <v/>
      </c>
      <c r="J274" s="25" t="str">
        <f aca="false">IF($A274="","",IF($D274=0,"미결제",IF($F274&lt;=0,"횟수소진",IF($H274="","",IF($H274&lt;0,"기간만료",IF(OR($F274&lt;=사용안내!$C$18,$H274&lt;=사용안내!$C$17),"재결제 안내","정상"))))))</f>
        <v/>
      </c>
    </row>
    <row r="275" customFormat="false" ht="15" hidden="false" customHeight="true" outlineLevel="0" collapsed="false">
      <c r="A275" s="15" t="str">
        <f aca="false">IF(회원명부!$A272="","",회원명부!$A272)</f>
        <v/>
      </c>
      <c r="B275" s="15" t="str">
        <f aca="false">IF($A275="","",회원명부!$B272)</f>
        <v/>
      </c>
      <c r="C275" s="15" t="str">
        <f aca="false">IF($A275="","",회원명부!$C272)</f>
        <v/>
      </c>
      <c r="D275" s="23" t="str">
        <f aca="false">IF($A275="","",SUMIFS(결제내역!$E$3:$E$1002,결제내역!$B$3:$B$1002,$A275))</f>
        <v/>
      </c>
      <c r="E275" s="23" t="str">
        <f aca="false">IF($A275="","",SUMIFS(사용내역!$D$3:$D$3002,사용내역!$B$3:$B$3002,$A275))</f>
        <v/>
      </c>
      <c r="F275" s="23" t="str">
        <f aca="false">IF($A275="","",$D275-$E275)</f>
        <v/>
      </c>
      <c r="G275" s="17" t="str">
        <f aca="false">IF($A275="","",IF(COUNTIFS(결제내역!$B$3:$B$1002,$A275)=0,"",_xlfn.MAXIFS(결제내역!$G$3:$G$1002,결제내역!$B$3:$B$1002,$A275)))</f>
        <v/>
      </c>
      <c r="H275" s="24" t="str">
        <f aca="true">IF(OR($A275="",$G275=""),"",$G275-TODAY())</f>
        <v/>
      </c>
      <c r="I275" s="16" t="str">
        <f aca="false">IF($A275="","",SUMIFS(결제내역!$H$3:$H$1002,결제내역!$B$3:$B$1002,$A275))</f>
        <v/>
      </c>
      <c r="J275" s="25" t="str">
        <f aca="false">IF($A275="","",IF($D275=0,"미결제",IF($F275&lt;=0,"횟수소진",IF($H275="","",IF($H275&lt;0,"기간만료",IF(OR($F275&lt;=사용안내!$C$18,$H275&lt;=사용안내!$C$17),"재결제 안내","정상"))))))</f>
        <v/>
      </c>
    </row>
    <row r="276" customFormat="false" ht="15" hidden="false" customHeight="true" outlineLevel="0" collapsed="false">
      <c r="A276" s="15" t="str">
        <f aca="false">IF(회원명부!$A273="","",회원명부!$A273)</f>
        <v/>
      </c>
      <c r="B276" s="15" t="str">
        <f aca="false">IF($A276="","",회원명부!$B273)</f>
        <v/>
      </c>
      <c r="C276" s="15" t="str">
        <f aca="false">IF($A276="","",회원명부!$C273)</f>
        <v/>
      </c>
      <c r="D276" s="23" t="str">
        <f aca="false">IF($A276="","",SUMIFS(결제내역!$E$3:$E$1002,결제내역!$B$3:$B$1002,$A276))</f>
        <v/>
      </c>
      <c r="E276" s="23" t="str">
        <f aca="false">IF($A276="","",SUMIFS(사용내역!$D$3:$D$3002,사용내역!$B$3:$B$3002,$A276))</f>
        <v/>
      </c>
      <c r="F276" s="23" t="str">
        <f aca="false">IF($A276="","",$D276-$E276)</f>
        <v/>
      </c>
      <c r="G276" s="17" t="str">
        <f aca="false">IF($A276="","",IF(COUNTIFS(결제내역!$B$3:$B$1002,$A276)=0,"",_xlfn.MAXIFS(결제내역!$G$3:$G$1002,결제내역!$B$3:$B$1002,$A276)))</f>
        <v/>
      </c>
      <c r="H276" s="24" t="str">
        <f aca="true">IF(OR($A276="",$G276=""),"",$G276-TODAY())</f>
        <v/>
      </c>
      <c r="I276" s="16" t="str">
        <f aca="false">IF($A276="","",SUMIFS(결제내역!$H$3:$H$1002,결제내역!$B$3:$B$1002,$A276))</f>
        <v/>
      </c>
      <c r="J276" s="25" t="str">
        <f aca="false">IF($A276="","",IF($D276=0,"미결제",IF($F276&lt;=0,"횟수소진",IF($H276="","",IF($H276&lt;0,"기간만료",IF(OR($F276&lt;=사용안내!$C$18,$H276&lt;=사용안내!$C$17),"재결제 안내","정상"))))))</f>
        <v/>
      </c>
    </row>
    <row r="277" customFormat="false" ht="15" hidden="false" customHeight="true" outlineLevel="0" collapsed="false">
      <c r="A277" s="15" t="str">
        <f aca="false">IF(회원명부!$A274="","",회원명부!$A274)</f>
        <v/>
      </c>
      <c r="B277" s="15" t="str">
        <f aca="false">IF($A277="","",회원명부!$B274)</f>
        <v/>
      </c>
      <c r="C277" s="15" t="str">
        <f aca="false">IF($A277="","",회원명부!$C274)</f>
        <v/>
      </c>
      <c r="D277" s="23" t="str">
        <f aca="false">IF($A277="","",SUMIFS(결제내역!$E$3:$E$1002,결제내역!$B$3:$B$1002,$A277))</f>
        <v/>
      </c>
      <c r="E277" s="23" t="str">
        <f aca="false">IF($A277="","",SUMIFS(사용내역!$D$3:$D$3002,사용내역!$B$3:$B$3002,$A277))</f>
        <v/>
      </c>
      <c r="F277" s="23" t="str">
        <f aca="false">IF($A277="","",$D277-$E277)</f>
        <v/>
      </c>
      <c r="G277" s="17" t="str">
        <f aca="false">IF($A277="","",IF(COUNTIFS(결제내역!$B$3:$B$1002,$A277)=0,"",_xlfn.MAXIFS(결제내역!$G$3:$G$1002,결제내역!$B$3:$B$1002,$A277)))</f>
        <v/>
      </c>
      <c r="H277" s="24" t="str">
        <f aca="true">IF(OR($A277="",$G277=""),"",$G277-TODAY())</f>
        <v/>
      </c>
      <c r="I277" s="16" t="str">
        <f aca="false">IF($A277="","",SUMIFS(결제내역!$H$3:$H$1002,결제내역!$B$3:$B$1002,$A277))</f>
        <v/>
      </c>
      <c r="J277" s="25" t="str">
        <f aca="false">IF($A277="","",IF($D277=0,"미결제",IF($F277&lt;=0,"횟수소진",IF($H277="","",IF($H277&lt;0,"기간만료",IF(OR($F277&lt;=사용안내!$C$18,$H277&lt;=사용안내!$C$17),"재결제 안내","정상"))))))</f>
        <v/>
      </c>
    </row>
    <row r="278" customFormat="false" ht="15" hidden="false" customHeight="true" outlineLevel="0" collapsed="false">
      <c r="A278" s="15" t="str">
        <f aca="false">IF(회원명부!$A275="","",회원명부!$A275)</f>
        <v/>
      </c>
      <c r="B278" s="15" t="str">
        <f aca="false">IF($A278="","",회원명부!$B275)</f>
        <v/>
      </c>
      <c r="C278" s="15" t="str">
        <f aca="false">IF($A278="","",회원명부!$C275)</f>
        <v/>
      </c>
      <c r="D278" s="23" t="str">
        <f aca="false">IF($A278="","",SUMIFS(결제내역!$E$3:$E$1002,결제내역!$B$3:$B$1002,$A278))</f>
        <v/>
      </c>
      <c r="E278" s="23" t="str">
        <f aca="false">IF($A278="","",SUMIFS(사용내역!$D$3:$D$3002,사용내역!$B$3:$B$3002,$A278))</f>
        <v/>
      </c>
      <c r="F278" s="23" t="str">
        <f aca="false">IF($A278="","",$D278-$E278)</f>
        <v/>
      </c>
      <c r="G278" s="17" t="str">
        <f aca="false">IF($A278="","",IF(COUNTIFS(결제내역!$B$3:$B$1002,$A278)=0,"",_xlfn.MAXIFS(결제내역!$G$3:$G$1002,결제내역!$B$3:$B$1002,$A278)))</f>
        <v/>
      </c>
      <c r="H278" s="24" t="str">
        <f aca="true">IF(OR($A278="",$G278=""),"",$G278-TODAY())</f>
        <v/>
      </c>
      <c r="I278" s="16" t="str">
        <f aca="false">IF($A278="","",SUMIFS(결제내역!$H$3:$H$1002,결제내역!$B$3:$B$1002,$A278))</f>
        <v/>
      </c>
      <c r="J278" s="25" t="str">
        <f aca="false">IF($A278="","",IF($D278=0,"미결제",IF($F278&lt;=0,"횟수소진",IF($H278="","",IF($H278&lt;0,"기간만료",IF(OR($F278&lt;=사용안내!$C$18,$H278&lt;=사용안내!$C$17),"재결제 안내","정상"))))))</f>
        <v/>
      </c>
    </row>
    <row r="279" customFormat="false" ht="15" hidden="false" customHeight="true" outlineLevel="0" collapsed="false">
      <c r="A279" s="15" t="str">
        <f aca="false">IF(회원명부!$A276="","",회원명부!$A276)</f>
        <v/>
      </c>
      <c r="B279" s="15" t="str">
        <f aca="false">IF($A279="","",회원명부!$B276)</f>
        <v/>
      </c>
      <c r="C279" s="15" t="str">
        <f aca="false">IF($A279="","",회원명부!$C276)</f>
        <v/>
      </c>
      <c r="D279" s="23" t="str">
        <f aca="false">IF($A279="","",SUMIFS(결제내역!$E$3:$E$1002,결제내역!$B$3:$B$1002,$A279))</f>
        <v/>
      </c>
      <c r="E279" s="23" t="str">
        <f aca="false">IF($A279="","",SUMIFS(사용내역!$D$3:$D$3002,사용내역!$B$3:$B$3002,$A279))</f>
        <v/>
      </c>
      <c r="F279" s="23" t="str">
        <f aca="false">IF($A279="","",$D279-$E279)</f>
        <v/>
      </c>
      <c r="G279" s="17" t="str">
        <f aca="false">IF($A279="","",IF(COUNTIFS(결제내역!$B$3:$B$1002,$A279)=0,"",_xlfn.MAXIFS(결제내역!$G$3:$G$1002,결제내역!$B$3:$B$1002,$A279)))</f>
        <v/>
      </c>
      <c r="H279" s="24" t="str">
        <f aca="true">IF(OR($A279="",$G279=""),"",$G279-TODAY())</f>
        <v/>
      </c>
      <c r="I279" s="16" t="str">
        <f aca="false">IF($A279="","",SUMIFS(결제내역!$H$3:$H$1002,결제내역!$B$3:$B$1002,$A279))</f>
        <v/>
      </c>
      <c r="J279" s="25" t="str">
        <f aca="false">IF($A279="","",IF($D279=0,"미결제",IF($F279&lt;=0,"횟수소진",IF($H279="","",IF($H279&lt;0,"기간만료",IF(OR($F279&lt;=사용안내!$C$18,$H279&lt;=사용안내!$C$17),"재결제 안내","정상"))))))</f>
        <v/>
      </c>
    </row>
    <row r="280" customFormat="false" ht="15" hidden="false" customHeight="true" outlineLevel="0" collapsed="false">
      <c r="A280" s="15" t="str">
        <f aca="false">IF(회원명부!$A277="","",회원명부!$A277)</f>
        <v/>
      </c>
      <c r="B280" s="15" t="str">
        <f aca="false">IF($A280="","",회원명부!$B277)</f>
        <v/>
      </c>
      <c r="C280" s="15" t="str">
        <f aca="false">IF($A280="","",회원명부!$C277)</f>
        <v/>
      </c>
      <c r="D280" s="23" t="str">
        <f aca="false">IF($A280="","",SUMIFS(결제내역!$E$3:$E$1002,결제내역!$B$3:$B$1002,$A280))</f>
        <v/>
      </c>
      <c r="E280" s="23" t="str">
        <f aca="false">IF($A280="","",SUMIFS(사용내역!$D$3:$D$3002,사용내역!$B$3:$B$3002,$A280))</f>
        <v/>
      </c>
      <c r="F280" s="23" t="str">
        <f aca="false">IF($A280="","",$D280-$E280)</f>
        <v/>
      </c>
      <c r="G280" s="17" t="str">
        <f aca="false">IF($A280="","",IF(COUNTIFS(결제내역!$B$3:$B$1002,$A280)=0,"",_xlfn.MAXIFS(결제내역!$G$3:$G$1002,결제내역!$B$3:$B$1002,$A280)))</f>
        <v/>
      </c>
      <c r="H280" s="24" t="str">
        <f aca="true">IF(OR($A280="",$G280=""),"",$G280-TODAY())</f>
        <v/>
      </c>
      <c r="I280" s="16" t="str">
        <f aca="false">IF($A280="","",SUMIFS(결제내역!$H$3:$H$1002,결제내역!$B$3:$B$1002,$A280))</f>
        <v/>
      </c>
      <c r="J280" s="25" t="str">
        <f aca="false">IF($A280="","",IF($D280=0,"미결제",IF($F280&lt;=0,"횟수소진",IF($H280="","",IF($H280&lt;0,"기간만료",IF(OR($F280&lt;=사용안내!$C$18,$H280&lt;=사용안내!$C$17),"재결제 안내","정상"))))))</f>
        <v/>
      </c>
    </row>
    <row r="281" customFormat="false" ht="15" hidden="false" customHeight="true" outlineLevel="0" collapsed="false">
      <c r="A281" s="15" t="str">
        <f aca="false">IF(회원명부!$A278="","",회원명부!$A278)</f>
        <v/>
      </c>
      <c r="B281" s="15" t="str">
        <f aca="false">IF($A281="","",회원명부!$B278)</f>
        <v/>
      </c>
      <c r="C281" s="15" t="str">
        <f aca="false">IF($A281="","",회원명부!$C278)</f>
        <v/>
      </c>
      <c r="D281" s="23" t="str">
        <f aca="false">IF($A281="","",SUMIFS(결제내역!$E$3:$E$1002,결제내역!$B$3:$B$1002,$A281))</f>
        <v/>
      </c>
      <c r="E281" s="23" t="str">
        <f aca="false">IF($A281="","",SUMIFS(사용내역!$D$3:$D$3002,사용내역!$B$3:$B$3002,$A281))</f>
        <v/>
      </c>
      <c r="F281" s="23" t="str">
        <f aca="false">IF($A281="","",$D281-$E281)</f>
        <v/>
      </c>
      <c r="G281" s="17" t="str">
        <f aca="false">IF($A281="","",IF(COUNTIFS(결제내역!$B$3:$B$1002,$A281)=0,"",_xlfn.MAXIFS(결제내역!$G$3:$G$1002,결제내역!$B$3:$B$1002,$A281)))</f>
        <v/>
      </c>
      <c r="H281" s="24" t="str">
        <f aca="true">IF(OR($A281="",$G281=""),"",$G281-TODAY())</f>
        <v/>
      </c>
      <c r="I281" s="16" t="str">
        <f aca="false">IF($A281="","",SUMIFS(결제내역!$H$3:$H$1002,결제내역!$B$3:$B$1002,$A281))</f>
        <v/>
      </c>
      <c r="J281" s="25" t="str">
        <f aca="false">IF($A281="","",IF($D281=0,"미결제",IF($F281&lt;=0,"횟수소진",IF($H281="","",IF($H281&lt;0,"기간만료",IF(OR($F281&lt;=사용안내!$C$18,$H281&lt;=사용안내!$C$17),"재결제 안내","정상"))))))</f>
        <v/>
      </c>
    </row>
    <row r="282" customFormat="false" ht="15" hidden="false" customHeight="true" outlineLevel="0" collapsed="false">
      <c r="A282" s="15" t="str">
        <f aca="false">IF(회원명부!$A279="","",회원명부!$A279)</f>
        <v/>
      </c>
      <c r="B282" s="15" t="str">
        <f aca="false">IF($A282="","",회원명부!$B279)</f>
        <v/>
      </c>
      <c r="C282" s="15" t="str">
        <f aca="false">IF($A282="","",회원명부!$C279)</f>
        <v/>
      </c>
      <c r="D282" s="23" t="str">
        <f aca="false">IF($A282="","",SUMIFS(결제내역!$E$3:$E$1002,결제내역!$B$3:$B$1002,$A282))</f>
        <v/>
      </c>
      <c r="E282" s="23" t="str">
        <f aca="false">IF($A282="","",SUMIFS(사용내역!$D$3:$D$3002,사용내역!$B$3:$B$3002,$A282))</f>
        <v/>
      </c>
      <c r="F282" s="23" t="str">
        <f aca="false">IF($A282="","",$D282-$E282)</f>
        <v/>
      </c>
      <c r="G282" s="17" t="str">
        <f aca="false">IF($A282="","",IF(COUNTIFS(결제내역!$B$3:$B$1002,$A282)=0,"",_xlfn.MAXIFS(결제내역!$G$3:$G$1002,결제내역!$B$3:$B$1002,$A282)))</f>
        <v/>
      </c>
      <c r="H282" s="24" t="str">
        <f aca="true">IF(OR($A282="",$G282=""),"",$G282-TODAY())</f>
        <v/>
      </c>
      <c r="I282" s="16" t="str">
        <f aca="false">IF($A282="","",SUMIFS(결제내역!$H$3:$H$1002,결제내역!$B$3:$B$1002,$A282))</f>
        <v/>
      </c>
      <c r="J282" s="25" t="str">
        <f aca="false">IF($A282="","",IF($D282=0,"미결제",IF($F282&lt;=0,"횟수소진",IF($H282="","",IF($H282&lt;0,"기간만료",IF(OR($F282&lt;=사용안내!$C$18,$H282&lt;=사용안내!$C$17),"재결제 안내","정상"))))))</f>
        <v/>
      </c>
    </row>
    <row r="283" customFormat="false" ht="15" hidden="false" customHeight="true" outlineLevel="0" collapsed="false">
      <c r="A283" s="15" t="str">
        <f aca="false">IF(회원명부!$A280="","",회원명부!$A280)</f>
        <v/>
      </c>
      <c r="B283" s="15" t="str">
        <f aca="false">IF($A283="","",회원명부!$B280)</f>
        <v/>
      </c>
      <c r="C283" s="15" t="str">
        <f aca="false">IF($A283="","",회원명부!$C280)</f>
        <v/>
      </c>
      <c r="D283" s="23" t="str">
        <f aca="false">IF($A283="","",SUMIFS(결제내역!$E$3:$E$1002,결제내역!$B$3:$B$1002,$A283))</f>
        <v/>
      </c>
      <c r="E283" s="23" t="str">
        <f aca="false">IF($A283="","",SUMIFS(사용내역!$D$3:$D$3002,사용내역!$B$3:$B$3002,$A283))</f>
        <v/>
      </c>
      <c r="F283" s="23" t="str">
        <f aca="false">IF($A283="","",$D283-$E283)</f>
        <v/>
      </c>
      <c r="G283" s="17" t="str">
        <f aca="false">IF($A283="","",IF(COUNTIFS(결제내역!$B$3:$B$1002,$A283)=0,"",_xlfn.MAXIFS(결제내역!$G$3:$G$1002,결제내역!$B$3:$B$1002,$A283)))</f>
        <v/>
      </c>
      <c r="H283" s="24" t="str">
        <f aca="true">IF(OR($A283="",$G283=""),"",$G283-TODAY())</f>
        <v/>
      </c>
      <c r="I283" s="16" t="str">
        <f aca="false">IF($A283="","",SUMIFS(결제내역!$H$3:$H$1002,결제내역!$B$3:$B$1002,$A283))</f>
        <v/>
      </c>
      <c r="J283" s="25" t="str">
        <f aca="false">IF($A283="","",IF($D283=0,"미결제",IF($F283&lt;=0,"횟수소진",IF($H283="","",IF($H283&lt;0,"기간만료",IF(OR($F283&lt;=사용안내!$C$18,$H283&lt;=사용안내!$C$17),"재결제 안내","정상"))))))</f>
        <v/>
      </c>
    </row>
    <row r="284" customFormat="false" ht="15" hidden="false" customHeight="true" outlineLevel="0" collapsed="false">
      <c r="A284" s="15" t="str">
        <f aca="false">IF(회원명부!$A281="","",회원명부!$A281)</f>
        <v/>
      </c>
      <c r="B284" s="15" t="str">
        <f aca="false">IF($A284="","",회원명부!$B281)</f>
        <v/>
      </c>
      <c r="C284" s="15" t="str">
        <f aca="false">IF($A284="","",회원명부!$C281)</f>
        <v/>
      </c>
      <c r="D284" s="23" t="str">
        <f aca="false">IF($A284="","",SUMIFS(결제내역!$E$3:$E$1002,결제내역!$B$3:$B$1002,$A284))</f>
        <v/>
      </c>
      <c r="E284" s="23" t="str">
        <f aca="false">IF($A284="","",SUMIFS(사용내역!$D$3:$D$3002,사용내역!$B$3:$B$3002,$A284))</f>
        <v/>
      </c>
      <c r="F284" s="23" t="str">
        <f aca="false">IF($A284="","",$D284-$E284)</f>
        <v/>
      </c>
      <c r="G284" s="17" t="str">
        <f aca="false">IF($A284="","",IF(COUNTIFS(결제내역!$B$3:$B$1002,$A284)=0,"",_xlfn.MAXIFS(결제내역!$G$3:$G$1002,결제내역!$B$3:$B$1002,$A284)))</f>
        <v/>
      </c>
      <c r="H284" s="24" t="str">
        <f aca="true">IF(OR($A284="",$G284=""),"",$G284-TODAY())</f>
        <v/>
      </c>
      <c r="I284" s="16" t="str">
        <f aca="false">IF($A284="","",SUMIFS(결제내역!$H$3:$H$1002,결제내역!$B$3:$B$1002,$A284))</f>
        <v/>
      </c>
      <c r="J284" s="25" t="str">
        <f aca="false">IF($A284="","",IF($D284=0,"미결제",IF($F284&lt;=0,"횟수소진",IF($H284="","",IF($H284&lt;0,"기간만료",IF(OR($F284&lt;=사용안내!$C$18,$H284&lt;=사용안내!$C$17),"재결제 안내","정상"))))))</f>
        <v/>
      </c>
    </row>
    <row r="285" customFormat="false" ht="15" hidden="false" customHeight="true" outlineLevel="0" collapsed="false">
      <c r="A285" s="15" t="str">
        <f aca="false">IF(회원명부!$A282="","",회원명부!$A282)</f>
        <v/>
      </c>
      <c r="B285" s="15" t="str">
        <f aca="false">IF($A285="","",회원명부!$B282)</f>
        <v/>
      </c>
      <c r="C285" s="15" t="str">
        <f aca="false">IF($A285="","",회원명부!$C282)</f>
        <v/>
      </c>
      <c r="D285" s="23" t="str">
        <f aca="false">IF($A285="","",SUMIFS(결제내역!$E$3:$E$1002,결제내역!$B$3:$B$1002,$A285))</f>
        <v/>
      </c>
      <c r="E285" s="23" t="str">
        <f aca="false">IF($A285="","",SUMIFS(사용내역!$D$3:$D$3002,사용내역!$B$3:$B$3002,$A285))</f>
        <v/>
      </c>
      <c r="F285" s="23" t="str">
        <f aca="false">IF($A285="","",$D285-$E285)</f>
        <v/>
      </c>
      <c r="G285" s="17" t="str">
        <f aca="false">IF($A285="","",IF(COUNTIFS(결제내역!$B$3:$B$1002,$A285)=0,"",_xlfn.MAXIFS(결제내역!$G$3:$G$1002,결제내역!$B$3:$B$1002,$A285)))</f>
        <v/>
      </c>
      <c r="H285" s="24" t="str">
        <f aca="true">IF(OR($A285="",$G285=""),"",$G285-TODAY())</f>
        <v/>
      </c>
      <c r="I285" s="16" t="str">
        <f aca="false">IF($A285="","",SUMIFS(결제내역!$H$3:$H$1002,결제내역!$B$3:$B$1002,$A285))</f>
        <v/>
      </c>
      <c r="J285" s="25" t="str">
        <f aca="false">IF($A285="","",IF($D285=0,"미결제",IF($F285&lt;=0,"횟수소진",IF($H285="","",IF($H285&lt;0,"기간만료",IF(OR($F285&lt;=사용안내!$C$18,$H285&lt;=사용안내!$C$17),"재결제 안내","정상"))))))</f>
        <v/>
      </c>
    </row>
    <row r="286" customFormat="false" ht="15" hidden="false" customHeight="true" outlineLevel="0" collapsed="false">
      <c r="A286" s="15" t="str">
        <f aca="false">IF(회원명부!$A283="","",회원명부!$A283)</f>
        <v/>
      </c>
      <c r="B286" s="15" t="str">
        <f aca="false">IF($A286="","",회원명부!$B283)</f>
        <v/>
      </c>
      <c r="C286" s="15" t="str">
        <f aca="false">IF($A286="","",회원명부!$C283)</f>
        <v/>
      </c>
      <c r="D286" s="23" t="str">
        <f aca="false">IF($A286="","",SUMIFS(결제내역!$E$3:$E$1002,결제내역!$B$3:$B$1002,$A286))</f>
        <v/>
      </c>
      <c r="E286" s="23" t="str">
        <f aca="false">IF($A286="","",SUMIFS(사용내역!$D$3:$D$3002,사용내역!$B$3:$B$3002,$A286))</f>
        <v/>
      </c>
      <c r="F286" s="23" t="str">
        <f aca="false">IF($A286="","",$D286-$E286)</f>
        <v/>
      </c>
      <c r="G286" s="17" t="str">
        <f aca="false">IF($A286="","",IF(COUNTIFS(결제내역!$B$3:$B$1002,$A286)=0,"",_xlfn.MAXIFS(결제내역!$G$3:$G$1002,결제내역!$B$3:$B$1002,$A286)))</f>
        <v/>
      </c>
      <c r="H286" s="24" t="str">
        <f aca="true">IF(OR($A286="",$G286=""),"",$G286-TODAY())</f>
        <v/>
      </c>
      <c r="I286" s="16" t="str">
        <f aca="false">IF($A286="","",SUMIFS(결제내역!$H$3:$H$1002,결제내역!$B$3:$B$1002,$A286))</f>
        <v/>
      </c>
      <c r="J286" s="25" t="str">
        <f aca="false">IF($A286="","",IF($D286=0,"미결제",IF($F286&lt;=0,"횟수소진",IF($H286="","",IF($H286&lt;0,"기간만료",IF(OR($F286&lt;=사용안내!$C$18,$H286&lt;=사용안내!$C$17),"재결제 안내","정상"))))))</f>
        <v/>
      </c>
    </row>
    <row r="287" customFormat="false" ht="15" hidden="false" customHeight="true" outlineLevel="0" collapsed="false">
      <c r="A287" s="15" t="str">
        <f aca="false">IF(회원명부!$A284="","",회원명부!$A284)</f>
        <v/>
      </c>
      <c r="B287" s="15" t="str">
        <f aca="false">IF($A287="","",회원명부!$B284)</f>
        <v/>
      </c>
      <c r="C287" s="15" t="str">
        <f aca="false">IF($A287="","",회원명부!$C284)</f>
        <v/>
      </c>
      <c r="D287" s="23" t="str">
        <f aca="false">IF($A287="","",SUMIFS(결제내역!$E$3:$E$1002,결제내역!$B$3:$B$1002,$A287))</f>
        <v/>
      </c>
      <c r="E287" s="23" t="str">
        <f aca="false">IF($A287="","",SUMIFS(사용내역!$D$3:$D$3002,사용내역!$B$3:$B$3002,$A287))</f>
        <v/>
      </c>
      <c r="F287" s="23" t="str">
        <f aca="false">IF($A287="","",$D287-$E287)</f>
        <v/>
      </c>
      <c r="G287" s="17" t="str">
        <f aca="false">IF($A287="","",IF(COUNTIFS(결제내역!$B$3:$B$1002,$A287)=0,"",_xlfn.MAXIFS(결제내역!$G$3:$G$1002,결제내역!$B$3:$B$1002,$A287)))</f>
        <v/>
      </c>
      <c r="H287" s="24" t="str">
        <f aca="true">IF(OR($A287="",$G287=""),"",$G287-TODAY())</f>
        <v/>
      </c>
      <c r="I287" s="16" t="str">
        <f aca="false">IF($A287="","",SUMIFS(결제내역!$H$3:$H$1002,결제내역!$B$3:$B$1002,$A287))</f>
        <v/>
      </c>
      <c r="J287" s="25" t="str">
        <f aca="false">IF($A287="","",IF($D287=0,"미결제",IF($F287&lt;=0,"횟수소진",IF($H287="","",IF($H287&lt;0,"기간만료",IF(OR($F287&lt;=사용안내!$C$18,$H287&lt;=사용안내!$C$17),"재결제 안내","정상"))))))</f>
        <v/>
      </c>
    </row>
    <row r="288" customFormat="false" ht="15" hidden="false" customHeight="true" outlineLevel="0" collapsed="false">
      <c r="A288" s="15" t="str">
        <f aca="false">IF(회원명부!$A285="","",회원명부!$A285)</f>
        <v/>
      </c>
      <c r="B288" s="15" t="str">
        <f aca="false">IF($A288="","",회원명부!$B285)</f>
        <v/>
      </c>
      <c r="C288" s="15" t="str">
        <f aca="false">IF($A288="","",회원명부!$C285)</f>
        <v/>
      </c>
      <c r="D288" s="23" t="str">
        <f aca="false">IF($A288="","",SUMIFS(결제내역!$E$3:$E$1002,결제내역!$B$3:$B$1002,$A288))</f>
        <v/>
      </c>
      <c r="E288" s="23" t="str">
        <f aca="false">IF($A288="","",SUMIFS(사용내역!$D$3:$D$3002,사용내역!$B$3:$B$3002,$A288))</f>
        <v/>
      </c>
      <c r="F288" s="23" t="str">
        <f aca="false">IF($A288="","",$D288-$E288)</f>
        <v/>
      </c>
      <c r="G288" s="17" t="str">
        <f aca="false">IF($A288="","",IF(COUNTIFS(결제내역!$B$3:$B$1002,$A288)=0,"",_xlfn.MAXIFS(결제내역!$G$3:$G$1002,결제내역!$B$3:$B$1002,$A288)))</f>
        <v/>
      </c>
      <c r="H288" s="24" t="str">
        <f aca="true">IF(OR($A288="",$G288=""),"",$G288-TODAY())</f>
        <v/>
      </c>
      <c r="I288" s="16" t="str">
        <f aca="false">IF($A288="","",SUMIFS(결제내역!$H$3:$H$1002,결제내역!$B$3:$B$1002,$A288))</f>
        <v/>
      </c>
      <c r="J288" s="25" t="str">
        <f aca="false">IF($A288="","",IF($D288=0,"미결제",IF($F288&lt;=0,"횟수소진",IF($H288="","",IF($H288&lt;0,"기간만료",IF(OR($F288&lt;=사용안내!$C$18,$H288&lt;=사용안내!$C$17),"재결제 안내","정상"))))))</f>
        <v/>
      </c>
    </row>
    <row r="289" customFormat="false" ht="15" hidden="false" customHeight="true" outlineLevel="0" collapsed="false">
      <c r="A289" s="15" t="str">
        <f aca="false">IF(회원명부!$A286="","",회원명부!$A286)</f>
        <v/>
      </c>
      <c r="B289" s="15" t="str">
        <f aca="false">IF($A289="","",회원명부!$B286)</f>
        <v/>
      </c>
      <c r="C289" s="15" t="str">
        <f aca="false">IF($A289="","",회원명부!$C286)</f>
        <v/>
      </c>
      <c r="D289" s="23" t="str">
        <f aca="false">IF($A289="","",SUMIFS(결제내역!$E$3:$E$1002,결제내역!$B$3:$B$1002,$A289))</f>
        <v/>
      </c>
      <c r="E289" s="23" t="str">
        <f aca="false">IF($A289="","",SUMIFS(사용내역!$D$3:$D$3002,사용내역!$B$3:$B$3002,$A289))</f>
        <v/>
      </c>
      <c r="F289" s="23" t="str">
        <f aca="false">IF($A289="","",$D289-$E289)</f>
        <v/>
      </c>
      <c r="G289" s="17" t="str">
        <f aca="false">IF($A289="","",IF(COUNTIFS(결제내역!$B$3:$B$1002,$A289)=0,"",_xlfn.MAXIFS(결제내역!$G$3:$G$1002,결제내역!$B$3:$B$1002,$A289)))</f>
        <v/>
      </c>
      <c r="H289" s="24" t="str">
        <f aca="true">IF(OR($A289="",$G289=""),"",$G289-TODAY())</f>
        <v/>
      </c>
      <c r="I289" s="16" t="str">
        <f aca="false">IF($A289="","",SUMIFS(결제내역!$H$3:$H$1002,결제내역!$B$3:$B$1002,$A289))</f>
        <v/>
      </c>
      <c r="J289" s="25" t="str">
        <f aca="false">IF($A289="","",IF($D289=0,"미결제",IF($F289&lt;=0,"횟수소진",IF($H289="","",IF($H289&lt;0,"기간만료",IF(OR($F289&lt;=사용안내!$C$18,$H289&lt;=사용안내!$C$17),"재결제 안내","정상"))))))</f>
        <v/>
      </c>
    </row>
    <row r="290" customFormat="false" ht="15" hidden="false" customHeight="true" outlineLevel="0" collapsed="false">
      <c r="A290" s="15" t="str">
        <f aca="false">IF(회원명부!$A287="","",회원명부!$A287)</f>
        <v/>
      </c>
      <c r="B290" s="15" t="str">
        <f aca="false">IF($A290="","",회원명부!$B287)</f>
        <v/>
      </c>
      <c r="C290" s="15" t="str">
        <f aca="false">IF($A290="","",회원명부!$C287)</f>
        <v/>
      </c>
      <c r="D290" s="23" t="str">
        <f aca="false">IF($A290="","",SUMIFS(결제내역!$E$3:$E$1002,결제내역!$B$3:$B$1002,$A290))</f>
        <v/>
      </c>
      <c r="E290" s="23" t="str">
        <f aca="false">IF($A290="","",SUMIFS(사용내역!$D$3:$D$3002,사용내역!$B$3:$B$3002,$A290))</f>
        <v/>
      </c>
      <c r="F290" s="23" t="str">
        <f aca="false">IF($A290="","",$D290-$E290)</f>
        <v/>
      </c>
      <c r="G290" s="17" t="str">
        <f aca="false">IF($A290="","",IF(COUNTIFS(결제내역!$B$3:$B$1002,$A290)=0,"",_xlfn.MAXIFS(결제내역!$G$3:$G$1002,결제내역!$B$3:$B$1002,$A290)))</f>
        <v/>
      </c>
      <c r="H290" s="24" t="str">
        <f aca="true">IF(OR($A290="",$G290=""),"",$G290-TODAY())</f>
        <v/>
      </c>
      <c r="I290" s="16" t="str">
        <f aca="false">IF($A290="","",SUMIFS(결제내역!$H$3:$H$1002,결제내역!$B$3:$B$1002,$A290))</f>
        <v/>
      </c>
      <c r="J290" s="25" t="str">
        <f aca="false">IF($A290="","",IF($D290=0,"미결제",IF($F290&lt;=0,"횟수소진",IF($H290="","",IF($H290&lt;0,"기간만료",IF(OR($F290&lt;=사용안내!$C$18,$H290&lt;=사용안내!$C$17),"재결제 안내","정상"))))))</f>
        <v/>
      </c>
    </row>
    <row r="291" customFormat="false" ht="15" hidden="false" customHeight="true" outlineLevel="0" collapsed="false">
      <c r="A291" s="15" t="str">
        <f aca="false">IF(회원명부!$A288="","",회원명부!$A288)</f>
        <v/>
      </c>
      <c r="B291" s="15" t="str">
        <f aca="false">IF($A291="","",회원명부!$B288)</f>
        <v/>
      </c>
      <c r="C291" s="15" t="str">
        <f aca="false">IF($A291="","",회원명부!$C288)</f>
        <v/>
      </c>
      <c r="D291" s="23" t="str">
        <f aca="false">IF($A291="","",SUMIFS(결제내역!$E$3:$E$1002,결제내역!$B$3:$B$1002,$A291))</f>
        <v/>
      </c>
      <c r="E291" s="23" t="str">
        <f aca="false">IF($A291="","",SUMIFS(사용내역!$D$3:$D$3002,사용내역!$B$3:$B$3002,$A291))</f>
        <v/>
      </c>
      <c r="F291" s="23" t="str">
        <f aca="false">IF($A291="","",$D291-$E291)</f>
        <v/>
      </c>
      <c r="G291" s="17" t="str">
        <f aca="false">IF($A291="","",IF(COUNTIFS(결제내역!$B$3:$B$1002,$A291)=0,"",_xlfn.MAXIFS(결제내역!$G$3:$G$1002,결제내역!$B$3:$B$1002,$A291)))</f>
        <v/>
      </c>
      <c r="H291" s="24" t="str">
        <f aca="true">IF(OR($A291="",$G291=""),"",$G291-TODAY())</f>
        <v/>
      </c>
      <c r="I291" s="16" t="str">
        <f aca="false">IF($A291="","",SUMIFS(결제내역!$H$3:$H$1002,결제내역!$B$3:$B$1002,$A291))</f>
        <v/>
      </c>
      <c r="J291" s="25" t="str">
        <f aca="false">IF($A291="","",IF($D291=0,"미결제",IF($F291&lt;=0,"횟수소진",IF($H291="","",IF($H291&lt;0,"기간만료",IF(OR($F291&lt;=사용안내!$C$18,$H291&lt;=사용안내!$C$17),"재결제 안내","정상"))))))</f>
        <v/>
      </c>
    </row>
    <row r="292" customFormat="false" ht="15" hidden="false" customHeight="true" outlineLevel="0" collapsed="false">
      <c r="A292" s="15" t="str">
        <f aca="false">IF(회원명부!$A289="","",회원명부!$A289)</f>
        <v/>
      </c>
      <c r="B292" s="15" t="str">
        <f aca="false">IF($A292="","",회원명부!$B289)</f>
        <v/>
      </c>
      <c r="C292" s="15" t="str">
        <f aca="false">IF($A292="","",회원명부!$C289)</f>
        <v/>
      </c>
      <c r="D292" s="23" t="str">
        <f aca="false">IF($A292="","",SUMIFS(결제내역!$E$3:$E$1002,결제내역!$B$3:$B$1002,$A292))</f>
        <v/>
      </c>
      <c r="E292" s="23" t="str">
        <f aca="false">IF($A292="","",SUMIFS(사용내역!$D$3:$D$3002,사용내역!$B$3:$B$3002,$A292))</f>
        <v/>
      </c>
      <c r="F292" s="23" t="str">
        <f aca="false">IF($A292="","",$D292-$E292)</f>
        <v/>
      </c>
      <c r="G292" s="17" t="str">
        <f aca="false">IF($A292="","",IF(COUNTIFS(결제내역!$B$3:$B$1002,$A292)=0,"",_xlfn.MAXIFS(결제내역!$G$3:$G$1002,결제내역!$B$3:$B$1002,$A292)))</f>
        <v/>
      </c>
      <c r="H292" s="24" t="str">
        <f aca="true">IF(OR($A292="",$G292=""),"",$G292-TODAY())</f>
        <v/>
      </c>
      <c r="I292" s="16" t="str">
        <f aca="false">IF($A292="","",SUMIFS(결제내역!$H$3:$H$1002,결제내역!$B$3:$B$1002,$A292))</f>
        <v/>
      </c>
      <c r="J292" s="25" t="str">
        <f aca="false">IF($A292="","",IF($D292=0,"미결제",IF($F292&lt;=0,"횟수소진",IF($H292="","",IF($H292&lt;0,"기간만료",IF(OR($F292&lt;=사용안내!$C$18,$H292&lt;=사용안내!$C$17),"재결제 안내","정상"))))))</f>
        <v/>
      </c>
    </row>
    <row r="293" customFormat="false" ht="15" hidden="false" customHeight="true" outlineLevel="0" collapsed="false">
      <c r="A293" s="15" t="str">
        <f aca="false">IF(회원명부!$A290="","",회원명부!$A290)</f>
        <v/>
      </c>
      <c r="B293" s="15" t="str">
        <f aca="false">IF($A293="","",회원명부!$B290)</f>
        <v/>
      </c>
      <c r="C293" s="15" t="str">
        <f aca="false">IF($A293="","",회원명부!$C290)</f>
        <v/>
      </c>
      <c r="D293" s="23" t="str">
        <f aca="false">IF($A293="","",SUMIFS(결제내역!$E$3:$E$1002,결제내역!$B$3:$B$1002,$A293))</f>
        <v/>
      </c>
      <c r="E293" s="23" t="str">
        <f aca="false">IF($A293="","",SUMIFS(사용내역!$D$3:$D$3002,사용내역!$B$3:$B$3002,$A293))</f>
        <v/>
      </c>
      <c r="F293" s="23" t="str">
        <f aca="false">IF($A293="","",$D293-$E293)</f>
        <v/>
      </c>
      <c r="G293" s="17" t="str">
        <f aca="false">IF($A293="","",IF(COUNTIFS(결제내역!$B$3:$B$1002,$A293)=0,"",_xlfn.MAXIFS(결제내역!$G$3:$G$1002,결제내역!$B$3:$B$1002,$A293)))</f>
        <v/>
      </c>
      <c r="H293" s="24" t="str">
        <f aca="true">IF(OR($A293="",$G293=""),"",$G293-TODAY())</f>
        <v/>
      </c>
      <c r="I293" s="16" t="str">
        <f aca="false">IF($A293="","",SUMIFS(결제내역!$H$3:$H$1002,결제내역!$B$3:$B$1002,$A293))</f>
        <v/>
      </c>
      <c r="J293" s="25" t="str">
        <f aca="false">IF($A293="","",IF($D293=0,"미결제",IF($F293&lt;=0,"횟수소진",IF($H293="","",IF($H293&lt;0,"기간만료",IF(OR($F293&lt;=사용안내!$C$18,$H293&lt;=사용안내!$C$17),"재결제 안내","정상"))))))</f>
        <v/>
      </c>
    </row>
    <row r="294" customFormat="false" ht="15" hidden="false" customHeight="true" outlineLevel="0" collapsed="false">
      <c r="A294" s="15" t="str">
        <f aca="false">IF(회원명부!$A291="","",회원명부!$A291)</f>
        <v/>
      </c>
      <c r="B294" s="15" t="str">
        <f aca="false">IF($A294="","",회원명부!$B291)</f>
        <v/>
      </c>
      <c r="C294" s="15" t="str">
        <f aca="false">IF($A294="","",회원명부!$C291)</f>
        <v/>
      </c>
      <c r="D294" s="23" t="str">
        <f aca="false">IF($A294="","",SUMIFS(결제내역!$E$3:$E$1002,결제내역!$B$3:$B$1002,$A294))</f>
        <v/>
      </c>
      <c r="E294" s="23" t="str">
        <f aca="false">IF($A294="","",SUMIFS(사용내역!$D$3:$D$3002,사용내역!$B$3:$B$3002,$A294))</f>
        <v/>
      </c>
      <c r="F294" s="23" t="str">
        <f aca="false">IF($A294="","",$D294-$E294)</f>
        <v/>
      </c>
      <c r="G294" s="17" t="str">
        <f aca="false">IF($A294="","",IF(COUNTIFS(결제내역!$B$3:$B$1002,$A294)=0,"",_xlfn.MAXIFS(결제내역!$G$3:$G$1002,결제내역!$B$3:$B$1002,$A294)))</f>
        <v/>
      </c>
      <c r="H294" s="24" t="str">
        <f aca="true">IF(OR($A294="",$G294=""),"",$G294-TODAY())</f>
        <v/>
      </c>
      <c r="I294" s="16" t="str">
        <f aca="false">IF($A294="","",SUMIFS(결제내역!$H$3:$H$1002,결제내역!$B$3:$B$1002,$A294))</f>
        <v/>
      </c>
      <c r="J294" s="25" t="str">
        <f aca="false">IF($A294="","",IF($D294=0,"미결제",IF($F294&lt;=0,"횟수소진",IF($H294="","",IF($H294&lt;0,"기간만료",IF(OR($F294&lt;=사용안내!$C$18,$H294&lt;=사용안내!$C$17),"재결제 안내","정상"))))))</f>
        <v/>
      </c>
    </row>
    <row r="295" customFormat="false" ht="15" hidden="false" customHeight="true" outlineLevel="0" collapsed="false">
      <c r="A295" s="15" t="str">
        <f aca="false">IF(회원명부!$A292="","",회원명부!$A292)</f>
        <v/>
      </c>
      <c r="B295" s="15" t="str">
        <f aca="false">IF($A295="","",회원명부!$B292)</f>
        <v/>
      </c>
      <c r="C295" s="15" t="str">
        <f aca="false">IF($A295="","",회원명부!$C292)</f>
        <v/>
      </c>
      <c r="D295" s="23" t="str">
        <f aca="false">IF($A295="","",SUMIFS(결제내역!$E$3:$E$1002,결제내역!$B$3:$B$1002,$A295))</f>
        <v/>
      </c>
      <c r="E295" s="23" t="str">
        <f aca="false">IF($A295="","",SUMIFS(사용내역!$D$3:$D$3002,사용내역!$B$3:$B$3002,$A295))</f>
        <v/>
      </c>
      <c r="F295" s="23" t="str">
        <f aca="false">IF($A295="","",$D295-$E295)</f>
        <v/>
      </c>
      <c r="G295" s="17" t="str">
        <f aca="false">IF($A295="","",IF(COUNTIFS(결제내역!$B$3:$B$1002,$A295)=0,"",_xlfn.MAXIFS(결제내역!$G$3:$G$1002,결제내역!$B$3:$B$1002,$A295)))</f>
        <v/>
      </c>
      <c r="H295" s="24" t="str">
        <f aca="true">IF(OR($A295="",$G295=""),"",$G295-TODAY())</f>
        <v/>
      </c>
      <c r="I295" s="16" t="str">
        <f aca="false">IF($A295="","",SUMIFS(결제내역!$H$3:$H$1002,결제내역!$B$3:$B$1002,$A295))</f>
        <v/>
      </c>
      <c r="J295" s="25" t="str">
        <f aca="false">IF($A295="","",IF($D295=0,"미결제",IF($F295&lt;=0,"횟수소진",IF($H295="","",IF($H295&lt;0,"기간만료",IF(OR($F295&lt;=사용안내!$C$18,$H295&lt;=사용안내!$C$17),"재결제 안내","정상"))))))</f>
        <v/>
      </c>
    </row>
    <row r="296" customFormat="false" ht="15" hidden="false" customHeight="true" outlineLevel="0" collapsed="false">
      <c r="A296" s="15" t="str">
        <f aca="false">IF(회원명부!$A293="","",회원명부!$A293)</f>
        <v/>
      </c>
      <c r="B296" s="15" t="str">
        <f aca="false">IF($A296="","",회원명부!$B293)</f>
        <v/>
      </c>
      <c r="C296" s="15" t="str">
        <f aca="false">IF($A296="","",회원명부!$C293)</f>
        <v/>
      </c>
      <c r="D296" s="23" t="str">
        <f aca="false">IF($A296="","",SUMIFS(결제내역!$E$3:$E$1002,결제내역!$B$3:$B$1002,$A296))</f>
        <v/>
      </c>
      <c r="E296" s="23" t="str">
        <f aca="false">IF($A296="","",SUMIFS(사용내역!$D$3:$D$3002,사용내역!$B$3:$B$3002,$A296))</f>
        <v/>
      </c>
      <c r="F296" s="23" t="str">
        <f aca="false">IF($A296="","",$D296-$E296)</f>
        <v/>
      </c>
      <c r="G296" s="17" t="str">
        <f aca="false">IF($A296="","",IF(COUNTIFS(결제내역!$B$3:$B$1002,$A296)=0,"",_xlfn.MAXIFS(결제내역!$G$3:$G$1002,결제내역!$B$3:$B$1002,$A296)))</f>
        <v/>
      </c>
      <c r="H296" s="24" t="str">
        <f aca="true">IF(OR($A296="",$G296=""),"",$G296-TODAY())</f>
        <v/>
      </c>
      <c r="I296" s="16" t="str">
        <f aca="false">IF($A296="","",SUMIFS(결제내역!$H$3:$H$1002,결제내역!$B$3:$B$1002,$A296))</f>
        <v/>
      </c>
      <c r="J296" s="25" t="str">
        <f aca="false">IF($A296="","",IF($D296=0,"미결제",IF($F296&lt;=0,"횟수소진",IF($H296="","",IF($H296&lt;0,"기간만료",IF(OR($F296&lt;=사용안내!$C$18,$H296&lt;=사용안내!$C$17),"재결제 안내","정상"))))))</f>
        <v/>
      </c>
    </row>
    <row r="297" customFormat="false" ht="15" hidden="false" customHeight="true" outlineLevel="0" collapsed="false">
      <c r="A297" s="15" t="str">
        <f aca="false">IF(회원명부!$A294="","",회원명부!$A294)</f>
        <v/>
      </c>
      <c r="B297" s="15" t="str">
        <f aca="false">IF($A297="","",회원명부!$B294)</f>
        <v/>
      </c>
      <c r="C297" s="15" t="str">
        <f aca="false">IF($A297="","",회원명부!$C294)</f>
        <v/>
      </c>
      <c r="D297" s="23" t="str">
        <f aca="false">IF($A297="","",SUMIFS(결제내역!$E$3:$E$1002,결제내역!$B$3:$B$1002,$A297))</f>
        <v/>
      </c>
      <c r="E297" s="23" t="str">
        <f aca="false">IF($A297="","",SUMIFS(사용내역!$D$3:$D$3002,사용내역!$B$3:$B$3002,$A297))</f>
        <v/>
      </c>
      <c r="F297" s="23" t="str">
        <f aca="false">IF($A297="","",$D297-$E297)</f>
        <v/>
      </c>
      <c r="G297" s="17" t="str">
        <f aca="false">IF($A297="","",IF(COUNTIFS(결제내역!$B$3:$B$1002,$A297)=0,"",_xlfn.MAXIFS(결제내역!$G$3:$G$1002,결제내역!$B$3:$B$1002,$A297)))</f>
        <v/>
      </c>
      <c r="H297" s="24" t="str">
        <f aca="true">IF(OR($A297="",$G297=""),"",$G297-TODAY())</f>
        <v/>
      </c>
      <c r="I297" s="16" t="str">
        <f aca="false">IF($A297="","",SUMIFS(결제내역!$H$3:$H$1002,결제내역!$B$3:$B$1002,$A297))</f>
        <v/>
      </c>
      <c r="J297" s="25" t="str">
        <f aca="false">IF($A297="","",IF($D297=0,"미결제",IF($F297&lt;=0,"횟수소진",IF($H297="","",IF($H297&lt;0,"기간만료",IF(OR($F297&lt;=사용안내!$C$18,$H297&lt;=사용안내!$C$17),"재결제 안내","정상"))))))</f>
        <v/>
      </c>
    </row>
    <row r="298" customFormat="false" ht="15" hidden="false" customHeight="true" outlineLevel="0" collapsed="false">
      <c r="A298" s="15" t="str">
        <f aca="false">IF(회원명부!$A295="","",회원명부!$A295)</f>
        <v/>
      </c>
      <c r="B298" s="15" t="str">
        <f aca="false">IF($A298="","",회원명부!$B295)</f>
        <v/>
      </c>
      <c r="C298" s="15" t="str">
        <f aca="false">IF($A298="","",회원명부!$C295)</f>
        <v/>
      </c>
      <c r="D298" s="23" t="str">
        <f aca="false">IF($A298="","",SUMIFS(결제내역!$E$3:$E$1002,결제내역!$B$3:$B$1002,$A298))</f>
        <v/>
      </c>
      <c r="E298" s="23" t="str">
        <f aca="false">IF($A298="","",SUMIFS(사용내역!$D$3:$D$3002,사용내역!$B$3:$B$3002,$A298))</f>
        <v/>
      </c>
      <c r="F298" s="23" t="str">
        <f aca="false">IF($A298="","",$D298-$E298)</f>
        <v/>
      </c>
      <c r="G298" s="17" t="str">
        <f aca="false">IF($A298="","",IF(COUNTIFS(결제내역!$B$3:$B$1002,$A298)=0,"",_xlfn.MAXIFS(결제내역!$G$3:$G$1002,결제내역!$B$3:$B$1002,$A298)))</f>
        <v/>
      </c>
      <c r="H298" s="24" t="str">
        <f aca="true">IF(OR($A298="",$G298=""),"",$G298-TODAY())</f>
        <v/>
      </c>
      <c r="I298" s="16" t="str">
        <f aca="false">IF($A298="","",SUMIFS(결제내역!$H$3:$H$1002,결제내역!$B$3:$B$1002,$A298))</f>
        <v/>
      </c>
      <c r="J298" s="25" t="str">
        <f aca="false">IF($A298="","",IF($D298=0,"미결제",IF($F298&lt;=0,"횟수소진",IF($H298="","",IF($H298&lt;0,"기간만료",IF(OR($F298&lt;=사용안내!$C$18,$H298&lt;=사용안내!$C$17),"재결제 안내","정상"))))))</f>
        <v/>
      </c>
    </row>
    <row r="299" customFormat="false" ht="15" hidden="false" customHeight="true" outlineLevel="0" collapsed="false">
      <c r="A299" s="15" t="str">
        <f aca="false">IF(회원명부!$A296="","",회원명부!$A296)</f>
        <v/>
      </c>
      <c r="B299" s="15" t="str">
        <f aca="false">IF($A299="","",회원명부!$B296)</f>
        <v/>
      </c>
      <c r="C299" s="15" t="str">
        <f aca="false">IF($A299="","",회원명부!$C296)</f>
        <v/>
      </c>
      <c r="D299" s="23" t="str">
        <f aca="false">IF($A299="","",SUMIFS(결제내역!$E$3:$E$1002,결제내역!$B$3:$B$1002,$A299))</f>
        <v/>
      </c>
      <c r="E299" s="23" t="str">
        <f aca="false">IF($A299="","",SUMIFS(사용내역!$D$3:$D$3002,사용내역!$B$3:$B$3002,$A299))</f>
        <v/>
      </c>
      <c r="F299" s="23" t="str">
        <f aca="false">IF($A299="","",$D299-$E299)</f>
        <v/>
      </c>
      <c r="G299" s="17" t="str">
        <f aca="false">IF($A299="","",IF(COUNTIFS(결제내역!$B$3:$B$1002,$A299)=0,"",_xlfn.MAXIFS(결제내역!$G$3:$G$1002,결제내역!$B$3:$B$1002,$A299)))</f>
        <v/>
      </c>
      <c r="H299" s="24" t="str">
        <f aca="true">IF(OR($A299="",$G299=""),"",$G299-TODAY())</f>
        <v/>
      </c>
      <c r="I299" s="16" t="str">
        <f aca="false">IF($A299="","",SUMIFS(결제내역!$H$3:$H$1002,결제내역!$B$3:$B$1002,$A299))</f>
        <v/>
      </c>
      <c r="J299" s="25" t="str">
        <f aca="false">IF($A299="","",IF($D299=0,"미결제",IF($F299&lt;=0,"횟수소진",IF($H299="","",IF($H299&lt;0,"기간만료",IF(OR($F299&lt;=사용안내!$C$18,$H299&lt;=사용안내!$C$17),"재결제 안내","정상"))))))</f>
        <v/>
      </c>
    </row>
    <row r="300" customFormat="false" ht="15" hidden="false" customHeight="true" outlineLevel="0" collapsed="false">
      <c r="A300" s="15" t="str">
        <f aca="false">IF(회원명부!$A297="","",회원명부!$A297)</f>
        <v/>
      </c>
      <c r="B300" s="15" t="str">
        <f aca="false">IF($A300="","",회원명부!$B297)</f>
        <v/>
      </c>
      <c r="C300" s="15" t="str">
        <f aca="false">IF($A300="","",회원명부!$C297)</f>
        <v/>
      </c>
      <c r="D300" s="23" t="str">
        <f aca="false">IF($A300="","",SUMIFS(결제내역!$E$3:$E$1002,결제내역!$B$3:$B$1002,$A300))</f>
        <v/>
      </c>
      <c r="E300" s="23" t="str">
        <f aca="false">IF($A300="","",SUMIFS(사용내역!$D$3:$D$3002,사용내역!$B$3:$B$3002,$A300))</f>
        <v/>
      </c>
      <c r="F300" s="23" t="str">
        <f aca="false">IF($A300="","",$D300-$E300)</f>
        <v/>
      </c>
      <c r="G300" s="17" t="str">
        <f aca="false">IF($A300="","",IF(COUNTIFS(결제내역!$B$3:$B$1002,$A300)=0,"",_xlfn.MAXIFS(결제내역!$G$3:$G$1002,결제내역!$B$3:$B$1002,$A300)))</f>
        <v/>
      </c>
      <c r="H300" s="24" t="str">
        <f aca="true">IF(OR($A300="",$G300=""),"",$G300-TODAY())</f>
        <v/>
      </c>
      <c r="I300" s="16" t="str">
        <f aca="false">IF($A300="","",SUMIFS(결제내역!$H$3:$H$1002,결제내역!$B$3:$B$1002,$A300))</f>
        <v/>
      </c>
      <c r="J300" s="25" t="str">
        <f aca="false">IF($A300="","",IF($D300=0,"미결제",IF($F300&lt;=0,"횟수소진",IF($H300="","",IF($H300&lt;0,"기간만료",IF(OR($F300&lt;=사용안내!$C$18,$H300&lt;=사용안내!$C$17),"재결제 안내","정상"))))))</f>
        <v/>
      </c>
    </row>
    <row r="301" customFormat="false" ht="15" hidden="false" customHeight="true" outlineLevel="0" collapsed="false">
      <c r="A301" s="15" t="str">
        <f aca="false">IF(회원명부!$A298="","",회원명부!$A298)</f>
        <v/>
      </c>
      <c r="B301" s="15" t="str">
        <f aca="false">IF($A301="","",회원명부!$B298)</f>
        <v/>
      </c>
      <c r="C301" s="15" t="str">
        <f aca="false">IF($A301="","",회원명부!$C298)</f>
        <v/>
      </c>
      <c r="D301" s="23" t="str">
        <f aca="false">IF($A301="","",SUMIFS(결제내역!$E$3:$E$1002,결제내역!$B$3:$B$1002,$A301))</f>
        <v/>
      </c>
      <c r="E301" s="23" t="str">
        <f aca="false">IF($A301="","",SUMIFS(사용내역!$D$3:$D$3002,사용내역!$B$3:$B$3002,$A301))</f>
        <v/>
      </c>
      <c r="F301" s="23" t="str">
        <f aca="false">IF($A301="","",$D301-$E301)</f>
        <v/>
      </c>
      <c r="G301" s="17" t="str">
        <f aca="false">IF($A301="","",IF(COUNTIFS(결제내역!$B$3:$B$1002,$A301)=0,"",_xlfn.MAXIFS(결제내역!$G$3:$G$1002,결제내역!$B$3:$B$1002,$A301)))</f>
        <v/>
      </c>
      <c r="H301" s="24" t="str">
        <f aca="true">IF(OR($A301="",$G301=""),"",$G301-TODAY())</f>
        <v/>
      </c>
      <c r="I301" s="16" t="str">
        <f aca="false">IF($A301="","",SUMIFS(결제내역!$H$3:$H$1002,결제내역!$B$3:$B$1002,$A301))</f>
        <v/>
      </c>
      <c r="J301" s="25" t="str">
        <f aca="false">IF($A301="","",IF($D301=0,"미결제",IF($F301&lt;=0,"횟수소진",IF($H301="","",IF($H301&lt;0,"기간만료",IF(OR($F301&lt;=사용안내!$C$18,$H301&lt;=사용안내!$C$17),"재결제 안내","정상"))))))</f>
        <v/>
      </c>
    </row>
    <row r="302" customFormat="false" ht="15" hidden="false" customHeight="true" outlineLevel="0" collapsed="false">
      <c r="A302" s="15" t="str">
        <f aca="false">IF(회원명부!$A299="","",회원명부!$A299)</f>
        <v/>
      </c>
      <c r="B302" s="15" t="str">
        <f aca="false">IF($A302="","",회원명부!$B299)</f>
        <v/>
      </c>
      <c r="C302" s="15" t="str">
        <f aca="false">IF($A302="","",회원명부!$C299)</f>
        <v/>
      </c>
      <c r="D302" s="23" t="str">
        <f aca="false">IF($A302="","",SUMIFS(결제내역!$E$3:$E$1002,결제내역!$B$3:$B$1002,$A302))</f>
        <v/>
      </c>
      <c r="E302" s="23" t="str">
        <f aca="false">IF($A302="","",SUMIFS(사용내역!$D$3:$D$3002,사용내역!$B$3:$B$3002,$A302))</f>
        <v/>
      </c>
      <c r="F302" s="23" t="str">
        <f aca="false">IF($A302="","",$D302-$E302)</f>
        <v/>
      </c>
      <c r="G302" s="17" t="str">
        <f aca="false">IF($A302="","",IF(COUNTIFS(결제내역!$B$3:$B$1002,$A302)=0,"",_xlfn.MAXIFS(결제내역!$G$3:$G$1002,결제내역!$B$3:$B$1002,$A302)))</f>
        <v/>
      </c>
      <c r="H302" s="24" t="str">
        <f aca="true">IF(OR($A302="",$G302=""),"",$G302-TODAY())</f>
        <v/>
      </c>
      <c r="I302" s="16" t="str">
        <f aca="false">IF($A302="","",SUMIFS(결제내역!$H$3:$H$1002,결제내역!$B$3:$B$1002,$A302))</f>
        <v/>
      </c>
      <c r="J302" s="25" t="str">
        <f aca="false">IF($A302="","",IF($D302=0,"미결제",IF($F302&lt;=0,"횟수소진",IF($H302="","",IF($H302&lt;0,"기간만료",IF(OR($F302&lt;=사용안내!$C$18,$H302&lt;=사용안내!$C$17),"재결제 안내","정상"))))))</f>
        <v/>
      </c>
    </row>
    <row r="303" customFormat="false" ht="15" hidden="false" customHeight="true" outlineLevel="0" collapsed="false">
      <c r="A303" s="15" t="str">
        <f aca="false">IF(회원명부!$A300="","",회원명부!$A300)</f>
        <v/>
      </c>
      <c r="B303" s="15" t="str">
        <f aca="false">IF($A303="","",회원명부!$B300)</f>
        <v/>
      </c>
      <c r="C303" s="15" t="str">
        <f aca="false">IF($A303="","",회원명부!$C300)</f>
        <v/>
      </c>
      <c r="D303" s="23" t="str">
        <f aca="false">IF($A303="","",SUMIFS(결제내역!$E$3:$E$1002,결제내역!$B$3:$B$1002,$A303))</f>
        <v/>
      </c>
      <c r="E303" s="23" t="str">
        <f aca="false">IF($A303="","",SUMIFS(사용내역!$D$3:$D$3002,사용내역!$B$3:$B$3002,$A303))</f>
        <v/>
      </c>
      <c r="F303" s="23" t="str">
        <f aca="false">IF($A303="","",$D303-$E303)</f>
        <v/>
      </c>
      <c r="G303" s="17" t="str">
        <f aca="false">IF($A303="","",IF(COUNTIFS(결제내역!$B$3:$B$1002,$A303)=0,"",_xlfn.MAXIFS(결제내역!$G$3:$G$1002,결제내역!$B$3:$B$1002,$A303)))</f>
        <v/>
      </c>
      <c r="H303" s="24" t="str">
        <f aca="true">IF(OR($A303="",$G303=""),"",$G303-TODAY())</f>
        <v/>
      </c>
      <c r="I303" s="16" t="str">
        <f aca="false">IF($A303="","",SUMIFS(결제내역!$H$3:$H$1002,결제내역!$B$3:$B$1002,$A303))</f>
        <v/>
      </c>
      <c r="J303" s="25" t="str">
        <f aca="false">IF($A303="","",IF($D303=0,"미결제",IF($F303&lt;=0,"횟수소진",IF($H303="","",IF($H303&lt;0,"기간만료",IF(OR($F303&lt;=사용안내!$C$18,$H303&lt;=사용안내!$C$17),"재결제 안내","정상"))))))</f>
        <v/>
      </c>
    </row>
    <row r="304" customFormat="false" ht="15" hidden="false" customHeight="true" outlineLevel="0" collapsed="false">
      <c r="A304" s="15" t="str">
        <f aca="false">IF(회원명부!$A301="","",회원명부!$A301)</f>
        <v/>
      </c>
      <c r="B304" s="15" t="str">
        <f aca="false">IF($A304="","",회원명부!$B301)</f>
        <v/>
      </c>
      <c r="C304" s="15" t="str">
        <f aca="false">IF($A304="","",회원명부!$C301)</f>
        <v/>
      </c>
      <c r="D304" s="23" t="str">
        <f aca="false">IF($A304="","",SUMIFS(결제내역!$E$3:$E$1002,결제내역!$B$3:$B$1002,$A304))</f>
        <v/>
      </c>
      <c r="E304" s="23" t="str">
        <f aca="false">IF($A304="","",SUMIFS(사용내역!$D$3:$D$3002,사용내역!$B$3:$B$3002,$A304))</f>
        <v/>
      </c>
      <c r="F304" s="23" t="str">
        <f aca="false">IF($A304="","",$D304-$E304)</f>
        <v/>
      </c>
      <c r="G304" s="17" t="str">
        <f aca="false">IF($A304="","",IF(COUNTIFS(결제내역!$B$3:$B$1002,$A304)=0,"",_xlfn.MAXIFS(결제내역!$G$3:$G$1002,결제내역!$B$3:$B$1002,$A304)))</f>
        <v/>
      </c>
      <c r="H304" s="24" t="str">
        <f aca="true">IF(OR($A304="",$G304=""),"",$G304-TODAY())</f>
        <v/>
      </c>
      <c r="I304" s="16" t="str">
        <f aca="false">IF($A304="","",SUMIFS(결제내역!$H$3:$H$1002,결제내역!$B$3:$B$1002,$A304))</f>
        <v/>
      </c>
      <c r="J304" s="25" t="str">
        <f aca="false">IF($A304="","",IF($D304=0,"미결제",IF($F304&lt;=0,"횟수소진",IF($H304="","",IF($H304&lt;0,"기간만료",IF(OR($F304&lt;=사용안내!$C$18,$H304&lt;=사용안내!$C$17),"재결제 안내","정상"))))))</f>
        <v/>
      </c>
    </row>
    <row r="305" customFormat="false" ht="15" hidden="false" customHeight="true" outlineLevel="0" collapsed="false">
      <c r="A305" s="15" t="str">
        <f aca="false">IF(회원명부!$A302="","",회원명부!$A302)</f>
        <v/>
      </c>
      <c r="B305" s="15" t="str">
        <f aca="false">IF($A305="","",회원명부!$B302)</f>
        <v/>
      </c>
      <c r="C305" s="15" t="str">
        <f aca="false">IF($A305="","",회원명부!$C302)</f>
        <v/>
      </c>
      <c r="D305" s="23" t="str">
        <f aca="false">IF($A305="","",SUMIFS(결제내역!$E$3:$E$1002,결제내역!$B$3:$B$1002,$A305))</f>
        <v/>
      </c>
      <c r="E305" s="23" t="str">
        <f aca="false">IF($A305="","",SUMIFS(사용내역!$D$3:$D$3002,사용내역!$B$3:$B$3002,$A305))</f>
        <v/>
      </c>
      <c r="F305" s="23" t="str">
        <f aca="false">IF($A305="","",$D305-$E305)</f>
        <v/>
      </c>
      <c r="G305" s="17" t="str">
        <f aca="false">IF($A305="","",IF(COUNTIFS(결제내역!$B$3:$B$1002,$A305)=0,"",_xlfn.MAXIFS(결제내역!$G$3:$G$1002,결제내역!$B$3:$B$1002,$A305)))</f>
        <v/>
      </c>
      <c r="H305" s="24" t="str">
        <f aca="true">IF(OR($A305="",$G305=""),"",$G305-TODAY())</f>
        <v/>
      </c>
      <c r="I305" s="16" t="str">
        <f aca="false">IF($A305="","",SUMIFS(결제내역!$H$3:$H$1002,결제내역!$B$3:$B$1002,$A305))</f>
        <v/>
      </c>
      <c r="J305" s="25" t="str">
        <f aca="false">IF($A305="","",IF($D305=0,"미결제",IF($F305&lt;=0,"횟수소진",IF($H305="","",IF($H305&lt;0,"기간만료",IF(OR($F305&lt;=사용안내!$C$18,$H305&lt;=사용안내!$C$17),"재결제 안내","정상"))))))</f>
        <v/>
      </c>
    </row>
    <row r="306" customFormat="false" ht="15" hidden="false" customHeight="true" outlineLevel="0" collapsed="false">
      <c r="A306" s="15" t="str">
        <f aca="false">IF(회원명부!$A303="","",회원명부!$A303)</f>
        <v/>
      </c>
      <c r="B306" s="15" t="str">
        <f aca="false">IF($A306="","",회원명부!$B303)</f>
        <v/>
      </c>
      <c r="C306" s="15" t="str">
        <f aca="false">IF($A306="","",회원명부!$C303)</f>
        <v/>
      </c>
      <c r="D306" s="23" t="str">
        <f aca="false">IF($A306="","",SUMIFS(결제내역!$E$3:$E$1002,결제내역!$B$3:$B$1002,$A306))</f>
        <v/>
      </c>
      <c r="E306" s="23" t="str">
        <f aca="false">IF($A306="","",SUMIFS(사용내역!$D$3:$D$3002,사용내역!$B$3:$B$3002,$A306))</f>
        <v/>
      </c>
      <c r="F306" s="23" t="str">
        <f aca="false">IF($A306="","",$D306-$E306)</f>
        <v/>
      </c>
      <c r="G306" s="17" t="str">
        <f aca="false">IF($A306="","",IF(COUNTIFS(결제내역!$B$3:$B$1002,$A306)=0,"",_xlfn.MAXIFS(결제내역!$G$3:$G$1002,결제내역!$B$3:$B$1002,$A306)))</f>
        <v/>
      </c>
      <c r="H306" s="24" t="str">
        <f aca="true">IF(OR($A306="",$G306=""),"",$G306-TODAY())</f>
        <v/>
      </c>
      <c r="I306" s="16" t="str">
        <f aca="false">IF($A306="","",SUMIFS(결제내역!$H$3:$H$1002,결제내역!$B$3:$B$1002,$A306))</f>
        <v/>
      </c>
      <c r="J306" s="25" t="str">
        <f aca="false">IF($A306="","",IF($D306=0,"미결제",IF($F306&lt;=0,"횟수소진",IF($H306="","",IF($H306&lt;0,"기간만료",IF(OR($F306&lt;=사용안내!$C$18,$H306&lt;=사용안내!$C$17),"재결제 안내","정상"))))))</f>
        <v/>
      </c>
    </row>
    <row r="307" customFormat="false" ht="15" hidden="false" customHeight="true" outlineLevel="0" collapsed="false">
      <c r="A307" s="15" t="str">
        <f aca="false">IF(회원명부!$A304="","",회원명부!$A304)</f>
        <v/>
      </c>
      <c r="B307" s="15" t="str">
        <f aca="false">IF($A307="","",회원명부!$B304)</f>
        <v/>
      </c>
      <c r="C307" s="15" t="str">
        <f aca="false">IF($A307="","",회원명부!$C304)</f>
        <v/>
      </c>
      <c r="D307" s="23" t="str">
        <f aca="false">IF($A307="","",SUMIFS(결제내역!$E$3:$E$1002,결제내역!$B$3:$B$1002,$A307))</f>
        <v/>
      </c>
      <c r="E307" s="23" t="str">
        <f aca="false">IF($A307="","",SUMIFS(사용내역!$D$3:$D$3002,사용내역!$B$3:$B$3002,$A307))</f>
        <v/>
      </c>
      <c r="F307" s="23" t="str">
        <f aca="false">IF($A307="","",$D307-$E307)</f>
        <v/>
      </c>
      <c r="G307" s="17" t="str">
        <f aca="false">IF($A307="","",IF(COUNTIFS(결제내역!$B$3:$B$1002,$A307)=0,"",_xlfn.MAXIFS(결제내역!$G$3:$G$1002,결제내역!$B$3:$B$1002,$A307)))</f>
        <v/>
      </c>
      <c r="H307" s="24" t="str">
        <f aca="true">IF(OR($A307="",$G307=""),"",$G307-TODAY())</f>
        <v/>
      </c>
      <c r="I307" s="16" t="str">
        <f aca="false">IF($A307="","",SUMIFS(결제내역!$H$3:$H$1002,결제내역!$B$3:$B$1002,$A307))</f>
        <v/>
      </c>
      <c r="J307" s="25" t="str">
        <f aca="false">IF($A307="","",IF($D307=0,"미결제",IF($F307&lt;=0,"횟수소진",IF($H307="","",IF($H307&lt;0,"기간만료",IF(OR($F307&lt;=사용안내!$C$18,$H307&lt;=사용안내!$C$17),"재결제 안내","정상"))))))</f>
        <v/>
      </c>
    </row>
    <row r="308" customFormat="false" ht="15" hidden="false" customHeight="true" outlineLevel="0" collapsed="false">
      <c r="A308" s="15" t="str">
        <f aca="false">IF(회원명부!$A305="","",회원명부!$A305)</f>
        <v/>
      </c>
      <c r="B308" s="15" t="str">
        <f aca="false">IF($A308="","",회원명부!$B305)</f>
        <v/>
      </c>
      <c r="C308" s="15" t="str">
        <f aca="false">IF($A308="","",회원명부!$C305)</f>
        <v/>
      </c>
      <c r="D308" s="23" t="str">
        <f aca="false">IF($A308="","",SUMIFS(결제내역!$E$3:$E$1002,결제내역!$B$3:$B$1002,$A308))</f>
        <v/>
      </c>
      <c r="E308" s="23" t="str">
        <f aca="false">IF($A308="","",SUMIFS(사용내역!$D$3:$D$3002,사용내역!$B$3:$B$3002,$A308))</f>
        <v/>
      </c>
      <c r="F308" s="23" t="str">
        <f aca="false">IF($A308="","",$D308-$E308)</f>
        <v/>
      </c>
      <c r="G308" s="17" t="str">
        <f aca="false">IF($A308="","",IF(COUNTIFS(결제내역!$B$3:$B$1002,$A308)=0,"",_xlfn.MAXIFS(결제내역!$G$3:$G$1002,결제내역!$B$3:$B$1002,$A308)))</f>
        <v/>
      </c>
      <c r="H308" s="24" t="str">
        <f aca="true">IF(OR($A308="",$G308=""),"",$G308-TODAY())</f>
        <v/>
      </c>
      <c r="I308" s="16" t="str">
        <f aca="false">IF($A308="","",SUMIFS(결제내역!$H$3:$H$1002,결제내역!$B$3:$B$1002,$A308))</f>
        <v/>
      </c>
      <c r="J308" s="25" t="str">
        <f aca="false">IF($A308="","",IF($D308=0,"미결제",IF($F308&lt;=0,"횟수소진",IF($H308="","",IF($H308&lt;0,"기간만료",IF(OR($F308&lt;=사용안내!$C$18,$H308&lt;=사용안내!$C$17),"재결제 안내","정상"))))))</f>
        <v/>
      </c>
    </row>
    <row r="309" customFormat="false" ht="15" hidden="false" customHeight="true" outlineLevel="0" collapsed="false">
      <c r="A309" s="15" t="str">
        <f aca="false">IF(회원명부!$A306="","",회원명부!$A306)</f>
        <v/>
      </c>
      <c r="B309" s="15" t="str">
        <f aca="false">IF($A309="","",회원명부!$B306)</f>
        <v/>
      </c>
      <c r="C309" s="15" t="str">
        <f aca="false">IF($A309="","",회원명부!$C306)</f>
        <v/>
      </c>
      <c r="D309" s="23" t="str">
        <f aca="false">IF($A309="","",SUMIFS(결제내역!$E$3:$E$1002,결제내역!$B$3:$B$1002,$A309))</f>
        <v/>
      </c>
      <c r="E309" s="23" t="str">
        <f aca="false">IF($A309="","",SUMIFS(사용내역!$D$3:$D$3002,사용내역!$B$3:$B$3002,$A309))</f>
        <v/>
      </c>
      <c r="F309" s="23" t="str">
        <f aca="false">IF($A309="","",$D309-$E309)</f>
        <v/>
      </c>
      <c r="G309" s="17" t="str">
        <f aca="false">IF($A309="","",IF(COUNTIFS(결제내역!$B$3:$B$1002,$A309)=0,"",_xlfn.MAXIFS(결제내역!$G$3:$G$1002,결제내역!$B$3:$B$1002,$A309)))</f>
        <v/>
      </c>
      <c r="H309" s="24" t="str">
        <f aca="true">IF(OR($A309="",$G309=""),"",$G309-TODAY())</f>
        <v/>
      </c>
      <c r="I309" s="16" t="str">
        <f aca="false">IF($A309="","",SUMIFS(결제내역!$H$3:$H$1002,결제내역!$B$3:$B$1002,$A309))</f>
        <v/>
      </c>
      <c r="J309" s="25" t="str">
        <f aca="false">IF($A309="","",IF($D309=0,"미결제",IF($F309&lt;=0,"횟수소진",IF($H309="","",IF($H309&lt;0,"기간만료",IF(OR($F309&lt;=사용안내!$C$18,$H309&lt;=사용안내!$C$17),"재결제 안내","정상"))))))</f>
        <v/>
      </c>
    </row>
    <row r="310" customFormat="false" ht="15" hidden="false" customHeight="true" outlineLevel="0" collapsed="false">
      <c r="A310" s="15" t="str">
        <f aca="false">IF(회원명부!$A307="","",회원명부!$A307)</f>
        <v/>
      </c>
      <c r="B310" s="15" t="str">
        <f aca="false">IF($A310="","",회원명부!$B307)</f>
        <v/>
      </c>
      <c r="C310" s="15" t="str">
        <f aca="false">IF($A310="","",회원명부!$C307)</f>
        <v/>
      </c>
      <c r="D310" s="23" t="str">
        <f aca="false">IF($A310="","",SUMIFS(결제내역!$E$3:$E$1002,결제내역!$B$3:$B$1002,$A310))</f>
        <v/>
      </c>
      <c r="E310" s="23" t="str">
        <f aca="false">IF($A310="","",SUMIFS(사용내역!$D$3:$D$3002,사용내역!$B$3:$B$3002,$A310))</f>
        <v/>
      </c>
      <c r="F310" s="23" t="str">
        <f aca="false">IF($A310="","",$D310-$E310)</f>
        <v/>
      </c>
      <c r="G310" s="17" t="str">
        <f aca="false">IF($A310="","",IF(COUNTIFS(결제내역!$B$3:$B$1002,$A310)=0,"",_xlfn.MAXIFS(결제내역!$G$3:$G$1002,결제내역!$B$3:$B$1002,$A310)))</f>
        <v/>
      </c>
      <c r="H310" s="24" t="str">
        <f aca="true">IF(OR($A310="",$G310=""),"",$G310-TODAY())</f>
        <v/>
      </c>
      <c r="I310" s="16" t="str">
        <f aca="false">IF($A310="","",SUMIFS(결제내역!$H$3:$H$1002,결제내역!$B$3:$B$1002,$A310))</f>
        <v/>
      </c>
      <c r="J310" s="25" t="str">
        <f aca="false">IF($A310="","",IF($D310=0,"미결제",IF($F310&lt;=0,"횟수소진",IF($H310="","",IF($H310&lt;0,"기간만료",IF(OR($F310&lt;=사용안내!$C$18,$H310&lt;=사용안내!$C$17),"재결제 안내","정상"))))))</f>
        <v/>
      </c>
    </row>
    <row r="311" customFormat="false" ht="15" hidden="false" customHeight="true" outlineLevel="0" collapsed="false">
      <c r="A311" s="15" t="str">
        <f aca="false">IF(회원명부!$A308="","",회원명부!$A308)</f>
        <v/>
      </c>
      <c r="B311" s="15" t="str">
        <f aca="false">IF($A311="","",회원명부!$B308)</f>
        <v/>
      </c>
      <c r="C311" s="15" t="str">
        <f aca="false">IF($A311="","",회원명부!$C308)</f>
        <v/>
      </c>
      <c r="D311" s="23" t="str">
        <f aca="false">IF($A311="","",SUMIFS(결제내역!$E$3:$E$1002,결제내역!$B$3:$B$1002,$A311))</f>
        <v/>
      </c>
      <c r="E311" s="23" t="str">
        <f aca="false">IF($A311="","",SUMIFS(사용내역!$D$3:$D$3002,사용내역!$B$3:$B$3002,$A311))</f>
        <v/>
      </c>
      <c r="F311" s="23" t="str">
        <f aca="false">IF($A311="","",$D311-$E311)</f>
        <v/>
      </c>
      <c r="G311" s="17" t="str">
        <f aca="false">IF($A311="","",IF(COUNTIFS(결제내역!$B$3:$B$1002,$A311)=0,"",_xlfn.MAXIFS(결제내역!$G$3:$G$1002,결제내역!$B$3:$B$1002,$A311)))</f>
        <v/>
      </c>
      <c r="H311" s="24" t="str">
        <f aca="true">IF(OR($A311="",$G311=""),"",$G311-TODAY())</f>
        <v/>
      </c>
      <c r="I311" s="16" t="str">
        <f aca="false">IF($A311="","",SUMIFS(결제내역!$H$3:$H$1002,결제내역!$B$3:$B$1002,$A311))</f>
        <v/>
      </c>
      <c r="J311" s="25" t="str">
        <f aca="false">IF($A311="","",IF($D311=0,"미결제",IF($F311&lt;=0,"횟수소진",IF($H311="","",IF($H311&lt;0,"기간만료",IF(OR($F311&lt;=사용안내!$C$18,$H311&lt;=사용안내!$C$17),"재결제 안내","정상"))))))</f>
        <v/>
      </c>
    </row>
    <row r="312" customFormat="false" ht="15" hidden="false" customHeight="true" outlineLevel="0" collapsed="false">
      <c r="A312" s="15" t="str">
        <f aca="false">IF(회원명부!$A309="","",회원명부!$A309)</f>
        <v/>
      </c>
      <c r="B312" s="15" t="str">
        <f aca="false">IF($A312="","",회원명부!$B309)</f>
        <v/>
      </c>
      <c r="C312" s="15" t="str">
        <f aca="false">IF($A312="","",회원명부!$C309)</f>
        <v/>
      </c>
      <c r="D312" s="23" t="str">
        <f aca="false">IF($A312="","",SUMIFS(결제내역!$E$3:$E$1002,결제내역!$B$3:$B$1002,$A312))</f>
        <v/>
      </c>
      <c r="E312" s="23" t="str">
        <f aca="false">IF($A312="","",SUMIFS(사용내역!$D$3:$D$3002,사용내역!$B$3:$B$3002,$A312))</f>
        <v/>
      </c>
      <c r="F312" s="23" t="str">
        <f aca="false">IF($A312="","",$D312-$E312)</f>
        <v/>
      </c>
      <c r="G312" s="17" t="str">
        <f aca="false">IF($A312="","",IF(COUNTIFS(결제내역!$B$3:$B$1002,$A312)=0,"",_xlfn.MAXIFS(결제내역!$G$3:$G$1002,결제내역!$B$3:$B$1002,$A312)))</f>
        <v/>
      </c>
      <c r="H312" s="24" t="str">
        <f aca="true">IF(OR($A312="",$G312=""),"",$G312-TODAY())</f>
        <v/>
      </c>
      <c r="I312" s="16" t="str">
        <f aca="false">IF($A312="","",SUMIFS(결제내역!$H$3:$H$1002,결제내역!$B$3:$B$1002,$A312))</f>
        <v/>
      </c>
      <c r="J312" s="25" t="str">
        <f aca="false">IF($A312="","",IF($D312=0,"미결제",IF($F312&lt;=0,"횟수소진",IF($H312="","",IF($H312&lt;0,"기간만료",IF(OR($F312&lt;=사용안내!$C$18,$H312&lt;=사용안내!$C$17),"재결제 안내","정상"))))))</f>
        <v/>
      </c>
    </row>
    <row r="313" customFormat="false" ht="15" hidden="false" customHeight="true" outlineLevel="0" collapsed="false">
      <c r="A313" s="15" t="str">
        <f aca="false">IF(회원명부!$A310="","",회원명부!$A310)</f>
        <v/>
      </c>
      <c r="B313" s="15" t="str">
        <f aca="false">IF($A313="","",회원명부!$B310)</f>
        <v/>
      </c>
      <c r="C313" s="15" t="str">
        <f aca="false">IF($A313="","",회원명부!$C310)</f>
        <v/>
      </c>
      <c r="D313" s="23" t="str">
        <f aca="false">IF($A313="","",SUMIFS(결제내역!$E$3:$E$1002,결제내역!$B$3:$B$1002,$A313))</f>
        <v/>
      </c>
      <c r="E313" s="23" t="str">
        <f aca="false">IF($A313="","",SUMIFS(사용내역!$D$3:$D$3002,사용내역!$B$3:$B$3002,$A313))</f>
        <v/>
      </c>
      <c r="F313" s="23" t="str">
        <f aca="false">IF($A313="","",$D313-$E313)</f>
        <v/>
      </c>
      <c r="G313" s="17" t="str">
        <f aca="false">IF($A313="","",IF(COUNTIFS(결제내역!$B$3:$B$1002,$A313)=0,"",_xlfn.MAXIFS(결제내역!$G$3:$G$1002,결제내역!$B$3:$B$1002,$A313)))</f>
        <v/>
      </c>
      <c r="H313" s="24" t="str">
        <f aca="true">IF(OR($A313="",$G313=""),"",$G313-TODAY())</f>
        <v/>
      </c>
      <c r="I313" s="16" t="str">
        <f aca="false">IF($A313="","",SUMIFS(결제내역!$H$3:$H$1002,결제내역!$B$3:$B$1002,$A313))</f>
        <v/>
      </c>
      <c r="J313" s="25" t="str">
        <f aca="false">IF($A313="","",IF($D313=0,"미결제",IF($F313&lt;=0,"횟수소진",IF($H313="","",IF($H313&lt;0,"기간만료",IF(OR($F313&lt;=사용안내!$C$18,$H313&lt;=사용안내!$C$17),"재결제 안내","정상"))))))</f>
        <v/>
      </c>
    </row>
    <row r="314" customFormat="false" ht="15" hidden="false" customHeight="true" outlineLevel="0" collapsed="false">
      <c r="A314" s="15" t="str">
        <f aca="false">IF(회원명부!$A311="","",회원명부!$A311)</f>
        <v/>
      </c>
      <c r="B314" s="15" t="str">
        <f aca="false">IF($A314="","",회원명부!$B311)</f>
        <v/>
      </c>
      <c r="C314" s="15" t="str">
        <f aca="false">IF($A314="","",회원명부!$C311)</f>
        <v/>
      </c>
      <c r="D314" s="23" t="str">
        <f aca="false">IF($A314="","",SUMIFS(결제내역!$E$3:$E$1002,결제내역!$B$3:$B$1002,$A314))</f>
        <v/>
      </c>
      <c r="E314" s="23" t="str">
        <f aca="false">IF($A314="","",SUMIFS(사용내역!$D$3:$D$3002,사용내역!$B$3:$B$3002,$A314))</f>
        <v/>
      </c>
      <c r="F314" s="23" t="str">
        <f aca="false">IF($A314="","",$D314-$E314)</f>
        <v/>
      </c>
      <c r="G314" s="17" t="str">
        <f aca="false">IF($A314="","",IF(COUNTIFS(결제내역!$B$3:$B$1002,$A314)=0,"",_xlfn.MAXIFS(결제내역!$G$3:$G$1002,결제내역!$B$3:$B$1002,$A314)))</f>
        <v/>
      </c>
      <c r="H314" s="24" t="str">
        <f aca="true">IF(OR($A314="",$G314=""),"",$G314-TODAY())</f>
        <v/>
      </c>
      <c r="I314" s="16" t="str">
        <f aca="false">IF($A314="","",SUMIFS(결제내역!$H$3:$H$1002,결제내역!$B$3:$B$1002,$A314))</f>
        <v/>
      </c>
      <c r="J314" s="25" t="str">
        <f aca="false">IF($A314="","",IF($D314=0,"미결제",IF($F314&lt;=0,"횟수소진",IF($H314="","",IF($H314&lt;0,"기간만료",IF(OR($F314&lt;=사용안내!$C$18,$H314&lt;=사용안내!$C$17),"재결제 안내","정상"))))))</f>
        <v/>
      </c>
    </row>
    <row r="315" customFormat="false" ht="15" hidden="false" customHeight="true" outlineLevel="0" collapsed="false">
      <c r="A315" s="15" t="str">
        <f aca="false">IF(회원명부!$A312="","",회원명부!$A312)</f>
        <v/>
      </c>
      <c r="B315" s="15" t="str">
        <f aca="false">IF($A315="","",회원명부!$B312)</f>
        <v/>
      </c>
      <c r="C315" s="15" t="str">
        <f aca="false">IF($A315="","",회원명부!$C312)</f>
        <v/>
      </c>
      <c r="D315" s="23" t="str">
        <f aca="false">IF($A315="","",SUMIFS(결제내역!$E$3:$E$1002,결제내역!$B$3:$B$1002,$A315))</f>
        <v/>
      </c>
      <c r="E315" s="23" t="str">
        <f aca="false">IF($A315="","",SUMIFS(사용내역!$D$3:$D$3002,사용내역!$B$3:$B$3002,$A315))</f>
        <v/>
      </c>
      <c r="F315" s="23" t="str">
        <f aca="false">IF($A315="","",$D315-$E315)</f>
        <v/>
      </c>
      <c r="G315" s="17" t="str">
        <f aca="false">IF($A315="","",IF(COUNTIFS(결제내역!$B$3:$B$1002,$A315)=0,"",_xlfn.MAXIFS(결제내역!$G$3:$G$1002,결제내역!$B$3:$B$1002,$A315)))</f>
        <v/>
      </c>
      <c r="H315" s="24" t="str">
        <f aca="true">IF(OR($A315="",$G315=""),"",$G315-TODAY())</f>
        <v/>
      </c>
      <c r="I315" s="16" t="str">
        <f aca="false">IF($A315="","",SUMIFS(결제내역!$H$3:$H$1002,결제내역!$B$3:$B$1002,$A315))</f>
        <v/>
      </c>
      <c r="J315" s="25" t="str">
        <f aca="false">IF($A315="","",IF($D315=0,"미결제",IF($F315&lt;=0,"횟수소진",IF($H315="","",IF($H315&lt;0,"기간만료",IF(OR($F315&lt;=사용안내!$C$18,$H315&lt;=사용안내!$C$17),"재결제 안내","정상"))))))</f>
        <v/>
      </c>
    </row>
    <row r="316" customFormat="false" ht="15" hidden="false" customHeight="true" outlineLevel="0" collapsed="false">
      <c r="A316" s="15" t="str">
        <f aca="false">IF(회원명부!$A313="","",회원명부!$A313)</f>
        <v/>
      </c>
      <c r="B316" s="15" t="str">
        <f aca="false">IF($A316="","",회원명부!$B313)</f>
        <v/>
      </c>
      <c r="C316" s="15" t="str">
        <f aca="false">IF($A316="","",회원명부!$C313)</f>
        <v/>
      </c>
      <c r="D316" s="23" t="str">
        <f aca="false">IF($A316="","",SUMIFS(결제내역!$E$3:$E$1002,결제내역!$B$3:$B$1002,$A316))</f>
        <v/>
      </c>
      <c r="E316" s="23" t="str">
        <f aca="false">IF($A316="","",SUMIFS(사용내역!$D$3:$D$3002,사용내역!$B$3:$B$3002,$A316))</f>
        <v/>
      </c>
      <c r="F316" s="23" t="str">
        <f aca="false">IF($A316="","",$D316-$E316)</f>
        <v/>
      </c>
      <c r="G316" s="17" t="str">
        <f aca="false">IF($A316="","",IF(COUNTIFS(결제내역!$B$3:$B$1002,$A316)=0,"",_xlfn.MAXIFS(결제내역!$G$3:$G$1002,결제내역!$B$3:$B$1002,$A316)))</f>
        <v/>
      </c>
      <c r="H316" s="24" t="str">
        <f aca="true">IF(OR($A316="",$G316=""),"",$G316-TODAY())</f>
        <v/>
      </c>
      <c r="I316" s="16" t="str">
        <f aca="false">IF($A316="","",SUMIFS(결제내역!$H$3:$H$1002,결제내역!$B$3:$B$1002,$A316))</f>
        <v/>
      </c>
      <c r="J316" s="25" t="str">
        <f aca="false">IF($A316="","",IF($D316=0,"미결제",IF($F316&lt;=0,"횟수소진",IF($H316="","",IF($H316&lt;0,"기간만료",IF(OR($F316&lt;=사용안내!$C$18,$H316&lt;=사용안내!$C$17),"재결제 안내","정상"))))))</f>
        <v/>
      </c>
    </row>
    <row r="317" customFormat="false" ht="15" hidden="false" customHeight="true" outlineLevel="0" collapsed="false">
      <c r="A317" s="15" t="str">
        <f aca="false">IF(회원명부!$A314="","",회원명부!$A314)</f>
        <v/>
      </c>
      <c r="B317" s="15" t="str">
        <f aca="false">IF($A317="","",회원명부!$B314)</f>
        <v/>
      </c>
      <c r="C317" s="15" t="str">
        <f aca="false">IF($A317="","",회원명부!$C314)</f>
        <v/>
      </c>
      <c r="D317" s="23" t="str">
        <f aca="false">IF($A317="","",SUMIFS(결제내역!$E$3:$E$1002,결제내역!$B$3:$B$1002,$A317))</f>
        <v/>
      </c>
      <c r="E317" s="23" t="str">
        <f aca="false">IF($A317="","",SUMIFS(사용내역!$D$3:$D$3002,사용내역!$B$3:$B$3002,$A317))</f>
        <v/>
      </c>
      <c r="F317" s="23" t="str">
        <f aca="false">IF($A317="","",$D317-$E317)</f>
        <v/>
      </c>
      <c r="G317" s="17" t="str">
        <f aca="false">IF($A317="","",IF(COUNTIFS(결제내역!$B$3:$B$1002,$A317)=0,"",_xlfn.MAXIFS(결제내역!$G$3:$G$1002,결제내역!$B$3:$B$1002,$A317)))</f>
        <v/>
      </c>
      <c r="H317" s="24" t="str">
        <f aca="true">IF(OR($A317="",$G317=""),"",$G317-TODAY())</f>
        <v/>
      </c>
      <c r="I317" s="16" t="str">
        <f aca="false">IF($A317="","",SUMIFS(결제내역!$H$3:$H$1002,결제내역!$B$3:$B$1002,$A317))</f>
        <v/>
      </c>
      <c r="J317" s="25" t="str">
        <f aca="false">IF($A317="","",IF($D317=0,"미결제",IF($F317&lt;=0,"횟수소진",IF($H317="","",IF($H317&lt;0,"기간만료",IF(OR($F317&lt;=사용안내!$C$18,$H317&lt;=사용안내!$C$17),"재결제 안내","정상"))))))</f>
        <v/>
      </c>
    </row>
    <row r="318" customFormat="false" ht="15" hidden="false" customHeight="true" outlineLevel="0" collapsed="false">
      <c r="A318" s="15" t="str">
        <f aca="false">IF(회원명부!$A315="","",회원명부!$A315)</f>
        <v/>
      </c>
      <c r="B318" s="15" t="str">
        <f aca="false">IF($A318="","",회원명부!$B315)</f>
        <v/>
      </c>
      <c r="C318" s="15" t="str">
        <f aca="false">IF($A318="","",회원명부!$C315)</f>
        <v/>
      </c>
      <c r="D318" s="23" t="str">
        <f aca="false">IF($A318="","",SUMIFS(결제내역!$E$3:$E$1002,결제내역!$B$3:$B$1002,$A318))</f>
        <v/>
      </c>
      <c r="E318" s="23" t="str">
        <f aca="false">IF($A318="","",SUMIFS(사용내역!$D$3:$D$3002,사용내역!$B$3:$B$3002,$A318))</f>
        <v/>
      </c>
      <c r="F318" s="23" t="str">
        <f aca="false">IF($A318="","",$D318-$E318)</f>
        <v/>
      </c>
      <c r="G318" s="17" t="str">
        <f aca="false">IF($A318="","",IF(COUNTIFS(결제내역!$B$3:$B$1002,$A318)=0,"",_xlfn.MAXIFS(결제내역!$G$3:$G$1002,결제내역!$B$3:$B$1002,$A318)))</f>
        <v/>
      </c>
      <c r="H318" s="24" t="str">
        <f aca="true">IF(OR($A318="",$G318=""),"",$G318-TODAY())</f>
        <v/>
      </c>
      <c r="I318" s="16" t="str">
        <f aca="false">IF($A318="","",SUMIFS(결제내역!$H$3:$H$1002,결제내역!$B$3:$B$1002,$A318))</f>
        <v/>
      </c>
      <c r="J318" s="25" t="str">
        <f aca="false">IF($A318="","",IF($D318=0,"미결제",IF($F318&lt;=0,"횟수소진",IF($H318="","",IF($H318&lt;0,"기간만료",IF(OR($F318&lt;=사용안내!$C$18,$H318&lt;=사용안내!$C$17),"재결제 안내","정상"))))))</f>
        <v/>
      </c>
    </row>
    <row r="319" customFormat="false" ht="15" hidden="false" customHeight="true" outlineLevel="0" collapsed="false">
      <c r="A319" s="15" t="str">
        <f aca="false">IF(회원명부!$A316="","",회원명부!$A316)</f>
        <v/>
      </c>
      <c r="B319" s="15" t="str">
        <f aca="false">IF($A319="","",회원명부!$B316)</f>
        <v/>
      </c>
      <c r="C319" s="15" t="str">
        <f aca="false">IF($A319="","",회원명부!$C316)</f>
        <v/>
      </c>
      <c r="D319" s="23" t="str">
        <f aca="false">IF($A319="","",SUMIFS(결제내역!$E$3:$E$1002,결제내역!$B$3:$B$1002,$A319))</f>
        <v/>
      </c>
      <c r="E319" s="23" t="str">
        <f aca="false">IF($A319="","",SUMIFS(사용내역!$D$3:$D$3002,사용내역!$B$3:$B$3002,$A319))</f>
        <v/>
      </c>
      <c r="F319" s="23" t="str">
        <f aca="false">IF($A319="","",$D319-$E319)</f>
        <v/>
      </c>
      <c r="G319" s="17" t="str">
        <f aca="false">IF($A319="","",IF(COUNTIFS(결제내역!$B$3:$B$1002,$A319)=0,"",_xlfn.MAXIFS(결제내역!$G$3:$G$1002,결제내역!$B$3:$B$1002,$A319)))</f>
        <v/>
      </c>
      <c r="H319" s="24" t="str">
        <f aca="true">IF(OR($A319="",$G319=""),"",$G319-TODAY())</f>
        <v/>
      </c>
      <c r="I319" s="16" t="str">
        <f aca="false">IF($A319="","",SUMIFS(결제내역!$H$3:$H$1002,결제내역!$B$3:$B$1002,$A319))</f>
        <v/>
      </c>
      <c r="J319" s="25" t="str">
        <f aca="false">IF($A319="","",IF($D319=0,"미결제",IF($F319&lt;=0,"횟수소진",IF($H319="","",IF($H319&lt;0,"기간만료",IF(OR($F319&lt;=사용안내!$C$18,$H319&lt;=사용안내!$C$17),"재결제 안내","정상"))))))</f>
        <v/>
      </c>
    </row>
    <row r="320" customFormat="false" ht="15" hidden="false" customHeight="true" outlineLevel="0" collapsed="false">
      <c r="A320" s="15" t="str">
        <f aca="false">IF(회원명부!$A317="","",회원명부!$A317)</f>
        <v/>
      </c>
      <c r="B320" s="15" t="str">
        <f aca="false">IF($A320="","",회원명부!$B317)</f>
        <v/>
      </c>
      <c r="C320" s="15" t="str">
        <f aca="false">IF($A320="","",회원명부!$C317)</f>
        <v/>
      </c>
      <c r="D320" s="23" t="str">
        <f aca="false">IF($A320="","",SUMIFS(결제내역!$E$3:$E$1002,결제내역!$B$3:$B$1002,$A320))</f>
        <v/>
      </c>
      <c r="E320" s="23" t="str">
        <f aca="false">IF($A320="","",SUMIFS(사용내역!$D$3:$D$3002,사용내역!$B$3:$B$3002,$A320))</f>
        <v/>
      </c>
      <c r="F320" s="23" t="str">
        <f aca="false">IF($A320="","",$D320-$E320)</f>
        <v/>
      </c>
      <c r="G320" s="17" t="str">
        <f aca="false">IF($A320="","",IF(COUNTIFS(결제내역!$B$3:$B$1002,$A320)=0,"",_xlfn.MAXIFS(결제내역!$G$3:$G$1002,결제내역!$B$3:$B$1002,$A320)))</f>
        <v/>
      </c>
      <c r="H320" s="24" t="str">
        <f aca="true">IF(OR($A320="",$G320=""),"",$G320-TODAY())</f>
        <v/>
      </c>
      <c r="I320" s="16" t="str">
        <f aca="false">IF($A320="","",SUMIFS(결제내역!$H$3:$H$1002,결제내역!$B$3:$B$1002,$A320))</f>
        <v/>
      </c>
      <c r="J320" s="25" t="str">
        <f aca="false">IF($A320="","",IF($D320=0,"미결제",IF($F320&lt;=0,"횟수소진",IF($H320="","",IF($H320&lt;0,"기간만료",IF(OR($F320&lt;=사용안내!$C$18,$H320&lt;=사용안내!$C$17),"재결제 안내","정상"))))))</f>
        <v/>
      </c>
    </row>
    <row r="321" customFormat="false" ht="15" hidden="false" customHeight="true" outlineLevel="0" collapsed="false">
      <c r="A321" s="15" t="str">
        <f aca="false">IF(회원명부!$A318="","",회원명부!$A318)</f>
        <v/>
      </c>
      <c r="B321" s="15" t="str">
        <f aca="false">IF($A321="","",회원명부!$B318)</f>
        <v/>
      </c>
      <c r="C321" s="15" t="str">
        <f aca="false">IF($A321="","",회원명부!$C318)</f>
        <v/>
      </c>
      <c r="D321" s="23" t="str">
        <f aca="false">IF($A321="","",SUMIFS(결제내역!$E$3:$E$1002,결제내역!$B$3:$B$1002,$A321))</f>
        <v/>
      </c>
      <c r="E321" s="23" t="str">
        <f aca="false">IF($A321="","",SUMIFS(사용내역!$D$3:$D$3002,사용내역!$B$3:$B$3002,$A321))</f>
        <v/>
      </c>
      <c r="F321" s="23" t="str">
        <f aca="false">IF($A321="","",$D321-$E321)</f>
        <v/>
      </c>
      <c r="G321" s="17" t="str">
        <f aca="false">IF($A321="","",IF(COUNTIFS(결제내역!$B$3:$B$1002,$A321)=0,"",_xlfn.MAXIFS(결제내역!$G$3:$G$1002,결제내역!$B$3:$B$1002,$A321)))</f>
        <v/>
      </c>
      <c r="H321" s="24" t="str">
        <f aca="true">IF(OR($A321="",$G321=""),"",$G321-TODAY())</f>
        <v/>
      </c>
      <c r="I321" s="16" t="str">
        <f aca="false">IF($A321="","",SUMIFS(결제내역!$H$3:$H$1002,결제내역!$B$3:$B$1002,$A321))</f>
        <v/>
      </c>
      <c r="J321" s="25" t="str">
        <f aca="false">IF($A321="","",IF($D321=0,"미결제",IF($F321&lt;=0,"횟수소진",IF($H321="","",IF($H321&lt;0,"기간만료",IF(OR($F321&lt;=사용안내!$C$18,$H321&lt;=사용안내!$C$17),"재결제 안내","정상"))))))</f>
        <v/>
      </c>
    </row>
    <row r="322" customFormat="false" ht="15" hidden="false" customHeight="true" outlineLevel="0" collapsed="false">
      <c r="A322" s="15" t="str">
        <f aca="false">IF(회원명부!$A319="","",회원명부!$A319)</f>
        <v/>
      </c>
      <c r="B322" s="15" t="str">
        <f aca="false">IF($A322="","",회원명부!$B319)</f>
        <v/>
      </c>
      <c r="C322" s="15" t="str">
        <f aca="false">IF($A322="","",회원명부!$C319)</f>
        <v/>
      </c>
      <c r="D322" s="23" t="str">
        <f aca="false">IF($A322="","",SUMIFS(결제내역!$E$3:$E$1002,결제내역!$B$3:$B$1002,$A322))</f>
        <v/>
      </c>
      <c r="E322" s="23" t="str">
        <f aca="false">IF($A322="","",SUMIFS(사용내역!$D$3:$D$3002,사용내역!$B$3:$B$3002,$A322))</f>
        <v/>
      </c>
      <c r="F322" s="23" t="str">
        <f aca="false">IF($A322="","",$D322-$E322)</f>
        <v/>
      </c>
      <c r="G322" s="17" t="str">
        <f aca="false">IF($A322="","",IF(COUNTIFS(결제내역!$B$3:$B$1002,$A322)=0,"",_xlfn.MAXIFS(결제내역!$G$3:$G$1002,결제내역!$B$3:$B$1002,$A322)))</f>
        <v/>
      </c>
      <c r="H322" s="24" t="str">
        <f aca="true">IF(OR($A322="",$G322=""),"",$G322-TODAY())</f>
        <v/>
      </c>
      <c r="I322" s="16" t="str">
        <f aca="false">IF($A322="","",SUMIFS(결제내역!$H$3:$H$1002,결제내역!$B$3:$B$1002,$A322))</f>
        <v/>
      </c>
      <c r="J322" s="25" t="str">
        <f aca="false">IF($A322="","",IF($D322=0,"미결제",IF($F322&lt;=0,"횟수소진",IF($H322="","",IF($H322&lt;0,"기간만료",IF(OR($F322&lt;=사용안내!$C$18,$H322&lt;=사용안내!$C$17),"재결제 안내","정상"))))))</f>
        <v/>
      </c>
    </row>
    <row r="323" customFormat="false" ht="15" hidden="false" customHeight="true" outlineLevel="0" collapsed="false">
      <c r="A323" s="15" t="str">
        <f aca="false">IF(회원명부!$A320="","",회원명부!$A320)</f>
        <v/>
      </c>
      <c r="B323" s="15" t="str">
        <f aca="false">IF($A323="","",회원명부!$B320)</f>
        <v/>
      </c>
      <c r="C323" s="15" t="str">
        <f aca="false">IF($A323="","",회원명부!$C320)</f>
        <v/>
      </c>
      <c r="D323" s="23" t="str">
        <f aca="false">IF($A323="","",SUMIFS(결제내역!$E$3:$E$1002,결제내역!$B$3:$B$1002,$A323))</f>
        <v/>
      </c>
      <c r="E323" s="23" t="str">
        <f aca="false">IF($A323="","",SUMIFS(사용내역!$D$3:$D$3002,사용내역!$B$3:$B$3002,$A323))</f>
        <v/>
      </c>
      <c r="F323" s="23" t="str">
        <f aca="false">IF($A323="","",$D323-$E323)</f>
        <v/>
      </c>
      <c r="G323" s="17" t="str">
        <f aca="false">IF($A323="","",IF(COUNTIFS(결제내역!$B$3:$B$1002,$A323)=0,"",_xlfn.MAXIFS(결제내역!$G$3:$G$1002,결제내역!$B$3:$B$1002,$A323)))</f>
        <v/>
      </c>
      <c r="H323" s="24" t="str">
        <f aca="true">IF(OR($A323="",$G323=""),"",$G323-TODAY())</f>
        <v/>
      </c>
      <c r="I323" s="16" t="str">
        <f aca="false">IF($A323="","",SUMIFS(결제내역!$H$3:$H$1002,결제내역!$B$3:$B$1002,$A323))</f>
        <v/>
      </c>
      <c r="J323" s="25" t="str">
        <f aca="false">IF($A323="","",IF($D323=0,"미결제",IF($F323&lt;=0,"횟수소진",IF($H323="","",IF($H323&lt;0,"기간만료",IF(OR($F323&lt;=사용안내!$C$18,$H323&lt;=사용안내!$C$17),"재결제 안내","정상"))))))</f>
        <v/>
      </c>
    </row>
    <row r="324" customFormat="false" ht="15" hidden="false" customHeight="true" outlineLevel="0" collapsed="false">
      <c r="A324" s="15" t="str">
        <f aca="false">IF(회원명부!$A321="","",회원명부!$A321)</f>
        <v/>
      </c>
      <c r="B324" s="15" t="str">
        <f aca="false">IF($A324="","",회원명부!$B321)</f>
        <v/>
      </c>
      <c r="C324" s="15" t="str">
        <f aca="false">IF($A324="","",회원명부!$C321)</f>
        <v/>
      </c>
      <c r="D324" s="23" t="str">
        <f aca="false">IF($A324="","",SUMIFS(결제내역!$E$3:$E$1002,결제내역!$B$3:$B$1002,$A324))</f>
        <v/>
      </c>
      <c r="E324" s="23" t="str">
        <f aca="false">IF($A324="","",SUMIFS(사용내역!$D$3:$D$3002,사용내역!$B$3:$B$3002,$A324))</f>
        <v/>
      </c>
      <c r="F324" s="23" t="str">
        <f aca="false">IF($A324="","",$D324-$E324)</f>
        <v/>
      </c>
      <c r="G324" s="17" t="str">
        <f aca="false">IF($A324="","",IF(COUNTIFS(결제내역!$B$3:$B$1002,$A324)=0,"",_xlfn.MAXIFS(결제내역!$G$3:$G$1002,결제내역!$B$3:$B$1002,$A324)))</f>
        <v/>
      </c>
      <c r="H324" s="24" t="str">
        <f aca="true">IF(OR($A324="",$G324=""),"",$G324-TODAY())</f>
        <v/>
      </c>
      <c r="I324" s="16" t="str">
        <f aca="false">IF($A324="","",SUMIFS(결제내역!$H$3:$H$1002,결제내역!$B$3:$B$1002,$A324))</f>
        <v/>
      </c>
      <c r="J324" s="25" t="str">
        <f aca="false">IF($A324="","",IF($D324=0,"미결제",IF($F324&lt;=0,"횟수소진",IF($H324="","",IF($H324&lt;0,"기간만료",IF(OR($F324&lt;=사용안내!$C$18,$H324&lt;=사용안내!$C$17),"재결제 안내","정상"))))))</f>
        <v/>
      </c>
    </row>
    <row r="325" customFormat="false" ht="15" hidden="false" customHeight="true" outlineLevel="0" collapsed="false">
      <c r="A325" s="15" t="str">
        <f aca="false">IF(회원명부!$A322="","",회원명부!$A322)</f>
        <v/>
      </c>
      <c r="B325" s="15" t="str">
        <f aca="false">IF($A325="","",회원명부!$B322)</f>
        <v/>
      </c>
      <c r="C325" s="15" t="str">
        <f aca="false">IF($A325="","",회원명부!$C322)</f>
        <v/>
      </c>
      <c r="D325" s="23" t="str">
        <f aca="false">IF($A325="","",SUMIFS(결제내역!$E$3:$E$1002,결제내역!$B$3:$B$1002,$A325))</f>
        <v/>
      </c>
      <c r="E325" s="23" t="str">
        <f aca="false">IF($A325="","",SUMIFS(사용내역!$D$3:$D$3002,사용내역!$B$3:$B$3002,$A325))</f>
        <v/>
      </c>
      <c r="F325" s="23" t="str">
        <f aca="false">IF($A325="","",$D325-$E325)</f>
        <v/>
      </c>
      <c r="G325" s="17" t="str">
        <f aca="false">IF($A325="","",IF(COUNTIFS(결제내역!$B$3:$B$1002,$A325)=0,"",_xlfn.MAXIFS(결제내역!$G$3:$G$1002,결제내역!$B$3:$B$1002,$A325)))</f>
        <v/>
      </c>
      <c r="H325" s="24" t="str">
        <f aca="true">IF(OR($A325="",$G325=""),"",$G325-TODAY())</f>
        <v/>
      </c>
      <c r="I325" s="16" t="str">
        <f aca="false">IF($A325="","",SUMIFS(결제내역!$H$3:$H$1002,결제내역!$B$3:$B$1002,$A325))</f>
        <v/>
      </c>
      <c r="J325" s="25" t="str">
        <f aca="false">IF($A325="","",IF($D325=0,"미결제",IF($F325&lt;=0,"횟수소진",IF($H325="","",IF($H325&lt;0,"기간만료",IF(OR($F325&lt;=사용안내!$C$18,$H325&lt;=사용안내!$C$17),"재결제 안내","정상"))))))</f>
        <v/>
      </c>
    </row>
    <row r="326" customFormat="false" ht="15" hidden="false" customHeight="true" outlineLevel="0" collapsed="false">
      <c r="A326" s="15" t="str">
        <f aca="false">IF(회원명부!$A323="","",회원명부!$A323)</f>
        <v/>
      </c>
      <c r="B326" s="15" t="str">
        <f aca="false">IF($A326="","",회원명부!$B323)</f>
        <v/>
      </c>
      <c r="C326" s="15" t="str">
        <f aca="false">IF($A326="","",회원명부!$C323)</f>
        <v/>
      </c>
      <c r="D326" s="23" t="str">
        <f aca="false">IF($A326="","",SUMIFS(결제내역!$E$3:$E$1002,결제내역!$B$3:$B$1002,$A326))</f>
        <v/>
      </c>
      <c r="E326" s="23" t="str">
        <f aca="false">IF($A326="","",SUMIFS(사용내역!$D$3:$D$3002,사용내역!$B$3:$B$3002,$A326))</f>
        <v/>
      </c>
      <c r="F326" s="23" t="str">
        <f aca="false">IF($A326="","",$D326-$E326)</f>
        <v/>
      </c>
      <c r="G326" s="17" t="str">
        <f aca="false">IF($A326="","",IF(COUNTIFS(결제내역!$B$3:$B$1002,$A326)=0,"",_xlfn.MAXIFS(결제내역!$G$3:$G$1002,결제내역!$B$3:$B$1002,$A326)))</f>
        <v/>
      </c>
      <c r="H326" s="24" t="str">
        <f aca="true">IF(OR($A326="",$G326=""),"",$G326-TODAY())</f>
        <v/>
      </c>
      <c r="I326" s="16" t="str">
        <f aca="false">IF($A326="","",SUMIFS(결제내역!$H$3:$H$1002,결제내역!$B$3:$B$1002,$A326))</f>
        <v/>
      </c>
      <c r="J326" s="25" t="str">
        <f aca="false">IF($A326="","",IF($D326=0,"미결제",IF($F326&lt;=0,"횟수소진",IF($H326="","",IF($H326&lt;0,"기간만료",IF(OR($F326&lt;=사용안내!$C$18,$H326&lt;=사용안내!$C$17),"재결제 안내","정상"))))))</f>
        <v/>
      </c>
    </row>
    <row r="327" customFormat="false" ht="15" hidden="false" customHeight="true" outlineLevel="0" collapsed="false">
      <c r="A327" s="15" t="str">
        <f aca="false">IF(회원명부!$A324="","",회원명부!$A324)</f>
        <v/>
      </c>
      <c r="B327" s="15" t="str">
        <f aca="false">IF($A327="","",회원명부!$B324)</f>
        <v/>
      </c>
      <c r="C327" s="15" t="str">
        <f aca="false">IF($A327="","",회원명부!$C324)</f>
        <v/>
      </c>
      <c r="D327" s="23" t="str">
        <f aca="false">IF($A327="","",SUMIFS(결제내역!$E$3:$E$1002,결제내역!$B$3:$B$1002,$A327))</f>
        <v/>
      </c>
      <c r="E327" s="23" t="str">
        <f aca="false">IF($A327="","",SUMIFS(사용내역!$D$3:$D$3002,사용내역!$B$3:$B$3002,$A327))</f>
        <v/>
      </c>
      <c r="F327" s="23" t="str">
        <f aca="false">IF($A327="","",$D327-$E327)</f>
        <v/>
      </c>
      <c r="G327" s="17" t="str">
        <f aca="false">IF($A327="","",IF(COUNTIFS(결제내역!$B$3:$B$1002,$A327)=0,"",_xlfn.MAXIFS(결제내역!$G$3:$G$1002,결제내역!$B$3:$B$1002,$A327)))</f>
        <v/>
      </c>
      <c r="H327" s="24" t="str">
        <f aca="true">IF(OR($A327="",$G327=""),"",$G327-TODAY())</f>
        <v/>
      </c>
      <c r="I327" s="16" t="str">
        <f aca="false">IF($A327="","",SUMIFS(결제내역!$H$3:$H$1002,결제내역!$B$3:$B$1002,$A327))</f>
        <v/>
      </c>
      <c r="J327" s="25" t="str">
        <f aca="false">IF($A327="","",IF($D327=0,"미결제",IF($F327&lt;=0,"횟수소진",IF($H327="","",IF($H327&lt;0,"기간만료",IF(OR($F327&lt;=사용안내!$C$18,$H327&lt;=사용안내!$C$17),"재결제 안내","정상"))))))</f>
        <v/>
      </c>
    </row>
    <row r="328" customFormat="false" ht="15" hidden="false" customHeight="true" outlineLevel="0" collapsed="false">
      <c r="A328" s="15" t="str">
        <f aca="false">IF(회원명부!$A325="","",회원명부!$A325)</f>
        <v/>
      </c>
      <c r="B328" s="15" t="str">
        <f aca="false">IF($A328="","",회원명부!$B325)</f>
        <v/>
      </c>
      <c r="C328" s="15" t="str">
        <f aca="false">IF($A328="","",회원명부!$C325)</f>
        <v/>
      </c>
      <c r="D328" s="23" t="str">
        <f aca="false">IF($A328="","",SUMIFS(결제내역!$E$3:$E$1002,결제내역!$B$3:$B$1002,$A328))</f>
        <v/>
      </c>
      <c r="E328" s="23" t="str">
        <f aca="false">IF($A328="","",SUMIFS(사용내역!$D$3:$D$3002,사용내역!$B$3:$B$3002,$A328))</f>
        <v/>
      </c>
      <c r="F328" s="23" t="str">
        <f aca="false">IF($A328="","",$D328-$E328)</f>
        <v/>
      </c>
      <c r="G328" s="17" t="str">
        <f aca="false">IF($A328="","",IF(COUNTIFS(결제내역!$B$3:$B$1002,$A328)=0,"",_xlfn.MAXIFS(결제내역!$G$3:$G$1002,결제내역!$B$3:$B$1002,$A328)))</f>
        <v/>
      </c>
      <c r="H328" s="24" t="str">
        <f aca="true">IF(OR($A328="",$G328=""),"",$G328-TODAY())</f>
        <v/>
      </c>
      <c r="I328" s="16" t="str">
        <f aca="false">IF($A328="","",SUMIFS(결제내역!$H$3:$H$1002,결제내역!$B$3:$B$1002,$A328))</f>
        <v/>
      </c>
      <c r="J328" s="25" t="str">
        <f aca="false">IF($A328="","",IF($D328=0,"미결제",IF($F328&lt;=0,"횟수소진",IF($H328="","",IF($H328&lt;0,"기간만료",IF(OR($F328&lt;=사용안내!$C$18,$H328&lt;=사용안내!$C$17),"재결제 안내","정상"))))))</f>
        <v/>
      </c>
    </row>
    <row r="329" customFormat="false" ht="15" hidden="false" customHeight="true" outlineLevel="0" collapsed="false">
      <c r="A329" s="15" t="str">
        <f aca="false">IF(회원명부!$A326="","",회원명부!$A326)</f>
        <v/>
      </c>
      <c r="B329" s="15" t="str">
        <f aca="false">IF($A329="","",회원명부!$B326)</f>
        <v/>
      </c>
      <c r="C329" s="15" t="str">
        <f aca="false">IF($A329="","",회원명부!$C326)</f>
        <v/>
      </c>
      <c r="D329" s="23" t="str">
        <f aca="false">IF($A329="","",SUMIFS(결제내역!$E$3:$E$1002,결제내역!$B$3:$B$1002,$A329))</f>
        <v/>
      </c>
      <c r="E329" s="23" t="str">
        <f aca="false">IF($A329="","",SUMIFS(사용내역!$D$3:$D$3002,사용내역!$B$3:$B$3002,$A329))</f>
        <v/>
      </c>
      <c r="F329" s="23" t="str">
        <f aca="false">IF($A329="","",$D329-$E329)</f>
        <v/>
      </c>
      <c r="G329" s="17" t="str">
        <f aca="false">IF($A329="","",IF(COUNTIFS(결제내역!$B$3:$B$1002,$A329)=0,"",_xlfn.MAXIFS(결제내역!$G$3:$G$1002,결제내역!$B$3:$B$1002,$A329)))</f>
        <v/>
      </c>
      <c r="H329" s="24" t="str">
        <f aca="true">IF(OR($A329="",$G329=""),"",$G329-TODAY())</f>
        <v/>
      </c>
      <c r="I329" s="16" t="str">
        <f aca="false">IF($A329="","",SUMIFS(결제내역!$H$3:$H$1002,결제내역!$B$3:$B$1002,$A329))</f>
        <v/>
      </c>
      <c r="J329" s="25" t="str">
        <f aca="false">IF($A329="","",IF($D329=0,"미결제",IF($F329&lt;=0,"횟수소진",IF($H329="","",IF($H329&lt;0,"기간만료",IF(OR($F329&lt;=사용안내!$C$18,$H329&lt;=사용안내!$C$17),"재결제 안내","정상"))))))</f>
        <v/>
      </c>
    </row>
    <row r="330" customFormat="false" ht="15" hidden="false" customHeight="true" outlineLevel="0" collapsed="false">
      <c r="A330" s="15" t="str">
        <f aca="false">IF(회원명부!$A327="","",회원명부!$A327)</f>
        <v/>
      </c>
      <c r="B330" s="15" t="str">
        <f aca="false">IF($A330="","",회원명부!$B327)</f>
        <v/>
      </c>
      <c r="C330" s="15" t="str">
        <f aca="false">IF($A330="","",회원명부!$C327)</f>
        <v/>
      </c>
      <c r="D330" s="23" t="str">
        <f aca="false">IF($A330="","",SUMIFS(결제내역!$E$3:$E$1002,결제내역!$B$3:$B$1002,$A330))</f>
        <v/>
      </c>
      <c r="E330" s="23" t="str">
        <f aca="false">IF($A330="","",SUMIFS(사용내역!$D$3:$D$3002,사용내역!$B$3:$B$3002,$A330))</f>
        <v/>
      </c>
      <c r="F330" s="23" t="str">
        <f aca="false">IF($A330="","",$D330-$E330)</f>
        <v/>
      </c>
      <c r="G330" s="17" t="str">
        <f aca="false">IF($A330="","",IF(COUNTIFS(결제내역!$B$3:$B$1002,$A330)=0,"",_xlfn.MAXIFS(결제내역!$G$3:$G$1002,결제내역!$B$3:$B$1002,$A330)))</f>
        <v/>
      </c>
      <c r="H330" s="24" t="str">
        <f aca="true">IF(OR($A330="",$G330=""),"",$G330-TODAY())</f>
        <v/>
      </c>
      <c r="I330" s="16" t="str">
        <f aca="false">IF($A330="","",SUMIFS(결제내역!$H$3:$H$1002,결제내역!$B$3:$B$1002,$A330))</f>
        <v/>
      </c>
      <c r="J330" s="25" t="str">
        <f aca="false">IF($A330="","",IF($D330=0,"미결제",IF($F330&lt;=0,"횟수소진",IF($H330="","",IF($H330&lt;0,"기간만료",IF(OR($F330&lt;=사용안내!$C$18,$H330&lt;=사용안내!$C$17),"재결제 안내","정상"))))))</f>
        <v/>
      </c>
    </row>
    <row r="331" customFormat="false" ht="15" hidden="false" customHeight="true" outlineLevel="0" collapsed="false">
      <c r="A331" s="15" t="str">
        <f aca="false">IF(회원명부!$A328="","",회원명부!$A328)</f>
        <v/>
      </c>
      <c r="B331" s="15" t="str">
        <f aca="false">IF($A331="","",회원명부!$B328)</f>
        <v/>
      </c>
      <c r="C331" s="15" t="str">
        <f aca="false">IF($A331="","",회원명부!$C328)</f>
        <v/>
      </c>
      <c r="D331" s="23" t="str">
        <f aca="false">IF($A331="","",SUMIFS(결제내역!$E$3:$E$1002,결제내역!$B$3:$B$1002,$A331))</f>
        <v/>
      </c>
      <c r="E331" s="23" t="str">
        <f aca="false">IF($A331="","",SUMIFS(사용내역!$D$3:$D$3002,사용내역!$B$3:$B$3002,$A331))</f>
        <v/>
      </c>
      <c r="F331" s="23" t="str">
        <f aca="false">IF($A331="","",$D331-$E331)</f>
        <v/>
      </c>
      <c r="G331" s="17" t="str">
        <f aca="false">IF($A331="","",IF(COUNTIFS(결제내역!$B$3:$B$1002,$A331)=0,"",_xlfn.MAXIFS(결제내역!$G$3:$G$1002,결제내역!$B$3:$B$1002,$A331)))</f>
        <v/>
      </c>
      <c r="H331" s="24" t="str">
        <f aca="true">IF(OR($A331="",$G331=""),"",$G331-TODAY())</f>
        <v/>
      </c>
      <c r="I331" s="16" t="str">
        <f aca="false">IF($A331="","",SUMIFS(결제내역!$H$3:$H$1002,결제내역!$B$3:$B$1002,$A331))</f>
        <v/>
      </c>
      <c r="J331" s="25" t="str">
        <f aca="false">IF($A331="","",IF($D331=0,"미결제",IF($F331&lt;=0,"횟수소진",IF($H331="","",IF($H331&lt;0,"기간만료",IF(OR($F331&lt;=사용안내!$C$18,$H331&lt;=사용안내!$C$17),"재결제 안내","정상"))))))</f>
        <v/>
      </c>
    </row>
    <row r="332" customFormat="false" ht="15" hidden="false" customHeight="true" outlineLevel="0" collapsed="false">
      <c r="A332" s="15" t="str">
        <f aca="false">IF(회원명부!$A329="","",회원명부!$A329)</f>
        <v/>
      </c>
      <c r="B332" s="15" t="str">
        <f aca="false">IF($A332="","",회원명부!$B329)</f>
        <v/>
      </c>
      <c r="C332" s="15" t="str">
        <f aca="false">IF($A332="","",회원명부!$C329)</f>
        <v/>
      </c>
      <c r="D332" s="23" t="str">
        <f aca="false">IF($A332="","",SUMIFS(결제내역!$E$3:$E$1002,결제내역!$B$3:$B$1002,$A332))</f>
        <v/>
      </c>
      <c r="E332" s="23" t="str">
        <f aca="false">IF($A332="","",SUMIFS(사용내역!$D$3:$D$3002,사용내역!$B$3:$B$3002,$A332))</f>
        <v/>
      </c>
      <c r="F332" s="23" t="str">
        <f aca="false">IF($A332="","",$D332-$E332)</f>
        <v/>
      </c>
      <c r="G332" s="17" t="str">
        <f aca="false">IF($A332="","",IF(COUNTIFS(결제내역!$B$3:$B$1002,$A332)=0,"",_xlfn.MAXIFS(결제내역!$G$3:$G$1002,결제내역!$B$3:$B$1002,$A332)))</f>
        <v/>
      </c>
      <c r="H332" s="24" t="str">
        <f aca="true">IF(OR($A332="",$G332=""),"",$G332-TODAY())</f>
        <v/>
      </c>
      <c r="I332" s="16" t="str">
        <f aca="false">IF($A332="","",SUMIFS(결제내역!$H$3:$H$1002,결제내역!$B$3:$B$1002,$A332))</f>
        <v/>
      </c>
      <c r="J332" s="25" t="str">
        <f aca="false">IF($A332="","",IF($D332=0,"미결제",IF($F332&lt;=0,"횟수소진",IF($H332="","",IF($H332&lt;0,"기간만료",IF(OR($F332&lt;=사용안내!$C$18,$H332&lt;=사용안내!$C$17),"재결제 안내","정상"))))))</f>
        <v/>
      </c>
    </row>
    <row r="333" customFormat="false" ht="15" hidden="false" customHeight="true" outlineLevel="0" collapsed="false">
      <c r="A333" s="15" t="str">
        <f aca="false">IF(회원명부!$A330="","",회원명부!$A330)</f>
        <v/>
      </c>
      <c r="B333" s="15" t="str">
        <f aca="false">IF($A333="","",회원명부!$B330)</f>
        <v/>
      </c>
      <c r="C333" s="15" t="str">
        <f aca="false">IF($A333="","",회원명부!$C330)</f>
        <v/>
      </c>
      <c r="D333" s="23" t="str">
        <f aca="false">IF($A333="","",SUMIFS(결제내역!$E$3:$E$1002,결제내역!$B$3:$B$1002,$A333))</f>
        <v/>
      </c>
      <c r="E333" s="23" t="str">
        <f aca="false">IF($A333="","",SUMIFS(사용내역!$D$3:$D$3002,사용내역!$B$3:$B$3002,$A333))</f>
        <v/>
      </c>
      <c r="F333" s="23" t="str">
        <f aca="false">IF($A333="","",$D333-$E333)</f>
        <v/>
      </c>
      <c r="G333" s="17" t="str">
        <f aca="false">IF($A333="","",IF(COUNTIFS(결제내역!$B$3:$B$1002,$A333)=0,"",_xlfn.MAXIFS(결제내역!$G$3:$G$1002,결제내역!$B$3:$B$1002,$A333)))</f>
        <v/>
      </c>
      <c r="H333" s="24" t="str">
        <f aca="true">IF(OR($A333="",$G333=""),"",$G333-TODAY())</f>
        <v/>
      </c>
      <c r="I333" s="16" t="str">
        <f aca="false">IF($A333="","",SUMIFS(결제내역!$H$3:$H$1002,결제내역!$B$3:$B$1002,$A333))</f>
        <v/>
      </c>
      <c r="J333" s="25" t="str">
        <f aca="false">IF($A333="","",IF($D333=0,"미결제",IF($F333&lt;=0,"횟수소진",IF($H333="","",IF($H333&lt;0,"기간만료",IF(OR($F333&lt;=사용안내!$C$18,$H333&lt;=사용안내!$C$17),"재결제 안내","정상"))))))</f>
        <v/>
      </c>
    </row>
    <row r="334" customFormat="false" ht="15" hidden="false" customHeight="true" outlineLevel="0" collapsed="false">
      <c r="A334" s="15" t="str">
        <f aca="false">IF(회원명부!$A331="","",회원명부!$A331)</f>
        <v/>
      </c>
      <c r="B334" s="15" t="str">
        <f aca="false">IF($A334="","",회원명부!$B331)</f>
        <v/>
      </c>
      <c r="C334" s="15" t="str">
        <f aca="false">IF($A334="","",회원명부!$C331)</f>
        <v/>
      </c>
      <c r="D334" s="23" t="str">
        <f aca="false">IF($A334="","",SUMIFS(결제내역!$E$3:$E$1002,결제내역!$B$3:$B$1002,$A334))</f>
        <v/>
      </c>
      <c r="E334" s="23" t="str">
        <f aca="false">IF($A334="","",SUMIFS(사용내역!$D$3:$D$3002,사용내역!$B$3:$B$3002,$A334))</f>
        <v/>
      </c>
      <c r="F334" s="23" t="str">
        <f aca="false">IF($A334="","",$D334-$E334)</f>
        <v/>
      </c>
      <c r="G334" s="17" t="str">
        <f aca="false">IF($A334="","",IF(COUNTIFS(결제내역!$B$3:$B$1002,$A334)=0,"",_xlfn.MAXIFS(결제내역!$G$3:$G$1002,결제내역!$B$3:$B$1002,$A334)))</f>
        <v/>
      </c>
      <c r="H334" s="24" t="str">
        <f aca="true">IF(OR($A334="",$G334=""),"",$G334-TODAY())</f>
        <v/>
      </c>
      <c r="I334" s="16" t="str">
        <f aca="false">IF($A334="","",SUMIFS(결제내역!$H$3:$H$1002,결제내역!$B$3:$B$1002,$A334))</f>
        <v/>
      </c>
      <c r="J334" s="25" t="str">
        <f aca="false">IF($A334="","",IF($D334=0,"미결제",IF($F334&lt;=0,"횟수소진",IF($H334="","",IF($H334&lt;0,"기간만료",IF(OR($F334&lt;=사용안내!$C$18,$H334&lt;=사용안내!$C$17),"재결제 안내","정상"))))))</f>
        <v/>
      </c>
    </row>
    <row r="335" customFormat="false" ht="15" hidden="false" customHeight="true" outlineLevel="0" collapsed="false">
      <c r="A335" s="15" t="str">
        <f aca="false">IF(회원명부!$A332="","",회원명부!$A332)</f>
        <v/>
      </c>
      <c r="B335" s="15" t="str">
        <f aca="false">IF($A335="","",회원명부!$B332)</f>
        <v/>
      </c>
      <c r="C335" s="15" t="str">
        <f aca="false">IF($A335="","",회원명부!$C332)</f>
        <v/>
      </c>
      <c r="D335" s="23" t="str">
        <f aca="false">IF($A335="","",SUMIFS(결제내역!$E$3:$E$1002,결제내역!$B$3:$B$1002,$A335))</f>
        <v/>
      </c>
      <c r="E335" s="23" t="str">
        <f aca="false">IF($A335="","",SUMIFS(사용내역!$D$3:$D$3002,사용내역!$B$3:$B$3002,$A335))</f>
        <v/>
      </c>
      <c r="F335" s="23" t="str">
        <f aca="false">IF($A335="","",$D335-$E335)</f>
        <v/>
      </c>
      <c r="G335" s="17" t="str">
        <f aca="false">IF($A335="","",IF(COUNTIFS(결제내역!$B$3:$B$1002,$A335)=0,"",_xlfn.MAXIFS(결제내역!$G$3:$G$1002,결제내역!$B$3:$B$1002,$A335)))</f>
        <v/>
      </c>
      <c r="H335" s="24" t="str">
        <f aca="true">IF(OR($A335="",$G335=""),"",$G335-TODAY())</f>
        <v/>
      </c>
      <c r="I335" s="16" t="str">
        <f aca="false">IF($A335="","",SUMIFS(결제내역!$H$3:$H$1002,결제내역!$B$3:$B$1002,$A335))</f>
        <v/>
      </c>
      <c r="J335" s="25" t="str">
        <f aca="false">IF($A335="","",IF($D335=0,"미결제",IF($F335&lt;=0,"횟수소진",IF($H335="","",IF($H335&lt;0,"기간만료",IF(OR($F335&lt;=사용안내!$C$18,$H335&lt;=사용안내!$C$17),"재결제 안내","정상"))))))</f>
        <v/>
      </c>
    </row>
    <row r="336" customFormat="false" ht="15" hidden="false" customHeight="true" outlineLevel="0" collapsed="false">
      <c r="A336" s="15" t="str">
        <f aca="false">IF(회원명부!$A333="","",회원명부!$A333)</f>
        <v/>
      </c>
      <c r="B336" s="15" t="str">
        <f aca="false">IF($A336="","",회원명부!$B333)</f>
        <v/>
      </c>
      <c r="C336" s="15" t="str">
        <f aca="false">IF($A336="","",회원명부!$C333)</f>
        <v/>
      </c>
      <c r="D336" s="23" t="str">
        <f aca="false">IF($A336="","",SUMIFS(결제내역!$E$3:$E$1002,결제내역!$B$3:$B$1002,$A336))</f>
        <v/>
      </c>
      <c r="E336" s="23" t="str">
        <f aca="false">IF($A336="","",SUMIFS(사용내역!$D$3:$D$3002,사용내역!$B$3:$B$3002,$A336))</f>
        <v/>
      </c>
      <c r="F336" s="23" t="str">
        <f aca="false">IF($A336="","",$D336-$E336)</f>
        <v/>
      </c>
      <c r="G336" s="17" t="str">
        <f aca="false">IF($A336="","",IF(COUNTIFS(결제내역!$B$3:$B$1002,$A336)=0,"",_xlfn.MAXIFS(결제내역!$G$3:$G$1002,결제내역!$B$3:$B$1002,$A336)))</f>
        <v/>
      </c>
      <c r="H336" s="24" t="str">
        <f aca="true">IF(OR($A336="",$G336=""),"",$G336-TODAY())</f>
        <v/>
      </c>
      <c r="I336" s="16" t="str">
        <f aca="false">IF($A336="","",SUMIFS(결제내역!$H$3:$H$1002,결제내역!$B$3:$B$1002,$A336))</f>
        <v/>
      </c>
      <c r="J336" s="25" t="str">
        <f aca="false">IF($A336="","",IF($D336=0,"미결제",IF($F336&lt;=0,"횟수소진",IF($H336="","",IF($H336&lt;0,"기간만료",IF(OR($F336&lt;=사용안내!$C$18,$H336&lt;=사용안내!$C$17),"재결제 안내","정상"))))))</f>
        <v/>
      </c>
    </row>
    <row r="337" customFormat="false" ht="15" hidden="false" customHeight="true" outlineLevel="0" collapsed="false">
      <c r="A337" s="15" t="str">
        <f aca="false">IF(회원명부!$A334="","",회원명부!$A334)</f>
        <v/>
      </c>
      <c r="B337" s="15" t="str">
        <f aca="false">IF($A337="","",회원명부!$B334)</f>
        <v/>
      </c>
      <c r="C337" s="15" t="str">
        <f aca="false">IF($A337="","",회원명부!$C334)</f>
        <v/>
      </c>
      <c r="D337" s="23" t="str">
        <f aca="false">IF($A337="","",SUMIFS(결제내역!$E$3:$E$1002,결제내역!$B$3:$B$1002,$A337))</f>
        <v/>
      </c>
      <c r="E337" s="23" t="str">
        <f aca="false">IF($A337="","",SUMIFS(사용내역!$D$3:$D$3002,사용내역!$B$3:$B$3002,$A337))</f>
        <v/>
      </c>
      <c r="F337" s="23" t="str">
        <f aca="false">IF($A337="","",$D337-$E337)</f>
        <v/>
      </c>
      <c r="G337" s="17" t="str">
        <f aca="false">IF($A337="","",IF(COUNTIFS(결제내역!$B$3:$B$1002,$A337)=0,"",_xlfn.MAXIFS(결제내역!$G$3:$G$1002,결제내역!$B$3:$B$1002,$A337)))</f>
        <v/>
      </c>
      <c r="H337" s="24" t="str">
        <f aca="true">IF(OR($A337="",$G337=""),"",$G337-TODAY())</f>
        <v/>
      </c>
      <c r="I337" s="16" t="str">
        <f aca="false">IF($A337="","",SUMIFS(결제내역!$H$3:$H$1002,결제내역!$B$3:$B$1002,$A337))</f>
        <v/>
      </c>
      <c r="J337" s="25" t="str">
        <f aca="false">IF($A337="","",IF($D337=0,"미결제",IF($F337&lt;=0,"횟수소진",IF($H337="","",IF($H337&lt;0,"기간만료",IF(OR($F337&lt;=사용안내!$C$18,$H337&lt;=사용안내!$C$17),"재결제 안내","정상"))))))</f>
        <v/>
      </c>
    </row>
    <row r="338" customFormat="false" ht="15" hidden="false" customHeight="true" outlineLevel="0" collapsed="false">
      <c r="A338" s="15" t="str">
        <f aca="false">IF(회원명부!$A335="","",회원명부!$A335)</f>
        <v/>
      </c>
      <c r="B338" s="15" t="str">
        <f aca="false">IF($A338="","",회원명부!$B335)</f>
        <v/>
      </c>
      <c r="C338" s="15" t="str">
        <f aca="false">IF($A338="","",회원명부!$C335)</f>
        <v/>
      </c>
      <c r="D338" s="23" t="str">
        <f aca="false">IF($A338="","",SUMIFS(결제내역!$E$3:$E$1002,결제내역!$B$3:$B$1002,$A338))</f>
        <v/>
      </c>
      <c r="E338" s="23" t="str">
        <f aca="false">IF($A338="","",SUMIFS(사용내역!$D$3:$D$3002,사용내역!$B$3:$B$3002,$A338))</f>
        <v/>
      </c>
      <c r="F338" s="23" t="str">
        <f aca="false">IF($A338="","",$D338-$E338)</f>
        <v/>
      </c>
      <c r="G338" s="17" t="str">
        <f aca="false">IF($A338="","",IF(COUNTIFS(결제내역!$B$3:$B$1002,$A338)=0,"",_xlfn.MAXIFS(결제내역!$G$3:$G$1002,결제내역!$B$3:$B$1002,$A338)))</f>
        <v/>
      </c>
      <c r="H338" s="24" t="str">
        <f aca="true">IF(OR($A338="",$G338=""),"",$G338-TODAY())</f>
        <v/>
      </c>
      <c r="I338" s="16" t="str">
        <f aca="false">IF($A338="","",SUMIFS(결제내역!$H$3:$H$1002,결제내역!$B$3:$B$1002,$A338))</f>
        <v/>
      </c>
      <c r="J338" s="25" t="str">
        <f aca="false">IF($A338="","",IF($D338=0,"미결제",IF($F338&lt;=0,"횟수소진",IF($H338="","",IF($H338&lt;0,"기간만료",IF(OR($F338&lt;=사용안내!$C$18,$H338&lt;=사용안내!$C$17),"재결제 안내","정상"))))))</f>
        <v/>
      </c>
    </row>
    <row r="339" customFormat="false" ht="15" hidden="false" customHeight="true" outlineLevel="0" collapsed="false">
      <c r="A339" s="15" t="str">
        <f aca="false">IF(회원명부!$A336="","",회원명부!$A336)</f>
        <v/>
      </c>
      <c r="B339" s="15" t="str">
        <f aca="false">IF($A339="","",회원명부!$B336)</f>
        <v/>
      </c>
      <c r="C339" s="15" t="str">
        <f aca="false">IF($A339="","",회원명부!$C336)</f>
        <v/>
      </c>
      <c r="D339" s="23" t="str">
        <f aca="false">IF($A339="","",SUMIFS(결제내역!$E$3:$E$1002,결제내역!$B$3:$B$1002,$A339))</f>
        <v/>
      </c>
      <c r="E339" s="23" t="str">
        <f aca="false">IF($A339="","",SUMIFS(사용내역!$D$3:$D$3002,사용내역!$B$3:$B$3002,$A339))</f>
        <v/>
      </c>
      <c r="F339" s="23" t="str">
        <f aca="false">IF($A339="","",$D339-$E339)</f>
        <v/>
      </c>
      <c r="G339" s="17" t="str">
        <f aca="false">IF($A339="","",IF(COUNTIFS(결제내역!$B$3:$B$1002,$A339)=0,"",_xlfn.MAXIFS(결제내역!$G$3:$G$1002,결제내역!$B$3:$B$1002,$A339)))</f>
        <v/>
      </c>
      <c r="H339" s="24" t="str">
        <f aca="true">IF(OR($A339="",$G339=""),"",$G339-TODAY())</f>
        <v/>
      </c>
      <c r="I339" s="16" t="str">
        <f aca="false">IF($A339="","",SUMIFS(결제내역!$H$3:$H$1002,결제내역!$B$3:$B$1002,$A339))</f>
        <v/>
      </c>
      <c r="J339" s="25" t="str">
        <f aca="false">IF($A339="","",IF($D339=0,"미결제",IF($F339&lt;=0,"횟수소진",IF($H339="","",IF($H339&lt;0,"기간만료",IF(OR($F339&lt;=사용안내!$C$18,$H339&lt;=사용안내!$C$17),"재결제 안내","정상"))))))</f>
        <v/>
      </c>
    </row>
    <row r="340" customFormat="false" ht="15" hidden="false" customHeight="true" outlineLevel="0" collapsed="false">
      <c r="A340" s="15" t="str">
        <f aca="false">IF(회원명부!$A337="","",회원명부!$A337)</f>
        <v/>
      </c>
      <c r="B340" s="15" t="str">
        <f aca="false">IF($A340="","",회원명부!$B337)</f>
        <v/>
      </c>
      <c r="C340" s="15" t="str">
        <f aca="false">IF($A340="","",회원명부!$C337)</f>
        <v/>
      </c>
      <c r="D340" s="23" t="str">
        <f aca="false">IF($A340="","",SUMIFS(결제내역!$E$3:$E$1002,결제내역!$B$3:$B$1002,$A340))</f>
        <v/>
      </c>
      <c r="E340" s="23" t="str">
        <f aca="false">IF($A340="","",SUMIFS(사용내역!$D$3:$D$3002,사용내역!$B$3:$B$3002,$A340))</f>
        <v/>
      </c>
      <c r="F340" s="23" t="str">
        <f aca="false">IF($A340="","",$D340-$E340)</f>
        <v/>
      </c>
      <c r="G340" s="17" t="str">
        <f aca="false">IF($A340="","",IF(COUNTIFS(결제내역!$B$3:$B$1002,$A340)=0,"",_xlfn.MAXIFS(결제내역!$G$3:$G$1002,결제내역!$B$3:$B$1002,$A340)))</f>
        <v/>
      </c>
      <c r="H340" s="24" t="str">
        <f aca="true">IF(OR($A340="",$G340=""),"",$G340-TODAY())</f>
        <v/>
      </c>
      <c r="I340" s="16" t="str">
        <f aca="false">IF($A340="","",SUMIFS(결제내역!$H$3:$H$1002,결제내역!$B$3:$B$1002,$A340))</f>
        <v/>
      </c>
      <c r="J340" s="25" t="str">
        <f aca="false">IF($A340="","",IF($D340=0,"미결제",IF($F340&lt;=0,"횟수소진",IF($H340="","",IF($H340&lt;0,"기간만료",IF(OR($F340&lt;=사용안내!$C$18,$H340&lt;=사용안내!$C$17),"재결제 안내","정상"))))))</f>
        <v/>
      </c>
    </row>
    <row r="341" customFormat="false" ht="15" hidden="false" customHeight="true" outlineLevel="0" collapsed="false">
      <c r="A341" s="15" t="str">
        <f aca="false">IF(회원명부!$A338="","",회원명부!$A338)</f>
        <v/>
      </c>
      <c r="B341" s="15" t="str">
        <f aca="false">IF($A341="","",회원명부!$B338)</f>
        <v/>
      </c>
      <c r="C341" s="15" t="str">
        <f aca="false">IF($A341="","",회원명부!$C338)</f>
        <v/>
      </c>
      <c r="D341" s="23" t="str">
        <f aca="false">IF($A341="","",SUMIFS(결제내역!$E$3:$E$1002,결제내역!$B$3:$B$1002,$A341))</f>
        <v/>
      </c>
      <c r="E341" s="23" t="str">
        <f aca="false">IF($A341="","",SUMIFS(사용내역!$D$3:$D$3002,사용내역!$B$3:$B$3002,$A341))</f>
        <v/>
      </c>
      <c r="F341" s="23" t="str">
        <f aca="false">IF($A341="","",$D341-$E341)</f>
        <v/>
      </c>
      <c r="G341" s="17" t="str">
        <f aca="false">IF($A341="","",IF(COUNTIFS(결제내역!$B$3:$B$1002,$A341)=0,"",_xlfn.MAXIFS(결제내역!$G$3:$G$1002,결제내역!$B$3:$B$1002,$A341)))</f>
        <v/>
      </c>
      <c r="H341" s="24" t="str">
        <f aca="true">IF(OR($A341="",$G341=""),"",$G341-TODAY())</f>
        <v/>
      </c>
      <c r="I341" s="16" t="str">
        <f aca="false">IF($A341="","",SUMIFS(결제내역!$H$3:$H$1002,결제내역!$B$3:$B$1002,$A341))</f>
        <v/>
      </c>
      <c r="J341" s="25" t="str">
        <f aca="false">IF($A341="","",IF($D341=0,"미결제",IF($F341&lt;=0,"횟수소진",IF($H341="","",IF($H341&lt;0,"기간만료",IF(OR($F341&lt;=사용안내!$C$18,$H341&lt;=사용안내!$C$17),"재결제 안내","정상"))))))</f>
        <v/>
      </c>
    </row>
    <row r="342" customFormat="false" ht="15" hidden="false" customHeight="true" outlineLevel="0" collapsed="false">
      <c r="A342" s="15" t="str">
        <f aca="false">IF(회원명부!$A339="","",회원명부!$A339)</f>
        <v/>
      </c>
      <c r="B342" s="15" t="str">
        <f aca="false">IF($A342="","",회원명부!$B339)</f>
        <v/>
      </c>
      <c r="C342" s="15" t="str">
        <f aca="false">IF($A342="","",회원명부!$C339)</f>
        <v/>
      </c>
      <c r="D342" s="23" t="str">
        <f aca="false">IF($A342="","",SUMIFS(결제내역!$E$3:$E$1002,결제내역!$B$3:$B$1002,$A342))</f>
        <v/>
      </c>
      <c r="E342" s="23" t="str">
        <f aca="false">IF($A342="","",SUMIFS(사용내역!$D$3:$D$3002,사용내역!$B$3:$B$3002,$A342))</f>
        <v/>
      </c>
      <c r="F342" s="23" t="str">
        <f aca="false">IF($A342="","",$D342-$E342)</f>
        <v/>
      </c>
      <c r="G342" s="17" t="str">
        <f aca="false">IF($A342="","",IF(COUNTIFS(결제내역!$B$3:$B$1002,$A342)=0,"",_xlfn.MAXIFS(결제내역!$G$3:$G$1002,결제내역!$B$3:$B$1002,$A342)))</f>
        <v/>
      </c>
      <c r="H342" s="24" t="str">
        <f aca="true">IF(OR($A342="",$G342=""),"",$G342-TODAY())</f>
        <v/>
      </c>
      <c r="I342" s="16" t="str">
        <f aca="false">IF($A342="","",SUMIFS(결제내역!$H$3:$H$1002,결제내역!$B$3:$B$1002,$A342))</f>
        <v/>
      </c>
      <c r="J342" s="25" t="str">
        <f aca="false">IF($A342="","",IF($D342=0,"미결제",IF($F342&lt;=0,"횟수소진",IF($H342="","",IF($H342&lt;0,"기간만료",IF(OR($F342&lt;=사용안내!$C$18,$H342&lt;=사용안내!$C$17),"재결제 안내","정상"))))))</f>
        <v/>
      </c>
    </row>
    <row r="343" customFormat="false" ht="15" hidden="false" customHeight="true" outlineLevel="0" collapsed="false">
      <c r="A343" s="15" t="str">
        <f aca="false">IF(회원명부!$A340="","",회원명부!$A340)</f>
        <v/>
      </c>
      <c r="B343" s="15" t="str">
        <f aca="false">IF($A343="","",회원명부!$B340)</f>
        <v/>
      </c>
      <c r="C343" s="15" t="str">
        <f aca="false">IF($A343="","",회원명부!$C340)</f>
        <v/>
      </c>
      <c r="D343" s="23" t="str">
        <f aca="false">IF($A343="","",SUMIFS(결제내역!$E$3:$E$1002,결제내역!$B$3:$B$1002,$A343))</f>
        <v/>
      </c>
      <c r="E343" s="23" t="str">
        <f aca="false">IF($A343="","",SUMIFS(사용내역!$D$3:$D$3002,사용내역!$B$3:$B$3002,$A343))</f>
        <v/>
      </c>
      <c r="F343" s="23" t="str">
        <f aca="false">IF($A343="","",$D343-$E343)</f>
        <v/>
      </c>
      <c r="G343" s="17" t="str">
        <f aca="false">IF($A343="","",IF(COUNTIFS(결제내역!$B$3:$B$1002,$A343)=0,"",_xlfn.MAXIFS(결제내역!$G$3:$G$1002,결제내역!$B$3:$B$1002,$A343)))</f>
        <v/>
      </c>
      <c r="H343" s="24" t="str">
        <f aca="true">IF(OR($A343="",$G343=""),"",$G343-TODAY())</f>
        <v/>
      </c>
      <c r="I343" s="16" t="str">
        <f aca="false">IF($A343="","",SUMIFS(결제내역!$H$3:$H$1002,결제내역!$B$3:$B$1002,$A343))</f>
        <v/>
      </c>
      <c r="J343" s="25" t="str">
        <f aca="false">IF($A343="","",IF($D343=0,"미결제",IF($F343&lt;=0,"횟수소진",IF($H343="","",IF($H343&lt;0,"기간만료",IF(OR($F343&lt;=사용안내!$C$18,$H343&lt;=사용안내!$C$17),"재결제 안내","정상"))))))</f>
        <v/>
      </c>
    </row>
    <row r="344" customFormat="false" ht="15" hidden="false" customHeight="true" outlineLevel="0" collapsed="false">
      <c r="A344" s="15" t="str">
        <f aca="false">IF(회원명부!$A341="","",회원명부!$A341)</f>
        <v/>
      </c>
      <c r="B344" s="15" t="str">
        <f aca="false">IF($A344="","",회원명부!$B341)</f>
        <v/>
      </c>
      <c r="C344" s="15" t="str">
        <f aca="false">IF($A344="","",회원명부!$C341)</f>
        <v/>
      </c>
      <c r="D344" s="23" t="str">
        <f aca="false">IF($A344="","",SUMIFS(결제내역!$E$3:$E$1002,결제내역!$B$3:$B$1002,$A344))</f>
        <v/>
      </c>
      <c r="E344" s="23" t="str">
        <f aca="false">IF($A344="","",SUMIFS(사용내역!$D$3:$D$3002,사용내역!$B$3:$B$3002,$A344))</f>
        <v/>
      </c>
      <c r="F344" s="23" t="str">
        <f aca="false">IF($A344="","",$D344-$E344)</f>
        <v/>
      </c>
      <c r="G344" s="17" t="str">
        <f aca="false">IF($A344="","",IF(COUNTIFS(결제내역!$B$3:$B$1002,$A344)=0,"",_xlfn.MAXIFS(결제내역!$G$3:$G$1002,결제내역!$B$3:$B$1002,$A344)))</f>
        <v/>
      </c>
      <c r="H344" s="24" t="str">
        <f aca="true">IF(OR($A344="",$G344=""),"",$G344-TODAY())</f>
        <v/>
      </c>
      <c r="I344" s="16" t="str">
        <f aca="false">IF($A344="","",SUMIFS(결제내역!$H$3:$H$1002,결제내역!$B$3:$B$1002,$A344))</f>
        <v/>
      </c>
      <c r="J344" s="25" t="str">
        <f aca="false">IF($A344="","",IF($D344=0,"미결제",IF($F344&lt;=0,"횟수소진",IF($H344="","",IF($H344&lt;0,"기간만료",IF(OR($F344&lt;=사용안내!$C$18,$H344&lt;=사용안내!$C$17),"재결제 안내","정상"))))))</f>
        <v/>
      </c>
    </row>
    <row r="345" customFormat="false" ht="15" hidden="false" customHeight="true" outlineLevel="0" collapsed="false">
      <c r="A345" s="15" t="str">
        <f aca="false">IF(회원명부!$A342="","",회원명부!$A342)</f>
        <v/>
      </c>
      <c r="B345" s="15" t="str">
        <f aca="false">IF($A345="","",회원명부!$B342)</f>
        <v/>
      </c>
      <c r="C345" s="15" t="str">
        <f aca="false">IF($A345="","",회원명부!$C342)</f>
        <v/>
      </c>
      <c r="D345" s="23" t="str">
        <f aca="false">IF($A345="","",SUMIFS(결제내역!$E$3:$E$1002,결제내역!$B$3:$B$1002,$A345))</f>
        <v/>
      </c>
      <c r="E345" s="23" t="str">
        <f aca="false">IF($A345="","",SUMIFS(사용내역!$D$3:$D$3002,사용내역!$B$3:$B$3002,$A345))</f>
        <v/>
      </c>
      <c r="F345" s="23" t="str">
        <f aca="false">IF($A345="","",$D345-$E345)</f>
        <v/>
      </c>
      <c r="G345" s="17" t="str">
        <f aca="false">IF($A345="","",IF(COUNTIFS(결제내역!$B$3:$B$1002,$A345)=0,"",_xlfn.MAXIFS(결제내역!$G$3:$G$1002,결제내역!$B$3:$B$1002,$A345)))</f>
        <v/>
      </c>
      <c r="H345" s="24" t="str">
        <f aca="true">IF(OR($A345="",$G345=""),"",$G345-TODAY())</f>
        <v/>
      </c>
      <c r="I345" s="16" t="str">
        <f aca="false">IF($A345="","",SUMIFS(결제내역!$H$3:$H$1002,결제내역!$B$3:$B$1002,$A345))</f>
        <v/>
      </c>
      <c r="J345" s="25" t="str">
        <f aca="false">IF($A345="","",IF($D345=0,"미결제",IF($F345&lt;=0,"횟수소진",IF($H345="","",IF($H345&lt;0,"기간만료",IF(OR($F345&lt;=사용안내!$C$18,$H345&lt;=사용안내!$C$17),"재결제 안내","정상"))))))</f>
        <v/>
      </c>
    </row>
    <row r="346" customFormat="false" ht="15" hidden="false" customHeight="true" outlineLevel="0" collapsed="false">
      <c r="A346" s="15" t="str">
        <f aca="false">IF(회원명부!$A343="","",회원명부!$A343)</f>
        <v/>
      </c>
      <c r="B346" s="15" t="str">
        <f aca="false">IF($A346="","",회원명부!$B343)</f>
        <v/>
      </c>
      <c r="C346" s="15" t="str">
        <f aca="false">IF($A346="","",회원명부!$C343)</f>
        <v/>
      </c>
      <c r="D346" s="23" t="str">
        <f aca="false">IF($A346="","",SUMIFS(결제내역!$E$3:$E$1002,결제내역!$B$3:$B$1002,$A346))</f>
        <v/>
      </c>
      <c r="E346" s="23" t="str">
        <f aca="false">IF($A346="","",SUMIFS(사용내역!$D$3:$D$3002,사용내역!$B$3:$B$3002,$A346))</f>
        <v/>
      </c>
      <c r="F346" s="23" t="str">
        <f aca="false">IF($A346="","",$D346-$E346)</f>
        <v/>
      </c>
      <c r="G346" s="17" t="str">
        <f aca="false">IF($A346="","",IF(COUNTIFS(결제내역!$B$3:$B$1002,$A346)=0,"",_xlfn.MAXIFS(결제내역!$G$3:$G$1002,결제내역!$B$3:$B$1002,$A346)))</f>
        <v/>
      </c>
      <c r="H346" s="24" t="str">
        <f aca="true">IF(OR($A346="",$G346=""),"",$G346-TODAY())</f>
        <v/>
      </c>
      <c r="I346" s="16" t="str">
        <f aca="false">IF($A346="","",SUMIFS(결제내역!$H$3:$H$1002,결제내역!$B$3:$B$1002,$A346))</f>
        <v/>
      </c>
      <c r="J346" s="25" t="str">
        <f aca="false">IF($A346="","",IF($D346=0,"미결제",IF($F346&lt;=0,"횟수소진",IF($H346="","",IF($H346&lt;0,"기간만료",IF(OR($F346&lt;=사용안내!$C$18,$H346&lt;=사용안내!$C$17),"재결제 안내","정상"))))))</f>
        <v/>
      </c>
    </row>
    <row r="347" customFormat="false" ht="15" hidden="false" customHeight="true" outlineLevel="0" collapsed="false">
      <c r="A347" s="15" t="str">
        <f aca="false">IF(회원명부!$A344="","",회원명부!$A344)</f>
        <v/>
      </c>
      <c r="B347" s="15" t="str">
        <f aca="false">IF($A347="","",회원명부!$B344)</f>
        <v/>
      </c>
      <c r="C347" s="15" t="str">
        <f aca="false">IF($A347="","",회원명부!$C344)</f>
        <v/>
      </c>
      <c r="D347" s="23" t="str">
        <f aca="false">IF($A347="","",SUMIFS(결제내역!$E$3:$E$1002,결제내역!$B$3:$B$1002,$A347))</f>
        <v/>
      </c>
      <c r="E347" s="23" t="str">
        <f aca="false">IF($A347="","",SUMIFS(사용내역!$D$3:$D$3002,사용내역!$B$3:$B$3002,$A347))</f>
        <v/>
      </c>
      <c r="F347" s="23" t="str">
        <f aca="false">IF($A347="","",$D347-$E347)</f>
        <v/>
      </c>
      <c r="G347" s="17" t="str">
        <f aca="false">IF($A347="","",IF(COUNTIFS(결제내역!$B$3:$B$1002,$A347)=0,"",_xlfn.MAXIFS(결제내역!$G$3:$G$1002,결제내역!$B$3:$B$1002,$A347)))</f>
        <v/>
      </c>
      <c r="H347" s="24" t="str">
        <f aca="true">IF(OR($A347="",$G347=""),"",$G347-TODAY())</f>
        <v/>
      </c>
      <c r="I347" s="16" t="str">
        <f aca="false">IF($A347="","",SUMIFS(결제내역!$H$3:$H$1002,결제내역!$B$3:$B$1002,$A347))</f>
        <v/>
      </c>
      <c r="J347" s="25" t="str">
        <f aca="false">IF($A347="","",IF($D347=0,"미결제",IF($F347&lt;=0,"횟수소진",IF($H347="","",IF($H347&lt;0,"기간만료",IF(OR($F347&lt;=사용안내!$C$18,$H347&lt;=사용안내!$C$17),"재결제 안내","정상"))))))</f>
        <v/>
      </c>
    </row>
    <row r="348" customFormat="false" ht="15" hidden="false" customHeight="true" outlineLevel="0" collapsed="false">
      <c r="A348" s="15" t="str">
        <f aca="false">IF(회원명부!$A345="","",회원명부!$A345)</f>
        <v/>
      </c>
      <c r="B348" s="15" t="str">
        <f aca="false">IF($A348="","",회원명부!$B345)</f>
        <v/>
      </c>
      <c r="C348" s="15" t="str">
        <f aca="false">IF($A348="","",회원명부!$C345)</f>
        <v/>
      </c>
      <c r="D348" s="23" t="str">
        <f aca="false">IF($A348="","",SUMIFS(결제내역!$E$3:$E$1002,결제내역!$B$3:$B$1002,$A348))</f>
        <v/>
      </c>
      <c r="E348" s="23" t="str">
        <f aca="false">IF($A348="","",SUMIFS(사용내역!$D$3:$D$3002,사용내역!$B$3:$B$3002,$A348))</f>
        <v/>
      </c>
      <c r="F348" s="23" t="str">
        <f aca="false">IF($A348="","",$D348-$E348)</f>
        <v/>
      </c>
      <c r="G348" s="17" t="str">
        <f aca="false">IF($A348="","",IF(COUNTIFS(결제내역!$B$3:$B$1002,$A348)=0,"",_xlfn.MAXIFS(결제내역!$G$3:$G$1002,결제내역!$B$3:$B$1002,$A348)))</f>
        <v/>
      </c>
      <c r="H348" s="24" t="str">
        <f aca="true">IF(OR($A348="",$G348=""),"",$G348-TODAY())</f>
        <v/>
      </c>
      <c r="I348" s="16" t="str">
        <f aca="false">IF($A348="","",SUMIFS(결제내역!$H$3:$H$1002,결제내역!$B$3:$B$1002,$A348))</f>
        <v/>
      </c>
      <c r="J348" s="25" t="str">
        <f aca="false">IF($A348="","",IF($D348=0,"미결제",IF($F348&lt;=0,"횟수소진",IF($H348="","",IF($H348&lt;0,"기간만료",IF(OR($F348&lt;=사용안내!$C$18,$H348&lt;=사용안내!$C$17),"재결제 안내","정상"))))))</f>
        <v/>
      </c>
    </row>
    <row r="349" customFormat="false" ht="15" hidden="false" customHeight="true" outlineLevel="0" collapsed="false">
      <c r="A349" s="15" t="str">
        <f aca="false">IF(회원명부!$A346="","",회원명부!$A346)</f>
        <v/>
      </c>
      <c r="B349" s="15" t="str">
        <f aca="false">IF($A349="","",회원명부!$B346)</f>
        <v/>
      </c>
      <c r="C349" s="15" t="str">
        <f aca="false">IF($A349="","",회원명부!$C346)</f>
        <v/>
      </c>
      <c r="D349" s="23" t="str">
        <f aca="false">IF($A349="","",SUMIFS(결제내역!$E$3:$E$1002,결제내역!$B$3:$B$1002,$A349))</f>
        <v/>
      </c>
      <c r="E349" s="23" t="str">
        <f aca="false">IF($A349="","",SUMIFS(사용내역!$D$3:$D$3002,사용내역!$B$3:$B$3002,$A349))</f>
        <v/>
      </c>
      <c r="F349" s="23" t="str">
        <f aca="false">IF($A349="","",$D349-$E349)</f>
        <v/>
      </c>
      <c r="G349" s="17" t="str">
        <f aca="false">IF($A349="","",IF(COUNTIFS(결제내역!$B$3:$B$1002,$A349)=0,"",_xlfn.MAXIFS(결제내역!$G$3:$G$1002,결제내역!$B$3:$B$1002,$A349)))</f>
        <v/>
      </c>
      <c r="H349" s="24" t="str">
        <f aca="true">IF(OR($A349="",$G349=""),"",$G349-TODAY())</f>
        <v/>
      </c>
      <c r="I349" s="16" t="str">
        <f aca="false">IF($A349="","",SUMIFS(결제내역!$H$3:$H$1002,결제내역!$B$3:$B$1002,$A349))</f>
        <v/>
      </c>
      <c r="J349" s="25" t="str">
        <f aca="false">IF($A349="","",IF($D349=0,"미결제",IF($F349&lt;=0,"횟수소진",IF($H349="","",IF($H349&lt;0,"기간만료",IF(OR($F349&lt;=사용안내!$C$18,$H349&lt;=사용안내!$C$17),"재결제 안내","정상"))))))</f>
        <v/>
      </c>
    </row>
    <row r="350" customFormat="false" ht="15" hidden="false" customHeight="true" outlineLevel="0" collapsed="false">
      <c r="A350" s="15" t="str">
        <f aca="false">IF(회원명부!$A347="","",회원명부!$A347)</f>
        <v/>
      </c>
      <c r="B350" s="15" t="str">
        <f aca="false">IF($A350="","",회원명부!$B347)</f>
        <v/>
      </c>
      <c r="C350" s="15" t="str">
        <f aca="false">IF($A350="","",회원명부!$C347)</f>
        <v/>
      </c>
      <c r="D350" s="23" t="str">
        <f aca="false">IF($A350="","",SUMIFS(결제내역!$E$3:$E$1002,결제내역!$B$3:$B$1002,$A350))</f>
        <v/>
      </c>
      <c r="E350" s="23" t="str">
        <f aca="false">IF($A350="","",SUMIFS(사용내역!$D$3:$D$3002,사용내역!$B$3:$B$3002,$A350))</f>
        <v/>
      </c>
      <c r="F350" s="23" t="str">
        <f aca="false">IF($A350="","",$D350-$E350)</f>
        <v/>
      </c>
      <c r="G350" s="17" t="str">
        <f aca="false">IF($A350="","",IF(COUNTIFS(결제내역!$B$3:$B$1002,$A350)=0,"",_xlfn.MAXIFS(결제내역!$G$3:$G$1002,결제내역!$B$3:$B$1002,$A350)))</f>
        <v/>
      </c>
      <c r="H350" s="24" t="str">
        <f aca="true">IF(OR($A350="",$G350=""),"",$G350-TODAY())</f>
        <v/>
      </c>
      <c r="I350" s="16" t="str">
        <f aca="false">IF($A350="","",SUMIFS(결제내역!$H$3:$H$1002,결제내역!$B$3:$B$1002,$A350))</f>
        <v/>
      </c>
      <c r="J350" s="25" t="str">
        <f aca="false">IF($A350="","",IF($D350=0,"미결제",IF($F350&lt;=0,"횟수소진",IF($H350="","",IF($H350&lt;0,"기간만료",IF(OR($F350&lt;=사용안내!$C$18,$H350&lt;=사용안내!$C$17),"재결제 안내","정상"))))))</f>
        <v/>
      </c>
    </row>
    <row r="351" customFormat="false" ht="15" hidden="false" customHeight="true" outlineLevel="0" collapsed="false">
      <c r="A351" s="15" t="str">
        <f aca="false">IF(회원명부!$A348="","",회원명부!$A348)</f>
        <v/>
      </c>
      <c r="B351" s="15" t="str">
        <f aca="false">IF($A351="","",회원명부!$B348)</f>
        <v/>
      </c>
      <c r="C351" s="15" t="str">
        <f aca="false">IF($A351="","",회원명부!$C348)</f>
        <v/>
      </c>
      <c r="D351" s="23" t="str">
        <f aca="false">IF($A351="","",SUMIFS(결제내역!$E$3:$E$1002,결제내역!$B$3:$B$1002,$A351))</f>
        <v/>
      </c>
      <c r="E351" s="23" t="str">
        <f aca="false">IF($A351="","",SUMIFS(사용내역!$D$3:$D$3002,사용내역!$B$3:$B$3002,$A351))</f>
        <v/>
      </c>
      <c r="F351" s="23" t="str">
        <f aca="false">IF($A351="","",$D351-$E351)</f>
        <v/>
      </c>
      <c r="G351" s="17" t="str">
        <f aca="false">IF($A351="","",IF(COUNTIFS(결제내역!$B$3:$B$1002,$A351)=0,"",_xlfn.MAXIFS(결제내역!$G$3:$G$1002,결제내역!$B$3:$B$1002,$A351)))</f>
        <v/>
      </c>
      <c r="H351" s="24" t="str">
        <f aca="true">IF(OR($A351="",$G351=""),"",$G351-TODAY())</f>
        <v/>
      </c>
      <c r="I351" s="16" t="str">
        <f aca="false">IF($A351="","",SUMIFS(결제내역!$H$3:$H$1002,결제내역!$B$3:$B$1002,$A351))</f>
        <v/>
      </c>
      <c r="J351" s="25" t="str">
        <f aca="false">IF($A351="","",IF($D351=0,"미결제",IF($F351&lt;=0,"횟수소진",IF($H351="","",IF($H351&lt;0,"기간만료",IF(OR($F351&lt;=사용안내!$C$18,$H351&lt;=사용안내!$C$17),"재결제 안내","정상"))))))</f>
        <v/>
      </c>
    </row>
    <row r="352" customFormat="false" ht="15" hidden="false" customHeight="true" outlineLevel="0" collapsed="false">
      <c r="A352" s="15" t="str">
        <f aca="false">IF(회원명부!$A349="","",회원명부!$A349)</f>
        <v/>
      </c>
      <c r="B352" s="15" t="str">
        <f aca="false">IF($A352="","",회원명부!$B349)</f>
        <v/>
      </c>
      <c r="C352" s="15" t="str">
        <f aca="false">IF($A352="","",회원명부!$C349)</f>
        <v/>
      </c>
      <c r="D352" s="23" t="str">
        <f aca="false">IF($A352="","",SUMIFS(결제내역!$E$3:$E$1002,결제내역!$B$3:$B$1002,$A352))</f>
        <v/>
      </c>
      <c r="E352" s="23" t="str">
        <f aca="false">IF($A352="","",SUMIFS(사용내역!$D$3:$D$3002,사용내역!$B$3:$B$3002,$A352))</f>
        <v/>
      </c>
      <c r="F352" s="23" t="str">
        <f aca="false">IF($A352="","",$D352-$E352)</f>
        <v/>
      </c>
      <c r="G352" s="17" t="str">
        <f aca="false">IF($A352="","",IF(COUNTIFS(결제내역!$B$3:$B$1002,$A352)=0,"",_xlfn.MAXIFS(결제내역!$G$3:$G$1002,결제내역!$B$3:$B$1002,$A352)))</f>
        <v/>
      </c>
      <c r="H352" s="24" t="str">
        <f aca="true">IF(OR($A352="",$G352=""),"",$G352-TODAY())</f>
        <v/>
      </c>
      <c r="I352" s="16" t="str">
        <f aca="false">IF($A352="","",SUMIFS(결제내역!$H$3:$H$1002,결제내역!$B$3:$B$1002,$A352))</f>
        <v/>
      </c>
      <c r="J352" s="25" t="str">
        <f aca="false">IF($A352="","",IF($D352=0,"미결제",IF($F352&lt;=0,"횟수소진",IF($H352="","",IF($H352&lt;0,"기간만료",IF(OR($F352&lt;=사용안내!$C$18,$H352&lt;=사용안내!$C$17),"재결제 안내","정상"))))))</f>
        <v/>
      </c>
    </row>
    <row r="353" customFormat="false" ht="15" hidden="false" customHeight="true" outlineLevel="0" collapsed="false">
      <c r="A353" s="15" t="str">
        <f aca="false">IF(회원명부!$A350="","",회원명부!$A350)</f>
        <v/>
      </c>
      <c r="B353" s="15" t="str">
        <f aca="false">IF($A353="","",회원명부!$B350)</f>
        <v/>
      </c>
      <c r="C353" s="15" t="str">
        <f aca="false">IF($A353="","",회원명부!$C350)</f>
        <v/>
      </c>
      <c r="D353" s="23" t="str">
        <f aca="false">IF($A353="","",SUMIFS(결제내역!$E$3:$E$1002,결제내역!$B$3:$B$1002,$A353))</f>
        <v/>
      </c>
      <c r="E353" s="23" t="str">
        <f aca="false">IF($A353="","",SUMIFS(사용내역!$D$3:$D$3002,사용내역!$B$3:$B$3002,$A353))</f>
        <v/>
      </c>
      <c r="F353" s="23" t="str">
        <f aca="false">IF($A353="","",$D353-$E353)</f>
        <v/>
      </c>
      <c r="G353" s="17" t="str">
        <f aca="false">IF($A353="","",IF(COUNTIFS(결제내역!$B$3:$B$1002,$A353)=0,"",_xlfn.MAXIFS(결제내역!$G$3:$G$1002,결제내역!$B$3:$B$1002,$A353)))</f>
        <v/>
      </c>
      <c r="H353" s="24" t="str">
        <f aca="true">IF(OR($A353="",$G353=""),"",$G353-TODAY())</f>
        <v/>
      </c>
      <c r="I353" s="16" t="str">
        <f aca="false">IF($A353="","",SUMIFS(결제내역!$H$3:$H$1002,결제내역!$B$3:$B$1002,$A353))</f>
        <v/>
      </c>
      <c r="J353" s="25" t="str">
        <f aca="false">IF($A353="","",IF($D353=0,"미결제",IF($F353&lt;=0,"횟수소진",IF($H353="","",IF($H353&lt;0,"기간만료",IF(OR($F353&lt;=사용안내!$C$18,$H353&lt;=사용안내!$C$17),"재결제 안내","정상"))))))</f>
        <v/>
      </c>
    </row>
    <row r="354" customFormat="false" ht="15" hidden="false" customHeight="true" outlineLevel="0" collapsed="false">
      <c r="A354" s="15" t="str">
        <f aca="false">IF(회원명부!$A351="","",회원명부!$A351)</f>
        <v/>
      </c>
      <c r="B354" s="15" t="str">
        <f aca="false">IF($A354="","",회원명부!$B351)</f>
        <v/>
      </c>
      <c r="C354" s="15" t="str">
        <f aca="false">IF($A354="","",회원명부!$C351)</f>
        <v/>
      </c>
      <c r="D354" s="23" t="str">
        <f aca="false">IF($A354="","",SUMIFS(결제내역!$E$3:$E$1002,결제내역!$B$3:$B$1002,$A354))</f>
        <v/>
      </c>
      <c r="E354" s="23" t="str">
        <f aca="false">IF($A354="","",SUMIFS(사용내역!$D$3:$D$3002,사용내역!$B$3:$B$3002,$A354))</f>
        <v/>
      </c>
      <c r="F354" s="23" t="str">
        <f aca="false">IF($A354="","",$D354-$E354)</f>
        <v/>
      </c>
      <c r="G354" s="17" t="str">
        <f aca="false">IF($A354="","",IF(COUNTIFS(결제내역!$B$3:$B$1002,$A354)=0,"",_xlfn.MAXIFS(결제내역!$G$3:$G$1002,결제내역!$B$3:$B$1002,$A354)))</f>
        <v/>
      </c>
      <c r="H354" s="24" t="str">
        <f aca="true">IF(OR($A354="",$G354=""),"",$G354-TODAY())</f>
        <v/>
      </c>
      <c r="I354" s="16" t="str">
        <f aca="false">IF($A354="","",SUMIFS(결제내역!$H$3:$H$1002,결제내역!$B$3:$B$1002,$A354))</f>
        <v/>
      </c>
      <c r="J354" s="25" t="str">
        <f aca="false">IF($A354="","",IF($D354=0,"미결제",IF($F354&lt;=0,"횟수소진",IF($H354="","",IF($H354&lt;0,"기간만료",IF(OR($F354&lt;=사용안내!$C$18,$H354&lt;=사용안내!$C$17),"재결제 안내","정상"))))))</f>
        <v/>
      </c>
    </row>
    <row r="355" customFormat="false" ht="15" hidden="false" customHeight="true" outlineLevel="0" collapsed="false">
      <c r="A355" s="15" t="str">
        <f aca="false">IF(회원명부!$A352="","",회원명부!$A352)</f>
        <v/>
      </c>
      <c r="B355" s="15" t="str">
        <f aca="false">IF($A355="","",회원명부!$B352)</f>
        <v/>
      </c>
      <c r="C355" s="15" t="str">
        <f aca="false">IF($A355="","",회원명부!$C352)</f>
        <v/>
      </c>
      <c r="D355" s="23" t="str">
        <f aca="false">IF($A355="","",SUMIFS(결제내역!$E$3:$E$1002,결제내역!$B$3:$B$1002,$A355))</f>
        <v/>
      </c>
      <c r="E355" s="23" t="str">
        <f aca="false">IF($A355="","",SUMIFS(사용내역!$D$3:$D$3002,사용내역!$B$3:$B$3002,$A355))</f>
        <v/>
      </c>
      <c r="F355" s="23" t="str">
        <f aca="false">IF($A355="","",$D355-$E355)</f>
        <v/>
      </c>
      <c r="G355" s="17" t="str">
        <f aca="false">IF($A355="","",IF(COUNTIFS(결제내역!$B$3:$B$1002,$A355)=0,"",_xlfn.MAXIFS(결제내역!$G$3:$G$1002,결제내역!$B$3:$B$1002,$A355)))</f>
        <v/>
      </c>
      <c r="H355" s="24" t="str">
        <f aca="true">IF(OR($A355="",$G355=""),"",$G355-TODAY())</f>
        <v/>
      </c>
      <c r="I355" s="16" t="str">
        <f aca="false">IF($A355="","",SUMIFS(결제내역!$H$3:$H$1002,결제내역!$B$3:$B$1002,$A355))</f>
        <v/>
      </c>
      <c r="J355" s="25" t="str">
        <f aca="false">IF($A355="","",IF($D355=0,"미결제",IF($F355&lt;=0,"횟수소진",IF($H355="","",IF($H355&lt;0,"기간만료",IF(OR($F355&lt;=사용안내!$C$18,$H355&lt;=사용안내!$C$17),"재결제 안내","정상"))))))</f>
        <v/>
      </c>
    </row>
    <row r="356" customFormat="false" ht="15" hidden="false" customHeight="true" outlineLevel="0" collapsed="false">
      <c r="A356" s="15" t="str">
        <f aca="false">IF(회원명부!$A353="","",회원명부!$A353)</f>
        <v/>
      </c>
      <c r="B356" s="15" t="str">
        <f aca="false">IF($A356="","",회원명부!$B353)</f>
        <v/>
      </c>
      <c r="C356" s="15" t="str">
        <f aca="false">IF($A356="","",회원명부!$C353)</f>
        <v/>
      </c>
      <c r="D356" s="23" t="str">
        <f aca="false">IF($A356="","",SUMIFS(결제내역!$E$3:$E$1002,결제내역!$B$3:$B$1002,$A356))</f>
        <v/>
      </c>
      <c r="E356" s="23" t="str">
        <f aca="false">IF($A356="","",SUMIFS(사용내역!$D$3:$D$3002,사용내역!$B$3:$B$3002,$A356))</f>
        <v/>
      </c>
      <c r="F356" s="23" t="str">
        <f aca="false">IF($A356="","",$D356-$E356)</f>
        <v/>
      </c>
      <c r="G356" s="17" t="str">
        <f aca="false">IF($A356="","",IF(COUNTIFS(결제내역!$B$3:$B$1002,$A356)=0,"",_xlfn.MAXIFS(결제내역!$G$3:$G$1002,결제내역!$B$3:$B$1002,$A356)))</f>
        <v/>
      </c>
      <c r="H356" s="24" t="str">
        <f aca="true">IF(OR($A356="",$G356=""),"",$G356-TODAY())</f>
        <v/>
      </c>
      <c r="I356" s="16" t="str">
        <f aca="false">IF($A356="","",SUMIFS(결제내역!$H$3:$H$1002,결제내역!$B$3:$B$1002,$A356))</f>
        <v/>
      </c>
      <c r="J356" s="25" t="str">
        <f aca="false">IF($A356="","",IF($D356=0,"미결제",IF($F356&lt;=0,"횟수소진",IF($H356="","",IF($H356&lt;0,"기간만료",IF(OR($F356&lt;=사용안내!$C$18,$H356&lt;=사용안내!$C$17),"재결제 안내","정상"))))))</f>
        <v/>
      </c>
    </row>
    <row r="357" customFormat="false" ht="15" hidden="false" customHeight="true" outlineLevel="0" collapsed="false">
      <c r="A357" s="15" t="str">
        <f aca="false">IF(회원명부!$A354="","",회원명부!$A354)</f>
        <v/>
      </c>
      <c r="B357" s="15" t="str">
        <f aca="false">IF($A357="","",회원명부!$B354)</f>
        <v/>
      </c>
      <c r="C357" s="15" t="str">
        <f aca="false">IF($A357="","",회원명부!$C354)</f>
        <v/>
      </c>
      <c r="D357" s="23" t="str">
        <f aca="false">IF($A357="","",SUMIFS(결제내역!$E$3:$E$1002,결제내역!$B$3:$B$1002,$A357))</f>
        <v/>
      </c>
      <c r="E357" s="23" t="str">
        <f aca="false">IF($A357="","",SUMIFS(사용내역!$D$3:$D$3002,사용내역!$B$3:$B$3002,$A357))</f>
        <v/>
      </c>
      <c r="F357" s="23" t="str">
        <f aca="false">IF($A357="","",$D357-$E357)</f>
        <v/>
      </c>
      <c r="G357" s="17" t="str">
        <f aca="false">IF($A357="","",IF(COUNTIFS(결제내역!$B$3:$B$1002,$A357)=0,"",_xlfn.MAXIFS(결제내역!$G$3:$G$1002,결제내역!$B$3:$B$1002,$A357)))</f>
        <v/>
      </c>
      <c r="H357" s="24" t="str">
        <f aca="true">IF(OR($A357="",$G357=""),"",$G357-TODAY())</f>
        <v/>
      </c>
      <c r="I357" s="16" t="str">
        <f aca="false">IF($A357="","",SUMIFS(결제내역!$H$3:$H$1002,결제내역!$B$3:$B$1002,$A357))</f>
        <v/>
      </c>
      <c r="J357" s="25" t="str">
        <f aca="false">IF($A357="","",IF($D357=0,"미결제",IF($F357&lt;=0,"횟수소진",IF($H357="","",IF($H357&lt;0,"기간만료",IF(OR($F357&lt;=사용안내!$C$18,$H357&lt;=사용안내!$C$17),"재결제 안내","정상"))))))</f>
        <v/>
      </c>
    </row>
    <row r="358" customFormat="false" ht="15" hidden="false" customHeight="true" outlineLevel="0" collapsed="false">
      <c r="A358" s="15" t="str">
        <f aca="false">IF(회원명부!$A355="","",회원명부!$A355)</f>
        <v/>
      </c>
      <c r="B358" s="15" t="str">
        <f aca="false">IF($A358="","",회원명부!$B355)</f>
        <v/>
      </c>
      <c r="C358" s="15" t="str">
        <f aca="false">IF($A358="","",회원명부!$C355)</f>
        <v/>
      </c>
      <c r="D358" s="23" t="str">
        <f aca="false">IF($A358="","",SUMIFS(결제내역!$E$3:$E$1002,결제내역!$B$3:$B$1002,$A358))</f>
        <v/>
      </c>
      <c r="E358" s="23" t="str">
        <f aca="false">IF($A358="","",SUMIFS(사용내역!$D$3:$D$3002,사용내역!$B$3:$B$3002,$A358))</f>
        <v/>
      </c>
      <c r="F358" s="23" t="str">
        <f aca="false">IF($A358="","",$D358-$E358)</f>
        <v/>
      </c>
      <c r="G358" s="17" t="str">
        <f aca="false">IF($A358="","",IF(COUNTIFS(결제내역!$B$3:$B$1002,$A358)=0,"",_xlfn.MAXIFS(결제내역!$G$3:$G$1002,결제내역!$B$3:$B$1002,$A358)))</f>
        <v/>
      </c>
      <c r="H358" s="24" t="str">
        <f aca="true">IF(OR($A358="",$G358=""),"",$G358-TODAY())</f>
        <v/>
      </c>
      <c r="I358" s="16" t="str">
        <f aca="false">IF($A358="","",SUMIFS(결제내역!$H$3:$H$1002,결제내역!$B$3:$B$1002,$A358))</f>
        <v/>
      </c>
      <c r="J358" s="25" t="str">
        <f aca="false">IF($A358="","",IF($D358=0,"미결제",IF($F358&lt;=0,"횟수소진",IF($H358="","",IF($H358&lt;0,"기간만료",IF(OR($F358&lt;=사용안내!$C$18,$H358&lt;=사용안내!$C$17),"재결제 안내","정상"))))))</f>
        <v/>
      </c>
    </row>
    <row r="359" customFormat="false" ht="15" hidden="false" customHeight="true" outlineLevel="0" collapsed="false">
      <c r="A359" s="15" t="str">
        <f aca="false">IF(회원명부!$A356="","",회원명부!$A356)</f>
        <v/>
      </c>
      <c r="B359" s="15" t="str">
        <f aca="false">IF($A359="","",회원명부!$B356)</f>
        <v/>
      </c>
      <c r="C359" s="15" t="str">
        <f aca="false">IF($A359="","",회원명부!$C356)</f>
        <v/>
      </c>
      <c r="D359" s="23" t="str">
        <f aca="false">IF($A359="","",SUMIFS(결제내역!$E$3:$E$1002,결제내역!$B$3:$B$1002,$A359))</f>
        <v/>
      </c>
      <c r="E359" s="23" t="str">
        <f aca="false">IF($A359="","",SUMIFS(사용내역!$D$3:$D$3002,사용내역!$B$3:$B$3002,$A359))</f>
        <v/>
      </c>
      <c r="F359" s="23" t="str">
        <f aca="false">IF($A359="","",$D359-$E359)</f>
        <v/>
      </c>
      <c r="G359" s="17" t="str">
        <f aca="false">IF($A359="","",IF(COUNTIFS(결제내역!$B$3:$B$1002,$A359)=0,"",_xlfn.MAXIFS(결제내역!$G$3:$G$1002,결제내역!$B$3:$B$1002,$A359)))</f>
        <v/>
      </c>
      <c r="H359" s="24" t="str">
        <f aca="true">IF(OR($A359="",$G359=""),"",$G359-TODAY())</f>
        <v/>
      </c>
      <c r="I359" s="16" t="str">
        <f aca="false">IF($A359="","",SUMIFS(결제내역!$H$3:$H$1002,결제내역!$B$3:$B$1002,$A359))</f>
        <v/>
      </c>
      <c r="J359" s="25" t="str">
        <f aca="false">IF($A359="","",IF($D359=0,"미결제",IF($F359&lt;=0,"횟수소진",IF($H359="","",IF($H359&lt;0,"기간만료",IF(OR($F359&lt;=사용안내!$C$18,$H359&lt;=사용안내!$C$17),"재결제 안내","정상"))))))</f>
        <v/>
      </c>
    </row>
    <row r="360" customFormat="false" ht="15" hidden="false" customHeight="true" outlineLevel="0" collapsed="false">
      <c r="A360" s="15" t="str">
        <f aca="false">IF(회원명부!$A357="","",회원명부!$A357)</f>
        <v/>
      </c>
      <c r="B360" s="15" t="str">
        <f aca="false">IF($A360="","",회원명부!$B357)</f>
        <v/>
      </c>
      <c r="C360" s="15" t="str">
        <f aca="false">IF($A360="","",회원명부!$C357)</f>
        <v/>
      </c>
      <c r="D360" s="23" t="str">
        <f aca="false">IF($A360="","",SUMIFS(결제내역!$E$3:$E$1002,결제내역!$B$3:$B$1002,$A360))</f>
        <v/>
      </c>
      <c r="E360" s="23" t="str">
        <f aca="false">IF($A360="","",SUMIFS(사용내역!$D$3:$D$3002,사용내역!$B$3:$B$3002,$A360))</f>
        <v/>
      </c>
      <c r="F360" s="23" t="str">
        <f aca="false">IF($A360="","",$D360-$E360)</f>
        <v/>
      </c>
      <c r="G360" s="17" t="str">
        <f aca="false">IF($A360="","",IF(COUNTIFS(결제내역!$B$3:$B$1002,$A360)=0,"",_xlfn.MAXIFS(결제내역!$G$3:$G$1002,결제내역!$B$3:$B$1002,$A360)))</f>
        <v/>
      </c>
      <c r="H360" s="24" t="str">
        <f aca="true">IF(OR($A360="",$G360=""),"",$G360-TODAY())</f>
        <v/>
      </c>
      <c r="I360" s="16" t="str">
        <f aca="false">IF($A360="","",SUMIFS(결제내역!$H$3:$H$1002,결제내역!$B$3:$B$1002,$A360))</f>
        <v/>
      </c>
      <c r="J360" s="25" t="str">
        <f aca="false">IF($A360="","",IF($D360=0,"미결제",IF($F360&lt;=0,"횟수소진",IF($H360="","",IF($H360&lt;0,"기간만료",IF(OR($F360&lt;=사용안내!$C$18,$H360&lt;=사용안내!$C$17),"재결제 안내","정상"))))))</f>
        <v/>
      </c>
    </row>
    <row r="361" customFormat="false" ht="15" hidden="false" customHeight="true" outlineLevel="0" collapsed="false">
      <c r="A361" s="15" t="str">
        <f aca="false">IF(회원명부!$A358="","",회원명부!$A358)</f>
        <v/>
      </c>
      <c r="B361" s="15" t="str">
        <f aca="false">IF($A361="","",회원명부!$B358)</f>
        <v/>
      </c>
      <c r="C361" s="15" t="str">
        <f aca="false">IF($A361="","",회원명부!$C358)</f>
        <v/>
      </c>
      <c r="D361" s="23" t="str">
        <f aca="false">IF($A361="","",SUMIFS(결제내역!$E$3:$E$1002,결제내역!$B$3:$B$1002,$A361))</f>
        <v/>
      </c>
      <c r="E361" s="23" t="str">
        <f aca="false">IF($A361="","",SUMIFS(사용내역!$D$3:$D$3002,사용내역!$B$3:$B$3002,$A361))</f>
        <v/>
      </c>
      <c r="F361" s="23" t="str">
        <f aca="false">IF($A361="","",$D361-$E361)</f>
        <v/>
      </c>
      <c r="G361" s="17" t="str">
        <f aca="false">IF($A361="","",IF(COUNTIFS(결제내역!$B$3:$B$1002,$A361)=0,"",_xlfn.MAXIFS(결제내역!$G$3:$G$1002,결제내역!$B$3:$B$1002,$A361)))</f>
        <v/>
      </c>
      <c r="H361" s="24" t="str">
        <f aca="true">IF(OR($A361="",$G361=""),"",$G361-TODAY())</f>
        <v/>
      </c>
      <c r="I361" s="16" t="str">
        <f aca="false">IF($A361="","",SUMIFS(결제내역!$H$3:$H$1002,결제내역!$B$3:$B$1002,$A361))</f>
        <v/>
      </c>
      <c r="J361" s="25" t="str">
        <f aca="false">IF($A361="","",IF($D361=0,"미결제",IF($F361&lt;=0,"횟수소진",IF($H361="","",IF($H361&lt;0,"기간만료",IF(OR($F361&lt;=사용안내!$C$18,$H361&lt;=사용안내!$C$17),"재결제 안내","정상"))))))</f>
        <v/>
      </c>
    </row>
    <row r="362" customFormat="false" ht="15" hidden="false" customHeight="true" outlineLevel="0" collapsed="false">
      <c r="A362" s="15" t="str">
        <f aca="false">IF(회원명부!$A359="","",회원명부!$A359)</f>
        <v/>
      </c>
      <c r="B362" s="15" t="str">
        <f aca="false">IF($A362="","",회원명부!$B359)</f>
        <v/>
      </c>
      <c r="C362" s="15" t="str">
        <f aca="false">IF($A362="","",회원명부!$C359)</f>
        <v/>
      </c>
      <c r="D362" s="23" t="str">
        <f aca="false">IF($A362="","",SUMIFS(결제내역!$E$3:$E$1002,결제내역!$B$3:$B$1002,$A362))</f>
        <v/>
      </c>
      <c r="E362" s="23" t="str">
        <f aca="false">IF($A362="","",SUMIFS(사용내역!$D$3:$D$3002,사용내역!$B$3:$B$3002,$A362))</f>
        <v/>
      </c>
      <c r="F362" s="23" t="str">
        <f aca="false">IF($A362="","",$D362-$E362)</f>
        <v/>
      </c>
      <c r="G362" s="17" t="str">
        <f aca="false">IF($A362="","",IF(COUNTIFS(결제내역!$B$3:$B$1002,$A362)=0,"",_xlfn.MAXIFS(결제내역!$G$3:$G$1002,결제내역!$B$3:$B$1002,$A362)))</f>
        <v/>
      </c>
      <c r="H362" s="24" t="str">
        <f aca="true">IF(OR($A362="",$G362=""),"",$G362-TODAY())</f>
        <v/>
      </c>
      <c r="I362" s="16" t="str">
        <f aca="false">IF($A362="","",SUMIFS(결제내역!$H$3:$H$1002,결제내역!$B$3:$B$1002,$A362))</f>
        <v/>
      </c>
      <c r="J362" s="25" t="str">
        <f aca="false">IF($A362="","",IF($D362=0,"미결제",IF($F362&lt;=0,"횟수소진",IF($H362="","",IF($H362&lt;0,"기간만료",IF(OR($F362&lt;=사용안내!$C$18,$H362&lt;=사용안내!$C$17),"재결제 안내","정상"))))))</f>
        <v/>
      </c>
    </row>
    <row r="363" customFormat="false" ht="15" hidden="false" customHeight="true" outlineLevel="0" collapsed="false">
      <c r="A363" s="15" t="str">
        <f aca="false">IF(회원명부!$A360="","",회원명부!$A360)</f>
        <v/>
      </c>
      <c r="B363" s="15" t="str">
        <f aca="false">IF($A363="","",회원명부!$B360)</f>
        <v/>
      </c>
      <c r="C363" s="15" t="str">
        <f aca="false">IF($A363="","",회원명부!$C360)</f>
        <v/>
      </c>
      <c r="D363" s="23" t="str">
        <f aca="false">IF($A363="","",SUMIFS(결제내역!$E$3:$E$1002,결제내역!$B$3:$B$1002,$A363))</f>
        <v/>
      </c>
      <c r="E363" s="23" t="str">
        <f aca="false">IF($A363="","",SUMIFS(사용내역!$D$3:$D$3002,사용내역!$B$3:$B$3002,$A363))</f>
        <v/>
      </c>
      <c r="F363" s="23" t="str">
        <f aca="false">IF($A363="","",$D363-$E363)</f>
        <v/>
      </c>
      <c r="G363" s="17" t="str">
        <f aca="false">IF($A363="","",IF(COUNTIFS(결제내역!$B$3:$B$1002,$A363)=0,"",_xlfn.MAXIFS(결제내역!$G$3:$G$1002,결제내역!$B$3:$B$1002,$A363)))</f>
        <v/>
      </c>
      <c r="H363" s="24" t="str">
        <f aca="true">IF(OR($A363="",$G363=""),"",$G363-TODAY())</f>
        <v/>
      </c>
      <c r="I363" s="16" t="str">
        <f aca="false">IF($A363="","",SUMIFS(결제내역!$H$3:$H$1002,결제내역!$B$3:$B$1002,$A363))</f>
        <v/>
      </c>
      <c r="J363" s="25" t="str">
        <f aca="false">IF($A363="","",IF($D363=0,"미결제",IF($F363&lt;=0,"횟수소진",IF($H363="","",IF($H363&lt;0,"기간만료",IF(OR($F363&lt;=사용안내!$C$18,$H363&lt;=사용안내!$C$17),"재결제 안내","정상"))))))</f>
        <v/>
      </c>
    </row>
    <row r="364" customFormat="false" ht="15" hidden="false" customHeight="true" outlineLevel="0" collapsed="false">
      <c r="A364" s="15" t="str">
        <f aca="false">IF(회원명부!$A361="","",회원명부!$A361)</f>
        <v/>
      </c>
      <c r="B364" s="15" t="str">
        <f aca="false">IF($A364="","",회원명부!$B361)</f>
        <v/>
      </c>
      <c r="C364" s="15" t="str">
        <f aca="false">IF($A364="","",회원명부!$C361)</f>
        <v/>
      </c>
      <c r="D364" s="23" t="str">
        <f aca="false">IF($A364="","",SUMIFS(결제내역!$E$3:$E$1002,결제내역!$B$3:$B$1002,$A364))</f>
        <v/>
      </c>
      <c r="E364" s="23" t="str">
        <f aca="false">IF($A364="","",SUMIFS(사용내역!$D$3:$D$3002,사용내역!$B$3:$B$3002,$A364))</f>
        <v/>
      </c>
      <c r="F364" s="23" t="str">
        <f aca="false">IF($A364="","",$D364-$E364)</f>
        <v/>
      </c>
      <c r="G364" s="17" t="str">
        <f aca="false">IF($A364="","",IF(COUNTIFS(결제내역!$B$3:$B$1002,$A364)=0,"",_xlfn.MAXIFS(결제내역!$G$3:$G$1002,결제내역!$B$3:$B$1002,$A364)))</f>
        <v/>
      </c>
      <c r="H364" s="24" t="str">
        <f aca="true">IF(OR($A364="",$G364=""),"",$G364-TODAY())</f>
        <v/>
      </c>
      <c r="I364" s="16" t="str">
        <f aca="false">IF($A364="","",SUMIFS(결제내역!$H$3:$H$1002,결제내역!$B$3:$B$1002,$A364))</f>
        <v/>
      </c>
      <c r="J364" s="25" t="str">
        <f aca="false">IF($A364="","",IF($D364=0,"미결제",IF($F364&lt;=0,"횟수소진",IF($H364="","",IF($H364&lt;0,"기간만료",IF(OR($F364&lt;=사용안내!$C$18,$H364&lt;=사용안내!$C$17),"재결제 안내","정상"))))))</f>
        <v/>
      </c>
    </row>
    <row r="365" customFormat="false" ht="15" hidden="false" customHeight="true" outlineLevel="0" collapsed="false">
      <c r="A365" s="15" t="str">
        <f aca="false">IF(회원명부!$A362="","",회원명부!$A362)</f>
        <v/>
      </c>
      <c r="B365" s="15" t="str">
        <f aca="false">IF($A365="","",회원명부!$B362)</f>
        <v/>
      </c>
      <c r="C365" s="15" t="str">
        <f aca="false">IF($A365="","",회원명부!$C362)</f>
        <v/>
      </c>
      <c r="D365" s="23" t="str">
        <f aca="false">IF($A365="","",SUMIFS(결제내역!$E$3:$E$1002,결제내역!$B$3:$B$1002,$A365))</f>
        <v/>
      </c>
      <c r="E365" s="23" t="str">
        <f aca="false">IF($A365="","",SUMIFS(사용내역!$D$3:$D$3002,사용내역!$B$3:$B$3002,$A365))</f>
        <v/>
      </c>
      <c r="F365" s="23" t="str">
        <f aca="false">IF($A365="","",$D365-$E365)</f>
        <v/>
      </c>
      <c r="G365" s="17" t="str">
        <f aca="false">IF($A365="","",IF(COUNTIFS(결제내역!$B$3:$B$1002,$A365)=0,"",_xlfn.MAXIFS(결제내역!$G$3:$G$1002,결제내역!$B$3:$B$1002,$A365)))</f>
        <v/>
      </c>
      <c r="H365" s="24" t="str">
        <f aca="true">IF(OR($A365="",$G365=""),"",$G365-TODAY())</f>
        <v/>
      </c>
      <c r="I365" s="16" t="str">
        <f aca="false">IF($A365="","",SUMIFS(결제내역!$H$3:$H$1002,결제내역!$B$3:$B$1002,$A365))</f>
        <v/>
      </c>
      <c r="J365" s="25" t="str">
        <f aca="false">IF($A365="","",IF($D365=0,"미결제",IF($F365&lt;=0,"횟수소진",IF($H365="","",IF($H365&lt;0,"기간만료",IF(OR($F365&lt;=사용안내!$C$18,$H365&lt;=사용안내!$C$17),"재결제 안내","정상"))))))</f>
        <v/>
      </c>
    </row>
    <row r="366" customFormat="false" ht="15" hidden="false" customHeight="true" outlineLevel="0" collapsed="false">
      <c r="A366" s="15" t="str">
        <f aca="false">IF(회원명부!$A363="","",회원명부!$A363)</f>
        <v/>
      </c>
      <c r="B366" s="15" t="str">
        <f aca="false">IF($A366="","",회원명부!$B363)</f>
        <v/>
      </c>
      <c r="C366" s="15" t="str">
        <f aca="false">IF($A366="","",회원명부!$C363)</f>
        <v/>
      </c>
      <c r="D366" s="23" t="str">
        <f aca="false">IF($A366="","",SUMIFS(결제내역!$E$3:$E$1002,결제내역!$B$3:$B$1002,$A366))</f>
        <v/>
      </c>
      <c r="E366" s="23" t="str">
        <f aca="false">IF($A366="","",SUMIFS(사용내역!$D$3:$D$3002,사용내역!$B$3:$B$3002,$A366))</f>
        <v/>
      </c>
      <c r="F366" s="23" t="str">
        <f aca="false">IF($A366="","",$D366-$E366)</f>
        <v/>
      </c>
      <c r="G366" s="17" t="str">
        <f aca="false">IF($A366="","",IF(COUNTIFS(결제내역!$B$3:$B$1002,$A366)=0,"",_xlfn.MAXIFS(결제내역!$G$3:$G$1002,결제내역!$B$3:$B$1002,$A366)))</f>
        <v/>
      </c>
      <c r="H366" s="24" t="str">
        <f aca="true">IF(OR($A366="",$G366=""),"",$G366-TODAY())</f>
        <v/>
      </c>
      <c r="I366" s="16" t="str">
        <f aca="false">IF($A366="","",SUMIFS(결제내역!$H$3:$H$1002,결제내역!$B$3:$B$1002,$A366))</f>
        <v/>
      </c>
      <c r="J366" s="25" t="str">
        <f aca="false">IF($A366="","",IF($D366=0,"미결제",IF($F366&lt;=0,"횟수소진",IF($H366="","",IF($H366&lt;0,"기간만료",IF(OR($F366&lt;=사용안내!$C$18,$H366&lt;=사용안내!$C$17),"재결제 안내","정상"))))))</f>
        <v/>
      </c>
    </row>
    <row r="367" customFormat="false" ht="15" hidden="false" customHeight="true" outlineLevel="0" collapsed="false">
      <c r="A367" s="15" t="str">
        <f aca="false">IF(회원명부!$A364="","",회원명부!$A364)</f>
        <v/>
      </c>
      <c r="B367" s="15" t="str">
        <f aca="false">IF($A367="","",회원명부!$B364)</f>
        <v/>
      </c>
      <c r="C367" s="15" t="str">
        <f aca="false">IF($A367="","",회원명부!$C364)</f>
        <v/>
      </c>
      <c r="D367" s="23" t="str">
        <f aca="false">IF($A367="","",SUMIFS(결제내역!$E$3:$E$1002,결제내역!$B$3:$B$1002,$A367))</f>
        <v/>
      </c>
      <c r="E367" s="23" t="str">
        <f aca="false">IF($A367="","",SUMIFS(사용내역!$D$3:$D$3002,사용내역!$B$3:$B$3002,$A367))</f>
        <v/>
      </c>
      <c r="F367" s="23" t="str">
        <f aca="false">IF($A367="","",$D367-$E367)</f>
        <v/>
      </c>
      <c r="G367" s="17" t="str">
        <f aca="false">IF($A367="","",IF(COUNTIFS(결제내역!$B$3:$B$1002,$A367)=0,"",_xlfn.MAXIFS(결제내역!$G$3:$G$1002,결제내역!$B$3:$B$1002,$A367)))</f>
        <v/>
      </c>
      <c r="H367" s="24" t="str">
        <f aca="true">IF(OR($A367="",$G367=""),"",$G367-TODAY())</f>
        <v/>
      </c>
      <c r="I367" s="16" t="str">
        <f aca="false">IF($A367="","",SUMIFS(결제내역!$H$3:$H$1002,결제내역!$B$3:$B$1002,$A367))</f>
        <v/>
      </c>
      <c r="J367" s="25" t="str">
        <f aca="false">IF($A367="","",IF($D367=0,"미결제",IF($F367&lt;=0,"횟수소진",IF($H367="","",IF($H367&lt;0,"기간만료",IF(OR($F367&lt;=사용안내!$C$18,$H367&lt;=사용안내!$C$17),"재결제 안내","정상"))))))</f>
        <v/>
      </c>
    </row>
    <row r="368" customFormat="false" ht="15" hidden="false" customHeight="true" outlineLevel="0" collapsed="false">
      <c r="A368" s="15" t="str">
        <f aca="false">IF(회원명부!$A365="","",회원명부!$A365)</f>
        <v/>
      </c>
      <c r="B368" s="15" t="str">
        <f aca="false">IF($A368="","",회원명부!$B365)</f>
        <v/>
      </c>
      <c r="C368" s="15" t="str">
        <f aca="false">IF($A368="","",회원명부!$C365)</f>
        <v/>
      </c>
      <c r="D368" s="23" t="str">
        <f aca="false">IF($A368="","",SUMIFS(결제내역!$E$3:$E$1002,결제내역!$B$3:$B$1002,$A368))</f>
        <v/>
      </c>
      <c r="E368" s="23" t="str">
        <f aca="false">IF($A368="","",SUMIFS(사용내역!$D$3:$D$3002,사용내역!$B$3:$B$3002,$A368))</f>
        <v/>
      </c>
      <c r="F368" s="23" t="str">
        <f aca="false">IF($A368="","",$D368-$E368)</f>
        <v/>
      </c>
      <c r="G368" s="17" t="str">
        <f aca="false">IF($A368="","",IF(COUNTIFS(결제내역!$B$3:$B$1002,$A368)=0,"",_xlfn.MAXIFS(결제내역!$G$3:$G$1002,결제내역!$B$3:$B$1002,$A368)))</f>
        <v/>
      </c>
      <c r="H368" s="24" t="str">
        <f aca="true">IF(OR($A368="",$G368=""),"",$G368-TODAY())</f>
        <v/>
      </c>
      <c r="I368" s="16" t="str">
        <f aca="false">IF($A368="","",SUMIFS(결제내역!$H$3:$H$1002,결제내역!$B$3:$B$1002,$A368))</f>
        <v/>
      </c>
      <c r="J368" s="25" t="str">
        <f aca="false">IF($A368="","",IF($D368=0,"미결제",IF($F368&lt;=0,"횟수소진",IF($H368="","",IF($H368&lt;0,"기간만료",IF(OR($F368&lt;=사용안내!$C$18,$H368&lt;=사용안내!$C$17),"재결제 안내","정상"))))))</f>
        <v/>
      </c>
    </row>
    <row r="369" customFormat="false" ht="15" hidden="false" customHeight="true" outlineLevel="0" collapsed="false">
      <c r="A369" s="15" t="str">
        <f aca="false">IF(회원명부!$A366="","",회원명부!$A366)</f>
        <v/>
      </c>
      <c r="B369" s="15" t="str">
        <f aca="false">IF($A369="","",회원명부!$B366)</f>
        <v/>
      </c>
      <c r="C369" s="15" t="str">
        <f aca="false">IF($A369="","",회원명부!$C366)</f>
        <v/>
      </c>
      <c r="D369" s="23" t="str">
        <f aca="false">IF($A369="","",SUMIFS(결제내역!$E$3:$E$1002,결제내역!$B$3:$B$1002,$A369))</f>
        <v/>
      </c>
      <c r="E369" s="23" t="str">
        <f aca="false">IF($A369="","",SUMIFS(사용내역!$D$3:$D$3002,사용내역!$B$3:$B$3002,$A369))</f>
        <v/>
      </c>
      <c r="F369" s="23" t="str">
        <f aca="false">IF($A369="","",$D369-$E369)</f>
        <v/>
      </c>
      <c r="G369" s="17" t="str">
        <f aca="false">IF($A369="","",IF(COUNTIFS(결제내역!$B$3:$B$1002,$A369)=0,"",_xlfn.MAXIFS(결제내역!$G$3:$G$1002,결제내역!$B$3:$B$1002,$A369)))</f>
        <v/>
      </c>
      <c r="H369" s="24" t="str">
        <f aca="true">IF(OR($A369="",$G369=""),"",$G369-TODAY())</f>
        <v/>
      </c>
      <c r="I369" s="16" t="str">
        <f aca="false">IF($A369="","",SUMIFS(결제내역!$H$3:$H$1002,결제내역!$B$3:$B$1002,$A369))</f>
        <v/>
      </c>
      <c r="J369" s="25" t="str">
        <f aca="false">IF($A369="","",IF($D369=0,"미결제",IF($F369&lt;=0,"횟수소진",IF($H369="","",IF($H369&lt;0,"기간만료",IF(OR($F369&lt;=사용안내!$C$18,$H369&lt;=사용안내!$C$17),"재결제 안내","정상"))))))</f>
        <v/>
      </c>
    </row>
    <row r="370" customFormat="false" ht="15" hidden="false" customHeight="true" outlineLevel="0" collapsed="false">
      <c r="A370" s="15" t="str">
        <f aca="false">IF(회원명부!$A367="","",회원명부!$A367)</f>
        <v/>
      </c>
      <c r="B370" s="15" t="str">
        <f aca="false">IF($A370="","",회원명부!$B367)</f>
        <v/>
      </c>
      <c r="C370" s="15" t="str">
        <f aca="false">IF($A370="","",회원명부!$C367)</f>
        <v/>
      </c>
      <c r="D370" s="23" t="str">
        <f aca="false">IF($A370="","",SUMIFS(결제내역!$E$3:$E$1002,결제내역!$B$3:$B$1002,$A370))</f>
        <v/>
      </c>
      <c r="E370" s="23" t="str">
        <f aca="false">IF($A370="","",SUMIFS(사용내역!$D$3:$D$3002,사용내역!$B$3:$B$3002,$A370))</f>
        <v/>
      </c>
      <c r="F370" s="23" t="str">
        <f aca="false">IF($A370="","",$D370-$E370)</f>
        <v/>
      </c>
      <c r="G370" s="17" t="str">
        <f aca="false">IF($A370="","",IF(COUNTIFS(결제내역!$B$3:$B$1002,$A370)=0,"",_xlfn.MAXIFS(결제내역!$G$3:$G$1002,결제내역!$B$3:$B$1002,$A370)))</f>
        <v/>
      </c>
      <c r="H370" s="24" t="str">
        <f aca="true">IF(OR($A370="",$G370=""),"",$G370-TODAY())</f>
        <v/>
      </c>
      <c r="I370" s="16" t="str">
        <f aca="false">IF($A370="","",SUMIFS(결제내역!$H$3:$H$1002,결제내역!$B$3:$B$1002,$A370))</f>
        <v/>
      </c>
      <c r="J370" s="25" t="str">
        <f aca="false">IF($A370="","",IF($D370=0,"미결제",IF($F370&lt;=0,"횟수소진",IF($H370="","",IF($H370&lt;0,"기간만료",IF(OR($F370&lt;=사용안내!$C$18,$H370&lt;=사용안내!$C$17),"재결제 안내","정상"))))))</f>
        <v/>
      </c>
    </row>
    <row r="371" customFormat="false" ht="15" hidden="false" customHeight="true" outlineLevel="0" collapsed="false">
      <c r="A371" s="15" t="str">
        <f aca="false">IF(회원명부!$A368="","",회원명부!$A368)</f>
        <v/>
      </c>
      <c r="B371" s="15" t="str">
        <f aca="false">IF($A371="","",회원명부!$B368)</f>
        <v/>
      </c>
      <c r="C371" s="15" t="str">
        <f aca="false">IF($A371="","",회원명부!$C368)</f>
        <v/>
      </c>
      <c r="D371" s="23" t="str">
        <f aca="false">IF($A371="","",SUMIFS(결제내역!$E$3:$E$1002,결제내역!$B$3:$B$1002,$A371))</f>
        <v/>
      </c>
      <c r="E371" s="23" t="str">
        <f aca="false">IF($A371="","",SUMIFS(사용내역!$D$3:$D$3002,사용내역!$B$3:$B$3002,$A371))</f>
        <v/>
      </c>
      <c r="F371" s="23" t="str">
        <f aca="false">IF($A371="","",$D371-$E371)</f>
        <v/>
      </c>
      <c r="G371" s="17" t="str">
        <f aca="false">IF($A371="","",IF(COUNTIFS(결제내역!$B$3:$B$1002,$A371)=0,"",_xlfn.MAXIFS(결제내역!$G$3:$G$1002,결제내역!$B$3:$B$1002,$A371)))</f>
        <v/>
      </c>
      <c r="H371" s="24" t="str">
        <f aca="true">IF(OR($A371="",$G371=""),"",$G371-TODAY())</f>
        <v/>
      </c>
      <c r="I371" s="16" t="str">
        <f aca="false">IF($A371="","",SUMIFS(결제내역!$H$3:$H$1002,결제내역!$B$3:$B$1002,$A371))</f>
        <v/>
      </c>
      <c r="J371" s="25" t="str">
        <f aca="false">IF($A371="","",IF($D371=0,"미결제",IF($F371&lt;=0,"횟수소진",IF($H371="","",IF($H371&lt;0,"기간만료",IF(OR($F371&lt;=사용안내!$C$18,$H371&lt;=사용안내!$C$17),"재결제 안내","정상"))))))</f>
        <v/>
      </c>
    </row>
    <row r="372" customFormat="false" ht="15" hidden="false" customHeight="true" outlineLevel="0" collapsed="false">
      <c r="A372" s="15" t="str">
        <f aca="false">IF(회원명부!$A369="","",회원명부!$A369)</f>
        <v/>
      </c>
      <c r="B372" s="15" t="str">
        <f aca="false">IF($A372="","",회원명부!$B369)</f>
        <v/>
      </c>
      <c r="C372" s="15" t="str">
        <f aca="false">IF($A372="","",회원명부!$C369)</f>
        <v/>
      </c>
      <c r="D372" s="23" t="str">
        <f aca="false">IF($A372="","",SUMIFS(결제내역!$E$3:$E$1002,결제내역!$B$3:$B$1002,$A372))</f>
        <v/>
      </c>
      <c r="E372" s="23" t="str">
        <f aca="false">IF($A372="","",SUMIFS(사용내역!$D$3:$D$3002,사용내역!$B$3:$B$3002,$A372))</f>
        <v/>
      </c>
      <c r="F372" s="23" t="str">
        <f aca="false">IF($A372="","",$D372-$E372)</f>
        <v/>
      </c>
      <c r="G372" s="17" t="str">
        <f aca="false">IF($A372="","",IF(COUNTIFS(결제내역!$B$3:$B$1002,$A372)=0,"",_xlfn.MAXIFS(결제내역!$G$3:$G$1002,결제내역!$B$3:$B$1002,$A372)))</f>
        <v/>
      </c>
      <c r="H372" s="24" t="str">
        <f aca="true">IF(OR($A372="",$G372=""),"",$G372-TODAY())</f>
        <v/>
      </c>
      <c r="I372" s="16" t="str">
        <f aca="false">IF($A372="","",SUMIFS(결제내역!$H$3:$H$1002,결제내역!$B$3:$B$1002,$A372))</f>
        <v/>
      </c>
      <c r="J372" s="25" t="str">
        <f aca="false">IF($A372="","",IF($D372=0,"미결제",IF($F372&lt;=0,"횟수소진",IF($H372="","",IF($H372&lt;0,"기간만료",IF(OR($F372&lt;=사용안내!$C$18,$H372&lt;=사용안내!$C$17),"재결제 안내","정상"))))))</f>
        <v/>
      </c>
    </row>
    <row r="373" customFormat="false" ht="15" hidden="false" customHeight="true" outlineLevel="0" collapsed="false">
      <c r="A373" s="15" t="str">
        <f aca="false">IF(회원명부!$A370="","",회원명부!$A370)</f>
        <v/>
      </c>
      <c r="B373" s="15" t="str">
        <f aca="false">IF($A373="","",회원명부!$B370)</f>
        <v/>
      </c>
      <c r="C373" s="15" t="str">
        <f aca="false">IF($A373="","",회원명부!$C370)</f>
        <v/>
      </c>
      <c r="D373" s="23" t="str">
        <f aca="false">IF($A373="","",SUMIFS(결제내역!$E$3:$E$1002,결제내역!$B$3:$B$1002,$A373))</f>
        <v/>
      </c>
      <c r="E373" s="23" t="str">
        <f aca="false">IF($A373="","",SUMIFS(사용내역!$D$3:$D$3002,사용내역!$B$3:$B$3002,$A373))</f>
        <v/>
      </c>
      <c r="F373" s="23" t="str">
        <f aca="false">IF($A373="","",$D373-$E373)</f>
        <v/>
      </c>
      <c r="G373" s="17" t="str">
        <f aca="false">IF($A373="","",IF(COUNTIFS(결제내역!$B$3:$B$1002,$A373)=0,"",_xlfn.MAXIFS(결제내역!$G$3:$G$1002,결제내역!$B$3:$B$1002,$A373)))</f>
        <v/>
      </c>
      <c r="H373" s="24" t="str">
        <f aca="true">IF(OR($A373="",$G373=""),"",$G373-TODAY())</f>
        <v/>
      </c>
      <c r="I373" s="16" t="str">
        <f aca="false">IF($A373="","",SUMIFS(결제내역!$H$3:$H$1002,결제내역!$B$3:$B$1002,$A373))</f>
        <v/>
      </c>
      <c r="J373" s="25" t="str">
        <f aca="false">IF($A373="","",IF($D373=0,"미결제",IF($F373&lt;=0,"횟수소진",IF($H373="","",IF($H373&lt;0,"기간만료",IF(OR($F373&lt;=사용안내!$C$18,$H373&lt;=사용안내!$C$17),"재결제 안내","정상"))))))</f>
        <v/>
      </c>
    </row>
    <row r="374" customFormat="false" ht="15" hidden="false" customHeight="true" outlineLevel="0" collapsed="false">
      <c r="A374" s="15" t="str">
        <f aca="false">IF(회원명부!$A371="","",회원명부!$A371)</f>
        <v/>
      </c>
      <c r="B374" s="15" t="str">
        <f aca="false">IF($A374="","",회원명부!$B371)</f>
        <v/>
      </c>
      <c r="C374" s="15" t="str">
        <f aca="false">IF($A374="","",회원명부!$C371)</f>
        <v/>
      </c>
      <c r="D374" s="23" t="str">
        <f aca="false">IF($A374="","",SUMIFS(결제내역!$E$3:$E$1002,결제내역!$B$3:$B$1002,$A374))</f>
        <v/>
      </c>
      <c r="E374" s="23" t="str">
        <f aca="false">IF($A374="","",SUMIFS(사용내역!$D$3:$D$3002,사용내역!$B$3:$B$3002,$A374))</f>
        <v/>
      </c>
      <c r="F374" s="23" t="str">
        <f aca="false">IF($A374="","",$D374-$E374)</f>
        <v/>
      </c>
      <c r="G374" s="17" t="str">
        <f aca="false">IF($A374="","",IF(COUNTIFS(결제내역!$B$3:$B$1002,$A374)=0,"",_xlfn.MAXIFS(결제내역!$G$3:$G$1002,결제내역!$B$3:$B$1002,$A374)))</f>
        <v/>
      </c>
      <c r="H374" s="24" t="str">
        <f aca="true">IF(OR($A374="",$G374=""),"",$G374-TODAY())</f>
        <v/>
      </c>
      <c r="I374" s="16" t="str">
        <f aca="false">IF($A374="","",SUMIFS(결제내역!$H$3:$H$1002,결제내역!$B$3:$B$1002,$A374))</f>
        <v/>
      </c>
      <c r="J374" s="25" t="str">
        <f aca="false">IF($A374="","",IF($D374=0,"미결제",IF($F374&lt;=0,"횟수소진",IF($H374="","",IF($H374&lt;0,"기간만료",IF(OR($F374&lt;=사용안내!$C$18,$H374&lt;=사용안내!$C$17),"재결제 안내","정상"))))))</f>
        <v/>
      </c>
    </row>
    <row r="375" customFormat="false" ht="15" hidden="false" customHeight="true" outlineLevel="0" collapsed="false">
      <c r="A375" s="15" t="str">
        <f aca="false">IF(회원명부!$A372="","",회원명부!$A372)</f>
        <v/>
      </c>
      <c r="B375" s="15" t="str">
        <f aca="false">IF($A375="","",회원명부!$B372)</f>
        <v/>
      </c>
      <c r="C375" s="15" t="str">
        <f aca="false">IF($A375="","",회원명부!$C372)</f>
        <v/>
      </c>
      <c r="D375" s="23" t="str">
        <f aca="false">IF($A375="","",SUMIFS(결제내역!$E$3:$E$1002,결제내역!$B$3:$B$1002,$A375))</f>
        <v/>
      </c>
      <c r="E375" s="23" t="str">
        <f aca="false">IF($A375="","",SUMIFS(사용내역!$D$3:$D$3002,사용내역!$B$3:$B$3002,$A375))</f>
        <v/>
      </c>
      <c r="F375" s="23" t="str">
        <f aca="false">IF($A375="","",$D375-$E375)</f>
        <v/>
      </c>
      <c r="G375" s="17" t="str">
        <f aca="false">IF($A375="","",IF(COUNTIFS(결제내역!$B$3:$B$1002,$A375)=0,"",_xlfn.MAXIFS(결제내역!$G$3:$G$1002,결제내역!$B$3:$B$1002,$A375)))</f>
        <v/>
      </c>
      <c r="H375" s="24" t="str">
        <f aca="true">IF(OR($A375="",$G375=""),"",$G375-TODAY())</f>
        <v/>
      </c>
      <c r="I375" s="16" t="str">
        <f aca="false">IF($A375="","",SUMIFS(결제내역!$H$3:$H$1002,결제내역!$B$3:$B$1002,$A375))</f>
        <v/>
      </c>
      <c r="J375" s="25" t="str">
        <f aca="false">IF($A375="","",IF($D375=0,"미결제",IF($F375&lt;=0,"횟수소진",IF($H375="","",IF($H375&lt;0,"기간만료",IF(OR($F375&lt;=사용안내!$C$18,$H375&lt;=사용안내!$C$17),"재결제 안내","정상"))))))</f>
        <v/>
      </c>
    </row>
    <row r="376" customFormat="false" ht="15" hidden="false" customHeight="true" outlineLevel="0" collapsed="false">
      <c r="A376" s="15" t="str">
        <f aca="false">IF(회원명부!$A373="","",회원명부!$A373)</f>
        <v/>
      </c>
      <c r="B376" s="15" t="str">
        <f aca="false">IF($A376="","",회원명부!$B373)</f>
        <v/>
      </c>
      <c r="C376" s="15" t="str">
        <f aca="false">IF($A376="","",회원명부!$C373)</f>
        <v/>
      </c>
      <c r="D376" s="23" t="str">
        <f aca="false">IF($A376="","",SUMIFS(결제내역!$E$3:$E$1002,결제내역!$B$3:$B$1002,$A376))</f>
        <v/>
      </c>
      <c r="E376" s="23" t="str">
        <f aca="false">IF($A376="","",SUMIFS(사용내역!$D$3:$D$3002,사용내역!$B$3:$B$3002,$A376))</f>
        <v/>
      </c>
      <c r="F376" s="23" t="str">
        <f aca="false">IF($A376="","",$D376-$E376)</f>
        <v/>
      </c>
      <c r="G376" s="17" t="str">
        <f aca="false">IF($A376="","",IF(COUNTIFS(결제내역!$B$3:$B$1002,$A376)=0,"",_xlfn.MAXIFS(결제내역!$G$3:$G$1002,결제내역!$B$3:$B$1002,$A376)))</f>
        <v/>
      </c>
      <c r="H376" s="24" t="str">
        <f aca="true">IF(OR($A376="",$G376=""),"",$G376-TODAY())</f>
        <v/>
      </c>
      <c r="I376" s="16" t="str">
        <f aca="false">IF($A376="","",SUMIFS(결제내역!$H$3:$H$1002,결제내역!$B$3:$B$1002,$A376))</f>
        <v/>
      </c>
      <c r="J376" s="25" t="str">
        <f aca="false">IF($A376="","",IF($D376=0,"미결제",IF($F376&lt;=0,"횟수소진",IF($H376="","",IF($H376&lt;0,"기간만료",IF(OR($F376&lt;=사용안내!$C$18,$H376&lt;=사용안내!$C$17),"재결제 안내","정상"))))))</f>
        <v/>
      </c>
    </row>
    <row r="377" customFormat="false" ht="15" hidden="false" customHeight="true" outlineLevel="0" collapsed="false">
      <c r="A377" s="15" t="str">
        <f aca="false">IF(회원명부!$A374="","",회원명부!$A374)</f>
        <v/>
      </c>
      <c r="B377" s="15" t="str">
        <f aca="false">IF($A377="","",회원명부!$B374)</f>
        <v/>
      </c>
      <c r="C377" s="15" t="str">
        <f aca="false">IF($A377="","",회원명부!$C374)</f>
        <v/>
      </c>
      <c r="D377" s="23" t="str">
        <f aca="false">IF($A377="","",SUMIFS(결제내역!$E$3:$E$1002,결제내역!$B$3:$B$1002,$A377))</f>
        <v/>
      </c>
      <c r="E377" s="23" t="str">
        <f aca="false">IF($A377="","",SUMIFS(사용내역!$D$3:$D$3002,사용내역!$B$3:$B$3002,$A377))</f>
        <v/>
      </c>
      <c r="F377" s="23" t="str">
        <f aca="false">IF($A377="","",$D377-$E377)</f>
        <v/>
      </c>
      <c r="G377" s="17" t="str">
        <f aca="false">IF($A377="","",IF(COUNTIFS(결제내역!$B$3:$B$1002,$A377)=0,"",_xlfn.MAXIFS(결제내역!$G$3:$G$1002,결제내역!$B$3:$B$1002,$A377)))</f>
        <v/>
      </c>
      <c r="H377" s="24" t="str">
        <f aca="true">IF(OR($A377="",$G377=""),"",$G377-TODAY())</f>
        <v/>
      </c>
      <c r="I377" s="16" t="str">
        <f aca="false">IF($A377="","",SUMIFS(결제내역!$H$3:$H$1002,결제내역!$B$3:$B$1002,$A377))</f>
        <v/>
      </c>
      <c r="J377" s="25" t="str">
        <f aca="false">IF($A377="","",IF($D377=0,"미결제",IF($F377&lt;=0,"횟수소진",IF($H377="","",IF($H377&lt;0,"기간만료",IF(OR($F377&lt;=사용안내!$C$18,$H377&lt;=사용안내!$C$17),"재결제 안내","정상"))))))</f>
        <v/>
      </c>
    </row>
    <row r="378" customFormat="false" ht="15" hidden="false" customHeight="true" outlineLevel="0" collapsed="false">
      <c r="A378" s="15" t="str">
        <f aca="false">IF(회원명부!$A375="","",회원명부!$A375)</f>
        <v/>
      </c>
      <c r="B378" s="15" t="str">
        <f aca="false">IF($A378="","",회원명부!$B375)</f>
        <v/>
      </c>
      <c r="C378" s="15" t="str">
        <f aca="false">IF($A378="","",회원명부!$C375)</f>
        <v/>
      </c>
      <c r="D378" s="23" t="str">
        <f aca="false">IF($A378="","",SUMIFS(결제내역!$E$3:$E$1002,결제내역!$B$3:$B$1002,$A378))</f>
        <v/>
      </c>
      <c r="E378" s="23" t="str">
        <f aca="false">IF($A378="","",SUMIFS(사용내역!$D$3:$D$3002,사용내역!$B$3:$B$3002,$A378))</f>
        <v/>
      </c>
      <c r="F378" s="23" t="str">
        <f aca="false">IF($A378="","",$D378-$E378)</f>
        <v/>
      </c>
      <c r="G378" s="17" t="str">
        <f aca="false">IF($A378="","",IF(COUNTIFS(결제내역!$B$3:$B$1002,$A378)=0,"",_xlfn.MAXIFS(결제내역!$G$3:$G$1002,결제내역!$B$3:$B$1002,$A378)))</f>
        <v/>
      </c>
      <c r="H378" s="24" t="str">
        <f aca="true">IF(OR($A378="",$G378=""),"",$G378-TODAY())</f>
        <v/>
      </c>
      <c r="I378" s="16" t="str">
        <f aca="false">IF($A378="","",SUMIFS(결제내역!$H$3:$H$1002,결제내역!$B$3:$B$1002,$A378))</f>
        <v/>
      </c>
      <c r="J378" s="25" t="str">
        <f aca="false">IF($A378="","",IF($D378=0,"미결제",IF($F378&lt;=0,"횟수소진",IF($H378="","",IF($H378&lt;0,"기간만료",IF(OR($F378&lt;=사용안내!$C$18,$H378&lt;=사용안내!$C$17),"재결제 안내","정상"))))))</f>
        <v/>
      </c>
    </row>
    <row r="379" customFormat="false" ht="15" hidden="false" customHeight="true" outlineLevel="0" collapsed="false">
      <c r="A379" s="15" t="str">
        <f aca="false">IF(회원명부!$A376="","",회원명부!$A376)</f>
        <v/>
      </c>
      <c r="B379" s="15" t="str">
        <f aca="false">IF($A379="","",회원명부!$B376)</f>
        <v/>
      </c>
      <c r="C379" s="15" t="str">
        <f aca="false">IF($A379="","",회원명부!$C376)</f>
        <v/>
      </c>
      <c r="D379" s="23" t="str">
        <f aca="false">IF($A379="","",SUMIFS(결제내역!$E$3:$E$1002,결제내역!$B$3:$B$1002,$A379))</f>
        <v/>
      </c>
      <c r="E379" s="23" t="str">
        <f aca="false">IF($A379="","",SUMIFS(사용내역!$D$3:$D$3002,사용내역!$B$3:$B$3002,$A379))</f>
        <v/>
      </c>
      <c r="F379" s="23" t="str">
        <f aca="false">IF($A379="","",$D379-$E379)</f>
        <v/>
      </c>
      <c r="G379" s="17" t="str">
        <f aca="false">IF($A379="","",IF(COUNTIFS(결제내역!$B$3:$B$1002,$A379)=0,"",_xlfn.MAXIFS(결제내역!$G$3:$G$1002,결제내역!$B$3:$B$1002,$A379)))</f>
        <v/>
      </c>
      <c r="H379" s="24" t="str">
        <f aca="true">IF(OR($A379="",$G379=""),"",$G379-TODAY())</f>
        <v/>
      </c>
      <c r="I379" s="16" t="str">
        <f aca="false">IF($A379="","",SUMIFS(결제내역!$H$3:$H$1002,결제내역!$B$3:$B$1002,$A379))</f>
        <v/>
      </c>
      <c r="J379" s="25" t="str">
        <f aca="false">IF($A379="","",IF($D379=0,"미결제",IF($F379&lt;=0,"횟수소진",IF($H379="","",IF($H379&lt;0,"기간만료",IF(OR($F379&lt;=사용안내!$C$18,$H379&lt;=사용안내!$C$17),"재결제 안내","정상"))))))</f>
        <v/>
      </c>
    </row>
    <row r="380" customFormat="false" ht="15" hidden="false" customHeight="true" outlineLevel="0" collapsed="false">
      <c r="A380" s="15" t="str">
        <f aca="false">IF(회원명부!$A377="","",회원명부!$A377)</f>
        <v/>
      </c>
      <c r="B380" s="15" t="str">
        <f aca="false">IF($A380="","",회원명부!$B377)</f>
        <v/>
      </c>
      <c r="C380" s="15" t="str">
        <f aca="false">IF($A380="","",회원명부!$C377)</f>
        <v/>
      </c>
      <c r="D380" s="23" t="str">
        <f aca="false">IF($A380="","",SUMIFS(결제내역!$E$3:$E$1002,결제내역!$B$3:$B$1002,$A380))</f>
        <v/>
      </c>
      <c r="E380" s="23" t="str">
        <f aca="false">IF($A380="","",SUMIFS(사용내역!$D$3:$D$3002,사용내역!$B$3:$B$3002,$A380))</f>
        <v/>
      </c>
      <c r="F380" s="23" t="str">
        <f aca="false">IF($A380="","",$D380-$E380)</f>
        <v/>
      </c>
      <c r="G380" s="17" t="str">
        <f aca="false">IF($A380="","",IF(COUNTIFS(결제내역!$B$3:$B$1002,$A380)=0,"",_xlfn.MAXIFS(결제내역!$G$3:$G$1002,결제내역!$B$3:$B$1002,$A380)))</f>
        <v/>
      </c>
      <c r="H380" s="24" t="str">
        <f aca="true">IF(OR($A380="",$G380=""),"",$G380-TODAY())</f>
        <v/>
      </c>
      <c r="I380" s="16" t="str">
        <f aca="false">IF($A380="","",SUMIFS(결제내역!$H$3:$H$1002,결제내역!$B$3:$B$1002,$A380))</f>
        <v/>
      </c>
      <c r="J380" s="25" t="str">
        <f aca="false">IF($A380="","",IF($D380=0,"미결제",IF($F380&lt;=0,"횟수소진",IF($H380="","",IF($H380&lt;0,"기간만료",IF(OR($F380&lt;=사용안내!$C$18,$H380&lt;=사용안내!$C$17),"재결제 안내","정상"))))))</f>
        <v/>
      </c>
    </row>
    <row r="381" customFormat="false" ht="15" hidden="false" customHeight="true" outlineLevel="0" collapsed="false">
      <c r="A381" s="15" t="str">
        <f aca="false">IF(회원명부!$A378="","",회원명부!$A378)</f>
        <v/>
      </c>
      <c r="B381" s="15" t="str">
        <f aca="false">IF($A381="","",회원명부!$B378)</f>
        <v/>
      </c>
      <c r="C381" s="15" t="str">
        <f aca="false">IF($A381="","",회원명부!$C378)</f>
        <v/>
      </c>
      <c r="D381" s="23" t="str">
        <f aca="false">IF($A381="","",SUMIFS(결제내역!$E$3:$E$1002,결제내역!$B$3:$B$1002,$A381))</f>
        <v/>
      </c>
      <c r="E381" s="23" t="str">
        <f aca="false">IF($A381="","",SUMIFS(사용내역!$D$3:$D$3002,사용내역!$B$3:$B$3002,$A381))</f>
        <v/>
      </c>
      <c r="F381" s="23" t="str">
        <f aca="false">IF($A381="","",$D381-$E381)</f>
        <v/>
      </c>
      <c r="G381" s="17" t="str">
        <f aca="false">IF($A381="","",IF(COUNTIFS(결제내역!$B$3:$B$1002,$A381)=0,"",_xlfn.MAXIFS(결제내역!$G$3:$G$1002,결제내역!$B$3:$B$1002,$A381)))</f>
        <v/>
      </c>
      <c r="H381" s="24" t="str">
        <f aca="true">IF(OR($A381="",$G381=""),"",$G381-TODAY())</f>
        <v/>
      </c>
      <c r="I381" s="16" t="str">
        <f aca="false">IF($A381="","",SUMIFS(결제내역!$H$3:$H$1002,결제내역!$B$3:$B$1002,$A381))</f>
        <v/>
      </c>
      <c r="J381" s="25" t="str">
        <f aca="false">IF($A381="","",IF($D381=0,"미결제",IF($F381&lt;=0,"횟수소진",IF($H381="","",IF($H381&lt;0,"기간만료",IF(OR($F381&lt;=사용안내!$C$18,$H381&lt;=사용안내!$C$17),"재결제 안내","정상"))))))</f>
        <v/>
      </c>
    </row>
    <row r="382" customFormat="false" ht="15" hidden="false" customHeight="true" outlineLevel="0" collapsed="false">
      <c r="A382" s="15" t="str">
        <f aca="false">IF(회원명부!$A379="","",회원명부!$A379)</f>
        <v/>
      </c>
      <c r="B382" s="15" t="str">
        <f aca="false">IF($A382="","",회원명부!$B379)</f>
        <v/>
      </c>
      <c r="C382" s="15" t="str">
        <f aca="false">IF($A382="","",회원명부!$C379)</f>
        <v/>
      </c>
      <c r="D382" s="23" t="str">
        <f aca="false">IF($A382="","",SUMIFS(결제내역!$E$3:$E$1002,결제내역!$B$3:$B$1002,$A382))</f>
        <v/>
      </c>
      <c r="E382" s="23" t="str">
        <f aca="false">IF($A382="","",SUMIFS(사용내역!$D$3:$D$3002,사용내역!$B$3:$B$3002,$A382))</f>
        <v/>
      </c>
      <c r="F382" s="23" t="str">
        <f aca="false">IF($A382="","",$D382-$E382)</f>
        <v/>
      </c>
      <c r="G382" s="17" t="str">
        <f aca="false">IF($A382="","",IF(COUNTIFS(결제내역!$B$3:$B$1002,$A382)=0,"",_xlfn.MAXIFS(결제내역!$G$3:$G$1002,결제내역!$B$3:$B$1002,$A382)))</f>
        <v/>
      </c>
      <c r="H382" s="24" t="str">
        <f aca="true">IF(OR($A382="",$G382=""),"",$G382-TODAY())</f>
        <v/>
      </c>
      <c r="I382" s="16" t="str">
        <f aca="false">IF($A382="","",SUMIFS(결제내역!$H$3:$H$1002,결제내역!$B$3:$B$1002,$A382))</f>
        <v/>
      </c>
      <c r="J382" s="25" t="str">
        <f aca="false">IF($A382="","",IF($D382=0,"미결제",IF($F382&lt;=0,"횟수소진",IF($H382="","",IF($H382&lt;0,"기간만료",IF(OR($F382&lt;=사용안내!$C$18,$H382&lt;=사용안내!$C$17),"재결제 안내","정상"))))))</f>
        <v/>
      </c>
    </row>
    <row r="383" customFormat="false" ht="15" hidden="false" customHeight="true" outlineLevel="0" collapsed="false">
      <c r="A383" s="15" t="str">
        <f aca="false">IF(회원명부!$A380="","",회원명부!$A380)</f>
        <v/>
      </c>
      <c r="B383" s="15" t="str">
        <f aca="false">IF($A383="","",회원명부!$B380)</f>
        <v/>
      </c>
      <c r="C383" s="15" t="str">
        <f aca="false">IF($A383="","",회원명부!$C380)</f>
        <v/>
      </c>
      <c r="D383" s="23" t="str">
        <f aca="false">IF($A383="","",SUMIFS(결제내역!$E$3:$E$1002,결제내역!$B$3:$B$1002,$A383))</f>
        <v/>
      </c>
      <c r="E383" s="23" t="str">
        <f aca="false">IF($A383="","",SUMIFS(사용내역!$D$3:$D$3002,사용내역!$B$3:$B$3002,$A383))</f>
        <v/>
      </c>
      <c r="F383" s="23" t="str">
        <f aca="false">IF($A383="","",$D383-$E383)</f>
        <v/>
      </c>
      <c r="G383" s="17" t="str">
        <f aca="false">IF($A383="","",IF(COUNTIFS(결제내역!$B$3:$B$1002,$A383)=0,"",_xlfn.MAXIFS(결제내역!$G$3:$G$1002,결제내역!$B$3:$B$1002,$A383)))</f>
        <v/>
      </c>
      <c r="H383" s="24" t="str">
        <f aca="true">IF(OR($A383="",$G383=""),"",$G383-TODAY())</f>
        <v/>
      </c>
      <c r="I383" s="16" t="str">
        <f aca="false">IF($A383="","",SUMIFS(결제내역!$H$3:$H$1002,결제내역!$B$3:$B$1002,$A383))</f>
        <v/>
      </c>
      <c r="J383" s="25" t="str">
        <f aca="false">IF($A383="","",IF($D383=0,"미결제",IF($F383&lt;=0,"횟수소진",IF($H383="","",IF($H383&lt;0,"기간만료",IF(OR($F383&lt;=사용안내!$C$18,$H383&lt;=사용안내!$C$17),"재결제 안내","정상"))))))</f>
        <v/>
      </c>
    </row>
    <row r="384" customFormat="false" ht="15" hidden="false" customHeight="true" outlineLevel="0" collapsed="false">
      <c r="A384" s="15" t="str">
        <f aca="false">IF(회원명부!$A381="","",회원명부!$A381)</f>
        <v/>
      </c>
      <c r="B384" s="15" t="str">
        <f aca="false">IF($A384="","",회원명부!$B381)</f>
        <v/>
      </c>
      <c r="C384" s="15" t="str">
        <f aca="false">IF($A384="","",회원명부!$C381)</f>
        <v/>
      </c>
      <c r="D384" s="23" t="str">
        <f aca="false">IF($A384="","",SUMIFS(결제내역!$E$3:$E$1002,결제내역!$B$3:$B$1002,$A384))</f>
        <v/>
      </c>
      <c r="E384" s="23" t="str">
        <f aca="false">IF($A384="","",SUMIFS(사용내역!$D$3:$D$3002,사용내역!$B$3:$B$3002,$A384))</f>
        <v/>
      </c>
      <c r="F384" s="23" t="str">
        <f aca="false">IF($A384="","",$D384-$E384)</f>
        <v/>
      </c>
      <c r="G384" s="17" t="str">
        <f aca="false">IF($A384="","",IF(COUNTIFS(결제내역!$B$3:$B$1002,$A384)=0,"",_xlfn.MAXIFS(결제내역!$G$3:$G$1002,결제내역!$B$3:$B$1002,$A384)))</f>
        <v/>
      </c>
      <c r="H384" s="24" t="str">
        <f aca="true">IF(OR($A384="",$G384=""),"",$G384-TODAY())</f>
        <v/>
      </c>
      <c r="I384" s="16" t="str">
        <f aca="false">IF($A384="","",SUMIFS(결제내역!$H$3:$H$1002,결제내역!$B$3:$B$1002,$A384))</f>
        <v/>
      </c>
      <c r="J384" s="25" t="str">
        <f aca="false">IF($A384="","",IF($D384=0,"미결제",IF($F384&lt;=0,"횟수소진",IF($H384="","",IF($H384&lt;0,"기간만료",IF(OR($F384&lt;=사용안내!$C$18,$H384&lt;=사용안내!$C$17),"재결제 안내","정상"))))))</f>
        <v/>
      </c>
    </row>
    <row r="385" customFormat="false" ht="15" hidden="false" customHeight="true" outlineLevel="0" collapsed="false">
      <c r="A385" s="15" t="str">
        <f aca="false">IF(회원명부!$A382="","",회원명부!$A382)</f>
        <v/>
      </c>
      <c r="B385" s="15" t="str">
        <f aca="false">IF($A385="","",회원명부!$B382)</f>
        <v/>
      </c>
      <c r="C385" s="15" t="str">
        <f aca="false">IF($A385="","",회원명부!$C382)</f>
        <v/>
      </c>
      <c r="D385" s="23" t="str">
        <f aca="false">IF($A385="","",SUMIFS(결제내역!$E$3:$E$1002,결제내역!$B$3:$B$1002,$A385))</f>
        <v/>
      </c>
      <c r="E385" s="23" t="str">
        <f aca="false">IF($A385="","",SUMIFS(사용내역!$D$3:$D$3002,사용내역!$B$3:$B$3002,$A385))</f>
        <v/>
      </c>
      <c r="F385" s="23" t="str">
        <f aca="false">IF($A385="","",$D385-$E385)</f>
        <v/>
      </c>
      <c r="G385" s="17" t="str">
        <f aca="false">IF($A385="","",IF(COUNTIFS(결제내역!$B$3:$B$1002,$A385)=0,"",_xlfn.MAXIFS(결제내역!$G$3:$G$1002,결제내역!$B$3:$B$1002,$A385)))</f>
        <v/>
      </c>
      <c r="H385" s="24" t="str">
        <f aca="true">IF(OR($A385="",$G385=""),"",$G385-TODAY())</f>
        <v/>
      </c>
      <c r="I385" s="16" t="str">
        <f aca="false">IF($A385="","",SUMIFS(결제내역!$H$3:$H$1002,결제내역!$B$3:$B$1002,$A385))</f>
        <v/>
      </c>
      <c r="J385" s="25" t="str">
        <f aca="false">IF($A385="","",IF($D385=0,"미결제",IF($F385&lt;=0,"횟수소진",IF($H385="","",IF($H385&lt;0,"기간만료",IF(OR($F385&lt;=사용안내!$C$18,$H385&lt;=사용안내!$C$17),"재결제 안내","정상"))))))</f>
        <v/>
      </c>
    </row>
    <row r="386" customFormat="false" ht="15" hidden="false" customHeight="true" outlineLevel="0" collapsed="false">
      <c r="A386" s="15" t="str">
        <f aca="false">IF(회원명부!$A383="","",회원명부!$A383)</f>
        <v/>
      </c>
      <c r="B386" s="15" t="str">
        <f aca="false">IF($A386="","",회원명부!$B383)</f>
        <v/>
      </c>
      <c r="C386" s="15" t="str">
        <f aca="false">IF($A386="","",회원명부!$C383)</f>
        <v/>
      </c>
      <c r="D386" s="23" t="str">
        <f aca="false">IF($A386="","",SUMIFS(결제내역!$E$3:$E$1002,결제내역!$B$3:$B$1002,$A386))</f>
        <v/>
      </c>
      <c r="E386" s="23" t="str">
        <f aca="false">IF($A386="","",SUMIFS(사용내역!$D$3:$D$3002,사용내역!$B$3:$B$3002,$A386))</f>
        <v/>
      </c>
      <c r="F386" s="23" t="str">
        <f aca="false">IF($A386="","",$D386-$E386)</f>
        <v/>
      </c>
      <c r="G386" s="17" t="str">
        <f aca="false">IF($A386="","",IF(COUNTIFS(결제내역!$B$3:$B$1002,$A386)=0,"",_xlfn.MAXIFS(결제내역!$G$3:$G$1002,결제내역!$B$3:$B$1002,$A386)))</f>
        <v/>
      </c>
      <c r="H386" s="24" t="str">
        <f aca="true">IF(OR($A386="",$G386=""),"",$G386-TODAY())</f>
        <v/>
      </c>
      <c r="I386" s="16" t="str">
        <f aca="false">IF($A386="","",SUMIFS(결제내역!$H$3:$H$1002,결제내역!$B$3:$B$1002,$A386))</f>
        <v/>
      </c>
      <c r="J386" s="25" t="str">
        <f aca="false">IF($A386="","",IF($D386=0,"미결제",IF($F386&lt;=0,"횟수소진",IF($H386="","",IF($H386&lt;0,"기간만료",IF(OR($F386&lt;=사용안내!$C$18,$H386&lt;=사용안내!$C$17),"재결제 안내","정상"))))))</f>
        <v/>
      </c>
    </row>
    <row r="387" customFormat="false" ht="15" hidden="false" customHeight="true" outlineLevel="0" collapsed="false">
      <c r="A387" s="15" t="str">
        <f aca="false">IF(회원명부!$A384="","",회원명부!$A384)</f>
        <v/>
      </c>
      <c r="B387" s="15" t="str">
        <f aca="false">IF($A387="","",회원명부!$B384)</f>
        <v/>
      </c>
      <c r="C387" s="15" t="str">
        <f aca="false">IF($A387="","",회원명부!$C384)</f>
        <v/>
      </c>
      <c r="D387" s="23" t="str">
        <f aca="false">IF($A387="","",SUMIFS(결제내역!$E$3:$E$1002,결제내역!$B$3:$B$1002,$A387))</f>
        <v/>
      </c>
      <c r="E387" s="23" t="str">
        <f aca="false">IF($A387="","",SUMIFS(사용내역!$D$3:$D$3002,사용내역!$B$3:$B$3002,$A387))</f>
        <v/>
      </c>
      <c r="F387" s="23" t="str">
        <f aca="false">IF($A387="","",$D387-$E387)</f>
        <v/>
      </c>
      <c r="G387" s="17" t="str">
        <f aca="false">IF($A387="","",IF(COUNTIFS(결제내역!$B$3:$B$1002,$A387)=0,"",_xlfn.MAXIFS(결제내역!$G$3:$G$1002,결제내역!$B$3:$B$1002,$A387)))</f>
        <v/>
      </c>
      <c r="H387" s="24" t="str">
        <f aca="true">IF(OR($A387="",$G387=""),"",$G387-TODAY())</f>
        <v/>
      </c>
      <c r="I387" s="16" t="str">
        <f aca="false">IF($A387="","",SUMIFS(결제내역!$H$3:$H$1002,결제내역!$B$3:$B$1002,$A387))</f>
        <v/>
      </c>
      <c r="J387" s="25" t="str">
        <f aca="false">IF($A387="","",IF($D387=0,"미결제",IF($F387&lt;=0,"횟수소진",IF($H387="","",IF($H387&lt;0,"기간만료",IF(OR($F387&lt;=사용안내!$C$18,$H387&lt;=사용안내!$C$17),"재결제 안내","정상"))))))</f>
        <v/>
      </c>
    </row>
    <row r="388" customFormat="false" ht="15" hidden="false" customHeight="true" outlineLevel="0" collapsed="false">
      <c r="A388" s="15" t="str">
        <f aca="false">IF(회원명부!$A385="","",회원명부!$A385)</f>
        <v/>
      </c>
      <c r="B388" s="15" t="str">
        <f aca="false">IF($A388="","",회원명부!$B385)</f>
        <v/>
      </c>
      <c r="C388" s="15" t="str">
        <f aca="false">IF($A388="","",회원명부!$C385)</f>
        <v/>
      </c>
      <c r="D388" s="23" t="str">
        <f aca="false">IF($A388="","",SUMIFS(결제내역!$E$3:$E$1002,결제내역!$B$3:$B$1002,$A388))</f>
        <v/>
      </c>
      <c r="E388" s="23" t="str">
        <f aca="false">IF($A388="","",SUMIFS(사용내역!$D$3:$D$3002,사용내역!$B$3:$B$3002,$A388))</f>
        <v/>
      </c>
      <c r="F388" s="23" t="str">
        <f aca="false">IF($A388="","",$D388-$E388)</f>
        <v/>
      </c>
      <c r="G388" s="17" t="str">
        <f aca="false">IF($A388="","",IF(COUNTIFS(결제내역!$B$3:$B$1002,$A388)=0,"",_xlfn.MAXIFS(결제내역!$G$3:$G$1002,결제내역!$B$3:$B$1002,$A388)))</f>
        <v/>
      </c>
      <c r="H388" s="24" t="str">
        <f aca="true">IF(OR($A388="",$G388=""),"",$G388-TODAY())</f>
        <v/>
      </c>
      <c r="I388" s="16" t="str">
        <f aca="false">IF($A388="","",SUMIFS(결제내역!$H$3:$H$1002,결제내역!$B$3:$B$1002,$A388))</f>
        <v/>
      </c>
      <c r="J388" s="25" t="str">
        <f aca="false">IF($A388="","",IF($D388=0,"미결제",IF($F388&lt;=0,"횟수소진",IF($H388="","",IF($H388&lt;0,"기간만료",IF(OR($F388&lt;=사용안내!$C$18,$H388&lt;=사용안내!$C$17),"재결제 안내","정상"))))))</f>
        <v/>
      </c>
    </row>
    <row r="389" customFormat="false" ht="15" hidden="false" customHeight="true" outlineLevel="0" collapsed="false">
      <c r="A389" s="15" t="str">
        <f aca="false">IF(회원명부!$A386="","",회원명부!$A386)</f>
        <v/>
      </c>
      <c r="B389" s="15" t="str">
        <f aca="false">IF($A389="","",회원명부!$B386)</f>
        <v/>
      </c>
      <c r="C389" s="15" t="str">
        <f aca="false">IF($A389="","",회원명부!$C386)</f>
        <v/>
      </c>
      <c r="D389" s="23" t="str">
        <f aca="false">IF($A389="","",SUMIFS(결제내역!$E$3:$E$1002,결제내역!$B$3:$B$1002,$A389))</f>
        <v/>
      </c>
      <c r="E389" s="23" t="str">
        <f aca="false">IF($A389="","",SUMIFS(사용내역!$D$3:$D$3002,사용내역!$B$3:$B$3002,$A389))</f>
        <v/>
      </c>
      <c r="F389" s="23" t="str">
        <f aca="false">IF($A389="","",$D389-$E389)</f>
        <v/>
      </c>
      <c r="G389" s="17" t="str">
        <f aca="false">IF($A389="","",IF(COUNTIFS(결제내역!$B$3:$B$1002,$A389)=0,"",_xlfn.MAXIFS(결제내역!$G$3:$G$1002,결제내역!$B$3:$B$1002,$A389)))</f>
        <v/>
      </c>
      <c r="H389" s="24" t="str">
        <f aca="true">IF(OR($A389="",$G389=""),"",$G389-TODAY())</f>
        <v/>
      </c>
      <c r="I389" s="16" t="str">
        <f aca="false">IF($A389="","",SUMIFS(결제내역!$H$3:$H$1002,결제내역!$B$3:$B$1002,$A389))</f>
        <v/>
      </c>
      <c r="J389" s="25" t="str">
        <f aca="false">IF($A389="","",IF($D389=0,"미결제",IF($F389&lt;=0,"횟수소진",IF($H389="","",IF($H389&lt;0,"기간만료",IF(OR($F389&lt;=사용안내!$C$18,$H389&lt;=사용안내!$C$17),"재결제 안내","정상"))))))</f>
        <v/>
      </c>
    </row>
    <row r="390" customFormat="false" ht="15" hidden="false" customHeight="true" outlineLevel="0" collapsed="false">
      <c r="A390" s="15" t="str">
        <f aca="false">IF(회원명부!$A387="","",회원명부!$A387)</f>
        <v/>
      </c>
      <c r="B390" s="15" t="str">
        <f aca="false">IF($A390="","",회원명부!$B387)</f>
        <v/>
      </c>
      <c r="C390" s="15" t="str">
        <f aca="false">IF($A390="","",회원명부!$C387)</f>
        <v/>
      </c>
      <c r="D390" s="23" t="str">
        <f aca="false">IF($A390="","",SUMIFS(결제내역!$E$3:$E$1002,결제내역!$B$3:$B$1002,$A390))</f>
        <v/>
      </c>
      <c r="E390" s="23" t="str">
        <f aca="false">IF($A390="","",SUMIFS(사용내역!$D$3:$D$3002,사용내역!$B$3:$B$3002,$A390))</f>
        <v/>
      </c>
      <c r="F390" s="23" t="str">
        <f aca="false">IF($A390="","",$D390-$E390)</f>
        <v/>
      </c>
      <c r="G390" s="17" t="str">
        <f aca="false">IF($A390="","",IF(COUNTIFS(결제내역!$B$3:$B$1002,$A390)=0,"",_xlfn.MAXIFS(결제내역!$G$3:$G$1002,결제내역!$B$3:$B$1002,$A390)))</f>
        <v/>
      </c>
      <c r="H390" s="24" t="str">
        <f aca="true">IF(OR($A390="",$G390=""),"",$G390-TODAY())</f>
        <v/>
      </c>
      <c r="I390" s="16" t="str">
        <f aca="false">IF($A390="","",SUMIFS(결제내역!$H$3:$H$1002,결제내역!$B$3:$B$1002,$A390))</f>
        <v/>
      </c>
      <c r="J390" s="25" t="str">
        <f aca="false">IF($A390="","",IF($D390=0,"미결제",IF($F390&lt;=0,"횟수소진",IF($H390="","",IF($H390&lt;0,"기간만료",IF(OR($F390&lt;=사용안내!$C$18,$H390&lt;=사용안내!$C$17),"재결제 안내","정상"))))))</f>
        <v/>
      </c>
    </row>
    <row r="391" customFormat="false" ht="15" hidden="false" customHeight="true" outlineLevel="0" collapsed="false">
      <c r="A391" s="15" t="str">
        <f aca="false">IF(회원명부!$A388="","",회원명부!$A388)</f>
        <v/>
      </c>
      <c r="B391" s="15" t="str">
        <f aca="false">IF($A391="","",회원명부!$B388)</f>
        <v/>
      </c>
      <c r="C391" s="15" t="str">
        <f aca="false">IF($A391="","",회원명부!$C388)</f>
        <v/>
      </c>
      <c r="D391" s="23" t="str">
        <f aca="false">IF($A391="","",SUMIFS(결제내역!$E$3:$E$1002,결제내역!$B$3:$B$1002,$A391))</f>
        <v/>
      </c>
      <c r="E391" s="23" t="str">
        <f aca="false">IF($A391="","",SUMIFS(사용내역!$D$3:$D$3002,사용내역!$B$3:$B$3002,$A391))</f>
        <v/>
      </c>
      <c r="F391" s="23" t="str">
        <f aca="false">IF($A391="","",$D391-$E391)</f>
        <v/>
      </c>
      <c r="G391" s="17" t="str">
        <f aca="false">IF($A391="","",IF(COUNTIFS(결제내역!$B$3:$B$1002,$A391)=0,"",_xlfn.MAXIFS(결제내역!$G$3:$G$1002,결제내역!$B$3:$B$1002,$A391)))</f>
        <v/>
      </c>
      <c r="H391" s="24" t="str">
        <f aca="true">IF(OR($A391="",$G391=""),"",$G391-TODAY())</f>
        <v/>
      </c>
      <c r="I391" s="16" t="str">
        <f aca="false">IF($A391="","",SUMIFS(결제내역!$H$3:$H$1002,결제내역!$B$3:$B$1002,$A391))</f>
        <v/>
      </c>
      <c r="J391" s="25" t="str">
        <f aca="false">IF($A391="","",IF($D391=0,"미결제",IF($F391&lt;=0,"횟수소진",IF($H391="","",IF($H391&lt;0,"기간만료",IF(OR($F391&lt;=사용안내!$C$18,$H391&lt;=사용안내!$C$17),"재결제 안내","정상"))))))</f>
        <v/>
      </c>
    </row>
    <row r="392" customFormat="false" ht="15" hidden="false" customHeight="true" outlineLevel="0" collapsed="false">
      <c r="A392" s="15" t="str">
        <f aca="false">IF(회원명부!$A389="","",회원명부!$A389)</f>
        <v/>
      </c>
      <c r="B392" s="15" t="str">
        <f aca="false">IF($A392="","",회원명부!$B389)</f>
        <v/>
      </c>
      <c r="C392" s="15" t="str">
        <f aca="false">IF($A392="","",회원명부!$C389)</f>
        <v/>
      </c>
      <c r="D392" s="23" t="str">
        <f aca="false">IF($A392="","",SUMIFS(결제내역!$E$3:$E$1002,결제내역!$B$3:$B$1002,$A392))</f>
        <v/>
      </c>
      <c r="E392" s="23" t="str">
        <f aca="false">IF($A392="","",SUMIFS(사용내역!$D$3:$D$3002,사용내역!$B$3:$B$3002,$A392))</f>
        <v/>
      </c>
      <c r="F392" s="23" t="str">
        <f aca="false">IF($A392="","",$D392-$E392)</f>
        <v/>
      </c>
      <c r="G392" s="17" t="str">
        <f aca="false">IF($A392="","",IF(COUNTIFS(결제내역!$B$3:$B$1002,$A392)=0,"",_xlfn.MAXIFS(결제내역!$G$3:$G$1002,결제내역!$B$3:$B$1002,$A392)))</f>
        <v/>
      </c>
      <c r="H392" s="24" t="str">
        <f aca="true">IF(OR($A392="",$G392=""),"",$G392-TODAY())</f>
        <v/>
      </c>
      <c r="I392" s="16" t="str">
        <f aca="false">IF($A392="","",SUMIFS(결제내역!$H$3:$H$1002,결제내역!$B$3:$B$1002,$A392))</f>
        <v/>
      </c>
      <c r="J392" s="25" t="str">
        <f aca="false">IF($A392="","",IF($D392=0,"미결제",IF($F392&lt;=0,"횟수소진",IF($H392="","",IF($H392&lt;0,"기간만료",IF(OR($F392&lt;=사용안내!$C$18,$H392&lt;=사용안내!$C$17),"재결제 안내","정상"))))))</f>
        <v/>
      </c>
    </row>
    <row r="393" customFormat="false" ht="15" hidden="false" customHeight="true" outlineLevel="0" collapsed="false">
      <c r="A393" s="15" t="str">
        <f aca="false">IF(회원명부!$A390="","",회원명부!$A390)</f>
        <v/>
      </c>
      <c r="B393" s="15" t="str">
        <f aca="false">IF($A393="","",회원명부!$B390)</f>
        <v/>
      </c>
      <c r="C393" s="15" t="str">
        <f aca="false">IF($A393="","",회원명부!$C390)</f>
        <v/>
      </c>
      <c r="D393" s="23" t="str">
        <f aca="false">IF($A393="","",SUMIFS(결제내역!$E$3:$E$1002,결제내역!$B$3:$B$1002,$A393))</f>
        <v/>
      </c>
      <c r="E393" s="23" t="str">
        <f aca="false">IF($A393="","",SUMIFS(사용내역!$D$3:$D$3002,사용내역!$B$3:$B$3002,$A393))</f>
        <v/>
      </c>
      <c r="F393" s="23" t="str">
        <f aca="false">IF($A393="","",$D393-$E393)</f>
        <v/>
      </c>
      <c r="G393" s="17" t="str">
        <f aca="false">IF($A393="","",IF(COUNTIFS(결제내역!$B$3:$B$1002,$A393)=0,"",_xlfn.MAXIFS(결제내역!$G$3:$G$1002,결제내역!$B$3:$B$1002,$A393)))</f>
        <v/>
      </c>
      <c r="H393" s="24" t="str">
        <f aca="true">IF(OR($A393="",$G393=""),"",$G393-TODAY())</f>
        <v/>
      </c>
      <c r="I393" s="16" t="str">
        <f aca="false">IF($A393="","",SUMIFS(결제내역!$H$3:$H$1002,결제내역!$B$3:$B$1002,$A393))</f>
        <v/>
      </c>
      <c r="J393" s="25" t="str">
        <f aca="false">IF($A393="","",IF($D393=0,"미결제",IF($F393&lt;=0,"횟수소진",IF($H393="","",IF($H393&lt;0,"기간만료",IF(OR($F393&lt;=사용안내!$C$18,$H393&lt;=사용안내!$C$17),"재결제 안내","정상"))))))</f>
        <v/>
      </c>
    </row>
    <row r="394" customFormat="false" ht="15" hidden="false" customHeight="true" outlineLevel="0" collapsed="false">
      <c r="A394" s="15" t="str">
        <f aca="false">IF(회원명부!$A391="","",회원명부!$A391)</f>
        <v/>
      </c>
      <c r="B394" s="15" t="str">
        <f aca="false">IF($A394="","",회원명부!$B391)</f>
        <v/>
      </c>
      <c r="C394" s="15" t="str">
        <f aca="false">IF($A394="","",회원명부!$C391)</f>
        <v/>
      </c>
      <c r="D394" s="23" t="str">
        <f aca="false">IF($A394="","",SUMIFS(결제내역!$E$3:$E$1002,결제내역!$B$3:$B$1002,$A394))</f>
        <v/>
      </c>
      <c r="E394" s="23" t="str">
        <f aca="false">IF($A394="","",SUMIFS(사용내역!$D$3:$D$3002,사용내역!$B$3:$B$3002,$A394))</f>
        <v/>
      </c>
      <c r="F394" s="23" t="str">
        <f aca="false">IF($A394="","",$D394-$E394)</f>
        <v/>
      </c>
      <c r="G394" s="17" t="str">
        <f aca="false">IF($A394="","",IF(COUNTIFS(결제내역!$B$3:$B$1002,$A394)=0,"",_xlfn.MAXIFS(결제내역!$G$3:$G$1002,결제내역!$B$3:$B$1002,$A394)))</f>
        <v/>
      </c>
      <c r="H394" s="24" t="str">
        <f aca="true">IF(OR($A394="",$G394=""),"",$G394-TODAY())</f>
        <v/>
      </c>
      <c r="I394" s="16" t="str">
        <f aca="false">IF($A394="","",SUMIFS(결제내역!$H$3:$H$1002,결제내역!$B$3:$B$1002,$A394))</f>
        <v/>
      </c>
      <c r="J394" s="25" t="str">
        <f aca="false">IF($A394="","",IF($D394=0,"미결제",IF($F394&lt;=0,"횟수소진",IF($H394="","",IF($H394&lt;0,"기간만료",IF(OR($F394&lt;=사용안내!$C$18,$H394&lt;=사용안내!$C$17),"재결제 안내","정상"))))))</f>
        <v/>
      </c>
    </row>
    <row r="395" customFormat="false" ht="15" hidden="false" customHeight="true" outlineLevel="0" collapsed="false">
      <c r="A395" s="15" t="str">
        <f aca="false">IF(회원명부!$A392="","",회원명부!$A392)</f>
        <v/>
      </c>
      <c r="B395" s="15" t="str">
        <f aca="false">IF($A395="","",회원명부!$B392)</f>
        <v/>
      </c>
      <c r="C395" s="15" t="str">
        <f aca="false">IF($A395="","",회원명부!$C392)</f>
        <v/>
      </c>
      <c r="D395" s="23" t="str">
        <f aca="false">IF($A395="","",SUMIFS(결제내역!$E$3:$E$1002,결제내역!$B$3:$B$1002,$A395))</f>
        <v/>
      </c>
      <c r="E395" s="23" t="str">
        <f aca="false">IF($A395="","",SUMIFS(사용내역!$D$3:$D$3002,사용내역!$B$3:$B$3002,$A395))</f>
        <v/>
      </c>
      <c r="F395" s="23" t="str">
        <f aca="false">IF($A395="","",$D395-$E395)</f>
        <v/>
      </c>
      <c r="G395" s="17" t="str">
        <f aca="false">IF($A395="","",IF(COUNTIFS(결제내역!$B$3:$B$1002,$A395)=0,"",_xlfn.MAXIFS(결제내역!$G$3:$G$1002,결제내역!$B$3:$B$1002,$A395)))</f>
        <v/>
      </c>
      <c r="H395" s="24" t="str">
        <f aca="true">IF(OR($A395="",$G395=""),"",$G395-TODAY())</f>
        <v/>
      </c>
      <c r="I395" s="16" t="str">
        <f aca="false">IF($A395="","",SUMIFS(결제내역!$H$3:$H$1002,결제내역!$B$3:$B$1002,$A395))</f>
        <v/>
      </c>
      <c r="J395" s="25" t="str">
        <f aca="false">IF($A395="","",IF($D395=0,"미결제",IF($F395&lt;=0,"횟수소진",IF($H395="","",IF($H395&lt;0,"기간만료",IF(OR($F395&lt;=사용안내!$C$18,$H395&lt;=사용안내!$C$17),"재결제 안내","정상"))))))</f>
        <v/>
      </c>
    </row>
    <row r="396" customFormat="false" ht="15" hidden="false" customHeight="true" outlineLevel="0" collapsed="false">
      <c r="A396" s="15" t="str">
        <f aca="false">IF(회원명부!$A393="","",회원명부!$A393)</f>
        <v/>
      </c>
      <c r="B396" s="15" t="str">
        <f aca="false">IF($A396="","",회원명부!$B393)</f>
        <v/>
      </c>
      <c r="C396" s="15" t="str">
        <f aca="false">IF($A396="","",회원명부!$C393)</f>
        <v/>
      </c>
      <c r="D396" s="23" t="str">
        <f aca="false">IF($A396="","",SUMIFS(결제내역!$E$3:$E$1002,결제내역!$B$3:$B$1002,$A396))</f>
        <v/>
      </c>
      <c r="E396" s="23" t="str">
        <f aca="false">IF($A396="","",SUMIFS(사용내역!$D$3:$D$3002,사용내역!$B$3:$B$3002,$A396))</f>
        <v/>
      </c>
      <c r="F396" s="23" t="str">
        <f aca="false">IF($A396="","",$D396-$E396)</f>
        <v/>
      </c>
      <c r="G396" s="17" t="str">
        <f aca="false">IF($A396="","",IF(COUNTIFS(결제내역!$B$3:$B$1002,$A396)=0,"",_xlfn.MAXIFS(결제내역!$G$3:$G$1002,결제내역!$B$3:$B$1002,$A396)))</f>
        <v/>
      </c>
      <c r="H396" s="24" t="str">
        <f aca="true">IF(OR($A396="",$G396=""),"",$G396-TODAY())</f>
        <v/>
      </c>
      <c r="I396" s="16" t="str">
        <f aca="false">IF($A396="","",SUMIFS(결제내역!$H$3:$H$1002,결제내역!$B$3:$B$1002,$A396))</f>
        <v/>
      </c>
      <c r="J396" s="25" t="str">
        <f aca="false">IF($A396="","",IF($D396=0,"미결제",IF($F396&lt;=0,"횟수소진",IF($H396="","",IF($H396&lt;0,"기간만료",IF(OR($F396&lt;=사용안내!$C$18,$H396&lt;=사용안내!$C$17),"재결제 안내","정상"))))))</f>
        <v/>
      </c>
    </row>
    <row r="397" customFormat="false" ht="15" hidden="false" customHeight="true" outlineLevel="0" collapsed="false">
      <c r="A397" s="15" t="str">
        <f aca="false">IF(회원명부!$A394="","",회원명부!$A394)</f>
        <v/>
      </c>
      <c r="B397" s="15" t="str">
        <f aca="false">IF($A397="","",회원명부!$B394)</f>
        <v/>
      </c>
      <c r="C397" s="15" t="str">
        <f aca="false">IF($A397="","",회원명부!$C394)</f>
        <v/>
      </c>
      <c r="D397" s="23" t="str">
        <f aca="false">IF($A397="","",SUMIFS(결제내역!$E$3:$E$1002,결제내역!$B$3:$B$1002,$A397))</f>
        <v/>
      </c>
      <c r="E397" s="23" t="str">
        <f aca="false">IF($A397="","",SUMIFS(사용내역!$D$3:$D$3002,사용내역!$B$3:$B$3002,$A397))</f>
        <v/>
      </c>
      <c r="F397" s="23" t="str">
        <f aca="false">IF($A397="","",$D397-$E397)</f>
        <v/>
      </c>
      <c r="G397" s="17" t="str">
        <f aca="false">IF($A397="","",IF(COUNTIFS(결제내역!$B$3:$B$1002,$A397)=0,"",_xlfn.MAXIFS(결제내역!$G$3:$G$1002,결제내역!$B$3:$B$1002,$A397)))</f>
        <v/>
      </c>
      <c r="H397" s="24" t="str">
        <f aca="true">IF(OR($A397="",$G397=""),"",$G397-TODAY())</f>
        <v/>
      </c>
      <c r="I397" s="16" t="str">
        <f aca="false">IF($A397="","",SUMIFS(결제내역!$H$3:$H$1002,결제내역!$B$3:$B$1002,$A397))</f>
        <v/>
      </c>
      <c r="J397" s="25" t="str">
        <f aca="false">IF($A397="","",IF($D397=0,"미결제",IF($F397&lt;=0,"횟수소진",IF($H397="","",IF($H397&lt;0,"기간만료",IF(OR($F397&lt;=사용안내!$C$18,$H397&lt;=사용안내!$C$17),"재결제 안내","정상"))))))</f>
        <v/>
      </c>
    </row>
    <row r="398" customFormat="false" ht="15" hidden="false" customHeight="true" outlineLevel="0" collapsed="false">
      <c r="A398" s="15" t="str">
        <f aca="false">IF(회원명부!$A395="","",회원명부!$A395)</f>
        <v/>
      </c>
      <c r="B398" s="15" t="str">
        <f aca="false">IF($A398="","",회원명부!$B395)</f>
        <v/>
      </c>
      <c r="C398" s="15" t="str">
        <f aca="false">IF($A398="","",회원명부!$C395)</f>
        <v/>
      </c>
      <c r="D398" s="23" t="str">
        <f aca="false">IF($A398="","",SUMIFS(결제내역!$E$3:$E$1002,결제내역!$B$3:$B$1002,$A398))</f>
        <v/>
      </c>
      <c r="E398" s="23" t="str">
        <f aca="false">IF($A398="","",SUMIFS(사용내역!$D$3:$D$3002,사용내역!$B$3:$B$3002,$A398))</f>
        <v/>
      </c>
      <c r="F398" s="23" t="str">
        <f aca="false">IF($A398="","",$D398-$E398)</f>
        <v/>
      </c>
      <c r="G398" s="17" t="str">
        <f aca="false">IF($A398="","",IF(COUNTIFS(결제내역!$B$3:$B$1002,$A398)=0,"",_xlfn.MAXIFS(결제내역!$G$3:$G$1002,결제내역!$B$3:$B$1002,$A398)))</f>
        <v/>
      </c>
      <c r="H398" s="24" t="str">
        <f aca="true">IF(OR($A398="",$G398=""),"",$G398-TODAY())</f>
        <v/>
      </c>
      <c r="I398" s="16" t="str">
        <f aca="false">IF($A398="","",SUMIFS(결제내역!$H$3:$H$1002,결제내역!$B$3:$B$1002,$A398))</f>
        <v/>
      </c>
      <c r="J398" s="25" t="str">
        <f aca="false">IF($A398="","",IF($D398=0,"미결제",IF($F398&lt;=0,"횟수소진",IF($H398="","",IF($H398&lt;0,"기간만료",IF(OR($F398&lt;=사용안내!$C$18,$H398&lt;=사용안내!$C$17),"재결제 안내","정상"))))))</f>
        <v/>
      </c>
    </row>
    <row r="399" customFormat="false" ht="15" hidden="false" customHeight="true" outlineLevel="0" collapsed="false">
      <c r="A399" s="15" t="str">
        <f aca="false">IF(회원명부!$A396="","",회원명부!$A396)</f>
        <v/>
      </c>
      <c r="B399" s="15" t="str">
        <f aca="false">IF($A399="","",회원명부!$B396)</f>
        <v/>
      </c>
      <c r="C399" s="15" t="str">
        <f aca="false">IF($A399="","",회원명부!$C396)</f>
        <v/>
      </c>
      <c r="D399" s="23" t="str">
        <f aca="false">IF($A399="","",SUMIFS(결제내역!$E$3:$E$1002,결제내역!$B$3:$B$1002,$A399))</f>
        <v/>
      </c>
      <c r="E399" s="23" t="str">
        <f aca="false">IF($A399="","",SUMIFS(사용내역!$D$3:$D$3002,사용내역!$B$3:$B$3002,$A399))</f>
        <v/>
      </c>
      <c r="F399" s="23" t="str">
        <f aca="false">IF($A399="","",$D399-$E399)</f>
        <v/>
      </c>
      <c r="G399" s="17" t="str">
        <f aca="false">IF($A399="","",IF(COUNTIFS(결제내역!$B$3:$B$1002,$A399)=0,"",_xlfn.MAXIFS(결제내역!$G$3:$G$1002,결제내역!$B$3:$B$1002,$A399)))</f>
        <v/>
      </c>
      <c r="H399" s="24" t="str">
        <f aca="true">IF(OR($A399="",$G399=""),"",$G399-TODAY())</f>
        <v/>
      </c>
      <c r="I399" s="16" t="str">
        <f aca="false">IF($A399="","",SUMIFS(결제내역!$H$3:$H$1002,결제내역!$B$3:$B$1002,$A399))</f>
        <v/>
      </c>
      <c r="J399" s="25" t="str">
        <f aca="false">IF($A399="","",IF($D399=0,"미결제",IF($F399&lt;=0,"횟수소진",IF($H399="","",IF($H399&lt;0,"기간만료",IF(OR($F399&lt;=사용안내!$C$18,$H399&lt;=사용안내!$C$17),"재결제 안내","정상"))))))</f>
        <v/>
      </c>
    </row>
    <row r="400" customFormat="false" ht="15" hidden="false" customHeight="true" outlineLevel="0" collapsed="false">
      <c r="A400" s="15" t="str">
        <f aca="false">IF(회원명부!$A397="","",회원명부!$A397)</f>
        <v/>
      </c>
      <c r="B400" s="15" t="str">
        <f aca="false">IF($A400="","",회원명부!$B397)</f>
        <v/>
      </c>
      <c r="C400" s="15" t="str">
        <f aca="false">IF($A400="","",회원명부!$C397)</f>
        <v/>
      </c>
      <c r="D400" s="23" t="str">
        <f aca="false">IF($A400="","",SUMIFS(결제내역!$E$3:$E$1002,결제내역!$B$3:$B$1002,$A400))</f>
        <v/>
      </c>
      <c r="E400" s="23" t="str">
        <f aca="false">IF($A400="","",SUMIFS(사용내역!$D$3:$D$3002,사용내역!$B$3:$B$3002,$A400))</f>
        <v/>
      </c>
      <c r="F400" s="23" t="str">
        <f aca="false">IF($A400="","",$D400-$E400)</f>
        <v/>
      </c>
      <c r="G400" s="17" t="str">
        <f aca="false">IF($A400="","",IF(COUNTIFS(결제내역!$B$3:$B$1002,$A400)=0,"",_xlfn.MAXIFS(결제내역!$G$3:$G$1002,결제내역!$B$3:$B$1002,$A400)))</f>
        <v/>
      </c>
      <c r="H400" s="24" t="str">
        <f aca="true">IF(OR($A400="",$G400=""),"",$G400-TODAY())</f>
        <v/>
      </c>
      <c r="I400" s="16" t="str">
        <f aca="false">IF($A400="","",SUMIFS(결제내역!$H$3:$H$1002,결제내역!$B$3:$B$1002,$A400))</f>
        <v/>
      </c>
      <c r="J400" s="25" t="str">
        <f aca="false">IF($A400="","",IF($D400=0,"미결제",IF($F400&lt;=0,"횟수소진",IF($H400="","",IF($H400&lt;0,"기간만료",IF(OR($F400&lt;=사용안내!$C$18,$H400&lt;=사용안내!$C$17),"재결제 안내","정상"))))))</f>
        <v/>
      </c>
    </row>
    <row r="401" customFormat="false" ht="15" hidden="false" customHeight="true" outlineLevel="0" collapsed="false">
      <c r="A401" s="15" t="str">
        <f aca="false">IF(회원명부!$A398="","",회원명부!$A398)</f>
        <v/>
      </c>
      <c r="B401" s="15" t="str">
        <f aca="false">IF($A401="","",회원명부!$B398)</f>
        <v/>
      </c>
      <c r="C401" s="15" t="str">
        <f aca="false">IF($A401="","",회원명부!$C398)</f>
        <v/>
      </c>
      <c r="D401" s="23" t="str">
        <f aca="false">IF($A401="","",SUMIFS(결제내역!$E$3:$E$1002,결제내역!$B$3:$B$1002,$A401))</f>
        <v/>
      </c>
      <c r="E401" s="23" t="str">
        <f aca="false">IF($A401="","",SUMIFS(사용내역!$D$3:$D$3002,사용내역!$B$3:$B$3002,$A401))</f>
        <v/>
      </c>
      <c r="F401" s="23" t="str">
        <f aca="false">IF($A401="","",$D401-$E401)</f>
        <v/>
      </c>
      <c r="G401" s="17" t="str">
        <f aca="false">IF($A401="","",IF(COUNTIFS(결제내역!$B$3:$B$1002,$A401)=0,"",_xlfn.MAXIFS(결제내역!$G$3:$G$1002,결제내역!$B$3:$B$1002,$A401)))</f>
        <v/>
      </c>
      <c r="H401" s="24" t="str">
        <f aca="true">IF(OR($A401="",$G401=""),"",$G401-TODAY())</f>
        <v/>
      </c>
      <c r="I401" s="16" t="str">
        <f aca="false">IF($A401="","",SUMIFS(결제내역!$H$3:$H$1002,결제내역!$B$3:$B$1002,$A401))</f>
        <v/>
      </c>
      <c r="J401" s="25" t="str">
        <f aca="false">IF($A401="","",IF($D401=0,"미결제",IF($F401&lt;=0,"횟수소진",IF($H401="","",IF($H401&lt;0,"기간만료",IF(OR($F401&lt;=사용안내!$C$18,$H401&lt;=사용안내!$C$17),"재결제 안내","정상"))))))</f>
        <v/>
      </c>
    </row>
    <row r="402" customFormat="false" ht="15" hidden="false" customHeight="true" outlineLevel="0" collapsed="false">
      <c r="A402" s="15" t="str">
        <f aca="false">IF(회원명부!$A399="","",회원명부!$A399)</f>
        <v/>
      </c>
      <c r="B402" s="15" t="str">
        <f aca="false">IF($A402="","",회원명부!$B399)</f>
        <v/>
      </c>
      <c r="C402" s="15" t="str">
        <f aca="false">IF($A402="","",회원명부!$C399)</f>
        <v/>
      </c>
      <c r="D402" s="23" t="str">
        <f aca="false">IF($A402="","",SUMIFS(결제내역!$E$3:$E$1002,결제내역!$B$3:$B$1002,$A402))</f>
        <v/>
      </c>
      <c r="E402" s="23" t="str">
        <f aca="false">IF($A402="","",SUMIFS(사용내역!$D$3:$D$3002,사용내역!$B$3:$B$3002,$A402))</f>
        <v/>
      </c>
      <c r="F402" s="23" t="str">
        <f aca="false">IF($A402="","",$D402-$E402)</f>
        <v/>
      </c>
      <c r="G402" s="17" t="str">
        <f aca="false">IF($A402="","",IF(COUNTIFS(결제내역!$B$3:$B$1002,$A402)=0,"",_xlfn.MAXIFS(결제내역!$G$3:$G$1002,결제내역!$B$3:$B$1002,$A402)))</f>
        <v/>
      </c>
      <c r="H402" s="24" t="str">
        <f aca="true">IF(OR($A402="",$G402=""),"",$G402-TODAY())</f>
        <v/>
      </c>
      <c r="I402" s="16" t="str">
        <f aca="false">IF($A402="","",SUMIFS(결제내역!$H$3:$H$1002,결제내역!$B$3:$B$1002,$A402))</f>
        <v/>
      </c>
      <c r="J402" s="25" t="str">
        <f aca="false">IF($A402="","",IF($D402=0,"미결제",IF($F402&lt;=0,"횟수소진",IF($H402="","",IF($H402&lt;0,"기간만료",IF(OR($F402&lt;=사용안내!$C$18,$H402&lt;=사용안내!$C$17),"재결제 안내","정상"))))))</f>
        <v/>
      </c>
    </row>
    <row r="403" customFormat="false" ht="15" hidden="false" customHeight="true" outlineLevel="0" collapsed="false">
      <c r="A403" s="15" t="str">
        <f aca="false">IF(회원명부!$A400="","",회원명부!$A400)</f>
        <v/>
      </c>
      <c r="B403" s="15" t="str">
        <f aca="false">IF($A403="","",회원명부!$B400)</f>
        <v/>
      </c>
      <c r="C403" s="15" t="str">
        <f aca="false">IF($A403="","",회원명부!$C400)</f>
        <v/>
      </c>
      <c r="D403" s="23" t="str">
        <f aca="false">IF($A403="","",SUMIFS(결제내역!$E$3:$E$1002,결제내역!$B$3:$B$1002,$A403))</f>
        <v/>
      </c>
      <c r="E403" s="23" t="str">
        <f aca="false">IF($A403="","",SUMIFS(사용내역!$D$3:$D$3002,사용내역!$B$3:$B$3002,$A403))</f>
        <v/>
      </c>
      <c r="F403" s="23" t="str">
        <f aca="false">IF($A403="","",$D403-$E403)</f>
        <v/>
      </c>
      <c r="G403" s="17" t="str">
        <f aca="false">IF($A403="","",IF(COUNTIFS(결제내역!$B$3:$B$1002,$A403)=0,"",_xlfn.MAXIFS(결제내역!$G$3:$G$1002,결제내역!$B$3:$B$1002,$A403)))</f>
        <v/>
      </c>
      <c r="H403" s="24" t="str">
        <f aca="true">IF(OR($A403="",$G403=""),"",$G403-TODAY())</f>
        <v/>
      </c>
      <c r="I403" s="16" t="str">
        <f aca="false">IF($A403="","",SUMIFS(결제내역!$H$3:$H$1002,결제내역!$B$3:$B$1002,$A403))</f>
        <v/>
      </c>
      <c r="J403" s="25" t="str">
        <f aca="false">IF($A403="","",IF($D403=0,"미결제",IF($F403&lt;=0,"횟수소진",IF($H403="","",IF($H403&lt;0,"기간만료",IF(OR($F403&lt;=사용안내!$C$18,$H403&lt;=사용안내!$C$17),"재결제 안내","정상"))))))</f>
        <v/>
      </c>
    </row>
    <row r="404" customFormat="false" ht="15" hidden="false" customHeight="true" outlineLevel="0" collapsed="false">
      <c r="A404" s="15" t="str">
        <f aca="false">IF(회원명부!$A401="","",회원명부!$A401)</f>
        <v/>
      </c>
      <c r="B404" s="15" t="str">
        <f aca="false">IF($A404="","",회원명부!$B401)</f>
        <v/>
      </c>
      <c r="C404" s="15" t="str">
        <f aca="false">IF($A404="","",회원명부!$C401)</f>
        <v/>
      </c>
      <c r="D404" s="23" t="str">
        <f aca="false">IF($A404="","",SUMIFS(결제내역!$E$3:$E$1002,결제내역!$B$3:$B$1002,$A404))</f>
        <v/>
      </c>
      <c r="E404" s="23" t="str">
        <f aca="false">IF($A404="","",SUMIFS(사용내역!$D$3:$D$3002,사용내역!$B$3:$B$3002,$A404))</f>
        <v/>
      </c>
      <c r="F404" s="23" t="str">
        <f aca="false">IF($A404="","",$D404-$E404)</f>
        <v/>
      </c>
      <c r="G404" s="17" t="str">
        <f aca="false">IF($A404="","",IF(COUNTIFS(결제내역!$B$3:$B$1002,$A404)=0,"",_xlfn.MAXIFS(결제내역!$G$3:$G$1002,결제내역!$B$3:$B$1002,$A404)))</f>
        <v/>
      </c>
      <c r="H404" s="24" t="str">
        <f aca="true">IF(OR($A404="",$G404=""),"",$G404-TODAY())</f>
        <v/>
      </c>
      <c r="I404" s="16" t="str">
        <f aca="false">IF($A404="","",SUMIFS(결제내역!$H$3:$H$1002,결제내역!$B$3:$B$1002,$A404))</f>
        <v/>
      </c>
      <c r="J404" s="25" t="str">
        <f aca="false">IF($A404="","",IF($D404=0,"미결제",IF($F404&lt;=0,"횟수소진",IF($H404="","",IF($H404&lt;0,"기간만료",IF(OR($F404&lt;=사용안내!$C$18,$H404&lt;=사용안내!$C$17),"재결제 안내","정상"))))))</f>
        <v/>
      </c>
    </row>
    <row r="405" customFormat="false" ht="15" hidden="false" customHeight="true" outlineLevel="0" collapsed="false">
      <c r="A405" s="15" t="str">
        <f aca="false">IF(회원명부!$A402="","",회원명부!$A402)</f>
        <v/>
      </c>
      <c r="B405" s="15" t="str">
        <f aca="false">IF($A405="","",회원명부!$B402)</f>
        <v/>
      </c>
      <c r="C405" s="15" t="str">
        <f aca="false">IF($A405="","",회원명부!$C402)</f>
        <v/>
      </c>
      <c r="D405" s="23" t="str">
        <f aca="false">IF($A405="","",SUMIFS(결제내역!$E$3:$E$1002,결제내역!$B$3:$B$1002,$A405))</f>
        <v/>
      </c>
      <c r="E405" s="23" t="str">
        <f aca="false">IF($A405="","",SUMIFS(사용내역!$D$3:$D$3002,사용내역!$B$3:$B$3002,$A405))</f>
        <v/>
      </c>
      <c r="F405" s="23" t="str">
        <f aca="false">IF($A405="","",$D405-$E405)</f>
        <v/>
      </c>
      <c r="G405" s="17" t="str">
        <f aca="false">IF($A405="","",IF(COUNTIFS(결제내역!$B$3:$B$1002,$A405)=0,"",_xlfn.MAXIFS(결제내역!$G$3:$G$1002,결제내역!$B$3:$B$1002,$A405)))</f>
        <v/>
      </c>
      <c r="H405" s="24" t="str">
        <f aca="true">IF(OR($A405="",$G405=""),"",$G405-TODAY())</f>
        <v/>
      </c>
      <c r="I405" s="16" t="str">
        <f aca="false">IF($A405="","",SUMIFS(결제내역!$H$3:$H$1002,결제내역!$B$3:$B$1002,$A405))</f>
        <v/>
      </c>
      <c r="J405" s="25" t="str">
        <f aca="false">IF($A405="","",IF($D405=0,"미결제",IF($F405&lt;=0,"횟수소진",IF($H405="","",IF($H405&lt;0,"기간만료",IF(OR($F405&lt;=사용안내!$C$18,$H405&lt;=사용안내!$C$17),"재결제 안내","정상"))))))</f>
        <v/>
      </c>
    </row>
    <row r="406" customFormat="false" ht="15" hidden="false" customHeight="true" outlineLevel="0" collapsed="false">
      <c r="A406" s="15" t="str">
        <f aca="false">IF(회원명부!$A403="","",회원명부!$A403)</f>
        <v/>
      </c>
      <c r="B406" s="15" t="str">
        <f aca="false">IF($A406="","",회원명부!$B403)</f>
        <v/>
      </c>
      <c r="C406" s="15" t="str">
        <f aca="false">IF($A406="","",회원명부!$C403)</f>
        <v/>
      </c>
      <c r="D406" s="23" t="str">
        <f aca="false">IF($A406="","",SUMIFS(결제내역!$E$3:$E$1002,결제내역!$B$3:$B$1002,$A406))</f>
        <v/>
      </c>
      <c r="E406" s="23" t="str">
        <f aca="false">IF($A406="","",SUMIFS(사용내역!$D$3:$D$3002,사용내역!$B$3:$B$3002,$A406))</f>
        <v/>
      </c>
      <c r="F406" s="23" t="str">
        <f aca="false">IF($A406="","",$D406-$E406)</f>
        <v/>
      </c>
      <c r="G406" s="17" t="str">
        <f aca="false">IF($A406="","",IF(COUNTIFS(결제내역!$B$3:$B$1002,$A406)=0,"",_xlfn.MAXIFS(결제내역!$G$3:$G$1002,결제내역!$B$3:$B$1002,$A406)))</f>
        <v/>
      </c>
      <c r="H406" s="24" t="str">
        <f aca="true">IF(OR($A406="",$G406=""),"",$G406-TODAY())</f>
        <v/>
      </c>
      <c r="I406" s="16" t="str">
        <f aca="false">IF($A406="","",SUMIFS(결제내역!$H$3:$H$1002,결제내역!$B$3:$B$1002,$A406))</f>
        <v/>
      </c>
      <c r="J406" s="25" t="str">
        <f aca="false">IF($A406="","",IF($D406=0,"미결제",IF($F406&lt;=0,"횟수소진",IF($H406="","",IF($H406&lt;0,"기간만료",IF(OR($F406&lt;=사용안내!$C$18,$H406&lt;=사용안내!$C$17),"재결제 안내","정상"))))))</f>
        <v/>
      </c>
    </row>
    <row r="407" customFormat="false" ht="15" hidden="false" customHeight="true" outlineLevel="0" collapsed="false">
      <c r="A407" s="15" t="str">
        <f aca="false">IF(회원명부!$A404="","",회원명부!$A404)</f>
        <v/>
      </c>
      <c r="B407" s="15" t="str">
        <f aca="false">IF($A407="","",회원명부!$B404)</f>
        <v/>
      </c>
      <c r="C407" s="15" t="str">
        <f aca="false">IF($A407="","",회원명부!$C404)</f>
        <v/>
      </c>
      <c r="D407" s="23" t="str">
        <f aca="false">IF($A407="","",SUMIFS(결제내역!$E$3:$E$1002,결제내역!$B$3:$B$1002,$A407))</f>
        <v/>
      </c>
      <c r="E407" s="23" t="str">
        <f aca="false">IF($A407="","",SUMIFS(사용내역!$D$3:$D$3002,사용내역!$B$3:$B$3002,$A407))</f>
        <v/>
      </c>
      <c r="F407" s="23" t="str">
        <f aca="false">IF($A407="","",$D407-$E407)</f>
        <v/>
      </c>
      <c r="G407" s="17" t="str">
        <f aca="false">IF($A407="","",IF(COUNTIFS(결제내역!$B$3:$B$1002,$A407)=0,"",_xlfn.MAXIFS(결제내역!$G$3:$G$1002,결제내역!$B$3:$B$1002,$A407)))</f>
        <v/>
      </c>
      <c r="H407" s="24" t="str">
        <f aca="true">IF(OR($A407="",$G407=""),"",$G407-TODAY())</f>
        <v/>
      </c>
      <c r="I407" s="16" t="str">
        <f aca="false">IF($A407="","",SUMIFS(결제내역!$H$3:$H$1002,결제내역!$B$3:$B$1002,$A407))</f>
        <v/>
      </c>
      <c r="J407" s="25" t="str">
        <f aca="false">IF($A407="","",IF($D407=0,"미결제",IF($F407&lt;=0,"횟수소진",IF($H407="","",IF($H407&lt;0,"기간만료",IF(OR($F407&lt;=사용안내!$C$18,$H407&lt;=사용안내!$C$17),"재결제 안내","정상"))))))</f>
        <v/>
      </c>
    </row>
    <row r="408" customFormat="false" ht="15" hidden="false" customHeight="true" outlineLevel="0" collapsed="false">
      <c r="A408" s="15" t="str">
        <f aca="false">IF(회원명부!$A405="","",회원명부!$A405)</f>
        <v/>
      </c>
      <c r="B408" s="15" t="str">
        <f aca="false">IF($A408="","",회원명부!$B405)</f>
        <v/>
      </c>
      <c r="C408" s="15" t="str">
        <f aca="false">IF($A408="","",회원명부!$C405)</f>
        <v/>
      </c>
      <c r="D408" s="23" t="str">
        <f aca="false">IF($A408="","",SUMIFS(결제내역!$E$3:$E$1002,결제내역!$B$3:$B$1002,$A408))</f>
        <v/>
      </c>
      <c r="E408" s="23" t="str">
        <f aca="false">IF($A408="","",SUMIFS(사용내역!$D$3:$D$3002,사용내역!$B$3:$B$3002,$A408))</f>
        <v/>
      </c>
      <c r="F408" s="23" t="str">
        <f aca="false">IF($A408="","",$D408-$E408)</f>
        <v/>
      </c>
      <c r="G408" s="17" t="str">
        <f aca="false">IF($A408="","",IF(COUNTIFS(결제내역!$B$3:$B$1002,$A408)=0,"",_xlfn.MAXIFS(결제내역!$G$3:$G$1002,결제내역!$B$3:$B$1002,$A408)))</f>
        <v/>
      </c>
      <c r="H408" s="24" t="str">
        <f aca="true">IF(OR($A408="",$G408=""),"",$G408-TODAY())</f>
        <v/>
      </c>
      <c r="I408" s="16" t="str">
        <f aca="false">IF($A408="","",SUMIFS(결제내역!$H$3:$H$1002,결제내역!$B$3:$B$1002,$A408))</f>
        <v/>
      </c>
      <c r="J408" s="25" t="str">
        <f aca="false">IF($A408="","",IF($D408=0,"미결제",IF($F408&lt;=0,"횟수소진",IF($H408="","",IF($H408&lt;0,"기간만료",IF(OR($F408&lt;=사용안내!$C$18,$H408&lt;=사용안내!$C$17),"재결제 안내","정상"))))))</f>
        <v/>
      </c>
    </row>
    <row r="409" customFormat="false" ht="15" hidden="false" customHeight="true" outlineLevel="0" collapsed="false">
      <c r="A409" s="15" t="str">
        <f aca="false">IF(회원명부!$A406="","",회원명부!$A406)</f>
        <v/>
      </c>
      <c r="B409" s="15" t="str">
        <f aca="false">IF($A409="","",회원명부!$B406)</f>
        <v/>
      </c>
      <c r="C409" s="15" t="str">
        <f aca="false">IF($A409="","",회원명부!$C406)</f>
        <v/>
      </c>
      <c r="D409" s="23" t="str">
        <f aca="false">IF($A409="","",SUMIFS(결제내역!$E$3:$E$1002,결제내역!$B$3:$B$1002,$A409))</f>
        <v/>
      </c>
      <c r="E409" s="23" t="str">
        <f aca="false">IF($A409="","",SUMIFS(사용내역!$D$3:$D$3002,사용내역!$B$3:$B$3002,$A409))</f>
        <v/>
      </c>
      <c r="F409" s="23" t="str">
        <f aca="false">IF($A409="","",$D409-$E409)</f>
        <v/>
      </c>
      <c r="G409" s="17" t="str">
        <f aca="false">IF($A409="","",IF(COUNTIFS(결제내역!$B$3:$B$1002,$A409)=0,"",_xlfn.MAXIFS(결제내역!$G$3:$G$1002,결제내역!$B$3:$B$1002,$A409)))</f>
        <v/>
      </c>
      <c r="H409" s="24" t="str">
        <f aca="true">IF(OR($A409="",$G409=""),"",$G409-TODAY())</f>
        <v/>
      </c>
      <c r="I409" s="16" t="str">
        <f aca="false">IF($A409="","",SUMIFS(결제내역!$H$3:$H$1002,결제내역!$B$3:$B$1002,$A409))</f>
        <v/>
      </c>
      <c r="J409" s="25" t="str">
        <f aca="false">IF($A409="","",IF($D409=0,"미결제",IF($F409&lt;=0,"횟수소진",IF($H409="","",IF($H409&lt;0,"기간만료",IF(OR($F409&lt;=사용안내!$C$18,$H409&lt;=사용안내!$C$17),"재결제 안내","정상"))))))</f>
        <v/>
      </c>
    </row>
    <row r="410" customFormat="false" ht="15" hidden="false" customHeight="true" outlineLevel="0" collapsed="false">
      <c r="A410" s="15" t="str">
        <f aca="false">IF(회원명부!$A407="","",회원명부!$A407)</f>
        <v/>
      </c>
      <c r="B410" s="15" t="str">
        <f aca="false">IF($A410="","",회원명부!$B407)</f>
        <v/>
      </c>
      <c r="C410" s="15" t="str">
        <f aca="false">IF($A410="","",회원명부!$C407)</f>
        <v/>
      </c>
      <c r="D410" s="23" t="str">
        <f aca="false">IF($A410="","",SUMIFS(결제내역!$E$3:$E$1002,결제내역!$B$3:$B$1002,$A410))</f>
        <v/>
      </c>
      <c r="E410" s="23" t="str">
        <f aca="false">IF($A410="","",SUMIFS(사용내역!$D$3:$D$3002,사용내역!$B$3:$B$3002,$A410))</f>
        <v/>
      </c>
      <c r="F410" s="23" t="str">
        <f aca="false">IF($A410="","",$D410-$E410)</f>
        <v/>
      </c>
      <c r="G410" s="17" t="str">
        <f aca="false">IF($A410="","",IF(COUNTIFS(결제내역!$B$3:$B$1002,$A410)=0,"",_xlfn.MAXIFS(결제내역!$G$3:$G$1002,결제내역!$B$3:$B$1002,$A410)))</f>
        <v/>
      </c>
      <c r="H410" s="24" t="str">
        <f aca="true">IF(OR($A410="",$G410=""),"",$G410-TODAY())</f>
        <v/>
      </c>
      <c r="I410" s="16" t="str">
        <f aca="false">IF($A410="","",SUMIFS(결제내역!$H$3:$H$1002,결제내역!$B$3:$B$1002,$A410))</f>
        <v/>
      </c>
      <c r="J410" s="25" t="str">
        <f aca="false">IF($A410="","",IF($D410=0,"미결제",IF($F410&lt;=0,"횟수소진",IF($H410="","",IF($H410&lt;0,"기간만료",IF(OR($F410&lt;=사용안내!$C$18,$H410&lt;=사용안내!$C$17),"재결제 안내","정상"))))))</f>
        <v/>
      </c>
    </row>
    <row r="411" customFormat="false" ht="15" hidden="false" customHeight="true" outlineLevel="0" collapsed="false">
      <c r="A411" s="15" t="str">
        <f aca="false">IF(회원명부!$A408="","",회원명부!$A408)</f>
        <v/>
      </c>
      <c r="B411" s="15" t="str">
        <f aca="false">IF($A411="","",회원명부!$B408)</f>
        <v/>
      </c>
      <c r="C411" s="15" t="str">
        <f aca="false">IF($A411="","",회원명부!$C408)</f>
        <v/>
      </c>
      <c r="D411" s="23" t="str">
        <f aca="false">IF($A411="","",SUMIFS(결제내역!$E$3:$E$1002,결제내역!$B$3:$B$1002,$A411))</f>
        <v/>
      </c>
      <c r="E411" s="23" t="str">
        <f aca="false">IF($A411="","",SUMIFS(사용내역!$D$3:$D$3002,사용내역!$B$3:$B$3002,$A411))</f>
        <v/>
      </c>
      <c r="F411" s="23" t="str">
        <f aca="false">IF($A411="","",$D411-$E411)</f>
        <v/>
      </c>
      <c r="G411" s="17" t="str">
        <f aca="false">IF($A411="","",IF(COUNTIFS(결제내역!$B$3:$B$1002,$A411)=0,"",_xlfn.MAXIFS(결제내역!$G$3:$G$1002,결제내역!$B$3:$B$1002,$A411)))</f>
        <v/>
      </c>
      <c r="H411" s="24" t="str">
        <f aca="true">IF(OR($A411="",$G411=""),"",$G411-TODAY())</f>
        <v/>
      </c>
      <c r="I411" s="16" t="str">
        <f aca="false">IF($A411="","",SUMIFS(결제내역!$H$3:$H$1002,결제내역!$B$3:$B$1002,$A411))</f>
        <v/>
      </c>
      <c r="J411" s="25" t="str">
        <f aca="false">IF($A411="","",IF($D411=0,"미결제",IF($F411&lt;=0,"횟수소진",IF($H411="","",IF($H411&lt;0,"기간만료",IF(OR($F411&lt;=사용안내!$C$18,$H411&lt;=사용안내!$C$17),"재결제 안내","정상"))))))</f>
        <v/>
      </c>
    </row>
    <row r="412" customFormat="false" ht="15" hidden="false" customHeight="true" outlineLevel="0" collapsed="false">
      <c r="A412" s="15" t="str">
        <f aca="false">IF(회원명부!$A409="","",회원명부!$A409)</f>
        <v/>
      </c>
      <c r="B412" s="15" t="str">
        <f aca="false">IF($A412="","",회원명부!$B409)</f>
        <v/>
      </c>
      <c r="C412" s="15" t="str">
        <f aca="false">IF($A412="","",회원명부!$C409)</f>
        <v/>
      </c>
      <c r="D412" s="23" t="str">
        <f aca="false">IF($A412="","",SUMIFS(결제내역!$E$3:$E$1002,결제내역!$B$3:$B$1002,$A412))</f>
        <v/>
      </c>
      <c r="E412" s="23" t="str">
        <f aca="false">IF($A412="","",SUMIFS(사용내역!$D$3:$D$3002,사용내역!$B$3:$B$3002,$A412))</f>
        <v/>
      </c>
      <c r="F412" s="23" t="str">
        <f aca="false">IF($A412="","",$D412-$E412)</f>
        <v/>
      </c>
      <c r="G412" s="17" t="str">
        <f aca="false">IF($A412="","",IF(COUNTIFS(결제내역!$B$3:$B$1002,$A412)=0,"",_xlfn.MAXIFS(결제내역!$G$3:$G$1002,결제내역!$B$3:$B$1002,$A412)))</f>
        <v/>
      </c>
      <c r="H412" s="24" t="str">
        <f aca="true">IF(OR($A412="",$G412=""),"",$G412-TODAY())</f>
        <v/>
      </c>
      <c r="I412" s="16" t="str">
        <f aca="false">IF($A412="","",SUMIFS(결제내역!$H$3:$H$1002,결제내역!$B$3:$B$1002,$A412))</f>
        <v/>
      </c>
      <c r="J412" s="25" t="str">
        <f aca="false">IF($A412="","",IF($D412=0,"미결제",IF($F412&lt;=0,"횟수소진",IF($H412="","",IF($H412&lt;0,"기간만료",IF(OR($F412&lt;=사용안내!$C$18,$H412&lt;=사용안내!$C$17),"재결제 안내","정상"))))))</f>
        <v/>
      </c>
    </row>
    <row r="413" customFormat="false" ht="15" hidden="false" customHeight="true" outlineLevel="0" collapsed="false">
      <c r="A413" s="15" t="str">
        <f aca="false">IF(회원명부!$A410="","",회원명부!$A410)</f>
        <v/>
      </c>
      <c r="B413" s="15" t="str">
        <f aca="false">IF($A413="","",회원명부!$B410)</f>
        <v/>
      </c>
      <c r="C413" s="15" t="str">
        <f aca="false">IF($A413="","",회원명부!$C410)</f>
        <v/>
      </c>
      <c r="D413" s="23" t="str">
        <f aca="false">IF($A413="","",SUMIFS(결제내역!$E$3:$E$1002,결제내역!$B$3:$B$1002,$A413))</f>
        <v/>
      </c>
      <c r="E413" s="23" t="str">
        <f aca="false">IF($A413="","",SUMIFS(사용내역!$D$3:$D$3002,사용내역!$B$3:$B$3002,$A413))</f>
        <v/>
      </c>
      <c r="F413" s="23" t="str">
        <f aca="false">IF($A413="","",$D413-$E413)</f>
        <v/>
      </c>
      <c r="G413" s="17" t="str">
        <f aca="false">IF($A413="","",IF(COUNTIFS(결제내역!$B$3:$B$1002,$A413)=0,"",_xlfn.MAXIFS(결제내역!$G$3:$G$1002,결제내역!$B$3:$B$1002,$A413)))</f>
        <v/>
      </c>
      <c r="H413" s="24" t="str">
        <f aca="true">IF(OR($A413="",$G413=""),"",$G413-TODAY())</f>
        <v/>
      </c>
      <c r="I413" s="16" t="str">
        <f aca="false">IF($A413="","",SUMIFS(결제내역!$H$3:$H$1002,결제내역!$B$3:$B$1002,$A413))</f>
        <v/>
      </c>
      <c r="J413" s="25" t="str">
        <f aca="false">IF($A413="","",IF($D413=0,"미결제",IF($F413&lt;=0,"횟수소진",IF($H413="","",IF($H413&lt;0,"기간만료",IF(OR($F413&lt;=사용안내!$C$18,$H413&lt;=사용안내!$C$17),"재결제 안내","정상"))))))</f>
        <v/>
      </c>
    </row>
    <row r="414" customFormat="false" ht="15" hidden="false" customHeight="true" outlineLevel="0" collapsed="false">
      <c r="A414" s="15" t="str">
        <f aca="false">IF(회원명부!$A411="","",회원명부!$A411)</f>
        <v/>
      </c>
      <c r="B414" s="15" t="str">
        <f aca="false">IF($A414="","",회원명부!$B411)</f>
        <v/>
      </c>
      <c r="C414" s="15" t="str">
        <f aca="false">IF($A414="","",회원명부!$C411)</f>
        <v/>
      </c>
      <c r="D414" s="23" t="str">
        <f aca="false">IF($A414="","",SUMIFS(결제내역!$E$3:$E$1002,결제내역!$B$3:$B$1002,$A414))</f>
        <v/>
      </c>
      <c r="E414" s="23" t="str">
        <f aca="false">IF($A414="","",SUMIFS(사용내역!$D$3:$D$3002,사용내역!$B$3:$B$3002,$A414))</f>
        <v/>
      </c>
      <c r="F414" s="23" t="str">
        <f aca="false">IF($A414="","",$D414-$E414)</f>
        <v/>
      </c>
      <c r="G414" s="17" t="str">
        <f aca="false">IF($A414="","",IF(COUNTIFS(결제내역!$B$3:$B$1002,$A414)=0,"",_xlfn.MAXIFS(결제내역!$G$3:$G$1002,결제내역!$B$3:$B$1002,$A414)))</f>
        <v/>
      </c>
      <c r="H414" s="24" t="str">
        <f aca="true">IF(OR($A414="",$G414=""),"",$G414-TODAY())</f>
        <v/>
      </c>
      <c r="I414" s="16" t="str">
        <f aca="false">IF($A414="","",SUMIFS(결제내역!$H$3:$H$1002,결제내역!$B$3:$B$1002,$A414))</f>
        <v/>
      </c>
      <c r="J414" s="25" t="str">
        <f aca="false">IF($A414="","",IF($D414=0,"미결제",IF($F414&lt;=0,"횟수소진",IF($H414="","",IF($H414&lt;0,"기간만료",IF(OR($F414&lt;=사용안내!$C$18,$H414&lt;=사용안내!$C$17),"재결제 안내","정상"))))))</f>
        <v/>
      </c>
    </row>
    <row r="415" customFormat="false" ht="15" hidden="false" customHeight="true" outlineLevel="0" collapsed="false">
      <c r="A415" s="15" t="str">
        <f aca="false">IF(회원명부!$A412="","",회원명부!$A412)</f>
        <v/>
      </c>
      <c r="B415" s="15" t="str">
        <f aca="false">IF($A415="","",회원명부!$B412)</f>
        <v/>
      </c>
      <c r="C415" s="15" t="str">
        <f aca="false">IF($A415="","",회원명부!$C412)</f>
        <v/>
      </c>
      <c r="D415" s="23" t="str">
        <f aca="false">IF($A415="","",SUMIFS(결제내역!$E$3:$E$1002,결제내역!$B$3:$B$1002,$A415))</f>
        <v/>
      </c>
      <c r="E415" s="23" t="str">
        <f aca="false">IF($A415="","",SUMIFS(사용내역!$D$3:$D$3002,사용내역!$B$3:$B$3002,$A415))</f>
        <v/>
      </c>
      <c r="F415" s="23" t="str">
        <f aca="false">IF($A415="","",$D415-$E415)</f>
        <v/>
      </c>
      <c r="G415" s="17" t="str">
        <f aca="false">IF($A415="","",IF(COUNTIFS(결제내역!$B$3:$B$1002,$A415)=0,"",_xlfn.MAXIFS(결제내역!$G$3:$G$1002,결제내역!$B$3:$B$1002,$A415)))</f>
        <v/>
      </c>
      <c r="H415" s="24" t="str">
        <f aca="true">IF(OR($A415="",$G415=""),"",$G415-TODAY())</f>
        <v/>
      </c>
      <c r="I415" s="16" t="str">
        <f aca="false">IF($A415="","",SUMIFS(결제내역!$H$3:$H$1002,결제내역!$B$3:$B$1002,$A415))</f>
        <v/>
      </c>
      <c r="J415" s="25" t="str">
        <f aca="false">IF($A415="","",IF($D415=0,"미결제",IF($F415&lt;=0,"횟수소진",IF($H415="","",IF($H415&lt;0,"기간만료",IF(OR($F415&lt;=사용안내!$C$18,$H415&lt;=사용안내!$C$17),"재결제 안내","정상"))))))</f>
        <v/>
      </c>
    </row>
    <row r="416" customFormat="false" ht="15" hidden="false" customHeight="true" outlineLevel="0" collapsed="false">
      <c r="A416" s="15" t="str">
        <f aca="false">IF(회원명부!$A413="","",회원명부!$A413)</f>
        <v/>
      </c>
      <c r="B416" s="15" t="str">
        <f aca="false">IF($A416="","",회원명부!$B413)</f>
        <v/>
      </c>
      <c r="C416" s="15" t="str">
        <f aca="false">IF($A416="","",회원명부!$C413)</f>
        <v/>
      </c>
      <c r="D416" s="23" t="str">
        <f aca="false">IF($A416="","",SUMIFS(결제내역!$E$3:$E$1002,결제내역!$B$3:$B$1002,$A416))</f>
        <v/>
      </c>
      <c r="E416" s="23" t="str">
        <f aca="false">IF($A416="","",SUMIFS(사용내역!$D$3:$D$3002,사용내역!$B$3:$B$3002,$A416))</f>
        <v/>
      </c>
      <c r="F416" s="23" t="str">
        <f aca="false">IF($A416="","",$D416-$E416)</f>
        <v/>
      </c>
      <c r="G416" s="17" t="str">
        <f aca="false">IF($A416="","",IF(COUNTIFS(결제내역!$B$3:$B$1002,$A416)=0,"",_xlfn.MAXIFS(결제내역!$G$3:$G$1002,결제내역!$B$3:$B$1002,$A416)))</f>
        <v/>
      </c>
      <c r="H416" s="24" t="str">
        <f aca="true">IF(OR($A416="",$G416=""),"",$G416-TODAY())</f>
        <v/>
      </c>
      <c r="I416" s="16" t="str">
        <f aca="false">IF($A416="","",SUMIFS(결제내역!$H$3:$H$1002,결제내역!$B$3:$B$1002,$A416))</f>
        <v/>
      </c>
      <c r="J416" s="25" t="str">
        <f aca="false">IF($A416="","",IF($D416=0,"미결제",IF($F416&lt;=0,"횟수소진",IF($H416="","",IF($H416&lt;0,"기간만료",IF(OR($F416&lt;=사용안내!$C$18,$H416&lt;=사용안내!$C$17),"재결제 안내","정상"))))))</f>
        <v/>
      </c>
    </row>
    <row r="417" customFormat="false" ht="15" hidden="false" customHeight="true" outlineLevel="0" collapsed="false">
      <c r="A417" s="15" t="str">
        <f aca="false">IF(회원명부!$A414="","",회원명부!$A414)</f>
        <v/>
      </c>
      <c r="B417" s="15" t="str">
        <f aca="false">IF($A417="","",회원명부!$B414)</f>
        <v/>
      </c>
      <c r="C417" s="15" t="str">
        <f aca="false">IF($A417="","",회원명부!$C414)</f>
        <v/>
      </c>
      <c r="D417" s="23" t="str">
        <f aca="false">IF($A417="","",SUMIFS(결제내역!$E$3:$E$1002,결제내역!$B$3:$B$1002,$A417))</f>
        <v/>
      </c>
      <c r="E417" s="23" t="str">
        <f aca="false">IF($A417="","",SUMIFS(사용내역!$D$3:$D$3002,사용내역!$B$3:$B$3002,$A417))</f>
        <v/>
      </c>
      <c r="F417" s="23" t="str">
        <f aca="false">IF($A417="","",$D417-$E417)</f>
        <v/>
      </c>
      <c r="G417" s="17" t="str">
        <f aca="false">IF($A417="","",IF(COUNTIFS(결제내역!$B$3:$B$1002,$A417)=0,"",_xlfn.MAXIFS(결제내역!$G$3:$G$1002,결제내역!$B$3:$B$1002,$A417)))</f>
        <v/>
      </c>
      <c r="H417" s="24" t="str">
        <f aca="true">IF(OR($A417="",$G417=""),"",$G417-TODAY())</f>
        <v/>
      </c>
      <c r="I417" s="16" t="str">
        <f aca="false">IF($A417="","",SUMIFS(결제내역!$H$3:$H$1002,결제내역!$B$3:$B$1002,$A417))</f>
        <v/>
      </c>
      <c r="J417" s="25" t="str">
        <f aca="false">IF($A417="","",IF($D417=0,"미결제",IF($F417&lt;=0,"횟수소진",IF($H417="","",IF($H417&lt;0,"기간만료",IF(OR($F417&lt;=사용안내!$C$18,$H417&lt;=사용안내!$C$17),"재결제 안내","정상"))))))</f>
        <v/>
      </c>
    </row>
    <row r="418" customFormat="false" ht="15" hidden="false" customHeight="true" outlineLevel="0" collapsed="false">
      <c r="A418" s="15" t="str">
        <f aca="false">IF(회원명부!$A415="","",회원명부!$A415)</f>
        <v/>
      </c>
      <c r="B418" s="15" t="str">
        <f aca="false">IF($A418="","",회원명부!$B415)</f>
        <v/>
      </c>
      <c r="C418" s="15" t="str">
        <f aca="false">IF($A418="","",회원명부!$C415)</f>
        <v/>
      </c>
      <c r="D418" s="23" t="str">
        <f aca="false">IF($A418="","",SUMIFS(결제내역!$E$3:$E$1002,결제내역!$B$3:$B$1002,$A418))</f>
        <v/>
      </c>
      <c r="E418" s="23" t="str">
        <f aca="false">IF($A418="","",SUMIFS(사용내역!$D$3:$D$3002,사용내역!$B$3:$B$3002,$A418))</f>
        <v/>
      </c>
      <c r="F418" s="23" t="str">
        <f aca="false">IF($A418="","",$D418-$E418)</f>
        <v/>
      </c>
      <c r="G418" s="17" t="str">
        <f aca="false">IF($A418="","",IF(COUNTIFS(결제내역!$B$3:$B$1002,$A418)=0,"",_xlfn.MAXIFS(결제내역!$G$3:$G$1002,결제내역!$B$3:$B$1002,$A418)))</f>
        <v/>
      </c>
      <c r="H418" s="24" t="str">
        <f aca="true">IF(OR($A418="",$G418=""),"",$G418-TODAY())</f>
        <v/>
      </c>
      <c r="I418" s="16" t="str">
        <f aca="false">IF($A418="","",SUMIFS(결제내역!$H$3:$H$1002,결제내역!$B$3:$B$1002,$A418))</f>
        <v/>
      </c>
      <c r="J418" s="25" t="str">
        <f aca="false">IF($A418="","",IF($D418=0,"미결제",IF($F418&lt;=0,"횟수소진",IF($H418="","",IF($H418&lt;0,"기간만료",IF(OR($F418&lt;=사용안내!$C$18,$H418&lt;=사용안내!$C$17),"재결제 안내","정상"))))))</f>
        <v/>
      </c>
    </row>
    <row r="419" customFormat="false" ht="15" hidden="false" customHeight="true" outlineLevel="0" collapsed="false">
      <c r="A419" s="15" t="str">
        <f aca="false">IF(회원명부!$A416="","",회원명부!$A416)</f>
        <v/>
      </c>
      <c r="B419" s="15" t="str">
        <f aca="false">IF($A419="","",회원명부!$B416)</f>
        <v/>
      </c>
      <c r="C419" s="15" t="str">
        <f aca="false">IF($A419="","",회원명부!$C416)</f>
        <v/>
      </c>
      <c r="D419" s="23" t="str">
        <f aca="false">IF($A419="","",SUMIFS(결제내역!$E$3:$E$1002,결제내역!$B$3:$B$1002,$A419))</f>
        <v/>
      </c>
      <c r="E419" s="23" t="str">
        <f aca="false">IF($A419="","",SUMIFS(사용내역!$D$3:$D$3002,사용내역!$B$3:$B$3002,$A419))</f>
        <v/>
      </c>
      <c r="F419" s="23" t="str">
        <f aca="false">IF($A419="","",$D419-$E419)</f>
        <v/>
      </c>
      <c r="G419" s="17" t="str">
        <f aca="false">IF($A419="","",IF(COUNTIFS(결제내역!$B$3:$B$1002,$A419)=0,"",_xlfn.MAXIFS(결제내역!$G$3:$G$1002,결제내역!$B$3:$B$1002,$A419)))</f>
        <v/>
      </c>
      <c r="H419" s="24" t="str">
        <f aca="true">IF(OR($A419="",$G419=""),"",$G419-TODAY())</f>
        <v/>
      </c>
      <c r="I419" s="16" t="str">
        <f aca="false">IF($A419="","",SUMIFS(결제내역!$H$3:$H$1002,결제내역!$B$3:$B$1002,$A419))</f>
        <v/>
      </c>
      <c r="J419" s="25" t="str">
        <f aca="false">IF($A419="","",IF($D419=0,"미결제",IF($F419&lt;=0,"횟수소진",IF($H419="","",IF($H419&lt;0,"기간만료",IF(OR($F419&lt;=사용안내!$C$18,$H419&lt;=사용안내!$C$17),"재결제 안내","정상"))))))</f>
        <v/>
      </c>
    </row>
    <row r="420" customFormat="false" ht="15" hidden="false" customHeight="true" outlineLevel="0" collapsed="false">
      <c r="A420" s="15" t="str">
        <f aca="false">IF(회원명부!$A417="","",회원명부!$A417)</f>
        <v/>
      </c>
      <c r="B420" s="15" t="str">
        <f aca="false">IF($A420="","",회원명부!$B417)</f>
        <v/>
      </c>
      <c r="C420" s="15" t="str">
        <f aca="false">IF($A420="","",회원명부!$C417)</f>
        <v/>
      </c>
      <c r="D420" s="23" t="str">
        <f aca="false">IF($A420="","",SUMIFS(결제내역!$E$3:$E$1002,결제내역!$B$3:$B$1002,$A420))</f>
        <v/>
      </c>
      <c r="E420" s="23" t="str">
        <f aca="false">IF($A420="","",SUMIFS(사용내역!$D$3:$D$3002,사용내역!$B$3:$B$3002,$A420))</f>
        <v/>
      </c>
      <c r="F420" s="23" t="str">
        <f aca="false">IF($A420="","",$D420-$E420)</f>
        <v/>
      </c>
      <c r="G420" s="17" t="str">
        <f aca="false">IF($A420="","",IF(COUNTIFS(결제내역!$B$3:$B$1002,$A420)=0,"",_xlfn.MAXIFS(결제내역!$G$3:$G$1002,결제내역!$B$3:$B$1002,$A420)))</f>
        <v/>
      </c>
      <c r="H420" s="24" t="str">
        <f aca="true">IF(OR($A420="",$G420=""),"",$G420-TODAY())</f>
        <v/>
      </c>
      <c r="I420" s="16" t="str">
        <f aca="false">IF($A420="","",SUMIFS(결제내역!$H$3:$H$1002,결제내역!$B$3:$B$1002,$A420))</f>
        <v/>
      </c>
      <c r="J420" s="25" t="str">
        <f aca="false">IF($A420="","",IF($D420=0,"미결제",IF($F420&lt;=0,"횟수소진",IF($H420="","",IF($H420&lt;0,"기간만료",IF(OR($F420&lt;=사용안내!$C$18,$H420&lt;=사용안내!$C$17),"재결제 안내","정상"))))))</f>
        <v/>
      </c>
    </row>
    <row r="421" customFormat="false" ht="15" hidden="false" customHeight="true" outlineLevel="0" collapsed="false">
      <c r="A421" s="15" t="str">
        <f aca="false">IF(회원명부!$A418="","",회원명부!$A418)</f>
        <v/>
      </c>
      <c r="B421" s="15" t="str">
        <f aca="false">IF($A421="","",회원명부!$B418)</f>
        <v/>
      </c>
      <c r="C421" s="15" t="str">
        <f aca="false">IF($A421="","",회원명부!$C418)</f>
        <v/>
      </c>
      <c r="D421" s="23" t="str">
        <f aca="false">IF($A421="","",SUMIFS(결제내역!$E$3:$E$1002,결제내역!$B$3:$B$1002,$A421))</f>
        <v/>
      </c>
      <c r="E421" s="23" t="str">
        <f aca="false">IF($A421="","",SUMIFS(사용내역!$D$3:$D$3002,사용내역!$B$3:$B$3002,$A421))</f>
        <v/>
      </c>
      <c r="F421" s="23" t="str">
        <f aca="false">IF($A421="","",$D421-$E421)</f>
        <v/>
      </c>
      <c r="G421" s="17" t="str">
        <f aca="false">IF($A421="","",IF(COUNTIFS(결제내역!$B$3:$B$1002,$A421)=0,"",_xlfn.MAXIFS(결제내역!$G$3:$G$1002,결제내역!$B$3:$B$1002,$A421)))</f>
        <v/>
      </c>
      <c r="H421" s="24" t="str">
        <f aca="true">IF(OR($A421="",$G421=""),"",$G421-TODAY())</f>
        <v/>
      </c>
      <c r="I421" s="16" t="str">
        <f aca="false">IF($A421="","",SUMIFS(결제내역!$H$3:$H$1002,결제내역!$B$3:$B$1002,$A421))</f>
        <v/>
      </c>
      <c r="J421" s="25" t="str">
        <f aca="false">IF($A421="","",IF($D421=0,"미결제",IF($F421&lt;=0,"횟수소진",IF($H421="","",IF($H421&lt;0,"기간만료",IF(OR($F421&lt;=사용안내!$C$18,$H421&lt;=사용안내!$C$17),"재결제 안내","정상"))))))</f>
        <v/>
      </c>
    </row>
    <row r="422" customFormat="false" ht="15" hidden="false" customHeight="true" outlineLevel="0" collapsed="false">
      <c r="A422" s="15" t="str">
        <f aca="false">IF(회원명부!$A419="","",회원명부!$A419)</f>
        <v/>
      </c>
      <c r="B422" s="15" t="str">
        <f aca="false">IF($A422="","",회원명부!$B419)</f>
        <v/>
      </c>
      <c r="C422" s="15" t="str">
        <f aca="false">IF($A422="","",회원명부!$C419)</f>
        <v/>
      </c>
      <c r="D422" s="23" t="str">
        <f aca="false">IF($A422="","",SUMIFS(결제내역!$E$3:$E$1002,결제내역!$B$3:$B$1002,$A422))</f>
        <v/>
      </c>
      <c r="E422" s="23" t="str">
        <f aca="false">IF($A422="","",SUMIFS(사용내역!$D$3:$D$3002,사용내역!$B$3:$B$3002,$A422))</f>
        <v/>
      </c>
      <c r="F422" s="23" t="str">
        <f aca="false">IF($A422="","",$D422-$E422)</f>
        <v/>
      </c>
      <c r="G422" s="17" t="str">
        <f aca="false">IF($A422="","",IF(COUNTIFS(결제내역!$B$3:$B$1002,$A422)=0,"",_xlfn.MAXIFS(결제내역!$G$3:$G$1002,결제내역!$B$3:$B$1002,$A422)))</f>
        <v/>
      </c>
      <c r="H422" s="24" t="str">
        <f aca="true">IF(OR($A422="",$G422=""),"",$G422-TODAY())</f>
        <v/>
      </c>
      <c r="I422" s="16" t="str">
        <f aca="false">IF($A422="","",SUMIFS(결제내역!$H$3:$H$1002,결제내역!$B$3:$B$1002,$A422))</f>
        <v/>
      </c>
      <c r="J422" s="25" t="str">
        <f aca="false">IF($A422="","",IF($D422=0,"미결제",IF($F422&lt;=0,"횟수소진",IF($H422="","",IF($H422&lt;0,"기간만료",IF(OR($F422&lt;=사용안내!$C$18,$H422&lt;=사용안내!$C$17),"재결제 안내","정상"))))))</f>
        <v/>
      </c>
    </row>
    <row r="423" customFormat="false" ht="15" hidden="false" customHeight="true" outlineLevel="0" collapsed="false">
      <c r="A423" s="15" t="str">
        <f aca="false">IF(회원명부!$A420="","",회원명부!$A420)</f>
        <v/>
      </c>
      <c r="B423" s="15" t="str">
        <f aca="false">IF($A423="","",회원명부!$B420)</f>
        <v/>
      </c>
      <c r="C423" s="15" t="str">
        <f aca="false">IF($A423="","",회원명부!$C420)</f>
        <v/>
      </c>
      <c r="D423" s="23" t="str">
        <f aca="false">IF($A423="","",SUMIFS(결제내역!$E$3:$E$1002,결제내역!$B$3:$B$1002,$A423))</f>
        <v/>
      </c>
      <c r="E423" s="23" t="str">
        <f aca="false">IF($A423="","",SUMIFS(사용내역!$D$3:$D$3002,사용내역!$B$3:$B$3002,$A423))</f>
        <v/>
      </c>
      <c r="F423" s="23" t="str">
        <f aca="false">IF($A423="","",$D423-$E423)</f>
        <v/>
      </c>
      <c r="G423" s="17" t="str">
        <f aca="false">IF($A423="","",IF(COUNTIFS(결제내역!$B$3:$B$1002,$A423)=0,"",_xlfn.MAXIFS(결제내역!$G$3:$G$1002,결제내역!$B$3:$B$1002,$A423)))</f>
        <v/>
      </c>
      <c r="H423" s="24" t="str">
        <f aca="true">IF(OR($A423="",$G423=""),"",$G423-TODAY())</f>
        <v/>
      </c>
      <c r="I423" s="16" t="str">
        <f aca="false">IF($A423="","",SUMIFS(결제내역!$H$3:$H$1002,결제내역!$B$3:$B$1002,$A423))</f>
        <v/>
      </c>
      <c r="J423" s="25" t="str">
        <f aca="false">IF($A423="","",IF($D423=0,"미결제",IF($F423&lt;=0,"횟수소진",IF($H423="","",IF($H423&lt;0,"기간만료",IF(OR($F423&lt;=사용안내!$C$18,$H423&lt;=사용안내!$C$17),"재결제 안내","정상"))))))</f>
        <v/>
      </c>
    </row>
    <row r="424" customFormat="false" ht="15" hidden="false" customHeight="true" outlineLevel="0" collapsed="false">
      <c r="A424" s="15" t="str">
        <f aca="false">IF(회원명부!$A421="","",회원명부!$A421)</f>
        <v/>
      </c>
      <c r="B424" s="15" t="str">
        <f aca="false">IF($A424="","",회원명부!$B421)</f>
        <v/>
      </c>
      <c r="C424" s="15" t="str">
        <f aca="false">IF($A424="","",회원명부!$C421)</f>
        <v/>
      </c>
      <c r="D424" s="23" t="str">
        <f aca="false">IF($A424="","",SUMIFS(결제내역!$E$3:$E$1002,결제내역!$B$3:$B$1002,$A424))</f>
        <v/>
      </c>
      <c r="E424" s="23" t="str">
        <f aca="false">IF($A424="","",SUMIFS(사용내역!$D$3:$D$3002,사용내역!$B$3:$B$3002,$A424))</f>
        <v/>
      </c>
      <c r="F424" s="23" t="str">
        <f aca="false">IF($A424="","",$D424-$E424)</f>
        <v/>
      </c>
      <c r="G424" s="17" t="str">
        <f aca="false">IF($A424="","",IF(COUNTIFS(결제내역!$B$3:$B$1002,$A424)=0,"",_xlfn.MAXIFS(결제내역!$G$3:$G$1002,결제내역!$B$3:$B$1002,$A424)))</f>
        <v/>
      </c>
      <c r="H424" s="24" t="str">
        <f aca="true">IF(OR($A424="",$G424=""),"",$G424-TODAY())</f>
        <v/>
      </c>
      <c r="I424" s="16" t="str">
        <f aca="false">IF($A424="","",SUMIFS(결제내역!$H$3:$H$1002,결제내역!$B$3:$B$1002,$A424))</f>
        <v/>
      </c>
      <c r="J424" s="25" t="str">
        <f aca="false">IF($A424="","",IF($D424=0,"미결제",IF($F424&lt;=0,"횟수소진",IF($H424="","",IF($H424&lt;0,"기간만료",IF(OR($F424&lt;=사용안내!$C$18,$H424&lt;=사용안내!$C$17),"재결제 안내","정상"))))))</f>
        <v/>
      </c>
    </row>
    <row r="425" customFormat="false" ht="15" hidden="false" customHeight="true" outlineLevel="0" collapsed="false">
      <c r="A425" s="15" t="str">
        <f aca="false">IF(회원명부!$A422="","",회원명부!$A422)</f>
        <v/>
      </c>
      <c r="B425" s="15" t="str">
        <f aca="false">IF($A425="","",회원명부!$B422)</f>
        <v/>
      </c>
      <c r="C425" s="15" t="str">
        <f aca="false">IF($A425="","",회원명부!$C422)</f>
        <v/>
      </c>
      <c r="D425" s="23" t="str">
        <f aca="false">IF($A425="","",SUMIFS(결제내역!$E$3:$E$1002,결제내역!$B$3:$B$1002,$A425))</f>
        <v/>
      </c>
      <c r="E425" s="23" t="str">
        <f aca="false">IF($A425="","",SUMIFS(사용내역!$D$3:$D$3002,사용내역!$B$3:$B$3002,$A425))</f>
        <v/>
      </c>
      <c r="F425" s="23" t="str">
        <f aca="false">IF($A425="","",$D425-$E425)</f>
        <v/>
      </c>
      <c r="G425" s="17" t="str">
        <f aca="false">IF($A425="","",IF(COUNTIFS(결제내역!$B$3:$B$1002,$A425)=0,"",_xlfn.MAXIFS(결제내역!$G$3:$G$1002,결제내역!$B$3:$B$1002,$A425)))</f>
        <v/>
      </c>
      <c r="H425" s="24" t="str">
        <f aca="true">IF(OR($A425="",$G425=""),"",$G425-TODAY())</f>
        <v/>
      </c>
      <c r="I425" s="16" t="str">
        <f aca="false">IF($A425="","",SUMIFS(결제내역!$H$3:$H$1002,결제내역!$B$3:$B$1002,$A425))</f>
        <v/>
      </c>
      <c r="J425" s="25" t="str">
        <f aca="false">IF($A425="","",IF($D425=0,"미결제",IF($F425&lt;=0,"횟수소진",IF($H425="","",IF($H425&lt;0,"기간만료",IF(OR($F425&lt;=사용안내!$C$18,$H425&lt;=사용안내!$C$17),"재결제 안내","정상"))))))</f>
        <v/>
      </c>
    </row>
    <row r="426" customFormat="false" ht="15" hidden="false" customHeight="true" outlineLevel="0" collapsed="false">
      <c r="A426" s="15" t="str">
        <f aca="false">IF(회원명부!$A423="","",회원명부!$A423)</f>
        <v/>
      </c>
      <c r="B426" s="15" t="str">
        <f aca="false">IF($A426="","",회원명부!$B423)</f>
        <v/>
      </c>
      <c r="C426" s="15" t="str">
        <f aca="false">IF($A426="","",회원명부!$C423)</f>
        <v/>
      </c>
      <c r="D426" s="23" t="str">
        <f aca="false">IF($A426="","",SUMIFS(결제내역!$E$3:$E$1002,결제내역!$B$3:$B$1002,$A426))</f>
        <v/>
      </c>
      <c r="E426" s="23" t="str">
        <f aca="false">IF($A426="","",SUMIFS(사용내역!$D$3:$D$3002,사용내역!$B$3:$B$3002,$A426))</f>
        <v/>
      </c>
      <c r="F426" s="23" t="str">
        <f aca="false">IF($A426="","",$D426-$E426)</f>
        <v/>
      </c>
      <c r="G426" s="17" t="str">
        <f aca="false">IF($A426="","",IF(COUNTIFS(결제내역!$B$3:$B$1002,$A426)=0,"",_xlfn.MAXIFS(결제내역!$G$3:$G$1002,결제내역!$B$3:$B$1002,$A426)))</f>
        <v/>
      </c>
      <c r="H426" s="24" t="str">
        <f aca="true">IF(OR($A426="",$G426=""),"",$G426-TODAY())</f>
        <v/>
      </c>
      <c r="I426" s="16" t="str">
        <f aca="false">IF($A426="","",SUMIFS(결제내역!$H$3:$H$1002,결제내역!$B$3:$B$1002,$A426))</f>
        <v/>
      </c>
      <c r="J426" s="25" t="str">
        <f aca="false">IF($A426="","",IF($D426=0,"미결제",IF($F426&lt;=0,"횟수소진",IF($H426="","",IF($H426&lt;0,"기간만료",IF(OR($F426&lt;=사용안내!$C$18,$H426&lt;=사용안내!$C$17),"재결제 안내","정상"))))))</f>
        <v/>
      </c>
    </row>
    <row r="427" customFormat="false" ht="15" hidden="false" customHeight="true" outlineLevel="0" collapsed="false">
      <c r="A427" s="15" t="str">
        <f aca="false">IF(회원명부!$A424="","",회원명부!$A424)</f>
        <v/>
      </c>
      <c r="B427" s="15" t="str">
        <f aca="false">IF($A427="","",회원명부!$B424)</f>
        <v/>
      </c>
      <c r="C427" s="15" t="str">
        <f aca="false">IF($A427="","",회원명부!$C424)</f>
        <v/>
      </c>
      <c r="D427" s="23" t="str">
        <f aca="false">IF($A427="","",SUMIFS(결제내역!$E$3:$E$1002,결제내역!$B$3:$B$1002,$A427))</f>
        <v/>
      </c>
      <c r="E427" s="23" t="str">
        <f aca="false">IF($A427="","",SUMIFS(사용내역!$D$3:$D$3002,사용내역!$B$3:$B$3002,$A427))</f>
        <v/>
      </c>
      <c r="F427" s="23" t="str">
        <f aca="false">IF($A427="","",$D427-$E427)</f>
        <v/>
      </c>
      <c r="G427" s="17" t="str">
        <f aca="false">IF($A427="","",IF(COUNTIFS(결제내역!$B$3:$B$1002,$A427)=0,"",_xlfn.MAXIFS(결제내역!$G$3:$G$1002,결제내역!$B$3:$B$1002,$A427)))</f>
        <v/>
      </c>
      <c r="H427" s="24" t="str">
        <f aca="true">IF(OR($A427="",$G427=""),"",$G427-TODAY())</f>
        <v/>
      </c>
      <c r="I427" s="16" t="str">
        <f aca="false">IF($A427="","",SUMIFS(결제내역!$H$3:$H$1002,결제내역!$B$3:$B$1002,$A427))</f>
        <v/>
      </c>
      <c r="J427" s="25" t="str">
        <f aca="false">IF($A427="","",IF($D427=0,"미결제",IF($F427&lt;=0,"횟수소진",IF($H427="","",IF($H427&lt;0,"기간만료",IF(OR($F427&lt;=사용안내!$C$18,$H427&lt;=사용안내!$C$17),"재결제 안내","정상"))))))</f>
        <v/>
      </c>
    </row>
    <row r="428" customFormat="false" ht="15" hidden="false" customHeight="true" outlineLevel="0" collapsed="false">
      <c r="A428" s="15" t="str">
        <f aca="false">IF(회원명부!$A425="","",회원명부!$A425)</f>
        <v/>
      </c>
      <c r="B428" s="15" t="str">
        <f aca="false">IF($A428="","",회원명부!$B425)</f>
        <v/>
      </c>
      <c r="C428" s="15" t="str">
        <f aca="false">IF($A428="","",회원명부!$C425)</f>
        <v/>
      </c>
      <c r="D428" s="23" t="str">
        <f aca="false">IF($A428="","",SUMIFS(결제내역!$E$3:$E$1002,결제내역!$B$3:$B$1002,$A428))</f>
        <v/>
      </c>
      <c r="E428" s="23" t="str">
        <f aca="false">IF($A428="","",SUMIFS(사용내역!$D$3:$D$3002,사용내역!$B$3:$B$3002,$A428))</f>
        <v/>
      </c>
      <c r="F428" s="23" t="str">
        <f aca="false">IF($A428="","",$D428-$E428)</f>
        <v/>
      </c>
      <c r="G428" s="17" t="str">
        <f aca="false">IF($A428="","",IF(COUNTIFS(결제내역!$B$3:$B$1002,$A428)=0,"",_xlfn.MAXIFS(결제내역!$G$3:$G$1002,결제내역!$B$3:$B$1002,$A428)))</f>
        <v/>
      </c>
      <c r="H428" s="24" t="str">
        <f aca="true">IF(OR($A428="",$G428=""),"",$G428-TODAY())</f>
        <v/>
      </c>
      <c r="I428" s="16" t="str">
        <f aca="false">IF($A428="","",SUMIFS(결제내역!$H$3:$H$1002,결제내역!$B$3:$B$1002,$A428))</f>
        <v/>
      </c>
      <c r="J428" s="25" t="str">
        <f aca="false">IF($A428="","",IF($D428=0,"미결제",IF($F428&lt;=0,"횟수소진",IF($H428="","",IF($H428&lt;0,"기간만료",IF(OR($F428&lt;=사용안내!$C$18,$H428&lt;=사용안내!$C$17),"재결제 안내","정상"))))))</f>
        <v/>
      </c>
    </row>
    <row r="429" customFormat="false" ht="15" hidden="false" customHeight="true" outlineLevel="0" collapsed="false">
      <c r="A429" s="15" t="str">
        <f aca="false">IF(회원명부!$A426="","",회원명부!$A426)</f>
        <v/>
      </c>
      <c r="B429" s="15" t="str">
        <f aca="false">IF($A429="","",회원명부!$B426)</f>
        <v/>
      </c>
      <c r="C429" s="15" t="str">
        <f aca="false">IF($A429="","",회원명부!$C426)</f>
        <v/>
      </c>
      <c r="D429" s="23" t="str">
        <f aca="false">IF($A429="","",SUMIFS(결제내역!$E$3:$E$1002,결제내역!$B$3:$B$1002,$A429))</f>
        <v/>
      </c>
      <c r="E429" s="23" t="str">
        <f aca="false">IF($A429="","",SUMIFS(사용내역!$D$3:$D$3002,사용내역!$B$3:$B$3002,$A429))</f>
        <v/>
      </c>
      <c r="F429" s="23" t="str">
        <f aca="false">IF($A429="","",$D429-$E429)</f>
        <v/>
      </c>
      <c r="G429" s="17" t="str">
        <f aca="false">IF($A429="","",IF(COUNTIFS(결제내역!$B$3:$B$1002,$A429)=0,"",_xlfn.MAXIFS(결제내역!$G$3:$G$1002,결제내역!$B$3:$B$1002,$A429)))</f>
        <v/>
      </c>
      <c r="H429" s="24" t="str">
        <f aca="true">IF(OR($A429="",$G429=""),"",$G429-TODAY())</f>
        <v/>
      </c>
      <c r="I429" s="16" t="str">
        <f aca="false">IF($A429="","",SUMIFS(결제내역!$H$3:$H$1002,결제내역!$B$3:$B$1002,$A429))</f>
        <v/>
      </c>
      <c r="J429" s="25" t="str">
        <f aca="false">IF($A429="","",IF($D429=0,"미결제",IF($F429&lt;=0,"횟수소진",IF($H429="","",IF($H429&lt;0,"기간만료",IF(OR($F429&lt;=사용안내!$C$18,$H429&lt;=사용안내!$C$17),"재결제 안내","정상"))))))</f>
        <v/>
      </c>
    </row>
    <row r="430" customFormat="false" ht="15" hidden="false" customHeight="true" outlineLevel="0" collapsed="false">
      <c r="A430" s="15" t="str">
        <f aca="false">IF(회원명부!$A427="","",회원명부!$A427)</f>
        <v/>
      </c>
      <c r="B430" s="15" t="str">
        <f aca="false">IF($A430="","",회원명부!$B427)</f>
        <v/>
      </c>
      <c r="C430" s="15" t="str">
        <f aca="false">IF($A430="","",회원명부!$C427)</f>
        <v/>
      </c>
      <c r="D430" s="23" t="str">
        <f aca="false">IF($A430="","",SUMIFS(결제내역!$E$3:$E$1002,결제내역!$B$3:$B$1002,$A430))</f>
        <v/>
      </c>
      <c r="E430" s="23" t="str">
        <f aca="false">IF($A430="","",SUMIFS(사용내역!$D$3:$D$3002,사용내역!$B$3:$B$3002,$A430))</f>
        <v/>
      </c>
      <c r="F430" s="23" t="str">
        <f aca="false">IF($A430="","",$D430-$E430)</f>
        <v/>
      </c>
      <c r="G430" s="17" t="str">
        <f aca="false">IF($A430="","",IF(COUNTIFS(결제내역!$B$3:$B$1002,$A430)=0,"",_xlfn.MAXIFS(결제내역!$G$3:$G$1002,결제내역!$B$3:$B$1002,$A430)))</f>
        <v/>
      </c>
      <c r="H430" s="24" t="str">
        <f aca="true">IF(OR($A430="",$G430=""),"",$G430-TODAY())</f>
        <v/>
      </c>
      <c r="I430" s="16" t="str">
        <f aca="false">IF($A430="","",SUMIFS(결제내역!$H$3:$H$1002,결제내역!$B$3:$B$1002,$A430))</f>
        <v/>
      </c>
      <c r="J430" s="25" t="str">
        <f aca="false">IF($A430="","",IF($D430=0,"미결제",IF($F430&lt;=0,"횟수소진",IF($H430="","",IF($H430&lt;0,"기간만료",IF(OR($F430&lt;=사용안내!$C$18,$H430&lt;=사용안내!$C$17),"재결제 안내","정상"))))))</f>
        <v/>
      </c>
    </row>
    <row r="431" customFormat="false" ht="15" hidden="false" customHeight="true" outlineLevel="0" collapsed="false">
      <c r="A431" s="15" t="str">
        <f aca="false">IF(회원명부!$A428="","",회원명부!$A428)</f>
        <v/>
      </c>
      <c r="B431" s="15" t="str">
        <f aca="false">IF($A431="","",회원명부!$B428)</f>
        <v/>
      </c>
      <c r="C431" s="15" t="str">
        <f aca="false">IF($A431="","",회원명부!$C428)</f>
        <v/>
      </c>
      <c r="D431" s="23" t="str">
        <f aca="false">IF($A431="","",SUMIFS(결제내역!$E$3:$E$1002,결제내역!$B$3:$B$1002,$A431))</f>
        <v/>
      </c>
      <c r="E431" s="23" t="str">
        <f aca="false">IF($A431="","",SUMIFS(사용내역!$D$3:$D$3002,사용내역!$B$3:$B$3002,$A431))</f>
        <v/>
      </c>
      <c r="F431" s="23" t="str">
        <f aca="false">IF($A431="","",$D431-$E431)</f>
        <v/>
      </c>
      <c r="G431" s="17" t="str">
        <f aca="false">IF($A431="","",IF(COUNTIFS(결제내역!$B$3:$B$1002,$A431)=0,"",_xlfn.MAXIFS(결제내역!$G$3:$G$1002,결제내역!$B$3:$B$1002,$A431)))</f>
        <v/>
      </c>
      <c r="H431" s="24" t="str">
        <f aca="true">IF(OR($A431="",$G431=""),"",$G431-TODAY())</f>
        <v/>
      </c>
      <c r="I431" s="16" t="str">
        <f aca="false">IF($A431="","",SUMIFS(결제내역!$H$3:$H$1002,결제내역!$B$3:$B$1002,$A431))</f>
        <v/>
      </c>
      <c r="J431" s="25" t="str">
        <f aca="false">IF($A431="","",IF($D431=0,"미결제",IF($F431&lt;=0,"횟수소진",IF($H431="","",IF($H431&lt;0,"기간만료",IF(OR($F431&lt;=사용안내!$C$18,$H431&lt;=사용안내!$C$17),"재결제 안내","정상"))))))</f>
        <v/>
      </c>
    </row>
    <row r="432" customFormat="false" ht="15" hidden="false" customHeight="true" outlineLevel="0" collapsed="false">
      <c r="A432" s="15" t="str">
        <f aca="false">IF(회원명부!$A429="","",회원명부!$A429)</f>
        <v/>
      </c>
      <c r="B432" s="15" t="str">
        <f aca="false">IF($A432="","",회원명부!$B429)</f>
        <v/>
      </c>
      <c r="C432" s="15" t="str">
        <f aca="false">IF($A432="","",회원명부!$C429)</f>
        <v/>
      </c>
      <c r="D432" s="23" t="str">
        <f aca="false">IF($A432="","",SUMIFS(결제내역!$E$3:$E$1002,결제내역!$B$3:$B$1002,$A432))</f>
        <v/>
      </c>
      <c r="E432" s="23" t="str">
        <f aca="false">IF($A432="","",SUMIFS(사용내역!$D$3:$D$3002,사용내역!$B$3:$B$3002,$A432))</f>
        <v/>
      </c>
      <c r="F432" s="23" t="str">
        <f aca="false">IF($A432="","",$D432-$E432)</f>
        <v/>
      </c>
      <c r="G432" s="17" t="str">
        <f aca="false">IF($A432="","",IF(COUNTIFS(결제내역!$B$3:$B$1002,$A432)=0,"",_xlfn.MAXIFS(결제내역!$G$3:$G$1002,결제내역!$B$3:$B$1002,$A432)))</f>
        <v/>
      </c>
      <c r="H432" s="24" t="str">
        <f aca="true">IF(OR($A432="",$G432=""),"",$G432-TODAY())</f>
        <v/>
      </c>
      <c r="I432" s="16" t="str">
        <f aca="false">IF($A432="","",SUMIFS(결제내역!$H$3:$H$1002,결제내역!$B$3:$B$1002,$A432))</f>
        <v/>
      </c>
      <c r="J432" s="25" t="str">
        <f aca="false">IF($A432="","",IF($D432=0,"미결제",IF($F432&lt;=0,"횟수소진",IF($H432="","",IF($H432&lt;0,"기간만료",IF(OR($F432&lt;=사용안내!$C$18,$H432&lt;=사용안내!$C$17),"재결제 안내","정상"))))))</f>
        <v/>
      </c>
    </row>
    <row r="433" customFormat="false" ht="15" hidden="false" customHeight="true" outlineLevel="0" collapsed="false">
      <c r="A433" s="15" t="str">
        <f aca="false">IF(회원명부!$A430="","",회원명부!$A430)</f>
        <v/>
      </c>
      <c r="B433" s="15" t="str">
        <f aca="false">IF($A433="","",회원명부!$B430)</f>
        <v/>
      </c>
      <c r="C433" s="15" t="str">
        <f aca="false">IF($A433="","",회원명부!$C430)</f>
        <v/>
      </c>
      <c r="D433" s="23" t="str">
        <f aca="false">IF($A433="","",SUMIFS(결제내역!$E$3:$E$1002,결제내역!$B$3:$B$1002,$A433))</f>
        <v/>
      </c>
      <c r="E433" s="23" t="str">
        <f aca="false">IF($A433="","",SUMIFS(사용내역!$D$3:$D$3002,사용내역!$B$3:$B$3002,$A433))</f>
        <v/>
      </c>
      <c r="F433" s="23" t="str">
        <f aca="false">IF($A433="","",$D433-$E433)</f>
        <v/>
      </c>
      <c r="G433" s="17" t="str">
        <f aca="false">IF($A433="","",IF(COUNTIFS(결제내역!$B$3:$B$1002,$A433)=0,"",_xlfn.MAXIFS(결제내역!$G$3:$G$1002,결제내역!$B$3:$B$1002,$A433)))</f>
        <v/>
      </c>
      <c r="H433" s="24" t="str">
        <f aca="true">IF(OR($A433="",$G433=""),"",$G433-TODAY())</f>
        <v/>
      </c>
      <c r="I433" s="16" t="str">
        <f aca="false">IF($A433="","",SUMIFS(결제내역!$H$3:$H$1002,결제내역!$B$3:$B$1002,$A433))</f>
        <v/>
      </c>
      <c r="J433" s="25" t="str">
        <f aca="false">IF($A433="","",IF($D433=0,"미결제",IF($F433&lt;=0,"횟수소진",IF($H433="","",IF($H433&lt;0,"기간만료",IF(OR($F433&lt;=사용안내!$C$18,$H433&lt;=사용안내!$C$17),"재결제 안내","정상"))))))</f>
        <v/>
      </c>
    </row>
    <row r="434" customFormat="false" ht="15" hidden="false" customHeight="true" outlineLevel="0" collapsed="false">
      <c r="A434" s="15" t="str">
        <f aca="false">IF(회원명부!$A431="","",회원명부!$A431)</f>
        <v/>
      </c>
      <c r="B434" s="15" t="str">
        <f aca="false">IF($A434="","",회원명부!$B431)</f>
        <v/>
      </c>
      <c r="C434" s="15" t="str">
        <f aca="false">IF($A434="","",회원명부!$C431)</f>
        <v/>
      </c>
      <c r="D434" s="23" t="str">
        <f aca="false">IF($A434="","",SUMIFS(결제내역!$E$3:$E$1002,결제내역!$B$3:$B$1002,$A434))</f>
        <v/>
      </c>
      <c r="E434" s="23" t="str">
        <f aca="false">IF($A434="","",SUMIFS(사용내역!$D$3:$D$3002,사용내역!$B$3:$B$3002,$A434))</f>
        <v/>
      </c>
      <c r="F434" s="23" t="str">
        <f aca="false">IF($A434="","",$D434-$E434)</f>
        <v/>
      </c>
      <c r="G434" s="17" t="str">
        <f aca="false">IF($A434="","",IF(COUNTIFS(결제내역!$B$3:$B$1002,$A434)=0,"",_xlfn.MAXIFS(결제내역!$G$3:$G$1002,결제내역!$B$3:$B$1002,$A434)))</f>
        <v/>
      </c>
      <c r="H434" s="24" t="str">
        <f aca="true">IF(OR($A434="",$G434=""),"",$G434-TODAY())</f>
        <v/>
      </c>
      <c r="I434" s="16" t="str">
        <f aca="false">IF($A434="","",SUMIFS(결제내역!$H$3:$H$1002,결제내역!$B$3:$B$1002,$A434))</f>
        <v/>
      </c>
      <c r="J434" s="25" t="str">
        <f aca="false">IF($A434="","",IF($D434=0,"미결제",IF($F434&lt;=0,"횟수소진",IF($H434="","",IF($H434&lt;0,"기간만료",IF(OR($F434&lt;=사용안내!$C$18,$H434&lt;=사용안내!$C$17),"재결제 안내","정상"))))))</f>
        <v/>
      </c>
    </row>
    <row r="435" customFormat="false" ht="15" hidden="false" customHeight="true" outlineLevel="0" collapsed="false">
      <c r="A435" s="15" t="str">
        <f aca="false">IF(회원명부!$A432="","",회원명부!$A432)</f>
        <v/>
      </c>
      <c r="B435" s="15" t="str">
        <f aca="false">IF($A435="","",회원명부!$B432)</f>
        <v/>
      </c>
      <c r="C435" s="15" t="str">
        <f aca="false">IF($A435="","",회원명부!$C432)</f>
        <v/>
      </c>
      <c r="D435" s="23" t="str">
        <f aca="false">IF($A435="","",SUMIFS(결제내역!$E$3:$E$1002,결제내역!$B$3:$B$1002,$A435))</f>
        <v/>
      </c>
      <c r="E435" s="23" t="str">
        <f aca="false">IF($A435="","",SUMIFS(사용내역!$D$3:$D$3002,사용내역!$B$3:$B$3002,$A435))</f>
        <v/>
      </c>
      <c r="F435" s="23" t="str">
        <f aca="false">IF($A435="","",$D435-$E435)</f>
        <v/>
      </c>
      <c r="G435" s="17" t="str">
        <f aca="false">IF($A435="","",IF(COUNTIFS(결제내역!$B$3:$B$1002,$A435)=0,"",_xlfn.MAXIFS(결제내역!$G$3:$G$1002,결제내역!$B$3:$B$1002,$A435)))</f>
        <v/>
      </c>
      <c r="H435" s="24" t="str">
        <f aca="true">IF(OR($A435="",$G435=""),"",$G435-TODAY())</f>
        <v/>
      </c>
      <c r="I435" s="16" t="str">
        <f aca="false">IF($A435="","",SUMIFS(결제내역!$H$3:$H$1002,결제내역!$B$3:$B$1002,$A435))</f>
        <v/>
      </c>
      <c r="J435" s="25" t="str">
        <f aca="false">IF($A435="","",IF($D435=0,"미결제",IF($F435&lt;=0,"횟수소진",IF($H435="","",IF($H435&lt;0,"기간만료",IF(OR($F435&lt;=사용안내!$C$18,$H435&lt;=사용안내!$C$17),"재결제 안내","정상"))))))</f>
        <v/>
      </c>
    </row>
    <row r="436" customFormat="false" ht="15" hidden="false" customHeight="true" outlineLevel="0" collapsed="false">
      <c r="A436" s="15" t="str">
        <f aca="false">IF(회원명부!$A433="","",회원명부!$A433)</f>
        <v/>
      </c>
      <c r="B436" s="15" t="str">
        <f aca="false">IF($A436="","",회원명부!$B433)</f>
        <v/>
      </c>
      <c r="C436" s="15" t="str">
        <f aca="false">IF($A436="","",회원명부!$C433)</f>
        <v/>
      </c>
      <c r="D436" s="23" t="str">
        <f aca="false">IF($A436="","",SUMIFS(결제내역!$E$3:$E$1002,결제내역!$B$3:$B$1002,$A436))</f>
        <v/>
      </c>
      <c r="E436" s="23" t="str">
        <f aca="false">IF($A436="","",SUMIFS(사용내역!$D$3:$D$3002,사용내역!$B$3:$B$3002,$A436))</f>
        <v/>
      </c>
      <c r="F436" s="23" t="str">
        <f aca="false">IF($A436="","",$D436-$E436)</f>
        <v/>
      </c>
      <c r="G436" s="17" t="str">
        <f aca="false">IF($A436="","",IF(COUNTIFS(결제내역!$B$3:$B$1002,$A436)=0,"",_xlfn.MAXIFS(결제내역!$G$3:$G$1002,결제내역!$B$3:$B$1002,$A436)))</f>
        <v/>
      </c>
      <c r="H436" s="24" t="str">
        <f aca="true">IF(OR($A436="",$G436=""),"",$G436-TODAY())</f>
        <v/>
      </c>
      <c r="I436" s="16" t="str">
        <f aca="false">IF($A436="","",SUMIFS(결제내역!$H$3:$H$1002,결제내역!$B$3:$B$1002,$A436))</f>
        <v/>
      </c>
      <c r="J436" s="25" t="str">
        <f aca="false">IF($A436="","",IF($D436=0,"미결제",IF($F436&lt;=0,"횟수소진",IF($H436="","",IF($H436&lt;0,"기간만료",IF(OR($F436&lt;=사용안내!$C$18,$H436&lt;=사용안내!$C$17),"재결제 안내","정상"))))))</f>
        <v/>
      </c>
    </row>
    <row r="437" customFormat="false" ht="15" hidden="false" customHeight="true" outlineLevel="0" collapsed="false">
      <c r="A437" s="15" t="str">
        <f aca="false">IF(회원명부!$A434="","",회원명부!$A434)</f>
        <v/>
      </c>
      <c r="B437" s="15" t="str">
        <f aca="false">IF($A437="","",회원명부!$B434)</f>
        <v/>
      </c>
      <c r="C437" s="15" t="str">
        <f aca="false">IF($A437="","",회원명부!$C434)</f>
        <v/>
      </c>
      <c r="D437" s="23" t="str">
        <f aca="false">IF($A437="","",SUMIFS(결제내역!$E$3:$E$1002,결제내역!$B$3:$B$1002,$A437))</f>
        <v/>
      </c>
      <c r="E437" s="23" t="str">
        <f aca="false">IF($A437="","",SUMIFS(사용내역!$D$3:$D$3002,사용내역!$B$3:$B$3002,$A437))</f>
        <v/>
      </c>
      <c r="F437" s="23" t="str">
        <f aca="false">IF($A437="","",$D437-$E437)</f>
        <v/>
      </c>
      <c r="G437" s="17" t="str">
        <f aca="false">IF($A437="","",IF(COUNTIFS(결제내역!$B$3:$B$1002,$A437)=0,"",_xlfn.MAXIFS(결제내역!$G$3:$G$1002,결제내역!$B$3:$B$1002,$A437)))</f>
        <v/>
      </c>
      <c r="H437" s="24" t="str">
        <f aca="true">IF(OR($A437="",$G437=""),"",$G437-TODAY())</f>
        <v/>
      </c>
      <c r="I437" s="16" t="str">
        <f aca="false">IF($A437="","",SUMIFS(결제내역!$H$3:$H$1002,결제내역!$B$3:$B$1002,$A437))</f>
        <v/>
      </c>
      <c r="J437" s="25" t="str">
        <f aca="false">IF($A437="","",IF($D437=0,"미결제",IF($F437&lt;=0,"횟수소진",IF($H437="","",IF($H437&lt;0,"기간만료",IF(OR($F437&lt;=사용안내!$C$18,$H437&lt;=사용안내!$C$17),"재결제 안내","정상"))))))</f>
        <v/>
      </c>
    </row>
    <row r="438" customFormat="false" ht="15" hidden="false" customHeight="true" outlineLevel="0" collapsed="false">
      <c r="A438" s="15" t="str">
        <f aca="false">IF(회원명부!$A435="","",회원명부!$A435)</f>
        <v/>
      </c>
      <c r="B438" s="15" t="str">
        <f aca="false">IF($A438="","",회원명부!$B435)</f>
        <v/>
      </c>
      <c r="C438" s="15" t="str">
        <f aca="false">IF($A438="","",회원명부!$C435)</f>
        <v/>
      </c>
      <c r="D438" s="23" t="str">
        <f aca="false">IF($A438="","",SUMIFS(결제내역!$E$3:$E$1002,결제내역!$B$3:$B$1002,$A438))</f>
        <v/>
      </c>
      <c r="E438" s="23" t="str">
        <f aca="false">IF($A438="","",SUMIFS(사용내역!$D$3:$D$3002,사용내역!$B$3:$B$3002,$A438))</f>
        <v/>
      </c>
      <c r="F438" s="23" t="str">
        <f aca="false">IF($A438="","",$D438-$E438)</f>
        <v/>
      </c>
      <c r="G438" s="17" t="str">
        <f aca="false">IF($A438="","",IF(COUNTIFS(결제내역!$B$3:$B$1002,$A438)=0,"",_xlfn.MAXIFS(결제내역!$G$3:$G$1002,결제내역!$B$3:$B$1002,$A438)))</f>
        <v/>
      </c>
      <c r="H438" s="24" t="str">
        <f aca="true">IF(OR($A438="",$G438=""),"",$G438-TODAY())</f>
        <v/>
      </c>
      <c r="I438" s="16" t="str">
        <f aca="false">IF($A438="","",SUMIFS(결제내역!$H$3:$H$1002,결제내역!$B$3:$B$1002,$A438))</f>
        <v/>
      </c>
      <c r="J438" s="25" t="str">
        <f aca="false">IF($A438="","",IF($D438=0,"미결제",IF($F438&lt;=0,"횟수소진",IF($H438="","",IF($H438&lt;0,"기간만료",IF(OR($F438&lt;=사용안내!$C$18,$H438&lt;=사용안내!$C$17),"재결제 안내","정상"))))))</f>
        <v/>
      </c>
    </row>
    <row r="439" customFormat="false" ht="15" hidden="false" customHeight="true" outlineLevel="0" collapsed="false">
      <c r="A439" s="15" t="str">
        <f aca="false">IF(회원명부!$A436="","",회원명부!$A436)</f>
        <v/>
      </c>
      <c r="B439" s="15" t="str">
        <f aca="false">IF($A439="","",회원명부!$B436)</f>
        <v/>
      </c>
      <c r="C439" s="15" t="str">
        <f aca="false">IF($A439="","",회원명부!$C436)</f>
        <v/>
      </c>
      <c r="D439" s="23" t="str">
        <f aca="false">IF($A439="","",SUMIFS(결제내역!$E$3:$E$1002,결제내역!$B$3:$B$1002,$A439))</f>
        <v/>
      </c>
      <c r="E439" s="23" t="str">
        <f aca="false">IF($A439="","",SUMIFS(사용내역!$D$3:$D$3002,사용내역!$B$3:$B$3002,$A439))</f>
        <v/>
      </c>
      <c r="F439" s="23" t="str">
        <f aca="false">IF($A439="","",$D439-$E439)</f>
        <v/>
      </c>
      <c r="G439" s="17" t="str">
        <f aca="false">IF($A439="","",IF(COUNTIFS(결제내역!$B$3:$B$1002,$A439)=0,"",_xlfn.MAXIFS(결제내역!$G$3:$G$1002,결제내역!$B$3:$B$1002,$A439)))</f>
        <v/>
      </c>
      <c r="H439" s="24" t="str">
        <f aca="true">IF(OR($A439="",$G439=""),"",$G439-TODAY())</f>
        <v/>
      </c>
      <c r="I439" s="16" t="str">
        <f aca="false">IF($A439="","",SUMIFS(결제내역!$H$3:$H$1002,결제내역!$B$3:$B$1002,$A439))</f>
        <v/>
      </c>
      <c r="J439" s="25" t="str">
        <f aca="false">IF($A439="","",IF($D439=0,"미결제",IF($F439&lt;=0,"횟수소진",IF($H439="","",IF($H439&lt;0,"기간만료",IF(OR($F439&lt;=사용안내!$C$18,$H439&lt;=사용안내!$C$17),"재결제 안내","정상"))))))</f>
        <v/>
      </c>
    </row>
    <row r="440" customFormat="false" ht="15" hidden="false" customHeight="true" outlineLevel="0" collapsed="false">
      <c r="A440" s="15" t="str">
        <f aca="false">IF(회원명부!$A437="","",회원명부!$A437)</f>
        <v/>
      </c>
      <c r="B440" s="15" t="str">
        <f aca="false">IF($A440="","",회원명부!$B437)</f>
        <v/>
      </c>
      <c r="C440" s="15" t="str">
        <f aca="false">IF($A440="","",회원명부!$C437)</f>
        <v/>
      </c>
      <c r="D440" s="23" t="str">
        <f aca="false">IF($A440="","",SUMIFS(결제내역!$E$3:$E$1002,결제내역!$B$3:$B$1002,$A440))</f>
        <v/>
      </c>
      <c r="E440" s="23" t="str">
        <f aca="false">IF($A440="","",SUMIFS(사용내역!$D$3:$D$3002,사용내역!$B$3:$B$3002,$A440))</f>
        <v/>
      </c>
      <c r="F440" s="23" t="str">
        <f aca="false">IF($A440="","",$D440-$E440)</f>
        <v/>
      </c>
      <c r="G440" s="17" t="str">
        <f aca="false">IF($A440="","",IF(COUNTIFS(결제내역!$B$3:$B$1002,$A440)=0,"",_xlfn.MAXIFS(결제내역!$G$3:$G$1002,결제내역!$B$3:$B$1002,$A440)))</f>
        <v/>
      </c>
      <c r="H440" s="24" t="str">
        <f aca="true">IF(OR($A440="",$G440=""),"",$G440-TODAY())</f>
        <v/>
      </c>
      <c r="I440" s="16" t="str">
        <f aca="false">IF($A440="","",SUMIFS(결제내역!$H$3:$H$1002,결제내역!$B$3:$B$1002,$A440))</f>
        <v/>
      </c>
      <c r="J440" s="25" t="str">
        <f aca="false">IF($A440="","",IF($D440=0,"미결제",IF($F440&lt;=0,"횟수소진",IF($H440="","",IF($H440&lt;0,"기간만료",IF(OR($F440&lt;=사용안내!$C$18,$H440&lt;=사용안내!$C$17),"재결제 안내","정상"))))))</f>
        <v/>
      </c>
    </row>
    <row r="441" customFormat="false" ht="15" hidden="false" customHeight="true" outlineLevel="0" collapsed="false">
      <c r="A441" s="15" t="str">
        <f aca="false">IF(회원명부!$A438="","",회원명부!$A438)</f>
        <v/>
      </c>
      <c r="B441" s="15" t="str">
        <f aca="false">IF($A441="","",회원명부!$B438)</f>
        <v/>
      </c>
      <c r="C441" s="15" t="str">
        <f aca="false">IF($A441="","",회원명부!$C438)</f>
        <v/>
      </c>
      <c r="D441" s="23" t="str">
        <f aca="false">IF($A441="","",SUMIFS(결제내역!$E$3:$E$1002,결제내역!$B$3:$B$1002,$A441))</f>
        <v/>
      </c>
      <c r="E441" s="23" t="str">
        <f aca="false">IF($A441="","",SUMIFS(사용내역!$D$3:$D$3002,사용내역!$B$3:$B$3002,$A441))</f>
        <v/>
      </c>
      <c r="F441" s="23" t="str">
        <f aca="false">IF($A441="","",$D441-$E441)</f>
        <v/>
      </c>
      <c r="G441" s="17" t="str">
        <f aca="false">IF($A441="","",IF(COUNTIFS(결제내역!$B$3:$B$1002,$A441)=0,"",_xlfn.MAXIFS(결제내역!$G$3:$G$1002,결제내역!$B$3:$B$1002,$A441)))</f>
        <v/>
      </c>
      <c r="H441" s="24" t="str">
        <f aca="true">IF(OR($A441="",$G441=""),"",$G441-TODAY())</f>
        <v/>
      </c>
      <c r="I441" s="16" t="str">
        <f aca="false">IF($A441="","",SUMIFS(결제내역!$H$3:$H$1002,결제내역!$B$3:$B$1002,$A441))</f>
        <v/>
      </c>
      <c r="J441" s="25" t="str">
        <f aca="false">IF($A441="","",IF($D441=0,"미결제",IF($F441&lt;=0,"횟수소진",IF($H441="","",IF($H441&lt;0,"기간만료",IF(OR($F441&lt;=사용안내!$C$18,$H441&lt;=사용안내!$C$17),"재결제 안내","정상"))))))</f>
        <v/>
      </c>
    </row>
    <row r="442" customFormat="false" ht="15" hidden="false" customHeight="true" outlineLevel="0" collapsed="false">
      <c r="A442" s="15" t="str">
        <f aca="false">IF(회원명부!$A439="","",회원명부!$A439)</f>
        <v/>
      </c>
      <c r="B442" s="15" t="str">
        <f aca="false">IF($A442="","",회원명부!$B439)</f>
        <v/>
      </c>
      <c r="C442" s="15" t="str">
        <f aca="false">IF($A442="","",회원명부!$C439)</f>
        <v/>
      </c>
      <c r="D442" s="23" t="str">
        <f aca="false">IF($A442="","",SUMIFS(결제내역!$E$3:$E$1002,결제내역!$B$3:$B$1002,$A442))</f>
        <v/>
      </c>
      <c r="E442" s="23" t="str">
        <f aca="false">IF($A442="","",SUMIFS(사용내역!$D$3:$D$3002,사용내역!$B$3:$B$3002,$A442))</f>
        <v/>
      </c>
      <c r="F442" s="23" t="str">
        <f aca="false">IF($A442="","",$D442-$E442)</f>
        <v/>
      </c>
      <c r="G442" s="17" t="str">
        <f aca="false">IF($A442="","",IF(COUNTIFS(결제내역!$B$3:$B$1002,$A442)=0,"",_xlfn.MAXIFS(결제내역!$G$3:$G$1002,결제내역!$B$3:$B$1002,$A442)))</f>
        <v/>
      </c>
      <c r="H442" s="24" t="str">
        <f aca="true">IF(OR($A442="",$G442=""),"",$G442-TODAY())</f>
        <v/>
      </c>
      <c r="I442" s="16" t="str">
        <f aca="false">IF($A442="","",SUMIFS(결제내역!$H$3:$H$1002,결제내역!$B$3:$B$1002,$A442))</f>
        <v/>
      </c>
      <c r="J442" s="25" t="str">
        <f aca="false">IF($A442="","",IF($D442=0,"미결제",IF($F442&lt;=0,"횟수소진",IF($H442="","",IF($H442&lt;0,"기간만료",IF(OR($F442&lt;=사용안내!$C$18,$H442&lt;=사용안내!$C$17),"재결제 안내","정상"))))))</f>
        <v/>
      </c>
    </row>
    <row r="443" customFormat="false" ht="15" hidden="false" customHeight="true" outlineLevel="0" collapsed="false">
      <c r="A443" s="15" t="str">
        <f aca="false">IF(회원명부!$A440="","",회원명부!$A440)</f>
        <v/>
      </c>
      <c r="B443" s="15" t="str">
        <f aca="false">IF($A443="","",회원명부!$B440)</f>
        <v/>
      </c>
      <c r="C443" s="15" t="str">
        <f aca="false">IF($A443="","",회원명부!$C440)</f>
        <v/>
      </c>
      <c r="D443" s="23" t="str">
        <f aca="false">IF($A443="","",SUMIFS(결제내역!$E$3:$E$1002,결제내역!$B$3:$B$1002,$A443))</f>
        <v/>
      </c>
      <c r="E443" s="23" t="str">
        <f aca="false">IF($A443="","",SUMIFS(사용내역!$D$3:$D$3002,사용내역!$B$3:$B$3002,$A443))</f>
        <v/>
      </c>
      <c r="F443" s="23" t="str">
        <f aca="false">IF($A443="","",$D443-$E443)</f>
        <v/>
      </c>
      <c r="G443" s="17" t="str">
        <f aca="false">IF($A443="","",IF(COUNTIFS(결제내역!$B$3:$B$1002,$A443)=0,"",_xlfn.MAXIFS(결제내역!$G$3:$G$1002,결제내역!$B$3:$B$1002,$A443)))</f>
        <v/>
      </c>
      <c r="H443" s="24" t="str">
        <f aca="true">IF(OR($A443="",$G443=""),"",$G443-TODAY())</f>
        <v/>
      </c>
      <c r="I443" s="16" t="str">
        <f aca="false">IF($A443="","",SUMIFS(결제내역!$H$3:$H$1002,결제내역!$B$3:$B$1002,$A443))</f>
        <v/>
      </c>
      <c r="J443" s="25" t="str">
        <f aca="false">IF($A443="","",IF($D443=0,"미결제",IF($F443&lt;=0,"횟수소진",IF($H443="","",IF($H443&lt;0,"기간만료",IF(OR($F443&lt;=사용안내!$C$18,$H443&lt;=사용안내!$C$17),"재결제 안내","정상"))))))</f>
        <v/>
      </c>
    </row>
    <row r="444" customFormat="false" ht="15" hidden="false" customHeight="true" outlineLevel="0" collapsed="false">
      <c r="A444" s="15" t="str">
        <f aca="false">IF(회원명부!$A441="","",회원명부!$A441)</f>
        <v/>
      </c>
      <c r="B444" s="15" t="str">
        <f aca="false">IF($A444="","",회원명부!$B441)</f>
        <v/>
      </c>
      <c r="C444" s="15" t="str">
        <f aca="false">IF($A444="","",회원명부!$C441)</f>
        <v/>
      </c>
      <c r="D444" s="23" t="str">
        <f aca="false">IF($A444="","",SUMIFS(결제내역!$E$3:$E$1002,결제내역!$B$3:$B$1002,$A444))</f>
        <v/>
      </c>
      <c r="E444" s="23" t="str">
        <f aca="false">IF($A444="","",SUMIFS(사용내역!$D$3:$D$3002,사용내역!$B$3:$B$3002,$A444))</f>
        <v/>
      </c>
      <c r="F444" s="23" t="str">
        <f aca="false">IF($A444="","",$D444-$E444)</f>
        <v/>
      </c>
      <c r="G444" s="17" t="str">
        <f aca="false">IF($A444="","",IF(COUNTIFS(결제내역!$B$3:$B$1002,$A444)=0,"",_xlfn.MAXIFS(결제내역!$G$3:$G$1002,결제내역!$B$3:$B$1002,$A444)))</f>
        <v/>
      </c>
      <c r="H444" s="24" t="str">
        <f aca="true">IF(OR($A444="",$G444=""),"",$G444-TODAY())</f>
        <v/>
      </c>
      <c r="I444" s="16" t="str">
        <f aca="false">IF($A444="","",SUMIFS(결제내역!$H$3:$H$1002,결제내역!$B$3:$B$1002,$A444))</f>
        <v/>
      </c>
      <c r="J444" s="25" t="str">
        <f aca="false">IF($A444="","",IF($D444=0,"미결제",IF($F444&lt;=0,"횟수소진",IF($H444="","",IF($H444&lt;0,"기간만료",IF(OR($F444&lt;=사용안내!$C$18,$H444&lt;=사용안내!$C$17),"재결제 안내","정상"))))))</f>
        <v/>
      </c>
    </row>
    <row r="445" customFormat="false" ht="15" hidden="false" customHeight="true" outlineLevel="0" collapsed="false">
      <c r="A445" s="15" t="str">
        <f aca="false">IF(회원명부!$A442="","",회원명부!$A442)</f>
        <v/>
      </c>
      <c r="B445" s="15" t="str">
        <f aca="false">IF($A445="","",회원명부!$B442)</f>
        <v/>
      </c>
      <c r="C445" s="15" t="str">
        <f aca="false">IF($A445="","",회원명부!$C442)</f>
        <v/>
      </c>
      <c r="D445" s="23" t="str">
        <f aca="false">IF($A445="","",SUMIFS(결제내역!$E$3:$E$1002,결제내역!$B$3:$B$1002,$A445))</f>
        <v/>
      </c>
      <c r="E445" s="23" t="str">
        <f aca="false">IF($A445="","",SUMIFS(사용내역!$D$3:$D$3002,사용내역!$B$3:$B$3002,$A445))</f>
        <v/>
      </c>
      <c r="F445" s="23" t="str">
        <f aca="false">IF($A445="","",$D445-$E445)</f>
        <v/>
      </c>
      <c r="G445" s="17" t="str">
        <f aca="false">IF($A445="","",IF(COUNTIFS(결제내역!$B$3:$B$1002,$A445)=0,"",_xlfn.MAXIFS(결제내역!$G$3:$G$1002,결제내역!$B$3:$B$1002,$A445)))</f>
        <v/>
      </c>
      <c r="H445" s="24" t="str">
        <f aca="true">IF(OR($A445="",$G445=""),"",$G445-TODAY())</f>
        <v/>
      </c>
      <c r="I445" s="16" t="str">
        <f aca="false">IF($A445="","",SUMIFS(결제내역!$H$3:$H$1002,결제내역!$B$3:$B$1002,$A445))</f>
        <v/>
      </c>
      <c r="J445" s="25" t="str">
        <f aca="false">IF($A445="","",IF($D445=0,"미결제",IF($F445&lt;=0,"횟수소진",IF($H445="","",IF($H445&lt;0,"기간만료",IF(OR($F445&lt;=사용안내!$C$18,$H445&lt;=사용안내!$C$17),"재결제 안내","정상"))))))</f>
        <v/>
      </c>
    </row>
    <row r="446" customFormat="false" ht="15" hidden="false" customHeight="true" outlineLevel="0" collapsed="false">
      <c r="A446" s="15" t="str">
        <f aca="false">IF(회원명부!$A443="","",회원명부!$A443)</f>
        <v/>
      </c>
      <c r="B446" s="15" t="str">
        <f aca="false">IF($A446="","",회원명부!$B443)</f>
        <v/>
      </c>
      <c r="C446" s="15" t="str">
        <f aca="false">IF($A446="","",회원명부!$C443)</f>
        <v/>
      </c>
      <c r="D446" s="23" t="str">
        <f aca="false">IF($A446="","",SUMIFS(결제내역!$E$3:$E$1002,결제내역!$B$3:$B$1002,$A446))</f>
        <v/>
      </c>
      <c r="E446" s="23" t="str">
        <f aca="false">IF($A446="","",SUMIFS(사용내역!$D$3:$D$3002,사용내역!$B$3:$B$3002,$A446))</f>
        <v/>
      </c>
      <c r="F446" s="23" t="str">
        <f aca="false">IF($A446="","",$D446-$E446)</f>
        <v/>
      </c>
      <c r="G446" s="17" t="str">
        <f aca="false">IF($A446="","",IF(COUNTIFS(결제내역!$B$3:$B$1002,$A446)=0,"",_xlfn.MAXIFS(결제내역!$G$3:$G$1002,결제내역!$B$3:$B$1002,$A446)))</f>
        <v/>
      </c>
      <c r="H446" s="24" t="str">
        <f aca="true">IF(OR($A446="",$G446=""),"",$G446-TODAY())</f>
        <v/>
      </c>
      <c r="I446" s="16" t="str">
        <f aca="false">IF($A446="","",SUMIFS(결제내역!$H$3:$H$1002,결제내역!$B$3:$B$1002,$A446))</f>
        <v/>
      </c>
      <c r="J446" s="25" t="str">
        <f aca="false">IF($A446="","",IF($D446=0,"미결제",IF($F446&lt;=0,"횟수소진",IF($H446="","",IF($H446&lt;0,"기간만료",IF(OR($F446&lt;=사용안내!$C$18,$H446&lt;=사용안내!$C$17),"재결제 안내","정상"))))))</f>
        <v/>
      </c>
    </row>
    <row r="447" customFormat="false" ht="15" hidden="false" customHeight="true" outlineLevel="0" collapsed="false">
      <c r="A447" s="15" t="str">
        <f aca="false">IF(회원명부!$A444="","",회원명부!$A444)</f>
        <v/>
      </c>
      <c r="B447" s="15" t="str">
        <f aca="false">IF($A447="","",회원명부!$B444)</f>
        <v/>
      </c>
      <c r="C447" s="15" t="str">
        <f aca="false">IF($A447="","",회원명부!$C444)</f>
        <v/>
      </c>
      <c r="D447" s="23" t="str">
        <f aca="false">IF($A447="","",SUMIFS(결제내역!$E$3:$E$1002,결제내역!$B$3:$B$1002,$A447))</f>
        <v/>
      </c>
      <c r="E447" s="23" t="str">
        <f aca="false">IF($A447="","",SUMIFS(사용내역!$D$3:$D$3002,사용내역!$B$3:$B$3002,$A447))</f>
        <v/>
      </c>
      <c r="F447" s="23" t="str">
        <f aca="false">IF($A447="","",$D447-$E447)</f>
        <v/>
      </c>
      <c r="G447" s="17" t="str">
        <f aca="false">IF($A447="","",IF(COUNTIFS(결제내역!$B$3:$B$1002,$A447)=0,"",_xlfn.MAXIFS(결제내역!$G$3:$G$1002,결제내역!$B$3:$B$1002,$A447)))</f>
        <v/>
      </c>
      <c r="H447" s="24" t="str">
        <f aca="true">IF(OR($A447="",$G447=""),"",$G447-TODAY())</f>
        <v/>
      </c>
      <c r="I447" s="16" t="str">
        <f aca="false">IF($A447="","",SUMIFS(결제내역!$H$3:$H$1002,결제내역!$B$3:$B$1002,$A447))</f>
        <v/>
      </c>
      <c r="J447" s="25" t="str">
        <f aca="false">IF($A447="","",IF($D447=0,"미결제",IF($F447&lt;=0,"횟수소진",IF($H447="","",IF($H447&lt;0,"기간만료",IF(OR($F447&lt;=사용안내!$C$18,$H447&lt;=사용안내!$C$17),"재결제 안내","정상"))))))</f>
        <v/>
      </c>
    </row>
    <row r="448" customFormat="false" ht="15" hidden="false" customHeight="true" outlineLevel="0" collapsed="false">
      <c r="A448" s="15" t="str">
        <f aca="false">IF(회원명부!$A445="","",회원명부!$A445)</f>
        <v/>
      </c>
      <c r="B448" s="15" t="str">
        <f aca="false">IF($A448="","",회원명부!$B445)</f>
        <v/>
      </c>
      <c r="C448" s="15" t="str">
        <f aca="false">IF($A448="","",회원명부!$C445)</f>
        <v/>
      </c>
      <c r="D448" s="23" t="str">
        <f aca="false">IF($A448="","",SUMIFS(결제내역!$E$3:$E$1002,결제내역!$B$3:$B$1002,$A448))</f>
        <v/>
      </c>
      <c r="E448" s="23" t="str">
        <f aca="false">IF($A448="","",SUMIFS(사용내역!$D$3:$D$3002,사용내역!$B$3:$B$3002,$A448))</f>
        <v/>
      </c>
      <c r="F448" s="23" t="str">
        <f aca="false">IF($A448="","",$D448-$E448)</f>
        <v/>
      </c>
      <c r="G448" s="17" t="str">
        <f aca="false">IF($A448="","",IF(COUNTIFS(결제내역!$B$3:$B$1002,$A448)=0,"",_xlfn.MAXIFS(결제내역!$G$3:$G$1002,결제내역!$B$3:$B$1002,$A448)))</f>
        <v/>
      </c>
      <c r="H448" s="24" t="str">
        <f aca="true">IF(OR($A448="",$G448=""),"",$G448-TODAY())</f>
        <v/>
      </c>
      <c r="I448" s="16" t="str">
        <f aca="false">IF($A448="","",SUMIFS(결제내역!$H$3:$H$1002,결제내역!$B$3:$B$1002,$A448))</f>
        <v/>
      </c>
      <c r="J448" s="25" t="str">
        <f aca="false">IF($A448="","",IF($D448=0,"미결제",IF($F448&lt;=0,"횟수소진",IF($H448="","",IF($H448&lt;0,"기간만료",IF(OR($F448&lt;=사용안내!$C$18,$H448&lt;=사용안내!$C$17),"재결제 안내","정상"))))))</f>
        <v/>
      </c>
    </row>
    <row r="449" customFormat="false" ht="15" hidden="false" customHeight="true" outlineLevel="0" collapsed="false">
      <c r="A449" s="15" t="str">
        <f aca="false">IF(회원명부!$A446="","",회원명부!$A446)</f>
        <v/>
      </c>
      <c r="B449" s="15" t="str">
        <f aca="false">IF($A449="","",회원명부!$B446)</f>
        <v/>
      </c>
      <c r="C449" s="15" t="str">
        <f aca="false">IF($A449="","",회원명부!$C446)</f>
        <v/>
      </c>
      <c r="D449" s="23" t="str">
        <f aca="false">IF($A449="","",SUMIFS(결제내역!$E$3:$E$1002,결제내역!$B$3:$B$1002,$A449))</f>
        <v/>
      </c>
      <c r="E449" s="23" t="str">
        <f aca="false">IF($A449="","",SUMIFS(사용내역!$D$3:$D$3002,사용내역!$B$3:$B$3002,$A449))</f>
        <v/>
      </c>
      <c r="F449" s="23" t="str">
        <f aca="false">IF($A449="","",$D449-$E449)</f>
        <v/>
      </c>
      <c r="G449" s="17" t="str">
        <f aca="false">IF($A449="","",IF(COUNTIFS(결제내역!$B$3:$B$1002,$A449)=0,"",_xlfn.MAXIFS(결제내역!$G$3:$G$1002,결제내역!$B$3:$B$1002,$A449)))</f>
        <v/>
      </c>
      <c r="H449" s="24" t="str">
        <f aca="true">IF(OR($A449="",$G449=""),"",$G449-TODAY())</f>
        <v/>
      </c>
      <c r="I449" s="16" t="str">
        <f aca="false">IF($A449="","",SUMIFS(결제내역!$H$3:$H$1002,결제내역!$B$3:$B$1002,$A449))</f>
        <v/>
      </c>
      <c r="J449" s="25" t="str">
        <f aca="false">IF($A449="","",IF($D449=0,"미결제",IF($F449&lt;=0,"횟수소진",IF($H449="","",IF($H449&lt;0,"기간만료",IF(OR($F449&lt;=사용안내!$C$18,$H449&lt;=사용안내!$C$17),"재결제 안내","정상"))))))</f>
        <v/>
      </c>
    </row>
    <row r="450" customFormat="false" ht="15" hidden="false" customHeight="true" outlineLevel="0" collapsed="false">
      <c r="A450" s="15" t="str">
        <f aca="false">IF(회원명부!$A447="","",회원명부!$A447)</f>
        <v/>
      </c>
      <c r="B450" s="15" t="str">
        <f aca="false">IF($A450="","",회원명부!$B447)</f>
        <v/>
      </c>
      <c r="C450" s="15" t="str">
        <f aca="false">IF($A450="","",회원명부!$C447)</f>
        <v/>
      </c>
      <c r="D450" s="23" t="str">
        <f aca="false">IF($A450="","",SUMIFS(결제내역!$E$3:$E$1002,결제내역!$B$3:$B$1002,$A450))</f>
        <v/>
      </c>
      <c r="E450" s="23" t="str">
        <f aca="false">IF($A450="","",SUMIFS(사용내역!$D$3:$D$3002,사용내역!$B$3:$B$3002,$A450))</f>
        <v/>
      </c>
      <c r="F450" s="23" t="str">
        <f aca="false">IF($A450="","",$D450-$E450)</f>
        <v/>
      </c>
      <c r="G450" s="17" t="str">
        <f aca="false">IF($A450="","",IF(COUNTIFS(결제내역!$B$3:$B$1002,$A450)=0,"",_xlfn.MAXIFS(결제내역!$G$3:$G$1002,결제내역!$B$3:$B$1002,$A450)))</f>
        <v/>
      </c>
      <c r="H450" s="24" t="str">
        <f aca="true">IF(OR($A450="",$G450=""),"",$G450-TODAY())</f>
        <v/>
      </c>
      <c r="I450" s="16" t="str">
        <f aca="false">IF($A450="","",SUMIFS(결제내역!$H$3:$H$1002,결제내역!$B$3:$B$1002,$A450))</f>
        <v/>
      </c>
      <c r="J450" s="25" t="str">
        <f aca="false">IF($A450="","",IF($D450=0,"미결제",IF($F450&lt;=0,"횟수소진",IF($H450="","",IF($H450&lt;0,"기간만료",IF(OR($F450&lt;=사용안내!$C$18,$H450&lt;=사용안내!$C$17),"재결제 안내","정상"))))))</f>
        <v/>
      </c>
    </row>
    <row r="451" customFormat="false" ht="15" hidden="false" customHeight="true" outlineLevel="0" collapsed="false">
      <c r="A451" s="15" t="str">
        <f aca="false">IF(회원명부!$A448="","",회원명부!$A448)</f>
        <v/>
      </c>
      <c r="B451" s="15" t="str">
        <f aca="false">IF($A451="","",회원명부!$B448)</f>
        <v/>
      </c>
      <c r="C451" s="15" t="str">
        <f aca="false">IF($A451="","",회원명부!$C448)</f>
        <v/>
      </c>
      <c r="D451" s="23" t="str">
        <f aca="false">IF($A451="","",SUMIFS(결제내역!$E$3:$E$1002,결제내역!$B$3:$B$1002,$A451))</f>
        <v/>
      </c>
      <c r="E451" s="23" t="str">
        <f aca="false">IF($A451="","",SUMIFS(사용내역!$D$3:$D$3002,사용내역!$B$3:$B$3002,$A451))</f>
        <v/>
      </c>
      <c r="F451" s="23" t="str">
        <f aca="false">IF($A451="","",$D451-$E451)</f>
        <v/>
      </c>
      <c r="G451" s="17" t="str">
        <f aca="false">IF($A451="","",IF(COUNTIFS(결제내역!$B$3:$B$1002,$A451)=0,"",_xlfn.MAXIFS(결제내역!$G$3:$G$1002,결제내역!$B$3:$B$1002,$A451)))</f>
        <v/>
      </c>
      <c r="H451" s="24" t="str">
        <f aca="true">IF(OR($A451="",$G451=""),"",$G451-TODAY())</f>
        <v/>
      </c>
      <c r="I451" s="16" t="str">
        <f aca="false">IF($A451="","",SUMIFS(결제내역!$H$3:$H$1002,결제내역!$B$3:$B$1002,$A451))</f>
        <v/>
      </c>
      <c r="J451" s="25" t="str">
        <f aca="false">IF($A451="","",IF($D451=0,"미결제",IF($F451&lt;=0,"횟수소진",IF($H451="","",IF($H451&lt;0,"기간만료",IF(OR($F451&lt;=사용안내!$C$18,$H451&lt;=사용안내!$C$17),"재결제 안내","정상"))))))</f>
        <v/>
      </c>
    </row>
    <row r="452" customFormat="false" ht="15" hidden="false" customHeight="true" outlineLevel="0" collapsed="false">
      <c r="A452" s="15" t="str">
        <f aca="false">IF(회원명부!$A449="","",회원명부!$A449)</f>
        <v/>
      </c>
      <c r="B452" s="15" t="str">
        <f aca="false">IF($A452="","",회원명부!$B449)</f>
        <v/>
      </c>
      <c r="C452" s="15" t="str">
        <f aca="false">IF($A452="","",회원명부!$C449)</f>
        <v/>
      </c>
      <c r="D452" s="23" t="str">
        <f aca="false">IF($A452="","",SUMIFS(결제내역!$E$3:$E$1002,결제내역!$B$3:$B$1002,$A452))</f>
        <v/>
      </c>
      <c r="E452" s="23" t="str">
        <f aca="false">IF($A452="","",SUMIFS(사용내역!$D$3:$D$3002,사용내역!$B$3:$B$3002,$A452))</f>
        <v/>
      </c>
      <c r="F452" s="23" t="str">
        <f aca="false">IF($A452="","",$D452-$E452)</f>
        <v/>
      </c>
      <c r="G452" s="17" t="str">
        <f aca="false">IF($A452="","",IF(COUNTIFS(결제내역!$B$3:$B$1002,$A452)=0,"",_xlfn.MAXIFS(결제내역!$G$3:$G$1002,결제내역!$B$3:$B$1002,$A452)))</f>
        <v/>
      </c>
      <c r="H452" s="24" t="str">
        <f aca="true">IF(OR($A452="",$G452=""),"",$G452-TODAY())</f>
        <v/>
      </c>
      <c r="I452" s="16" t="str">
        <f aca="false">IF($A452="","",SUMIFS(결제내역!$H$3:$H$1002,결제내역!$B$3:$B$1002,$A452))</f>
        <v/>
      </c>
      <c r="J452" s="25" t="str">
        <f aca="false">IF($A452="","",IF($D452=0,"미결제",IF($F452&lt;=0,"횟수소진",IF($H452="","",IF($H452&lt;0,"기간만료",IF(OR($F452&lt;=사용안내!$C$18,$H452&lt;=사용안내!$C$17),"재결제 안내","정상"))))))</f>
        <v/>
      </c>
    </row>
    <row r="453" customFormat="false" ht="15" hidden="false" customHeight="true" outlineLevel="0" collapsed="false">
      <c r="A453" s="15" t="str">
        <f aca="false">IF(회원명부!$A450="","",회원명부!$A450)</f>
        <v/>
      </c>
      <c r="B453" s="15" t="str">
        <f aca="false">IF($A453="","",회원명부!$B450)</f>
        <v/>
      </c>
      <c r="C453" s="15" t="str">
        <f aca="false">IF($A453="","",회원명부!$C450)</f>
        <v/>
      </c>
      <c r="D453" s="23" t="str">
        <f aca="false">IF($A453="","",SUMIFS(결제내역!$E$3:$E$1002,결제내역!$B$3:$B$1002,$A453))</f>
        <v/>
      </c>
      <c r="E453" s="23" t="str">
        <f aca="false">IF($A453="","",SUMIFS(사용내역!$D$3:$D$3002,사용내역!$B$3:$B$3002,$A453))</f>
        <v/>
      </c>
      <c r="F453" s="23" t="str">
        <f aca="false">IF($A453="","",$D453-$E453)</f>
        <v/>
      </c>
      <c r="G453" s="17" t="str">
        <f aca="false">IF($A453="","",IF(COUNTIFS(결제내역!$B$3:$B$1002,$A453)=0,"",_xlfn.MAXIFS(결제내역!$G$3:$G$1002,결제내역!$B$3:$B$1002,$A453)))</f>
        <v/>
      </c>
      <c r="H453" s="24" t="str">
        <f aca="true">IF(OR($A453="",$G453=""),"",$G453-TODAY())</f>
        <v/>
      </c>
      <c r="I453" s="16" t="str">
        <f aca="false">IF($A453="","",SUMIFS(결제내역!$H$3:$H$1002,결제내역!$B$3:$B$1002,$A453))</f>
        <v/>
      </c>
      <c r="J453" s="25" t="str">
        <f aca="false">IF($A453="","",IF($D453=0,"미결제",IF($F453&lt;=0,"횟수소진",IF($H453="","",IF($H453&lt;0,"기간만료",IF(OR($F453&lt;=사용안내!$C$18,$H453&lt;=사용안내!$C$17),"재결제 안내","정상"))))))</f>
        <v/>
      </c>
    </row>
    <row r="454" customFormat="false" ht="15" hidden="false" customHeight="true" outlineLevel="0" collapsed="false">
      <c r="A454" s="15" t="str">
        <f aca="false">IF(회원명부!$A451="","",회원명부!$A451)</f>
        <v/>
      </c>
      <c r="B454" s="15" t="str">
        <f aca="false">IF($A454="","",회원명부!$B451)</f>
        <v/>
      </c>
      <c r="C454" s="15" t="str">
        <f aca="false">IF($A454="","",회원명부!$C451)</f>
        <v/>
      </c>
      <c r="D454" s="23" t="str">
        <f aca="false">IF($A454="","",SUMIFS(결제내역!$E$3:$E$1002,결제내역!$B$3:$B$1002,$A454))</f>
        <v/>
      </c>
      <c r="E454" s="23" t="str">
        <f aca="false">IF($A454="","",SUMIFS(사용내역!$D$3:$D$3002,사용내역!$B$3:$B$3002,$A454))</f>
        <v/>
      </c>
      <c r="F454" s="23" t="str">
        <f aca="false">IF($A454="","",$D454-$E454)</f>
        <v/>
      </c>
      <c r="G454" s="17" t="str">
        <f aca="false">IF($A454="","",IF(COUNTIFS(결제내역!$B$3:$B$1002,$A454)=0,"",_xlfn.MAXIFS(결제내역!$G$3:$G$1002,결제내역!$B$3:$B$1002,$A454)))</f>
        <v/>
      </c>
      <c r="H454" s="24" t="str">
        <f aca="true">IF(OR($A454="",$G454=""),"",$G454-TODAY())</f>
        <v/>
      </c>
      <c r="I454" s="16" t="str">
        <f aca="false">IF($A454="","",SUMIFS(결제내역!$H$3:$H$1002,결제내역!$B$3:$B$1002,$A454))</f>
        <v/>
      </c>
      <c r="J454" s="25" t="str">
        <f aca="false">IF($A454="","",IF($D454=0,"미결제",IF($F454&lt;=0,"횟수소진",IF($H454="","",IF($H454&lt;0,"기간만료",IF(OR($F454&lt;=사용안내!$C$18,$H454&lt;=사용안내!$C$17),"재결제 안내","정상"))))))</f>
        <v/>
      </c>
    </row>
    <row r="455" customFormat="false" ht="15" hidden="false" customHeight="true" outlineLevel="0" collapsed="false">
      <c r="A455" s="15" t="str">
        <f aca="false">IF(회원명부!$A452="","",회원명부!$A452)</f>
        <v/>
      </c>
      <c r="B455" s="15" t="str">
        <f aca="false">IF($A455="","",회원명부!$B452)</f>
        <v/>
      </c>
      <c r="C455" s="15" t="str">
        <f aca="false">IF($A455="","",회원명부!$C452)</f>
        <v/>
      </c>
      <c r="D455" s="23" t="str">
        <f aca="false">IF($A455="","",SUMIFS(결제내역!$E$3:$E$1002,결제내역!$B$3:$B$1002,$A455))</f>
        <v/>
      </c>
      <c r="E455" s="23" t="str">
        <f aca="false">IF($A455="","",SUMIFS(사용내역!$D$3:$D$3002,사용내역!$B$3:$B$3002,$A455))</f>
        <v/>
      </c>
      <c r="F455" s="23" t="str">
        <f aca="false">IF($A455="","",$D455-$E455)</f>
        <v/>
      </c>
      <c r="G455" s="17" t="str">
        <f aca="false">IF($A455="","",IF(COUNTIFS(결제내역!$B$3:$B$1002,$A455)=0,"",_xlfn.MAXIFS(결제내역!$G$3:$G$1002,결제내역!$B$3:$B$1002,$A455)))</f>
        <v/>
      </c>
      <c r="H455" s="24" t="str">
        <f aca="true">IF(OR($A455="",$G455=""),"",$G455-TODAY())</f>
        <v/>
      </c>
      <c r="I455" s="16" t="str">
        <f aca="false">IF($A455="","",SUMIFS(결제내역!$H$3:$H$1002,결제내역!$B$3:$B$1002,$A455))</f>
        <v/>
      </c>
      <c r="J455" s="25" t="str">
        <f aca="false">IF($A455="","",IF($D455=0,"미결제",IF($F455&lt;=0,"횟수소진",IF($H455="","",IF($H455&lt;0,"기간만료",IF(OR($F455&lt;=사용안내!$C$18,$H455&lt;=사용안내!$C$17),"재결제 안내","정상"))))))</f>
        <v/>
      </c>
    </row>
    <row r="456" customFormat="false" ht="15" hidden="false" customHeight="true" outlineLevel="0" collapsed="false">
      <c r="A456" s="15" t="str">
        <f aca="false">IF(회원명부!$A453="","",회원명부!$A453)</f>
        <v/>
      </c>
      <c r="B456" s="15" t="str">
        <f aca="false">IF($A456="","",회원명부!$B453)</f>
        <v/>
      </c>
      <c r="C456" s="15" t="str">
        <f aca="false">IF($A456="","",회원명부!$C453)</f>
        <v/>
      </c>
      <c r="D456" s="23" t="str">
        <f aca="false">IF($A456="","",SUMIFS(결제내역!$E$3:$E$1002,결제내역!$B$3:$B$1002,$A456))</f>
        <v/>
      </c>
      <c r="E456" s="23" t="str">
        <f aca="false">IF($A456="","",SUMIFS(사용내역!$D$3:$D$3002,사용내역!$B$3:$B$3002,$A456))</f>
        <v/>
      </c>
      <c r="F456" s="23" t="str">
        <f aca="false">IF($A456="","",$D456-$E456)</f>
        <v/>
      </c>
      <c r="G456" s="17" t="str">
        <f aca="false">IF($A456="","",IF(COUNTIFS(결제내역!$B$3:$B$1002,$A456)=0,"",_xlfn.MAXIFS(결제내역!$G$3:$G$1002,결제내역!$B$3:$B$1002,$A456)))</f>
        <v/>
      </c>
      <c r="H456" s="24" t="str">
        <f aca="true">IF(OR($A456="",$G456=""),"",$G456-TODAY())</f>
        <v/>
      </c>
      <c r="I456" s="16" t="str">
        <f aca="false">IF($A456="","",SUMIFS(결제내역!$H$3:$H$1002,결제내역!$B$3:$B$1002,$A456))</f>
        <v/>
      </c>
      <c r="J456" s="25" t="str">
        <f aca="false">IF($A456="","",IF($D456=0,"미결제",IF($F456&lt;=0,"횟수소진",IF($H456="","",IF($H456&lt;0,"기간만료",IF(OR($F456&lt;=사용안내!$C$18,$H456&lt;=사용안내!$C$17),"재결제 안내","정상"))))))</f>
        <v/>
      </c>
    </row>
    <row r="457" customFormat="false" ht="15" hidden="false" customHeight="true" outlineLevel="0" collapsed="false">
      <c r="A457" s="15" t="str">
        <f aca="false">IF(회원명부!$A454="","",회원명부!$A454)</f>
        <v/>
      </c>
      <c r="B457" s="15" t="str">
        <f aca="false">IF($A457="","",회원명부!$B454)</f>
        <v/>
      </c>
      <c r="C457" s="15" t="str">
        <f aca="false">IF($A457="","",회원명부!$C454)</f>
        <v/>
      </c>
      <c r="D457" s="23" t="str">
        <f aca="false">IF($A457="","",SUMIFS(결제내역!$E$3:$E$1002,결제내역!$B$3:$B$1002,$A457))</f>
        <v/>
      </c>
      <c r="E457" s="23" t="str">
        <f aca="false">IF($A457="","",SUMIFS(사용내역!$D$3:$D$3002,사용내역!$B$3:$B$3002,$A457))</f>
        <v/>
      </c>
      <c r="F457" s="23" t="str">
        <f aca="false">IF($A457="","",$D457-$E457)</f>
        <v/>
      </c>
      <c r="G457" s="17" t="str">
        <f aca="false">IF($A457="","",IF(COUNTIFS(결제내역!$B$3:$B$1002,$A457)=0,"",_xlfn.MAXIFS(결제내역!$G$3:$G$1002,결제내역!$B$3:$B$1002,$A457)))</f>
        <v/>
      </c>
      <c r="H457" s="24" t="str">
        <f aca="true">IF(OR($A457="",$G457=""),"",$G457-TODAY())</f>
        <v/>
      </c>
      <c r="I457" s="16" t="str">
        <f aca="false">IF($A457="","",SUMIFS(결제내역!$H$3:$H$1002,결제내역!$B$3:$B$1002,$A457))</f>
        <v/>
      </c>
      <c r="J457" s="25" t="str">
        <f aca="false">IF($A457="","",IF($D457=0,"미결제",IF($F457&lt;=0,"횟수소진",IF($H457="","",IF($H457&lt;0,"기간만료",IF(OR($F457&lt;=사용안내!$C$18,$H457&lt;=사용안내!$C$17),"재결제 안내","정상"))))))</f>
        <v/>
      </c>
    </row>
    <row r="458" customFormat="false" ht="15" hidden="false" customHeight="true" outlineLevel="0" collapsed="false">
      <c r="A458" s="15" t="str">
        <f aca="false">IF(회원명부!$A455="","",회원명부!$A455)</f>
        <v/>
      </c>
      <c r="B458" s="15" t="str">
        <f aca="false">IF($A458="","",회원명부!$B455)</f>
        <v/>
      </c>
      <c r="C458" s="15" t="str">
        <f aca="false">IF($A458="","",회원명부!$C455)</f>
        <v/>
      </c>
      <c r="D458" s="23" t="str">
        <f aca="false">IF($A458="","",SUMIFS(결제내역!$E$3:$E$1002,결제내역!$B$3:$B$1002,$A458))</f>
        <v/>
      </c>
      <c r="E458" s="23" t="str">
        <f aca="false">IF($A458="","",SUMIFS(사용내역!$D$3:$D$3002,사용내역!$B$3:$B$3002,$A458))</f>
        <v/>
      </c>
      <c r="F458" s="23" t="str">
        <f aca="false">IF($A458="","",$D458-$E458)</f>
        <v/>
      </c>
      <c r="G458" s="17" t="str">
        <f aca="false">IF($A458="","",IF(COUNTIFS(결제내역!$B$3:$B$1002,$A458)=0,"",_xlfn.MAXIFS(결제내역!$G$3:$G$1002,결제내역!$B$3:$B$1002,$A458)))</f>
        <v/>
      </c>
      <c r="H458" s="24" t="str">
        <f aca="true">IF(OR($A458="",$G458=""),"",$G458-TODAY())</f>
        <v/>
      </c>
      <c r="I458" s="16" t="str">
        <f aca="false">IF($A458="","",SUMIFS(결제내역!$H$3:$H$1002,결제내역!$B$3:$B$1002,$A458))</f>
        <v/>
      </c>
      <c r="J458" s="25" t="str">
        <f aca="false">IF($A458="","",IF($D458=0,"미결제",IF($F458&lt;=0,"횟수소진",IF($H458="","",IF($H458&lt;0,"기간만료",IF(OR($F458&lt;=사용안내!$C$18,$H458&lt;=사용안내!$C$17),"재결제 안내","정상"))))))</f>
        <v/>
      </c>
    </row>
    <row r="459" customFormat="false" ht="15" hidden="false" customHeight="true" outlineLevel="0" collapsed="false">
      <c r="A459" s="15" t="str">
        <f aca="false">IF(회원명부!$A456="","",회원명부!$A456)</f>
        <v/>
      </c>
      <c r="B459" s="15" t="str">
        <f aca="false">IF($A459="","",회원명부!$B456)</f>
        <v/>
      </c>
      <c r="C459" s="15" t="str">
        <f aca="false">IF($A459="","",회원명부!$C456)</f>
        <v/>
      </c>
      <c r="D459" s="23" t="str">
        <f aca="false">IF($A459="","",SUMIFS(결제내역!$E$3:$E$1002,결제내역!$B$3:$B$1002,$A459))</f>
        <v/>
      </c>
      <c r="E459" s="23" t="str">
        <f aca="false">IF($A459="","",SUMIFS(사용내역!$D$3:$D$3002,사용내역!$B$3:$B$3002,$A459))</f>
        <v/>
      </c>
      <c r="F459" s="23" t="str">
        <f aca="false">IF($A459="","",$D459-$E459)</f>
        <v/>
      </c>
      <c r="G459" s="17" t="str">
        <f aca="false">IF($A459="","",IF(COUNTIFS(결제내역!$B$3:$B$1002,$A459)=0,"",_xlfn.MAXIFS(결제내역!$G$3:$G$1002,결제내역!$B$3:$B$1002,$A459)))</f>
        <v/>
      </c>
      <c r="H459" s="24" t="str">
        <f aca="true">IF(OR($A459="",$G459=""),"",$G459-TODAY())</f>
        <v/>
      </c>
      <c r="I459" s="16" t="str">
        <f aca="false">IF($A459="","",SUMIFS(결제내역!$H$3:$H$1002,결제내역!$B$3:$B$1002,$A459))</f>
        <v/>
      </c>
      <c r="J459" s="25" t="str">
        <f aca="false">IF($A459="","",IF($D459=0,"미결제",IF($F459&lt;=0,"횟수소진",IF($H459="","",IF($H459&lt;0,"기간만료",IF(OR($F459&lt;=사용안내!$C$18,$H459&lt;=사용안내!$C$17),"재결제 안내","정상"))))))</f>
        <v/>
      </c>
    </row>
    <row r="460" customFormat="false" ht="15" hidden="false" customHeight="true" outlineLevel="0" collapsed="false">
      <c r="A460" s="15" t="str">
        <f aca="false">IF(회원명부!$A457="","",회원명부!$A457)</f>
        <v/>
      </c>
      <c r="B460" s="15" t="str">
        <f aca="false">IF($A460="","",회원명부!$B457)</f>
        <v/>
      </c>
      <c r="C460" s="15" t="str">
        <f aca="false">IF($A460="","",회원명부!$C457)</f>
        <v/>
      </c>
      <c r="D460" s="23" t="str">
        <f aca="false">IF($A460="","",SUMIFS(결제내역!$E$3:$E$1002,결제내역!$B$3:$B$1002,$A460))</f>
        <v/>
      </c>
      <c r="E460" s="23" t="str">
        <f aca="false">IF($A460="","",SUMIFS(사용내역!$D$3:$D$3002,사용내역!$B$3:$B$3002,$A460))</f>
        <v/>
      </c>
      <c r="F460" s="23" t="str">
        <f aca="false">IF($A460="","",$D460-$E460)</f>
        <v/>
      </c>
      <c r="G460" s="17" t="str">
        <f aca="false">IF($A460="","",IF(COUNTIFS(결제내역!$B$3:$B$1002,$A460)=0,"",_xlfn.MAXIFS(결제내역!$G$3:$G$1002,결제내역!$B$3:$B$1002,$A460)))</f>
        <v/>
      </c>
      <c r="H460" s="24" t="str">
        <f aca="true">IF(OR($A460="",$G460=""),"",$G460-TODAY())</f>
        <v/>
      </c>
      <c r="I460" s="16" t="str">
        <f aca="false">IF($A460="","",SUMIFS(결제내역!$H$3:$H$1002,결제내역!$B$3:$B$1002,$A460))</f>
        <v/>
      </c>
      <c r="J460" s="25" t="str">
        <f aca="false">IF($A460="","",IF($D460=0,"미결제",IF($F460&lt;=0,"횟수소진",IF($H460="","",IF($H460&lt;0,"기간만료",IF(OR($F460&lt;=사용안내!$C$18,$H460&lt;=사용안내!$C$17),"재결제 안내","정상"))))))</f>
        <v/>
      </c>
    </row>
    <row r="461" customFormat="false" ht="15" hidden="false" customHeight="true" outlineLevel="0" collapsed="false">
      <c r="A461" s="15" t="str">
        <f aca="false">IF(회원명부!$A458="","",회원명부!$A458)</f>
        <v/>
      </c>
      <c r="B461" s="15" t="str">
        <f aca="false">IF($A461="","",회원명부!$B458)</f>
        <v/>
      </c>
      <c r="C461" s="15" t="str">
        <f aca="false">IF($A461="","",회원명부!$C458)</f>
        <v/>
      </c>
      <c r="D461" s="23" t="str">
        <f aca="false">IF($A461="","",SUMIFS(결제내역!$E$3:$E$1002,결제내역!$B$3:$B$1002,$A461))</f>
        <v/>
      </c>
      <c r="E461" s="23" t="str">
        <f aca="false">IF($A461="","",SUMIFS(사용내역!$D$3:$D$3002,사용내역!$B$3:$B$3002,$A461))</f>
        <v/>
      </c>
      <c r="F461" s="23" t="str">
        <f aca="false">IF($A461="","",$D461-$E461)</f>
        <v/>
      </c>
      <c r="G461" s="17" t="str">
        <f aca="false">IF($A461="","",IF(COUNTIFS(결제내역!$B$3:$B$1002,$A461)=0,"",_xlfn.MAXIFS(결제내역!$G$3:$G$1002,결제내역!$B$3:$B$1002,$A461)))</f>
        <v/>
      </c>
      <c r="H461" s="24" t="str">
        <f aca="true">IF(OR($A461="",$G461=""),"",$G461-TODAY())</f>
        <v/>
      </c>
      <c r="I461" s="16" t="str">
        <f aca="false">IF($A461="","",SUMIFS(결제내역!$H$3:$H$1002,결제내역!$B$3:$B$1002,$A461))</f>
        <v/>
      </c>
      <c r="J461" s="25" t="str">
        <f aca="false">IF($A461="","",IF($D461=0,"미결제",IF($F461&lt;=0,"횟수소진",IF($H461="","",IF($H461&lt;0,"기간만료",IF(OR($F461&lt;=사용안내!$C$18,$H461&lt;=사용안내!$C$17),"재결제 안내","정상"))))))</f>
        <v/>
      </c>
    </row>
    <row r="462" customFormat="false" ht="15" hidden="false" customHeight="true" outlineLevel="0" collapsed="false">
      <c r="A462" s="15" t="str">
        <f aca="false">IF(회원명부!$A459="","",회원명부!$A459)</f>
        <v/>
      </c>
      <c r="B462" s="15" t="str">
        <f aca="false">IF($A462="","",회원명부!$B459)</f>
        <v/>
      </c>
      <c r="C462" s="15" t="str">
        <f aca="false">IF($A462="","",회원명부!$C459)</f>
        <v/>
      </c>
      <c r="D462" s="23" t="str">
        <f aca="false">IF($A462="","",SUMIFS(결제내역!$E$3:$E$1002,결제내역!$B$3:$B$1002,$A462))</f>
        <v/>
      </c>
      <c r="E462" s="23" t="str">
        <f aca="false">IF($A462="","",SUMIFS(사용내역!$D$3:$D$3002,사용내역!$B$3:$B$3002,$A462))</f>
        <v/>
      </c>
      <c r="F462" s="23" t="str">
        <f aca="false">IF($A462="","",$D462-$E462)</f>
        <v/>
      </c>
      <c r="G462" s="17" t="str">
        <f aca="false">IF($A462="","",IF(COUNTIFS(결제내역!$B$3:$B$1002,$A462)=0,"",_xlfn.MAXIFS(결제내역!$G$3:$G$1002,결제내역!$B$3:$B$1002,$A462)))</f>
        <v/>
      </c>
      <c r="H462" s="24" t="str">
        <f aca="true">IF(OR($A462="",$G462=""),"",$G462-TODAY())</f>
        <v/>
      </c>
      <c r="I462" s="16" t="str">
        <f aca="false">IF($A462="","",SUMIFS(결제내역!$H$3:$H$1002,결제내역!$B$3:$B$1002,$A462))</f>
        <v/>
      </c>
      <c r="J462" s="25" t="str">
        <f aca="false">IF($A462="","",IF($D462=0,"미결제",IF($F462&lt;=0,"횟수소진",IF($H462="","",IF($H462&lt;0,"기간만료",IF(OR($F462&lt;=사용안내!$C$18,$H462&lt;=사용안내!$C$17),"재결제 안내","정상"))))))</f>
        <v/>
      </c>
    </row>
    <row r="463" customFormat="false" ht="15" hidden="false" customHeight="true" outlineLevel="0" collapsed="false">
      <c r="A463" s="15" t="str">
        <f aca="false">IF(회원명부!$A460="","",회원명부!$A460)</f>
        <v/>
      </c>
      <c r="B463" s="15" t="str">
        <f aca="false">IF($A463="","",회원명부!$B460)</f>
        <v/>
      </c>
      <c r="C463" s="15" t="str">
        <f aca="false">IF($A463="","",회원명부!$C460)</f>
        <v/>
      </c>
      <c r="D463" s="23" t="str">
        <f aca="false">IF($A463="","",SUMIFS(결제내역!$E$3:$E$1002,결제내역!$B$3:$B$1002,$A463))</f>
        <v/>
      </c>
      <c r="E463" s="23" t="str">
        <f aca="false">IF($A463="","",SUMIFS(사용내역!$D$3:$D$3002,사용내역!$B$3:$B$3002,$A463))</f>
        <v/>
      </c>
      <c r="F463" s="23" t="str">
        <f aca="false">IF($A463="","",$D463-$E463)</f>
        <v/>
      </c>
      <c r="G463" s="17" t="str">
        <f aca="false">IF($A463="","",IF(COUNTIFS(결제내역!$B$3:$B$1002,$A463)=0,"",_xlfn.MAXIFS(결제내역!$G$3:$G$1002,결제내역!$B$3:$B$1002,$A463)))</f>
        <v/>
      </c>
      <c r="H463" s="24" t="str">
        <f aca="true">IF(OR($A463="",$G463=""),"",$G463-TODAY())</f>
        <v/>
      </c>
      <c r="I463" s="16" t="str">
        <f aca="false">IF($A463="","",SUMIFS(결제내역!$H$3:$H$1002,결제내역!$B$3:$B$1002,$A463))</f>
        <v/>
      </c>
      <c r="J463" s="25" t="str">
        <f aca="false">IF($A463="","",IF($D463=0,"미결제",IF($F463&lt;=0,"횟수소진",IF($H463="","",IF($H463&lt;0,"기간만료",IF(OR($F463&lt;=사용안내!$C$18,$H463&lt;=사용안내!$C$17),"재결제 안내","정상"))))))</f>
        <v/>
      </c>
    </row>
    <row r="464" customFormat="false" ht="15" hidden="false" customHeight="true" outlineLevel="0" collapsed="false">
      <c r="A464" s="15" t="str">
        <f aca="false">IF(회원명부!$A461="","",회원명부!$A461)</f>
        <v/>
      </c>
      <c r="B464" s="15" t="str">
        <f aca="false">IF($A464="","",회원명부!$B461)</f>
        <v/>
      </c>
      <c r="C464" s="15" t="str">
        <f aca="false">IF($A464="","",회원명부!$C461)</f>
        <v/>
      </c>
      <c r="D464" s="23" t="str">
        <f aca="false">IF($A464="","",SUMIFS(결제내역!$E$3:$E$1002,결제내역!$B$3:$B$1002,$A464))</f>
        <v/>
      </c>
      <c r="E464" s="23" t="str">
        <f aca="false">IF($A464="","",SUMIFS(사용내역!$D$3:$D$3002,사용내역!$B$3:$B$3002,$A464))</f>
        <v/>
      </c>
      <c r="F464" s="23" t="str">
        <f aca="false">IF($A464="","",$D464-$E464)</f>
        <v/>
      </c>
      <c r="G464" s="17" t="str">
        <f aca="false">IF($A464="","",IF(COUNTIFS(결제내역!$B$3:$B$1002,$A464)=0,"",_xlfn.MAXIFS(결제내역!$G$3:$G$1002,결제내역!$B$3:$B$1002,$A464)))</f>
        <v/>
      </c>
      <c r="H464" s="24" t="str">
        <f aca="true">IF(OR($A464="",$G464=""),"",$G464-TODAY())</f>
        <v/>
      </c>
      <c r="I464" s="16" t="str">
        <f aca="false">IF($A464="","",SUMIFS(결제내역!$H$3:$H$1002,결제내역!$B$3:$B$1002,$A464))</f>
        <v/>
      </c>
      <c r="J464" s="25" t="str">
        <f aca="false">IF($A464="","",IF($D464=0,"미결제",IF($F464&lt;=0,"횟수소진",IF($H464="","",IF($H464&lt;0,"기간만료",IF(OR($F464&lt;=사용안내!$C$18,$H464&lt;=사용안내!$C$17),"재결제 안내","정상"))))))</f>
        <v/>
      </c>
    </row>
    <row r="465" customFormat="false" ht="15" hidden="false" customHeight="true" outlineLevel="0" collapsed="false">
      <c r="A465" s="15" t="str">
        <f aca="false">IF(회원명부!$A462="","",회원명부!$A462)</f>
        <v/>
      </c>
      <c r="B465" s="15" t="str">
        <f aca="false">IF($A465="","",회원명부!$B462)</f>
        <v/>
      </c>
      <c r="C465" s="15" t="str">
        <f aca="false">IF($A465="","",회원명부!$C462)</f>
        <v/>
      </c>
      <c r="D465" s="23" t="str">
        <f aca="false">IF($A465="","",SUMIFS(결제내역!$E$3:$E$1002,결제내역!$B$3:$B$1002,$A465))</f>
        <v/>
      </c>
      <c r="E465" s="23" t="str">
        <f aca="false">IF($A465="","",SUMIFS(사용내역!$D$3:$D$3002,사용내역!$B$3:$B$3002,$A465))</f>
        <v/>
      </c>
      <c r="F465" s="23" t="str">
        <f aca="false">IF($A465="","",$D465-$E465)</f>
        <v/>
      </c>
      <c r="G465" s="17" t="str">
        <f aca="false">IF($A465="","",IF(COUNTIFS(결제내역!$B$3:$B$1002,$A465)=0,"",_xlfn.MAXIFS(결제내역!$G$3:$G$1002,결제내역!$B$3:$B$1002,$A465)))</f>
        <v/>
      </c>
      <c r="H465" s="24" t="str">
        <f aca="true">IF(OR($A465="",$G465=""),"",$G465-TODAY())</f>
        <v/>
      </c>
      <c r="I465" s="16" t="str">
        <f aca="false">IF($A465="","",SUMIFS(결제내역!$H$3:$H$1002,결제내역!$B$3:$B$1002,$A465))</f>
        <v/>
      </c>
      <c r="J465" s="25" t="str">
        <f aca="false">IF($A465="","",IF($D465=0,"미결제",IF($F465&lt;=0,"횟수소진",IF($H465="","",IF($H465&lt;0,"기간만료",IF(OR($F465&lt;=사용안내!$C$18,$H465&lt;=사용안내!$C$17),"재결제 안내","정상"))))))</f>
        <v/>
      </c>
    </row>
    <row r="466" customFormat="false" ht="15" hidden="false" customHeight="true" outlineLevel="0" collapsed="false">
      <c r="A466" s="15" t="str">
        <f aca="false">IF(회원명부!$A463="","",회원명부!$A463)</f>
        <v/>
      </c>
      <c r="B466" s="15" t="str">
        <f aca="false">IF($A466="","",회원명부!$B463)</f>
        <v/>
      </c>
      <c r="C466" s="15" t="str">
        <f aca="false">IF($A466="","",회원명부!$C463)</f>
        <v/>
      </c>
      <c r="D466" s="23" t="str">
        <f aca="false">IF($A466="","",SUMIFS(결제내역!$E$3:$E$1002,결제내역!$B$3:$B$1002,$A466))</f>
        <v/>
      </c>
      <c r="E466" s="23" t="str">
        <f aca="false">IF($A466="","",SUMIFS(사용내역!$D$3:$D$3002,사용내역!$B$3:$B$3002,$A466))</f>
        <v/>
      </c>
      <c r="F466" s="23" t="str">
        <f aca="false">IF($A466="","",$D466-$E466)</f>
        <v/>
      </c>
      <c r="G466" s="17" t="str">
        <f aca="false">IF($A466="","",IF(COUNTIFS(결제내역!$B$3:$B$1002,$A466)=0,"",_xlfn.MAXIFS(결제내역!$G$3:$G$1002,결제내역!$B$3:$B$1002,$A466)))</f>
        <v/>
      </c>
      <c r="H466" s="24" t="str">
        <f aca="true">IF(OR($A466="",$G466=""),"",$G466-TODAY())</f>
        <v/>
      </c>
      <c r="I466" s="16" t="str">
        <f aca="false">IF($A466="","",SUMIFS(결제내역!$H$3:$H$1002,결제내역!$B$3:$B$1002,$A466))</f>
        <v/>
      </c>
      <c r="J466" s="25" t="str">
        <f aca="false">IF($A466="","",IF($D466=0,"미결제",IF($F466&lt;=0,"횟수소진",IF($H466="","",IF($H466&lt;0,"기간만료",IF(OR($F466&lt;=사용안내!$C$18,$H466&lt;=사용안내!$C$17),"재결제 안내","정상"))))))</f>
        <v/>
      </c>
    </row>
    <row r="467" customFormat="false" ht="15" hidden="false" customHeight="true" outlineLevel="0" collapsed="false">
      <c r="A467" s="15" t="str">
        <f aca="false">IF(회원명부!$A464="","",회원명부!$A464)</f>
        <v/>
      </c>
      <c r="B467" s="15" t="str">
        <f aca="false">IF($A467="","",회원명부!$B464)</f>
        <v/>
      </c>
      <c r="C467" s="15" t="str">
        <f aca="false">IF($A467="","",회원명부!$C464)</f>
        <v/>
      </c>
      <c r="D467" s="23" t="str">
        <f aca="false">IF($A467="","",SUMIFS(결제내역!$E$3:$E$1002,결제내역!$B$3:$B$1002,$A467))</f>
        <v/>
      </c>
      <c r="E467" s="23" t="str">
        <f aca="false">IF($A467="","",SUMIFS(사용내역!$D$3:$D$3002,사용내역!$B$3:$B$3002,$A467))</f>
        <v/>
      </c>
      <c r="F467" s="23" t="str">
        <f aca="false">IF($A467="","",$D467-$E467)</f>
        <v/>
      </c>
      <c r="G467" s="17" t="str">
        <f aca="false">IF($A467="","",IF(COUNTIFS(결제내역!$B$3:$B$1002,$A467)=0,"",_xlfn.MAXIFS(결제내역!$G$3:$G$1002,결제내역!$B$3:$B$1002,$A467)))</f>
        <v/>
      </c>
      <c r="H467" s="24" t="str">
        <f aca="true">IF(OR($A467="",$G467=""),"",$G467-TODAY())</f>
        <v/>
      </c>
      <c r="I467" s="16" t="str">
        <f aca="false">IF($A467="","",SUMIFS(결제내역!$H$3:$H$1002,결제내역!$B$3:$B$1002,$A467))</f>
        <v/>
      </c>
      <c r="J467" s="25" t="str">
        <f aca="false">IF($A467="","",IF($D467=0,"미결제",IF($F467&lt;=0,"횟수소진",IF($H467="","",IF($H467&lt;0,"기간만료",IF(OR($F467&lt;=사용안내!$C$18,$H467&lt;=사용안내!$C$17),"재결제 안내","정상"))))))</f>
        <v/>
      </c>
    </row>
    <row r="468" customFormat="false" ht="15" hidden="false" customHeight="true" outlineLevel="0" collapsed="false">
      <c r="A468" s="15" t="str">
        <f aca="false">IF(회원명부!$A465="","",회원명부!$A465)</f>
        <v/>
      </c>
      <c r="B468" s="15" t="str">
        <f aca="false">IF($A468="","",회원명부!$B465)</f>
        <v/>
      </c>
      <c r="C468" s="15" t="str">
        <f aca="false">IF($A468="","",회원명부!$C465)</f>
        <v/>
      </c>
      <c r="D468" s="23" t="str">
        <f aca="false">IF($A468="","",SUMIFS(결제내역!$E$3:$E$1002,결제내역!$B$3:$B$1002,$A468))</f>
        <v/>
      </c>
      <c r="E468" s="23" t="str">
        <f aca="false">IF($A468="","",SUMIFS(사용내역!$D$3:$D$3002,사용내역!$B$3:$B$3002,$A468))</f>
        <v/>
      </c>
      <c r="F468" s="23" t="str">
        <f aca="false">IF($A468="","",$D468-$E468)</f>
        <v/>
      </c>
      <c r="G468" s="17" t="str">
        <f aca="false">IF($A468="","",IF(COUNTIFS(결제내역!$B$3:$B$1002,$A468)=0,"",_xlfn.MAXIFS(결제내역!$G$3:$G$1002,결제내역!$B$3:$B$1002,$A468)))</f>
        <v/>
      </c>
      <c r="H468" s="24" t="str">
        <f aca="true">IF(OR($A468="",$G468=""),"",$G468-TODAY())</f>
        <v/>
      </c>
      <c r="I468" s="16" t="str">
        <f aca="false">IF($A468="","",SUMIFS(결제내역!$H$3:$H$1002,결제내역!$B$3:$B$1002,$A468))</f>
        <v/>
      </c>
      <c r="J468" s="25" t="str">
        <f aca="false">IF($A468="","",IF($D468=0,"미결제",IF($F468&lt;=0,"횟수소진",IF($H468="","",IF($H468&lt;0,"기간만료",IF(OR($F468&lt;=사용안내!$C$18,$H468&lt;=사용안내!$C$17),"재결제 안내","정상"))))))</f>
        <v/>
      </c>
    </row>
    <row r="469" customFormat="false" ht="15" hidden="false" customHeight="true" outlineLevel="0" collapsed="false">
      <c r="A469" s="15" t="str">
        <f aca="false">IF(회원명부!$A466="","",회원명부!$A466)</f>
        <v/>
      </c>
      <c r="B469" s="15" t="str">
        <f aca="false">IF($A469="","",회원명부!$B466)</f>
        <v/>
      </c>
      <c r="C469" s="15" t="str">
        <f aca="false">IF($A469="","",회원명부!$C466)</f>
        <v/>
      </c>
      <c r="D469" s="23" t="str">
        <f aca="false">IF($A469="","",SUMIFS(결제내역!$E$3:$E$1002,결제내역!$B$3:$B$1002,$A469))</f>
        <v/>
      </c>
      <c r="E469" s="23" t="str">
        <f aca="false">IF($A469="","",SUMIFS(사용내역!$D$3:$D$3002,사용내역!$B$3:$B$3002,$A469))</f>
        <v/>
      </c>
      <c r="F469" s="23" t="str">
        <f aca="false">IF($A469="","",$D469-$E469)</f>
        <v/>
      </c>
      <c r="G469" s="17" t="str">
        <f aca="false">IF($A469="","",IF(COUNTIFS(결제내역!$B$3:$B$1002,$A469)=0,"",_xlfn.MAXIFS(결제내역!$G$3:$G$1002,결제내역!$B$3:$B$1002,$A469)))</f>
        <v/>
      </c>
      <c r="H469" s="24" t="str">
        <f aca="true">IF(OR($A469="",$G469=""),"",$G469-TODAY())</f>
        <v/>
      </c>
      <c r="I469" s="16" t="str">
        <f aca="false">IF($A469="","",SUMIFS(결제내역!$H$3:$H$1002,결제내역!$B$3:$B$1002,$A469))</f>
        <v/>
      </c>
      <c r="J469" s="25" t="str">
        <f aca="false">IF($A469="","",IF($D469=0,"미결제",IF($F469&lt;=0,"횟수소진",IF($H469="","",IF($H469&lt;0,"기간만료",IF(OR($F469&lt;=사용안내!$C$18,$H469&lt;=사용안내!$C$17),"재결제 안내","정상"))))))</f>
        <v/>
      </c>
    </row>
    <row r="470" customFormat="false" ht="15" hidden="false" customHeight="true" outlineLevel="0" collapsed="false">
      <c r="A470" s="15" t="str">
        <f aca="false">IF(회원명부!$A467="","",회원명부!$A467)</f>
        <v/>
      </c>
      <c r="B470" s="15" t="str">
        <f aca="false">IF($A470="","",회원명부!$B467)</f>
        <v/>
      </c>
      <c r="C470" s="15" t="str">
        <f aca="false">IF($A470="","",회원명부!$C467)</f>
        <v/>
      </c>
      <c r="D470" s="23" t="str">
        <f aca="false">IF($A470="","",SUMIFS(결제내역!$E$3:$E$1002,결제내역!$B$3:$B$1002,$A470))</f>
        <v/>
      </c>
      <c r="E470" s="23" t="str">
        <f aca="false">IF($A470="","",SUMIFS(사용내역!$D$3:$D$3002,사용내역!$B$3:$B$3002,$A470))</f>
        <v/>
      </c>
      <c r="F470" s="23" t="str">
        <f aca="false">IF($A470="","",$D470-$E470)</f>
        <v/>
      </c>
      <c r="G470" s="17" t="str">
        <f aca="false">IF($A470="","",IF(COUNTIFS(결제내역!$B$3:$B$1002,$A470)=0,"",_xlfn.MAXIFS(결제내역!$G$3:$G$1002,결제내역!$B$3:$B$1002,$A470)))</f>
        <v/>
      </c>
      <c r="H470" s="24" t="str">
        <f aca="true">IF(OR($A470="",$G470=""),"",$G470-TODAY())</f>
        <v/>
      </c>
      <c r="I470" s="16" t="str">
        <f aca="false">IF($A470="","",SUMIFS(결제내역!$H$3:$H$1002,결제내역!$B$3:$B$1002,$A470))</f>
        <v/>
      </c>
      <c r="J470" s="25" t="str">
        <f aca="false">IF($A470="","",IF($D470=0,"미결제",IF($F470&lt;=0,"횟수소진",IF($H470="","",IF($H470&lt;0,"기간만료",IF(OR($F470&lt;=사용안내!$C$18,$H470&lt;=사용안내!$C$17),"재결제 안내","정상"))))))</f>
        <v/>
      </c>
    </row>
    <row r="471" customFormat="false" ht="15" hidden="false" customHeight="true" outlineLevel="0" collapsed="false">
      <c r="A471" s="15" t="str">
        <f aca="false">IF(회원명부!$A468="","",회원명부!$A468)</f>
        <v/>
      </c>
      <c r="B471" s="15" t="str">
        <f aca="false">IF($A471="","",회원명부!$B468)</f>
        <v/>
      </c>
      <c r="C471" s="15" t="str">
        <f aca="false">IF($A471="","",회원명부!$C468)</f>
        <v/>
      </c>
      <c r="D471" s="23" t="str">
        <f aca="false">IF($A471="","",SUMIFS(결제내역!$E$3:$E$1002,결제내역!$B$3:$B$1002,$A471))</f>
        <v/>
      </c>
      <c r="E471" s="23" t="str">
        <f aca="false">IF($A471="","",SUMIFS(사용내역!$D$3:$D$3002,사용내역!$B$3:$B$3002,$A471))</f>
        <v/>
      </c>
      <c r="F471" s="23" t="str">
        <f aca="false">IF($A471="","",$D471-$E471)</f>
        <v/>
      </c>
      <c r="G471" s="17" t="str">
        <f aca="false">IF($A471="","",IF(COUNTIFS(결제내역!$B$3:$B$1002,$A471)=0,"",_xlfn.MAXIFS(결제내역!$G$3:$G$1002,결제내역!$B$3:$B$1002,$A471)))</f>
        <v/>
      </c>
      <c r="H471" s="24" t="str">
        <f aca="true">IF(OR($A471="",$G471=""),"",$G471-TODAY())</f>
        <v/>
      </c>
      <c r="I471" s="16" t="str">
        <f aca="false">IF($A471="","",SUMIFS(결제내역!$H$3:$H$1002,결제내역!$B$3:$B$1002,$A471))</f>
        <v/>
      </c>
      <c r="J471" s="25" t="str">
        <f aca="false">IF($A471="","",IF($D471=0,"미결제",IF($F471&lt;=0,"횟수소진",IF($H471="","",IF($H471&lt;0,"기간만료",IF(OR($F471&lt;=사용안내!$C$18,$H471&lt;=사용안내!$C$17),"재결제 안내","정상"))))))</f>
        <v/>
      </c>
    </row>
    <row r="472" customFormat="false" ht="15" hidden="false" customHeight="true" outlineLevel="0" collapsed="false">
      <c r="A472" s="15" t="str">
        <f aca="false">IF(회원명부!$A469="","",회원명부!$A469)</f>
        <v/>
      </c>
      <c r="B472" s="15" t="str">
        <f aca="false">IF($A472="","",회원명부!$B469)</f>
        <v/>
      </c>
      <c r="C472" s="15" t="str">
        <f aca="false">IF($A472="","",회원명부!$C469)</f>
        <v/>
      </c>
      <c r="D472" s="23" t="str">
        <f aca="false">IF($A472="","",SUMIFS(결제내역!$E$3:$E$1002,결제내역!$B$3:$B$1002,$A472))</f>
        <v/>
      </c>
      <c r="E472" s="23" t="str">
        <f aca="false">IF($A472="","",SUMIFS(사용내역!$D$3:$D$3002,사용내역!$B$3:$B$3002,$A472))</f>
        <v/>
      </c>
      <c r="F472" s="23" t="str">
        <f aca="false">IF($A472="","",$D472-$E472)</f>
        <v/>
      </c>
      <c r="G472" s="17" t="str">
        <f aca="false">IF($A472="","",IF(COUNTIFS(결제내역!$B$3:$B$1002,$A472)=0,"",_xlfn.MAXIFS(결제내역!$G$3:$G$1002,결제내역!$B$3:$B$1002,$A472)))</f>
        <v/>
      </c>
      <c r="H472" s="24" t="str">
        <f aca="true">IF(OR($A472="",$G472=""),"",$G472-TODAY())</f>
        <v/>
      </c>
      <c r="I472" s="16" t="str">
        <f aca="false">IF($A472="","",SUMIFS(결제내역!$H$3:$H$1002,결제내역!$B$3:$B$1002,$A472))</f>
        <v/>
      </c>
      <c r="J472" s="25" t="str">
        <f aca="false">IF($A472="","",IF($D472=0,"미결제",IF($F472&lt;=0,"횟수소진",IF($H472="","",IF($H472&lt;0,"기간만료",IF(OR($F472&lt;=사용안내!$C$18,$H472&lt;=사용안내!$C$17),"재결제 안내","정상"))))))</f>
        <v/>
      </c>
    </row>
    <row r="473" customFormat="false" ht="15" hidden="false" customHeight="true" outlineLevel="0" collapsed="false">
      <c r="A473" s="15" t="str">
        <f aca="false">IF(회원명부!$A470="","",회원명부!$A470)</f>
        <v/>
      </c>
      <c r="B473" s="15" t="str">
        <f aca="false">IF($A473="","",회원명부!$B470)</f>
        <v/>
      </c>
      <c r="C473" s="15" t="str">
        <f aca="false">IF($A473="","",회원명부!$C470)</f>
        <v/>
      </c>
      <c r="D473" s="23" t="str">
        <f aca="false">IF($A473="","",SUMIFS(결제내역!$E$3:$E$1002,결제내역!$B$3:$B$1002,$A473))</f>
        <v/>
      </c>
      <c r="E473" s="23" t="str">
        <f aca="false">IF($A473="","",SUMIFS(사용내역!$D$3:$D$3002,사용내역!$B$3:$B$3002,$A473))</f>
        <v/>
      </c>
      <c r="F473" s="23" t="str">
        <f aca="false">IF($A473="","",$D473-$E473)</f>
        <v/>
      </c>
      <c r="G473" s="17" t="str">
        <f aca="false">IF($A473="","",IF(COUNTIFS(결제내역!$B$3:$B$1002,$A473)=0,"",_xlfn.MAXIFS(결제내역!$G$3:$G$1002,결제내역!$B$3:$B$1002,$A473)))</f>
        <v/>
      </c>
      <c r="H473" s="24" t="str">
        <f aca="true">IF(OR($A473="",$G473=""),"",$G473-TODAY())</f>
        <v/>
      </c>
      <c r="I473" s="16" t="str">
        <f aca="false">IF($A473="","",SUMIFS(결제내역!$H$3:$H$1002,결제내역!$B$3:$B$1002,$A473))</f>
        <v/>
      </c>
      <c r="J473" s="25" t="str">
        <f aca="false">IF($A473="","",IF($D473=0,"미결제",IF($F473&lt;=0,"횟수소진",IF($H473="","",IF($H473&lt;0,"기간만료",IF(OR($F473&lt;=사용안내!$C$18,$H473&lt;=사용안내!$C$17),"재결제 안내","정상"))))))</f>
        <v/>
      </c>
    </row>
    <row r="474" customFormat="false" ht="15" hidden="false" customHeight="true" outlineLevel="0" collapsed="false">
      <c r="A474" s="15" t="str">
        <f aca="false">IF(회원명부!$A471="","",회원명부!$A471)</f>
        <v/>
      </c>
      <c r="B474" s="15" t="str">
        <f aca="false">IF($A474="","",회원명부!$B471)</f>
        <v/>
      </c>
      <c r="C474" s="15" t="str">
        <f aca="false">IF($A474="","",회원명부!$C471)</f>
        <v/>
      </c>
      <c r="D474" s="23" t="str">
        <f aca="false">IF($A474="","",SUMIFS(결제내역!$E$3:$E$1002,결제내역!$B$3:$B$1002,$A474))</f>
        <v/>
      </c>
      <c r="E474" s="23" t="str">
        <f aca="false">IF($A474="","",SUMIFS(사용내역!$D$3:$D$3002,사용내역!$B$3:$B$3002,$A474))</f>
        <v/>
      </c>
      <c r="F474" s="23" t="str">
        <f aca="false">IF($A474="","",$D474-$E474)</f>
        <v/>
      </c>
      <c r="G474" s="17" t="str">
        <f aca="false">IF($A474="","",IF(COUNTIFS(결제내역!$B$3:$B$1002,$A474)=0,"",_xlfn.MAXIFS(결제내역!$G$3:$G$1002,결제내역!$B$3:$B$1002,$A474)))</f>
        <v/>
      </c>
      <c r="H474" s="24" t="str">
        <f aca="true">IF(OR($A474="",$G474=""),"",$G474-TODAY())</f>
        <v/>
      </c>
      <c r="I474" s="16" t="str">
        <f aca="false">IF($A474="","",SUMIFS(결제내역!$H$3:$H$1002,결제내역!$B$3:$B$1002,$A474))</f>
        <v/>
      </c>
      <c r="J474" s="25" t="str">
        <f aca="false">IF($A474="","",IF($D474=0,"미결제",IF($F474&lt;=0,"횟수소진",IF($H474="","",IF($H474&lt;0,"기간만료",IF(OR($F474&lt;=사용안내!$C$18,$H474&lt;=사용안내!$C$17),"재결제 안내","정상"))))))</f>
        <v/>
      </c>
    </row>
    <row r="475" customFormat="false" ht="15" hidden="false" customHeight="true" outlineLevel="0" collapsed="false">
      <c r="A475" s="15" t="str">
        <f aca="false">IF(회원명부!$A472="","",회원명부!$A472)</f>
        <v/>
      </c>
      <c r="B475" s="15" t="str">
        <f aca="false">IF($A475="","",회원명부!$B472)</f>
        <v/>
      </c>
      <c r="C475" s="15" t="str">
        <f aca="false">IF($A475="","",회원명부!$C472)</f>
        <v/>
      </c>
      <c r="D475" s="23" t="str">
        <f aca="false">IF($A475="","",SUMIFS(결제내역!$E$3:$E$1002,결제내역!$B$3:$B$1002,$A475))</f>
        <v/>
      </c>
      <c r="E475" s="23" t="str">
        <f aca="false">IF($A475="","",SUMIFS(사용내역!$D$3:$D$3002,사용내역!$B$3:$B$3002,$A475))</f>
        <v/>
      </c>
      <c r="F475" s="23" t="str">
        <f aca="false">IF($A475="","",$D475-$E475)</f>
        <v/>
      </c>
      <c r="G475" s="17" t="str">
        <f aca="false">IF($A475="","",IF(COUNTIFS(결제내역!$B$3:$B$1002,$A475)=0,"",_xlfn.MAXIFS(결제내역!$G$3:$G$1002,결제내역!$B$3:$B$1002,$A475)))</f>
        <v/>
      </c>
      <c r="H475" s="24" t="str">
        <f aca="true">IF(OR($A475="",$G475=""),"",$G475-TODAY())</f>
        <v/>
      </c>
      <c r="I475" s="16" t="str">
        <f aca="false">IF($A475="","",SUMIFS(결제내역!$H$3:$H$1002,결제내역!$B$3:$B$1002,$A475))</f>
        <v/>
      </c>
      <c r="J475" s="25" t="str">
        <f aca="false">IF($A475="","",IF($D475=0,"미결제",IF($F475&lt;=0,"횟수소진",IF($H475="","",IF($H475&lt;0,"기간만료",IF(OR($F475&lt;=사용안내!$C$18,$H475&lt;=사용안내!$C$17),"재결제 안내","정상"))))))</f>
        <v/>
      </c>
    </row>
    <row r="476" customFormat="false" ht="15" hidden="false" customHeight="true" outlineLevel="0" collapsed="false">
      <c r="A476" s="15" t="str">
        <f aca="false">IF(회원명부!$A473="","",회원명부!$A473)</f>
        <v/>
      </c>
      <c r="B476" s="15" t="str">
        <f aca="false">IF($A476="","",회원명부!$B473)</f>
        <v/>
      </c>
      <c r="C476" s="15" t="str">
        <f aca="false">IF($A476="","",회원명부!$C473)</f>
        <v/>
      </c>
      <c r="D476" s="23" t="str">
        <f aca="false">IF($A476="","",SUMIFS(결제내역!$E$3:$E$1002,결제내역!$B$3:$B$1002,$A476))</f>
        <v/>
      </c>
      <c r="E476" s="23" t="str">
        <f aca="false">IF($A476="","",SUMIFS(사용내역!$D$3:$D$3002,사용내역!$B$3:$B$3002,$A476))</f>
        <v/>
      </c>
      <c r="F476" s="23" t="str">
        <f aca="false">IF($A476="","",$D476-$E476)</f>
        <v/>
      </c>
      <c r="G476" s="17" t="str">
        <f aca="false">IF($A476="","",IF(COUNTIFS(결제내역!$B$3:$B$1002,$A476)=0,"",_xlfn.MAXIFS(결제내역!$G$3:$G$1002,결제내역!$B$3:$B$1002,$A476)))</f>
        <v/>
      </c>
      <c r="H476" s="24" t="str">
        <f aca="true">IF(OR($A476="",$G476=""),"",$G476-TODAY())</f>
        <v/>
      </c>
      <c r="I476" s="16" t="str">
        <f aca="false">IF($A476="","",SUMIFS(결제내역!$H$3:$H$1002,결제내역!$B$3:$B$1002,$A476))</f>
        <v/>
      </c>
      <c r="J476" s="25" t="str">
        <f aca="false">IF($A476="","",IF($D476=0,"미결제",IF($F476&lt;=0,"횟수소진",IF($H476="","",IF($H476&lt;0,"기간만료",IF(OR($F476&lt;=사용안내!$C$18,$H476&lt;=사용안내!$C$17),"재결제 안내","정상"))))))</f>
        <v/>
      </c>
    </row>
    <row r="477" customFormat="false" ht="15" hidden="false" customHeight="true" outlineLevel="0" collapsed="false">
      <c r="A477" s="15" t="str">
        <f aca="false">IF(회원명부!$A474="","",회원명부!$A474)</f>
        <v/>
      </c>
      <c r="B477" s="15" t="str">
        <f aca="false">IF($A477="","",회원명부!$B474)</f>
        <v/>
      </c>
      <c r="C477" s="15" t="str">
        <f aca="false">IF($A477="","",회원명부!$C474)</f>
        <v/>
      </c>
      <c r="D477" s="23" t="str">
        <f aca="false">IF($A477="","",SUMIFS(결제내역!$E$3:$E$1002,결제내역!$B$3:$B$1002,$A477))</f>
        <v/>
      </c>
      <c r="E477" s="23" t="str">
        <f aca="false">IF($A477="","",SUMIFS(사용내역!$D$3:$D$3002,사용내역!$B$3:$B$3002,$A477))</f>
        <v/>
      </c>
      <c r="F477" s="23" t="str">
        <f aca="false">IF($A477="","",$D477-$E477)</f>
        <v/>
      </c>
      <c r="G477" s="17" t="str">
        <f aca="false">IF($A477="","",IF(COUNTIFS(결제내역!$B$3:$B$1002,$A477)=0,"",_xlfn.MAXIFS(결제내역!$G$3:$G$1002,결제내역!$B$3:$B$1002,$A477)))</f>
        <v/>
      </c>
      <c r="H477" s="24" t="str">
        <f aca="true">IF(OR($A477="",$G477=""),"",$G477-TODAY())</f>
        <v/>
      </c>
      <c r="I477" s="16" t="str">
        <f aca="false">IF($A477="","",SUMIFS(결제내역!$H$3:$H$1002,결제내역!$B$3:$B$1002,$A477))</f>
        <v/>
      </c>
      <c r="J477" s="25" t="str">
        <f aca="false">IF($A477="","",IF($D477=0,"미결제",IF($F477&lt;=0,"횟수소진",IF($H477="","",IF($H477&lt;0,"기간만료",IF(OR($F477&lt;=사용안내!$C$18,$H477&lt;=사용안내!$C$17),"재결제 안내","정상"))))))</f>
        <v/>
      </c>
    </row>
    <row r="478" customFormat="false" ht="15" hidden="false" customHeight="true" outlineLevel="0" collapsed="false">
      <c r="A478" s="15" t="str">
        <f aca="false">IF(회원명부!$A475="","",회원명부!$A475)</f>
        <v/>
      </c>
      <c r="B478" s="15" t="str">
        <f aca="false">IF($A478="","",회원명부!$B475)</f>
        <v/>
      </c>
      <c r="C478" s="15" t="str">
        <f aca="false">IF($A478="","",회원명부!$C475)</f>
        <v/>
      </c>
      <c r="D478" s="23" t="str">
        <f aca="false">IF($A478="","",SUMIFS(결제내역!$E$3:$E$1002,결제내역!$B$3:$B$1002,$A478))</f>
        <v/>
      </c>
      <c r="E478" s="23" t="str">
        <f aca="false">IF($A478="","",SUMIFS(사용내역!$D$3:$D$3002,사용내역!$B$3:$B$3002,$A478))</f>
        <v/>
      </c>
      <c r="F478" s="23" t="str">
        <f aca="false">IF($A478="","",$D478-$E478)</f>
        <v/>
      </c>
      <c r="G478" s="17" t="str">
        <f aca="false">IF($A478="","",IF(COUNTIFS(결제내역!$B$3:$B$1002,$A478)=0,"",_xlfn.MAXIFS(결제내역!$G$3:$G$1002,결제내역!$B$3:$B$1002,$A478)))</f>
        <v/>
      </c>
      <c r="H478" s="24" t="str">
        <f aca="true">IF(OR($A478="",$G478=""),"",$G478-TODAY())</f>
        <v/>
      </c>
      <c r="I478" s="16" t="str">
        <f aca="false">IF($A478="","",SUMIFS(결제내역!$H$3:$H$1002,결제내역!$B$3:$B$1002,$A478))</f>
        <v/>
      </c>
      <c r="J478" s="25" t="str">
        <f aca="false">IF($A478="","",IF($D478=0,"미결제",IF($F478&lt;=0,"횟수소진",IF($H478="","",IF($H478&lt;0,"기간만료",IF(OR($F478&lt;=사용안내!$C$18,$H478&lt;=사용안내!$C$17),"재결제 안내","정상"))))))</f>
        <v/>
      </c>
    </row>
    <row r="479" customFormat="false" ht="15" hidden="false" customHeight="true" outlineLevel="0" collapsed="false">
      <c r="A479" s="15" t="str">
        <f aca="false">IF(회원명부!$A476="","",회원명부!$A476)</f>
        <v/>
      </c>
      <c r="B479" s="15" t="str">
        <f aca="false">IF($A479="","",회원명부!$B476)</f>
        <v/>
      </c>
      <c r="C479" s="15" t="str">
        <f aca="false">IF($A479="","",회원명부!$C476)</f>
        <v/>
      </c>
      <c r="D479" s="23" t="str">
        <f aca="false">IF($A479="","",SUMIFS(결제내역!$E$3:$E$1002,결제내역!$B$3:$B$1002,$A479))</f>
        <v/>
      </c>
      <c r="E479" s="23" t="str">
        <f aca="false">IF($A479="","",SUMIFS(사용내역!$D$3:$D$3002,사용내역!$B$3:$B$3002,$A479))</f>
        <v/>
      </c>
      <c r="F479" s="23" t="str">
        <f aca="false">IF($A479="","",$D479-$E479)</f>
        <v/>
      </c>
      <c r="G479" s="17" t="str">
        <f aca="false">IF($A479="","",IF(COUNTIFS(결제내역!$B$3:$B$1002,$A479)=0,"",_xlfn.MAXIFS(결제내역!$G$3:$G$1002,결제내역!$B$3:$B$1002,$A479)))</f>
        <v/>
      </c>
      <c r="H479" s="24" t="str">
        <f aca="true">IF(OR($A479="",$G479=""),"",$G479-TODAY())</f>
        <v/>
      </c>
      <c r="I479" s="16" t="str">
        <f aca="false">IF($A479="","",SUMIFS(결제내역!$H$3:$H$1002,결제내역!$B$3:$B$1002,$A479))</f>
        <v/>
      </c>
      <c r="J479" s="25" t="str">
        <f aca="false">IF($A479="","",IF($D479=0,"미결제",IF($F479&lt;=0,"횟수소진",IF($H479="","",IF($H479&lt;0,"기간만료",IF(OR($F479&lt;=사용안내!$C$18,$H479&lt;=사용안내!$C$17),"재결제 안내","정상"))))))</f>
        <v/>
      </c>
    </row>
    <row r="480" customFormat="false" ht="15" hidden="false" customHeight="true" outlineLevel="0" collapsed="false">
      <c r="A480" s="15" t="str">
        <f aca="false">IF(회원명부!$A477="","",회원명부!$A477)</f>
        <v/>
      </c>
      <c r="B480" s="15" t="str">
        <f aca="false">IF($A480="","",회원명부!$B477)</f>
        <v/>
      </c>
      <c r="C480" s="15" t="str">
        <f aca="false">IF($A480="","",회원명부!$C477)</f>
        <v/>
      </c>
      <c r="D480" s="23" t="str">
        <f aca="false">IF($A480="","",SUMIFS(결제내역!$E$3:$E$1002,결제내역!$B$3:$B$1002,$A480))</f>
        <v/>
      </c>
      <c r="E480" s="23" t="str">
        <f aca="false">IF($A480="","",SUMIFS(사용내역!$D$3:$D$3002,사용내역!$B$3:$B$3002,$A480))</f>
        <v/>
      </c>
      <c r="F480" s="23" t="str">
        <f aca="false">IF($A480="","",$D480-$E480)</f>
        <v/>
      </c>
      <c r="G480" s="17" t="str">
        <f aca="false">IF($A480="","",IF(COUNTIFS(결제내역!$B$3:$B$1002,$A480)=0,"",_xlfn.MAXIFS(결제내역!$G$3:$G$1002,결제내역!$B$3:$B$1002,$A480)))</f>
        <v/>
      </c>
      <c r="H480" s="24" t="str">
        <f aca="true">IF(OR($A480="",$G480=""),"",$G480-TODAY())</f>
        <v/>
      </c>
      <c r="I480" s="16" t="str">
        <f aca="false">IF($A480="","",SUMIFS(결제내역!$H$3:$H$1002,결제내역!$B$3:$B$1002,$A480))</f>
        <v/>
      </c>
      <c r="J480" s="25" t="str">
        <f aca="false">IF($A480="","",IF($D480=0,"미결제",IF($F480&lt;=0,"횟수소진",IF($H480="","",IF($H480&lt;0,"기간만료",IF(OR($F480&lt;=사용안내!$C$18,$H480&lt;=사용안내!$C$17),"재결제 안내","정상"))))))</f>
        <v/>
      </c>
    </row>
    <row r="481" customFormat="false" ht="15" hidden="false" customHeight="true" outlineLevel="0" collapsed="false">
      <c r="A481" s="15" t="str">
        <f aca="false">IF(회원명부!$A478="","",회원명부!$A478)</f>
        <v/>
      </c>
      <c r="B481" s="15" t="str">
        <f aca="false">IF($A481="","",회원명부!$B478)</f>
        <v/>
      </c>
      <c r="C481" s="15" t="str">
        <f aca="false">IF($A481="","",회원명부!$C478)</f>
        <v/>
      </c>
      <c r="D481" s="23" t="str">
        <f aca="false">IF($A481="","",SUMIFS(결제내역!$E$3:$E$1002,결제내역!$B$3:$B$1002,$A481))</f>
        <v/>
      </c>
      <c r="E481" s="23" t="str">
        <f aca="false">IF($A481="","",SUMIFS(사용내역!$D$3:$D$3002,사용내역!$B$3:$B$3002,$A481))</f>
        <v/>
      </c>
      <c r="F481" s="23" t="str">
        <f aca="false">IF($A481="","",$D481-$E481)</f>
        <v/>
      </c>
      <c r="G481" s="17" t="str">
        <f aca="false">IF($A481="","",IF(COUNTIFS(결제내역!$B$3:$B$1002,$A481)=0,"",_xlfn.MAXIFS(결제내역!$G$3:$G$1002,결제내역!$B$3:$B$1002,$A481)))</f>
        <v/>
      </c>
      <c r="H481" s="24" t="str">
        <f aca="true">IF(OR($A481="",$G481=""),"",$G481-TODAY())</f>
        <v/>
      </c>
      <c r="I481" s="16" t="str">
        <f aca="false">IF($A481="","",SUMIFS(결제내역!$H$3:$H$1002,결제내역!$B$3:$B$1002,$A481))</f>
        <v/>
      </c>
      <c r="J481" s="25" t="str">
        <f aca="false">IF($A481="","",IF($D481=0,"미결제",IF($F481&lt;=0,"횟수소진",IF($H481="","",IF($H481&lt;0,"기간만료",IF(OR($F481&lt;=사용안내!$C$18,$H481&lt;=사용안내!$C$17),"재결제 안내","정상"))))))</f>
        <v/>
      </c>
    </row>
    <row r="482" customFormat="false" ht="15" hidden="false" customHeight="true" outlineLevel="0" collapsed="false">
      <c r="A482" s="15" t="str">
        <f aca="false">IF(회원명부!$A479="","",회원명부!$A479)</f>
        <v/>
      </c>
      <c r="B482" s="15" t="str">
        <f aca="false">IF($A482="","",회원명부!$B479)</f>
        <v/>
      </c>
      <c r="C482" s="15" t="str">
        <f aca="false">IF($A482="","",회원명부!$C479)</f>
        <v/>
      </c>
      <c r="D482" s="23" t="str">
        <f aca="false">IF($A482="","",SUMIFS(결제내역!$E$3:$E$1002,결제내역!$B$3:$B$1002,$A482))</f>
        <v/>
      </c>
      <c r="E482" s="23" t="str">
        <f aca="false">IF($A482="","",SUMIFS(사용내역!$D$3:$D$3002,사용내역!$B$3:$B$3002,$A482))</f>
        <v/>
      </c>
      <c r="F482" s="23" t="str">
        <f aca="false">IF($A482="","",$D482-$E482)</f>
        <v/>
      </c>
      <c r="G482" s="17" t="str">
        <f aca="false">IF($A482="","",IF(COUNTIFS(결제내역!$B$3:$B$1002,$A482)=0,"",_xlfn.MAXIFS(결제내역!$G$3:$G$1002,결제내역!$B$3:$B$1002,$A482)))</f>
        <v/>
      </c>
      <c r="H482" s="24" t="str">
        <f aca="true">IF(OR($A482="",$G482=""),"",$G482-TODAY())</f>
        <v/>
      </c>
      <c r="I482" s="16" t="str">
        <f aca="false">IF($A482="","",SUMIFS(결제내역!$H$3:$H$1002,결제내역!$B$3:$B$1002,$A482))</f>
        <v/>
      </c>
      <c r="J482" s="25" t="str">
        <f aca="false">IF($A482="","",IF($D482=0,"미결제",IF($F482&lt;=0,"횟수소진",IF($H482="","",IF($H482&lt;0,"기간만료",IF(OR($F482&lt;=사용안내!$C$18,$H482&lt;=사용안내!$C$17),"재결제 안내","정상"))))))</f>
        <v/>
      </c>
    </row>
    <row r="483" customFormat="false" ht="15" hidden="false" customHeight="true" outlineLevel="0" collapsed="false">
      <c r="A483" s="15" t="str">
        <f aca="false">IF(회원명부!$A480="","",회원명부!$A480)</f>
        <v/>
      </c>
      <c r="B483" s="15" t="str">
        <f aca="false">IF($A483="","",회원명부!$B480)</f>
        <v/>
      </c>
      <c r="C483" s="15" t="str">
        <f aca="false">IF($A483="","",회원명부!$C480)</f>
        <v/>
      </c>
      <c r="D483" s="23" t="str">
        <f aca="false">IF($A483="","",SUMIFS(결제내역!$E$3:$E$1002,결제내역!$B$3:$B$1002,$A483))</f>
        <v/>
      </c>
      <c r="E483" s="23" t="str">
        <f aca="false">IF($A483="","",SUMIFS(사용내역!$D$3:$D$3002,사용내역!$B$3:$B$3002,$A483))</f>
        <v/>
      </c>
      <c r="F483" s="23" t="str">
        <f aca="false">IF($A483="","",$D483-$E483)</f>
        <v/>
      </c>
      <c r="G483" s="17" t="str">
        <f aca="false">IF($A483="","",IF(COUNTIFS(결제내역!$B$3:$B$1002,$A483)=0,"",_xlfn.MAXIFS(결제내역!$G$3:$G$1002,결제내역!$B$3:$B$1002,$A483)))</f>
        <v/>
      </c>
      <c r="H483" s="24" t="str">
        <f aca="true">IF(OR($A483="",$G483=""),"",$G483-TODAY())</f>
        <v/>
      </c>
      <c r="I483" s="16" t="str">
        <f aca="false">IF($A483="","",SUMIFS(결제내역!$H$3:$H$1002,결제내역!$B$3:$B$1002,$A483))</f>
        <v/>
      </c>
      <c r="J483" s="25" t="str">
        <f aca="false">IF($A483="","",IF($D483=0,"미결제",IF($F483&lt;=0,"횟수소진",IF($H483="","",IF($H483&lt;0,"기간만료",IF(OR($F483&lt;=사용안내!$C$18,$H483&lt;=사용안내!$C$17),"재결제 안내","정상"))))))</f>
        <v/>
      </c>
    </row>
    <row r="484" customFormat="false" ht="15" hidden="false" customHeight="true" outlineLevel="0" collapsed="false">
      <c r="A484" s="15" t="str">
        <f aca="false">IF(회원명부!$A481="","",회원명부!$A481)</f>
        <v/>
      </c>
      <c r="B484" s="15" t="str">
        <f aca="false">IF($A484="","",회원명부!$B481)</f>
        <v/>
      </c>
      <c r="C484" s="15" t="str">
        <f aca="false">IF($A484="","",회원명부!$C481)</f>
        <v/>
      </c>
      <c r="D484" s="23" t="str">
        <f aca="false">IF($A484="","",SUMIFS(결제내역!$E$3:$E$1002,결제내역!$B$3:$B$1002,$A484))</f>
        <v/>
      </c>
      <c r="E484" s="23" t="str">
        <f aca="false">IF($A484="","",SUMIFS(사용내역!$D$3:$D$3002,사용내역!$B$3:$B$3002,$A484))</f>
        <v/>
      </c>
      <c r="F484" s="23" t="str">
        <f aca="false">IF($A484="","",$D484-$E484)</f>
        <v/>
      </c>
      <c r="G484" s="17" t="str">
        <f aca="false">IF($A484="","",IF(COUNTIFS(결제내역!$B$3:$B$1002,$A484)=0,"",_xlfn.MAXIFS(결제내역!$G$3:$G$1002,결제내역!$B$3:$B$1002,$A484)))</f>
        <v/>
      </c>
      <c r="H484" s="24" t="str">
        <f aca="true">IF(OR($A484="",$G484=""),"",$G484-TODAY())</f>
        <v/>
      </c>
      <c r="I484" s="16" t="str">
        <f aca="false">IF($A484="","",SUMIFS(결제내역!$H$3:$H$1002,결제내역!$B$3:$B$1002,$A484))</f>
        <v/>
      </c>
      <c r="J484" s="25" t="str">
        <f aca="false">IF($A484="","",IF($D484=0,"미결제",IF($F484&lt;=0,"횟수소진",IF($H484="","",IF($H484&lt;0,"기간만료",IF(OR($F484&lt;=사용안내!$C$18,$H484&lt;=사용안내!$C$17),"재결제 안내","정상"))))))</f>
        <v/>
      </c>
    </row>
    <row r="485" customFormat="false" ht="15" hidden="false" customHeight="true" outlineLevel="0" collapsed="false">
      <c r="A485" s="15" t="str">
        <f aca="false">IF(회원명부!$A482="","",회원명부!$A482)</f>
        <v/>
      </c>
      <c r="B485" s="15" t="str">
        <f aca="false">IF($A485="","",회원명부!$B482)</f>
        <v/>
      </c>
      <c r="C485" s="15" t="str">
        <f aca="false">IF($A485="","",회원명부!$C482)</f>
        <v/>
      </c>
      <c r="D485" s="23" t="str">
        <f aca="false">IF($A485="","",SUMIFS(결제내역!$E$3:$E$1002,결제내역!$B$3:$B$1002,$A485))</f>
        <v/>
      </c>
      <c r="E485" s="23" t="str">
        <f aca="false">IF($A485="","",SUMIFS(사용내역!$D$3:$D$3002,사용내역!$B$3:$B$3002,$A485))</f>
        <v/>
      </c>
      <c r="F485" s="23" t="str">
        <f aca="false">IF($A485="","",$D485-$E485)</f>
        <v/>
      </c>
      <c r="G485" s="17" t="str">
        <f aca="false">IF($A485="","",IF(COUNTIFS(결제내역!$B$3:$B$1002,$A485)=0,"",_xlfn.MAXIFS(결제내역!$G$3:$G$1002,결제내역!$B$3:$B$1002,$A485)))</f>
        <v/>
      </c>
      <c r="H485" s="24" t="str">
        <f aca="true">IF(OR($A485="",$G485=""),"",$G485-TODAY())</f>
        <v/>
      </c>
      <c r="I485" s="16" t="str">
        <f aca="false">IF($A485="","",SUMIFS(결제내역!$H$3:$H$1002,결제내역!$B$3:$B$1002,$A485))</f>
        <v/>
      </c>
      <c r="J485" s="25" t="str">
        <f aca="false">IF($A485="","",IF($D485=0,"미결제",IF($F485&lt;=0,"횟수소진",IF($H485="","",IF($H485&lt;0,"기간만료",IF(OR($F485&lt;=사용안내!$C$18,$H485&lt;=사용안내!$C$17),"재결제 안내","정상"))))))</f>
        <v/>
      </c>
    </row>
    <row r="486" customFormat="false" ht="15" hidden="false" customHeight="true" outlineLevel="0" collapsed="false">
      <c r="A486" s="15" t="str">
        <f aca="false">IF(회원명부!$A483="","",회원명부!$A483)</f>
        <v/>
      </c>
      <c r="B486" s="15" t="str">
        <f aca="false">IF($A486="","",회원명부!$B483)</f>
        <v/>
      </c>
      <c r="C486" s="15" t="str">
        <f aca="false">IF($A486="","",회원명부!$C483)</f>
        <v/>
      </c>
      <c r="D486" s="23" t="str">
        <f aca="false">IF($A486="","",SUMIFS(결제내역!$E$3:$E$1002,결제내역!$B$3:$B$1002,$A486))</f>
        <v/>
      </c>
      <c r="E486" s="23" t="str">
        <f aca="false">IF($A486="","",SUMIFS(사용내역!$D$3:$D$3002,사용내역!$B$3:$B$3002,$A486))</f>
        <v/>
      </c>
      <c r="F486" s="23" t="str">
        <f aca="false">IF($A486="","",$D486-$E486)</f>
        <v/>
      </c>
      <c r="G486" s="17" t="str">
        <f aca="false">IF($A486="","",IF(COUNTIFS(결제내역!$B$3:$B$1002,$A486)=0,"",_xlfn.MAXIFS(결제내역!$G$3:$G$1002,결제내역!$B$3:$B$1002,$A486)))</f>
        <v/>
      </c>
      <c r="H486" s="24" t="str">
        <f aca="true">IF(OR($A486="",$G486=""),"",$G486-TODAY())</f>
        <v/>
      </c>
      <c r="I486" s="16" t="str">
        <f aca="false">IF($A486="","",SUMIFS(결제내역!$H$3:$H$1002,결제내역!$B$3:$B$1002,$A486))</f>
        <v/>
      </c>
      <c r="J486" s="25" t="str">
        <f aca="false">IF($A486="","",IF($D486=0,"미결제",IF($F486&lt;=0,"횟수소진",IF($H486="","",IF($H486&lt;0,"기간만료",IF(OR($F486&lt;=사용안내!$C$18,$H486&lt;=사용안내!$C$17),"재결제 안내","정상"))))))</f>
        <v/>
      </c>
    </row>
    <row r="487" customFormat="false" ht="15" hidden="false" customHeight="true" outlineLevel="0" collapsed="false">
      <c r="A487" s="15" t="str">
        <f aca="false">IF(회원명부!$A484="","",회원명부!$A484)</f>
        <v/>
      </c>
      <c r="B487" s="15" t="str">
        <f aca="false">IF($A487="","",회원명부!$B484)</f>
        <v/>
      </c>
      <c r="C487" s="15" t="str">
        <f aca="false">IF($A487="","",회원명부!$C484)</f>
        <v/>
      </c>
      <c r="D487" s="23" t="str">
        <f aca="false">IF($A487="","",SUMIFS(결제내역!$E$3:$E$1002,결제내역!$B$3:$B$1002,$A487))</f>
        <v/>
      </c>
      <c r="E487" s="23" t="str">
        <f aca="false">IF($A487="","",SUMIFS(사용내역!$D$3:$D$3002,사용내역!$B$3:$B$3002,$A487))</f>
        <v/>
      </c>
      <c r="F487" s="23" t="str">
        <f aca="false">IF($A487="","",$D487-$E487)</f>
        <v/>
      </c>
      <c r="G487" s="17" t="str">
        <f aca="false">IF($A487="","",IF(COUNTIFS(결제내역!$B$3:$B$1002,$A487)=0,"",_xlfn.MAXIFS(결제내역!$G$3:$G$1002,결제내역!$B$3:$B$1002,$A487)))</f>
        <v/>
      </c>
      <c r="H487" s="24" t="str">
        <f aca="true">IF(OR($A487="",$G487=""),"",$G487-TODAY())</f>
        <v/>
      </c>
      <c r="I487" s="16" t="str">
        <f aca="false">IF($A487="","",SUMIFS(결제내역!$H$3:$H$1002,결제내역!$B$3:$B$1002,$A487))</f>
        <v/>
      </c>
      <c r="J487" s="25" t="str">
        <f aca="false">IF($A487="","",IF($D487=0,"미결제",IF($F487&lt;=0,"횟수소진",IF($H487="","",IF($H487&lt;0,"기간만료",IF(OR($F487&lt;=사용안내!$C$18,$H487&lt;=사용안내!$C$17),"재결제 안내","정상"))))))</f>
        <v/>
      </c>
    </row>
    <row r="488" customFormat="false" ht="15" hidden="false" customHeight="true" outlineLevel="0" collapsed="false">
      <c r="A488" s="15" t="str">
        <f aca="false">IF(회원명부!$A485="","",회원명부!$A485)</f>
        <v/>
      </c>
      <c r="B488" s="15" t="str">
        <f aca="false">IF($A488="","",회원명부!$B485)</f>
        <v/>
      </c>
      <c r="C488" s="15" t="str">
        <f aca="false">IF($A488="","",회원명부!$C485)</f>
        <v/>
      </c>
      <c r="D488" s="23" t="str">
        <f aca="false">IF($A488="","",SUMIFS(결제내역!$E$3:$E$1002,결제내역!$B$3:$B$1002,$A488))</f>
        <v/>
      </c>
      <c r="E488" s="23" t="str">
        <f aca="false">IF($A488="","",SUMIFS(사용내역!$D$3:$D$3002,사용내역!$B$3:$B$3002,$A488))</f>
        <v/>
      </c>
      <c r="F488" s="23" t="str">
        <f aca="false">IF($A488="","",$D488-$E488)</f>
        <v/>
      </c>
      <c r="G488" s="17" t="str">
        <f aca="false">IF($A488="","",IF(COUNTIFS(결제내역!$B$3:$B$1002,$A488)=0,"",_xlfn.MAXIFS(결제내역!$G$3:$G$1002,결제내역!$B$3:$B$1002,$A488)))</f>
        <v/>
      </c>
      <c r="H488" s="24" t="str">
        <f aca="true">IF(OR($A488="",$G488=""),"",$G488-TODAY())</f>
        <v/>
      </c>
      <c r="I488" s="16" t="str">
        <f aca="false">IF($A488="","",SUMIFS(결제내역!$H$3:$H$1002,결제내역!$B$3:$B$1002,$A488))</f>
        <v/>
      </c>
      <c r="J488" s="25" t="str">
        <f aca="false">IF($A488="","",IF($D488=0,"미결제",IF($F488&lt;=0,"횟수소진",IF($H488="","",IF($H488&lt;0,"기간만료",IF(OR($F488&lt;=사용안내!$C$18,$H488&lt;=사용안내!$C$17),"재결제 안내","정상"))))))</f>
        <v/>
      </c>
    </row>
    <row r="489" customFormat="false" ht="15" hidden="false" customHeight="true" outlineLevel="0" collapsed="false">
      <c r="A489" s="15" t="str">
        <f aca="false">IF(회원명부!$A486="","",회원명부!$A486)</f>
        <v/>
      </c>
      <c r="B489" s="15" t="str">
        <f aca="false">IF($A489="","",회원명부!$B486)</f>
        <v/>
      </c>
      <c r="C489" s="15" t="str">
        <f aca="false">IF($A489="","",회원명부!$C486)</f>
        <v/>
      </c>
      <c r="D489" s="23" t="str">
        <f aca="false">IF($A489="","",SUMIFS(결제내역!$E$3:$E$1002,결제내역!$B$3:$B$1002,$A489))</f>
        <v/>
      </c>
      <c r="E489" s="23" t="str">
        <f aca="false">IF($A489="","",SUMIFS(사용내역!$D$3:$D$3002,사용내역!$B$3:$B$3002,$A489))</f>
        <v/>
      </c>
      <c r="F489" s="23" t="str">
        <f aca="false">IF($A489="","",$D489-$E489)</f>
        <v/>
      </c>
      <c r="G489" s="17" t="str">
        <f aca="false">IF($A489="","",IF(COUNTIFS(결제내역!$B$3:$B$1002,$A489)=0,"",_xlfn.MAXIFS(결제내역!$G$3:$G$1002,결제내역!$B$3:$B$1002,$A489)))</f>
        <v/>
      </c>
      <c r="H489" s="24" t="str">
        <f aca="true">IF(OR($A489="",$G489=""),"",$G489-TODAY())</f>
        <v/>
      </c>
      <c r="I489" s="16" t="str">
        <f aca="false">IF($A489="","",SUMIFS(결제내역!$H$3:$H$1002,결제내역!$B$3:$B$1002,$A489))</f>
        <v/>
      </c>
      <c r="J489" s="25" t="str">
        <f aca="false">IF($A489="","",IF($D489=0,"미결제",IF($F489&lt;=0,"횟수소진",IF($H489="","",IF($H489&lt;0,"기간만료",IF(OR($F489&lt;=사용안내!$C$18,$H489&lt;=사용안내!$C$17),"재결제 안내","정상"))))))</f>
        <v/>
      </c>
    </row>
    <row r="490" customFormat="false" ht="15" hidden="false" customHeight="true" outlineLevel="0" collapsed="false">
      <c r="A490" s="15" t="str">
        <f aca="false">IF(회원명부!$A487="","",회원명부!$A487)</f>
        <v/>
      </c>
      <c r="B490" s="15" t="str">
        <f aca="false">IF($A490="","",회원명부!$B487)</f>
        <v/>
      </c>
      <c r="C490" s="15" t="str">
        <f aca="false">IF($A490="","",회원명부!$C487)</f>
        <v/>
      </c>
      <c r="D490" s="23" t="str">
        <f aca="false">IF($A490="","",SUMIFS(결제내역!$E$3:$E$1002,결제내역!$B$3:$B$1002,$A490))</f>
        <v/>
      </c>
      <c r="E490" s="23" t="str">
        <f aca="false">IF($A490="","",SUMIFS(사용내역!$D$3:$D$3002,사용내역!$B$3:$B$3002,$A490))</f>
        <v/>
      </c>
      <c r="F490" s="23" t="str">
        <f aca="false">IF($A490="","",$D490-$E490)</f>
        <v/>
      </c>
      <c r="G490" s="17" t="str">
        <f aca="false">IF($A490="","",IF(COUNTIFS(결제내역!$B$3:$B$1002,$A490)=0,"",_xlfn.MAXIFS(결제내역!$G$3:$G$1002,결제내역!$B$3:$B$1002,$A490)))</f>
        <v/>
      </c>
      <c r="H490" s="24" t="str">
        <f aca="true">IF(OR($A490="",$G490=""),"",$G490-TODAY())</f>
        <v/>
      </c>
      <c r="I490" s="16" t="str">
        <f aca="false">IF($A490="","",SUMIFS(결제내역!$H$3:$H$1002,결제내역!$B$3:$B$1002,$A490))</f>
        <v/>
      </c>
      <c r="J490" s="25" t="str">
        <f aca="false">IF($A490="","",IF($D490=0,"미결제",IF($F490&lt;=0,"횟수소진",IF($H490="","",IF($H490&lt;0,"기간만료",IF(OR($F490&lt;=사용안내!$C$18,$H490&lt;=사용안내!$C$17),"재결제 안내","정상"))))))</f>
        <v/>
      </c>
    </row>
    <row r="491" customFormat="false" ht="15" hidden="false" customHeight="true" outlineLevel="0" collapsed="false">
      <c r="A491" s="15" t="str">
        <f aca="false">IF(회원명부!$A488="","",회원명부!$A488)</f>
        <v/>
      </c>
      <c r="B491" s="15" t="str">
        <f aca="false">IF($A491="","",회원명부!$B488)</f>
        <v/>
      </c>
      <c r="C491" s="15" t="str">
        <f aca="false">IF($A491="","",회원명부!$C488)</f>
        <v/>
      </c>
      <c r="D491" s="23" t="str">
        <f aca="false">IF($A491="","",SUMIFS(결제내역!$E$3:$E$1002,결제내역!$B$3:$B$1002,$A491))</f>
        <v/>
      </c>
      <c r="E491" s="23" t="str">
        <f aca="false">IF($A491="","",SUMIFS(사용내역!$D$3:$D$3002,사용내역!$B$3:$B$3002,$A491))</f>
        <v/>
      </c>
      <c r="F491" s="23" t="str">
        <f aca="false">IF($A491="","",$D491-$E491)</f>
        <v/>
      </c>
      <c r="G491" s="17" t="str">
        <f aca="false">IF($A491="","",IF(COUNTIFS(결제내역!$B$3:$B$1002,$A491)=0,"",_xlfn.MAXIFS(결제내역!$G$3:$G$1002,결제내역!$B$3:$B$1002,$A491)))</f>
        <v/>
      </c>
      <c r="H491" s="24" t="str">
        <f aca="true">IF(OR($A491="",$G491=""),"",$G491-TODAY())</f>
        <v/>
      </c>
      <c r="I491" s="16" t="str">
        <f aca="false">IF($A491="","",SUMIFS(결제내역!$H$3:$H$1002,결제내역!$B$3:$B$1002,$A491))</f>
        <v/>
      </c>
      <c r="J491" s="25" t="str">
        <f aca="false">IF($A491="","",IF($D491=0,"미결제",IF($F491&lt;=0,"횟수소진",IF($H491="","",IF($H491&lt;0,"기간만료",IF(OR($F491&lt;=사용안내!$C$18,$H491&lt;=사용안내!$C$17),"재결제 안내","정상"))))))</f>
        <v/>
      </c>
    </row>
    <row r="492" customFormat="false" ht="15" hidden="false" customHeight="true" outlineLevel="0" collapsed="false">
      <c r="A492" s="15" t="str">
        <f aca="false">IF(회원명부!$A489="","",회원명부!$A489)</f>
        <v/>
      </c>
      <c r="B492" s="15" t="str">
        <f aca="false">IF($A492="","",회원명부!$B489)</f>
        <v/>
      </c>
      <c r="C492" s="15" t="str">
        <f aca="false">IF($A492="","",회원명부!$C489)</f>
        <v/>
      </c>
      <c r="D492" s="23" t="str">
        <f aca="false">IF($A492="","",SUMIFS(결제내역!$E$3:$E$1002,결제내역!$B$3:$B$1002,$A492))</f>
        <v/>
      </c>
      <c r="E492" s="23" t="str">
        <f aca="false">IF($A492="","",SUMIFS(사용내역!$D$3:$D$3002,사용내역!$B$3:$B$3002,$A492))</f>
        <v/>
      </c>
      <c r="F492" s="23" t="str">
        <f aca="false">IF($A492="","",$D492-$E492)</f>
        <v/>
      </c>
      <c r="G492" s="17" t="str">
        <f aca="false">IF($A492="","",IF(COUNTIFS(결제내역!$B$3:$B$1002,$A492)=0,"",_xlfn.MAXIFS(결제내역!$G$3:$G$1002,결제내역!$B$3:$B$1002,$A492)))</f>
        <v/>
      </c>
      <c r="H492" s="24" t="str">
        <f aca="true">IF(OR($A492="",$G492=""),"",$G492-TODAY())</f>
        <v/>
      </c>
      <c r="I492" s="16" t="str">
        <f aca="false">IF($A492="","",SUMIFS(결제내역!$H$3:$H$1002,결제내역!$B$3:$B$1002,$A492))</f>
        <v/>
      </c>
      <c r="J492" s="25" t="str">
        <f aca="false">IF($A492="","",IF($D492=0,"미결제",IF($F492&lt;=0,"횟수소진",IF($H492="","",IF($H492&lt;0,"기간만료",IF(OR($F492&lt;=사용안내!$C$18,$H492&lt;=사용안내!$C$17),"재결제 안내","정상"))))))</f>
        <v/>
      </c>
    </row>
    <row r="493" customFormat="false" ht="15" hidden="false" customHeight="true" outlineLevel="0" collapsed="false">
      <c r="A493" s="15" t="str">
        <f aca="false">IF(회원명부!$A490="","",회원명부!$A490)</f>
        <v/>
      </c>
      <c r="B493" s="15" t="str">
        <f aca="false">IF($A493="","",회원명부!$B490)</f>
        <v/>
      </c>
      <c r="C493" s="15" t="str">
        <f aca="false">IF($A493="","",회원명부!$C490)</f>
        <v/>
      </c>
      <c r="D493" s="23" t="str">
        <f aca="false">IF($A493="","",SUMIFS(결제내역!$E$3:$E$1002,결제내역!$B$3:$B$1002,$A493))</f>
        <v/>
      </c>
      <c r="E493" s="23" t="str">
        <f aca="false">IF($A493="","",SUMIFS(사용내역!$D$3:$D$3002,사용내역!$B$3:$B$3002,$A493))</f>
        <v/>
      </c>
      <c r="F493" s="23" t="str">
        <f aca="false">IF($A493="","",$D493-$E493)</f>
        <v/>
      </c>
      <c r="G493" s="17" t="str">
        <f aca="false">IF($A493="","",IF(COUNTIFS(결제내역!$B$3:$B$1002,$A493)=0,"",_xlfn.MAXIFS(결제내역!$G$3:$G$1002,결제내역!$B$3:$B$1002,$A493)))</f>
        <v/>
      </c>
      <c r="H493" s="24" t="str">
        <f aca="true">IF(OR($A493="",$G493=""),"",$G493-TODAY())</f>
        <v/>
      </c>
      <c r="I493" s="16" t="str">
        <f aca="false">IF($A493="","",SUMIFS(결제내역!$H$3:$H$1002,결제내역!$B$3:$B$1002,$A493))</f>
        <v/>
      </c>
      <c r="J493" s="25" t="str">
        <f aca="false">IF($A493="","",IF($D493=0,"미결제",IF($F493&lt;=0,"횟수소진",IF($H493="","",IF($H493&lt;0,"기간만료",IF(OR($F493&lt;=사용안내!$C$18,$H493&lt;=사용안내!$C$17),"재결제 안내","정상"))))))</f>
        <v/>
      </c>
    </row>
    <row r="494" customFormat="false" ht="15" hidden="false" customHeight="true" outlineLevel="0" collapsed="false">
      <c r="A494" s="15" t="str">
        <f aca="false">IF(회원명부!$A491="","",회원명부!$A491)</f>
        <v/>
      </c>
      <c r="B494" s="15" t="str">
        <f aca="false">IF($A494="","",회원명부!$B491)</f>
        <v/>
      </c>
      <c r="C494" s="15" t="str">
        <f aca="false">IF($A494="","",회원명부!$C491)</f>
        <v/>
      </c>
      <c r="D494" s="23" t="str">
        <f aca="false">IF($A494="","",SUMIFS(결제내역!$E$3:$E$1002,결제내역!$B$3:$B$1002,$A494))</f>
        <v/>
      </c>
      <c r="E494" s="23" t="str">
        <f aca="false">IF($A494="","",SUMIFS(사용내역!$D$3:$D$3002,사용내역!$B$3:$B$3002,$A494))</f>
        <v/>
      </c>
      <c r="F494" s="23" t="str">
        <f aca="false">IF($A494="","",$D494-$E494)</f>
        <v/>
      </c>
      <c r="G494" s="17" t="str">
        <f aca="false">IF($A494="","",IF(COUNTIFS(결제내역!$B$3:$B$1002,$A494)=0,"",_xlfn.MAXIFS(결제내역!$G$3:$G$1002,결제내역!$B$3:$B$1002,$A494)))</f>
        <v/>
      </c>
      <c r="H494" s="24" t="str">
        <f aca="true">IF(OR($A494="",$G494=""),"",$G494-TODAY())</f>
        <v/>
      </c>
      <c r="I494" s="16" t="str">
        <f aca="false">IF($A494="","",SUMIFS(결제내역!$H$3:$H$1002,결제내역!$B$3:$B$1002,$A494))</f>
        <v/>
      </c>
      <c r="J494" s="25" t="str">
        <f aca="false">IF($A494="","",IF($D494=0,"미결제",IF($F494&lt;=0,"횟수소진",IF($H494="","",IF($H494&lt;0,"기간만료",IF(OR($F494&lt;=사용안내!$C$18,$H494&lt;=사용안내!$C$17),"재결제 안내","정상"))))))</f>
        <v/>
      </c>
    </row>
    <row r="495" customFormat="false" ht="15" hidden="false" customHeight="true" outlineLevel="0" collapsed="false">
      <c r="A495" s="15" t="str">
        <f aca="false">IF(회원명부!$A492="","",회원명부!$A492)</f>
        <v/>
      </c>
      <c r="B495" s="15" t="str">
        <f aca="false">IF($A495="","",회원명부!$B492)</f>
        <v/>
      </c>
      <c r="C495" s="15" t="str">
        <f aca="false">IF($A495="","",회원명부!$C492)</f>
        <v/>
      </c>
      <c r="D495" s="23" t="str">
        <f aca="false">IF($A495="","",SUMIFS(결제내역!$E$3:$E$1002,결제내역!$B$3:$B$1002,$A495))</f>
        <v/>
      </c>
      <c r="E495" s="23" t="str">
        <f aca="false">IF($A495="","",SUMIFS(사용내역!$D$3:$D$3002,사용내역!$B$3:$B$3002,$A495))</f>
        <v/>
      </c>
      <c r="F495" s="23" t="str">
        <f aca="false">IF($A495="","",$D495-$E495)</f>
        <v/>
      </c>
      <c r="G495" s="17" t="str">
        <f aca="false">IF($A495="","",IF(COUNTIFS(결제내역!$B$3:$B$1002,$A495)=0,"",_xlfn.MAXIFS(결제내역!$G$3:$G$1002,결제내역!$B$3:$B$1002,$A495)))</f>
        <v/>
      </c>
      <c r="H495" s="24" t="str">
        <f aca="true">IF(OR($A495="",$G495=""),"",$G495-TODAY())</f>
        <v/>
      </c>
      <c r="I495" s="16" t="str">
        <f aca="false">IF($A495="","",SUMIFS(결제내역!$H$3:$H$1002,결제내역!$B$3:$B$1002,$A495))</f>
        <v/>
      </c>
      <c r="J495" s="25" t="str">
        <f aca="false">IF($A495="","",IF($D495=0,"미결제",IF($F495&lt;=0,"횟수소진",IF($H495="","",IF($H495&lt;0,"기간만료",IF(OR($F495&lt;=사용안내!$C$18,$H495&lt;=사용안내!$C$17),"재결제 안내","정상"))))))</f>
        <v/>
      </c>
    </row>
    <row r="496" customFormat="false" ht="15" hidden="false" customHeight="true" outlineLevel="0" collapsed="false">
      <c r="A496" s="15" t="str">
        <f aca="false">IF(회원명부!$A493="","",회원명부!$A493)</f>
        <v/>
      </c>
      <c r="B496" s="15" t="str">
        <f aca="false">IF($A496="","",회원명부!$B493)</f>
        <v/>
      </c>
      <c r="C496" s="15" t="str">
        <f aca="false">IF($A496="","",회원명부!$C493)</f>
        <v/>
      </c>
      <c r="D496" s="23" t="str">
        <f aca="false">IF($A496="","",SUMIFS(결제내역!$E$3:$E$1002,결제내역!$B$3:$B$1002,$A496))</f>
        <v/>
      </c>
      <c r="E496" s="23" t="str">
        <f aca="false">IF($A496="","",SUMIFS(사용내역!$D$3:$D$3002,사용내역!$B$3:$B$3002,$A496))</f>
        <v/>
      </c>
      <c r="F496" s="23" t="str">
        <f aca="false">IF($A496="","",$D496-$E496)</f>
        <v/>
      </c>
      <c r="G496" s="17" t="str">
        <f aca="false">IF($A496="","",IF(COUNTIFS(결제내역!$B$3:$B$1002,$A496)=0,"",_xlfn.MAXIFS(결제내역!$G$3:$G$1002,결제내역!$B$3:$B$1002,$A496)))</f>
        <v/>
      </c>
      <c r="H496" s="24" t="str">
        <f aca="true">IF(OR($A496="",$G496=""),"",$G496-TODAY())</f>
        <v/>
      </c>
      <c r="I496" s="16" t="str">
        <f aca="false">IF($A496="","",SUMIFS(결제내역!$H$3:$H$1002,결제내역!$B$3:$B$1002,$A496))</f>
        <v/>
      </c>
      <c r="J496" s="25" t="str">
        <f aca="false">IF($A496="","",IF($D496=0,"미결제",IF($F496&lt;=0,"횟수소진",IF($H496="","",IF($H496&lt;0,"기간만료",IF(OR($F496&lt;=사용안내!$C$18,$H496&lt;=사용안내!$C$17),"재결제 안내","정상"))))))</f>
        <v/>
      </c>
    </row>
    <row r="497" customFormat="false" ht="15" hidden="false" customHeight="true" outlineLevel="0" collapsed="false">
      <c r="A497" s="15" t="str">
        <f aca="false">IF(회원명부!$A494="","",회원명부!$A494)</f>
        <v/>
      </c>
      <c r="B497" s="15" t="str">
        <f aca="false">IF($A497="","",회원명부!$B494)</f>
        <v/>
      </c>
      <c r="C497" s="15" t="str">
        <f aca="false">IF($A497="","",회원명부!$C494)</f>
        <v/>
      </c>
      <c r="D497" s="23" t="str">
        <f aca="false">IF($A497="","",SUMIFS(결제내역!$E$3:$E$1002,결제내역!$B$3:$B$1002,$A497))</f>
        <v/>
      </c>
      <c r="E497" s="23" t="str">
        <f aca="false">IF($A497="","",SUMIFS(사용내역!$D$3:$D$3002,사용내역!$B$3:$B$3002,$A497))</f>
        <v/>
      </c>
      <c r="F497" s="23" t="str">
        <f aca="false">IF($A497="","",$D497-$E497)</f>
        <v/>
      </c>
      <c r="G497" s="17" t="str">
        <f aca="false">IF($A497="","",IF(COUNTIFS(결제내역!$B$3:$B$1002,$A497)=0,"",_xlfn.MAXIFS(결제내역!$G$3:$G$1002,결제내역!$B$3:$B$1002,$A497)))</f>
        <v/>
      </c>
      <c r="H497" s="24" t="str">
        <f aca="true">IF(OR($A497="",$G497=""),"",$G497-TODAY())</f>
        <v/>
      </c>
      <c r="I497" s="16" t="str">
        <f aca="false">IF($A497="","",SUMIFS(결제내역!$H$3:$H$1002,결제내역!$B$3:$B$1002,$A497))</f>
        <v/>
      </c>
      <c r="J497" s="25" t="str">
        <f aca="false">IF($A497="","",IF($D497=0,"미결제",IF($F497&lt;=0,"횟수소진",IF($H497="","",IF($H497&lt;0,"기간만료",IF(OR($F497&lt;=사용안내!$C$18,$H497&lt;=사용안내!$C$17),"재결제 안내","정상"))))))</f>
        <v/>
      </c>
    </row>
    <row r="498" customFormat="false" ht="15" hidden="false" customHeight="true" outlineLevel="0" collapsed="false">
      <c r="A498" s="15" t="str">
        <f aca="false">IF(회원명부!$A495="","",회원명부!$A495)</f>
        <v/>
      </c>
      <c r="B498" s="15" t="str">
        <f aca="false">IF($A498="","",회원명부!$B495)</f>
        <v/>
      </c>
      <c r="C498" s="15" t="str">
        <f aca="false">IF($A498="","",회원명부!$C495)</f>
        <v/>
      </c>
      <c r="D498" s="23" t="str">
        <f aca="false">IF($A498="","",SUMIFS(결제내역!$E$3:$E$1002,결제내역!$B$3:$B$1002,$A498))</f>
        <v/>
      </c>
      <c r="E498" s="23" t="str">
        <f aca="false">IF($A498="","",SUMIFS(사용내역!$D$3:$D$3002,사용내역!$B$3:$B$3002,$A498))</f>
        <v/>
      </c>
      <c r="F498" s="23" t="str">
        <f aca="false">IF($A498="","",$D498-$E498)</f>
        <v/>
      </c>
      <c r="G498" s="17" t="str">
        <f aca="false">IF($A498="","",IF(COUNTIFS(결제내역!$B$3:$B$1002,$A498)=0,"",_xlfn.MAXIFS(결제내역!$G$3:$G$1002,결제내역!$B$3:$B$1002,$A498)))</f>
        <v/>
      </c>
      <c r="H498" s="24" t="str">
        <f aca="true">IF(OR($A498="",$G498=""),"",$G498-TODAY())</f>
        <v/>
      </c>
      <c r="I498" s="16" t="str">
        <f aca="false">IF($A498="","",SUMIFS(결제내역!$H$3:$H$1002,결제내역!$B$3:$B$1002,$A498))</f>
        <v/>
      </c>
      <c r="J498" s="25" t="str">
        <f aca="false">IF($A498="","",IF($D498=0,"미결제",IF($F498&lt;=0,"횟수소진",IF($H498="","",IF($H498&lt;0,"기간만료",IF(OR($F498&lt;=사용안내!$C$18,$H498&lt;=사용안내!$C$17),"재결제 안내","정상"))))))</f>
        <v/>
      </c>
    </row>
    <row r="499" customFormat="false" ht="15" hidden="false" customHeight="true" outlineLevel="0" collapsed="false">
      <c r="A499" s="15" t="str">
        <f aca="false">IF(회원명부!$A496="","",회원명부!$A496)</f>
        <v/>
      </c>
      <c r="B499" s="15" t="str">
        <f aca="false">IF($A499="","",회원명부!$B496)</f>
        <v/>
      </c>
      <c r="C499" s="15" t="str">
        <f aca="false">IF($A499="","",회원명부!$C496)</f>
        <v/>
      </c>
      <c r="D499" s="23" t="str">
        <f aca="false">IF($A499="","",SUMIFS(결제내역!$E$3:$E$1002,결제내역!$B$3:$B$1002,$A499))</f>
        <v/>
      </c>
      <c r="E499" s="23" t="str">
        <f aca="false">IF($A499="","",SUMIFS(사용내역!$D$3:$D$3002,사용내역!$B$3:$B$3002,$A499))</f>
        <v/>
      </c>
      <c r="F499" s="23" t="str">
        <f aca="false">IF($A499="","",$D499-$E499)</f>
        <v/>
      </c>
      <c r="G499" s="17" t="str">
        <f aca="false">IF($A499="","",IF(COUNTIFS(결제내역!$B$3:$B$1002,$A499)=0,"",_xlfn.MAXIFS(결제내역!$G$3:$G$1002,결제내역!$B$3:$B$1002,$A499)))</f>
        <v/>
      </c>
      <c r="H499" s="24" t="str">
        <f aca="true">IF(OR($A499="",$G499=""),"",$G499-TODAY())</f>
        <v/>
      </c>
      <c r="I499" s="16" t="str">
        <f aca="false">IF($A499="","",SUMIFS(결제내역!$H$3:$H$1002,결제내역!$B$3:$B$1002,$A499))</f>
        <v/>
      </c>
      <c r="J499" s="25" t="str">
        <f aca="false">IF($A499="","",IF($D499=0,"미결제",IF($F499&lt;=0,"횟수소진",IF($H499="","",IF($H499&lt;0,"기간만료",IF(OR($F499&lt;=사용안내!$C$18,$H499&lt;=사용안내!$C$17),"재결제 안내","정상"))))))</f>
        <v/>
      </c>
    </row>
    <row r="500" customFormat="false" ht="15" hidden="false" customHeight="true" outlineLevel="0" collapsed="false">
      <c r="A500" s="15" t="str">
        <f aca="false">IF(회원명부!$A497="","",회원명부!$A497)</f>
        <v/>
      </c>
      <c r="B500" s="15" t="str">
        <f aca="false">IF($A500="","",회원명부!$B497)</f>
        <v/>
      </c>
      <c r="C500" s="15" t="str">
        <f aca="false">IF($A500="","",회원명부!$C497)</f>
        <v/>
      </c>
      <c r="D500" s="23" t="str">
        <f aca="false">IF($A500="","",SUMIFS(결제내역!$E$3:$E$1002,결제내역!$B$3:$B$1002,$A500))</f>
        <v/>
      </c>
      <c r="E500" s="23" t="str">
        <f aca="false">IF($A500="","",SUMIFS(사용내역!$D$3:$D$3002,사용내역!$B$3:$B$3002,$A500))</f>
        <v/>
      </c>
      <c r="F500" s="23" t="str">
        <f aca="false">IF($A500="","",$D500-$E500)</f>
        <v/>
      </c>
      <c r="G500" s="17" t="str">
        <f aca="false">IF($A500="","",IF(COUNTIFS(결제내역!$B$3:$B$1002,$A500)=0,"",_xlfn.MAXIFS(결제내역!$G$3:$G$1002,결제내역!$B$3:$B$1002,$A500)))</f>
        <v/>
      </c>
      <c r="H500" s="24" t="str">
        <f aca="true">IF(OR($A500="",$G500=""),"",$G500-TODAY())</f>
        <v/>
      </c>
      <c r="I500" s="16" t="str">
        <f aca="false">IF($A500="","",SUMIFS(결제내역!$H$3:$H$1002,결제내역!$B$3:$B$1002,$A500))</f>
        <v/>
      </c>
      <c r="J500" s="25" t="str">
        <f aca="false">IF($A500="","",IF($D500=0,"미결제",IF($F500&lt;=0,"횟수소진",IF($H500="","",IF($H500&lt;0,"기간만료",IF(OR($F500&lt;=사용안내!$C$18,$H500&lt;=사용안내!$C$17),"재결제 안내","정상"))))))</f>
        <v/>
      </c>
    </row>
    <row r="501" customFormat="false" ht="15" hidden="false" customHeight="true" outlineLevel="0" collapsed="false">
      <c r="A501" s="15" t="str">
        <f aca="false">IF(회원명부!$A498="","",회원명부!$A498)</f>
        <v/>
      </c>
      <c r="B501" s="15" t="str">
        <f aca="false">IF($A501="","",회원명부!$B498)</f>
        <v/>
      </c>
      <c r="C501" s="15" t="str">
        <f aca="false">IF($A501="","",회원명부!$C498)</f>
        <v/>
      </c>
      <c r="D501" s="23" t="str">
        <f aca="false">IF($A501="","",SUMIFS(결제내역!$E$3:$E$1002,결제내역!$B$3:$B$1002,$A501))</f>
        <v/>
      </c>
      <c r="E501" s="23" t="str">
        <f aca="false">IF($A501="","",SUMIFS(사용내역!$D$3:$D$3002,사용내역!$B$3:$B$3002,$A501))</f>
        <v/>
      </c>
      <c r="F501" s="23" t="str">
        <f aca="false">IF($A501="","",$D501-$E501)</f>
        <v/>
      </c>
      <c r="G501" s="17" t="str">
        <f aca="false">IF($A501="","",IF(COUNTIFS(결제내역!$B$3:$B$1002,$A501)=0,"",_xlfn.MAXIFS(결제내역!$G$3:$G$1002,결제내역!$B$3:$B$1002,$A501)))</f>
        <v/>
      </c>
      <c r="H501" s="24" t="str">
        <f aca="true">IF(OR($A501="",$G501=""),"",$G501-TODAY())</f>
        <v/>
      </c>
      <c r="I501" s="16" t="str">
        <f aca="false">IF($A501="","",SUMIFS(결제내역!$H$3:$H$1002,결제내역!$B$3:$B$1002,$A501))</f>
        <v/>
      </c>
      <c r="J501" s="25" t="str">
        <f aca="false">IF($A501="","",IF($D501=0,"미결제",IF($F501&lt;=0,"횟수소진",IF($H501="","",IF($H501&lt;0,"기간만료",IF(OR($F501&lt;=사용안내!$C$18,$H501&lt;=사용안내!$C$17),"재결제 안내","정상"))))))</f>
        <v/>
      </c>
    </row>
    <row r="502" customFormat="false" ht="15" hidden="false" customHeight="true" outlineLevel="0" collapsed="false">
      <c r="A502" s="15" t="str">
        <f aca="false">IF(회원명부!$A499="","",회원명부!$A499)</f>
        <v/>
      </c>
      <c r="B502" s="15" t="str">
        <f aca="false">IF($A502="","",회원명부!$B499)</f>
        <v/>
      </c>
      <c r="C502" s="15" t="str">
        <f aca="false">IF($A502="","",회원명부!$C499)</f>
        <v/>
      </c>
      <c r="D502" s="23" t="str">
        <f aca="false">IF($A502="","",SUMIFS(결제내역!$E$3:$E$1002,결제내역!$B$3:$B$1002,$A502))</f>
        <v/>
      </c>
      <c r="E502" s="23" t="str">
        <f aca="false">IF($A502="","",SUMIFS(사용내역!$D$3:$D$3002,사용내역!$B$3:$B$3002,$A502))</f>
        <v/>
      </c>
      <c r="F502" s="23" t="str">
        <f aca="false">IF($A502="","",$D502-$E502)</f>
        <v/>
      </c>
      <c r="G502" s="17" t="str">
        <f aca="false">IF($A502="","",IF(COUNTIFS(결제내역!$B$3:$B$1002,$A502)=0,"",_xlfn.MAXIFS(결제내역!$G$3:$G$1002,결제내역!$B$3:$B$1002,$A502)))</f>
        <v/>
      </c>
      <c r="H502" s="24" t="str">
        <f aca="true">IF(OR($A502="",$G502=""),"",$G502-TODAY())</f>
        <v/>
      </c>
      <c r="I502" s="16" t="str">
        <f aca="false">IF($A502="","",SUMIFS(결제내역!$H$3:$H$1002,결제내역!$B$3:$B$1002,$A502))</f>
        <v/>
      </c>
      <c r="J502" s="25" t="str">
        <f aca="false">IF($A502="","",IF($D502=0,"미결제",IF($F502&lt;=0,"횟수소진",IF($H502="","",IF($H502&lt;0,"기간만료",IF(OR($F502&lt;=사용안내!$C$18,$H502&lt;=사용안내!$C$17),"재결제 안내","정상"))))))</f>
        <v/>
      </c>
    </row>
    <row r="503" customFormat="false" ht="15" hidden="false" customHeight="true" outlineLevel="0" collapsed="false">
      <c r="A503" s="15" t="str">
        <f aca="false">IF(회원명부!$A500="","",회원명부!$A500)</f>
        <v/>
      </c>
      <c r="B503" s="15" t="str">
        <f aca="false">IF($A503="","",회원명부!$B500)</f>
        <v/>
      </c>
      <c r="C503" s="15" t="str">
        <f aca="false">IF($A503="","",회원명부!$C500)</f>
        <v/>
      </c>
      <c r="D503" s="23" t="str">
        <f aca="false">IF($A503="","",SUMIFS(결제내역!$E$3:$E$1002,결제내역!$B$3:$B$1002,$A503))</f>
        <v/>
      </c>
      <c r="E503" s="23" t="str">
        <f aca="false">IF($A503="","",SUMIFS(사용내역!$D$3:$D$3002,사용내역!$B$3:$B$3002,$A503))</f>
        <v/>
      </c>
      <c r="F503" s="23" t="str">
        <f aca="false">IF($A503="","",$D503-$E503)</f>
        <v/>
      </c>
      <c r="G503" s="17" t="str">
        <f aca="false">IF($A503="","",IF(COUNTIFS(결제내역!$B$3:$B$1002,$A503)=0,"",_xlfn.MAXIFS(결제내역!$G$3:$G$1002,결제내역!$B$3:$B$1002,$A503)))</f>
        <v/>
      </c>
      <c r="H503" s="24" t="str">
        <f aca="true">IF(OR($A503="",$G503=""),"",$G503-TODAY())</f>
        <v/>
      </c>
      <c r="I503" s="16" t="str">
        <f aca="false">IF($A503="","",SUMIFS(결제내역!$H$3:$H$1002,결제내역!$B$3:$B$1002,$A503))</f>
        <v/>
      </c>
      <c r="J503" s="25" t="str">
        <f aca="false">IF($A503="","",IF($D503=0,"미결제",IF($F503&lt;=0,"횟수소진",IF($H503="","",IF($H503&lt;0,"기간만료",IF(OR($F503&lt;=사용안내!$C$18,$H503&lt;=사용안내!$C$17),"재결제 안내","정상"))))))</f>
        <v/>
      </c>
    </row>
    <row r="504" customFormat="false" ht="15" hidden="false" customHeight="true" outlineLevel="0" collapsed="false">
      <c r="A504" s="15" t="str">
        <f aca="false">IF(회원명부!$A501="","",회원명부!$A501)</f>
        <v/>
      </c>
      <c r="B504" s="15" t="str">
        <f aca="false">IF($A504="","",회원명부!$B501)</f>
        <v/>
      </c>
      <c r="C504" s="15" t="str">
        <f aca="false">IF($A504="","",회원명부!$C501)</f>
        <v/>
      </c>
      <c r="D504" s="23" t="str">
        <f aca="false">IF($A504="","",SUMIFS(결제내역!$E$3:$E$1002,결제내역!$B$3:$B$1002,$A504))</f>
        <v/>
      </c>
      <c r="E504" s="23" t="str">
        <f aca="false">IF($A504="","",SUMIFS(사용내역!$D$3:$D$3002,사용내역!$B$3:$B$3002,$A504))</f>
        <v/>
      </c>
      <c r="F504" s="23" t="str">
        <f aca="false">IF($A504="","",$D504-$E504)</f>
        <v/>
      </c>
      <c r="G504" s="17" t="str">
        <f aca="false">IF($A504="","",IF(COUNTIFS(결제내역!$B$3:$B$1002,$A504)=0,"",_xlfn.MAXIFS(결제내역!$G$3:$G$1002,결제내역!$B$3:$B$1002,$A504)))</f>
        <v/>
      </c>
      <c r="H504" s="24" t="str">
        <f aca="true">IF(OR($A504="",$G504=""),"",$G504-TODAY())</f>
        <v/>
      </c>
      <c r="I504" s="16" t="str">
        <f aca="false">IF($A504="","",SUMIFS(결제내역!$H$3:$H$1002,결제내역!$B$3:$B$1002,$A504))</f>
        <v/>
      </c>
      <c r="J504" s="25" t="str">
        <f aca="false">IF($A504="","",IF($D504=0,"미결제",IF($F504&lt;=0,"횟수소진",IF($H504="","",IF($H504&lt;0,"기간만료",IF(OR($F504&lt;=사용안내!$C$18,$H504&lt;=사용안내!$C$17),"재결제 안내","정상"))))))</f>
        <v/>
      </c>
    </row>
    <row r="505" customFormat="false" ht="15" hidden="false" customHeight="true" outlineLevel="0" collapsed="false">
      <c r="A505" s="15" t="str">
        <f aca="false">IF(회원명부!$A502="","",회원명부!$A502)</f>
        <v/>
      </c>
      <c r="B505" s="15" t="str">
        <f aca="false">IF($A505="","",회원명부!$B502)</f>
        <v/>
      </c>
      <c r="C505" s="15" t="str">
        <f aca="false">IF($A505="","",회원명부!$C502)</f>
        <v/>
      </c>
      <c r="D505" s="23" t="str">
        <f aca="false">IF($A505="","",SUMIFS(결제내역!$E$3:$E$1002,결제내역!$B$3:$B$1002,$A505))</f>
        <v/>
      </c>
      <c r="E505" s="23" t="str">
        <f aca="false">IF($A505="","",SUMIFS(사용내역!$D$3:$D$3002,사용내역!$B$3:$B$3002,$A505))</f>
        <v/>
      </c>
      <c r="F505" s="23" t="str">
        <f aca="false">IF($A505="","",$D505-$E505)</f>
        <v/>
      </c>
      <c r="G505" s="17" t="str">
        <f aca="false">IF($A505="","",IF(COUNTIFS(결제내역!$B$3:$B$1002,$A505)=0,"",_xlfn.MAXIFS(결제내역!$G$3:$G$1002,결제내역!$B$3:$B$1002,$A505)))</f>
        <v/>
      </c>
      <c r="H505" s="24" t="str">
        <f aca="true">IF(OR($A505="",$G505=""),"",$G505-TODAY())</f>
        <v/>
      </c>
      <c r="I505" s="16" t="str">
        <f aca="false">IF($A505="","",SUMIFS(결제내역!$H$3:$H$1002,결제내역!$B$3:$B$1002,$A505))</f>
        <v/>
      </c>
      <c r="J505" s="25" t="str">
        <f aca="false">IF($A505="","",IF($D505=0,"미결제",IF($F505&lt;=0,"횟수소진",IF($H505="","",IF($H505&lt;0,"기간만료",IF(OR($F505&lt;=사용안내!$C$18,$H505&lt;=사용안내!$C$17),"재결제 안내","정상"))))))</f>
        <v/>
      </c>
    </row>
    <row r="507" customFormat="false" ht="15" hidden="false" customHeight="true" outlineLevel="0" collapsed="false">
      <c r="B507" s="26" t="s">
        <v>80</v>
      </c>
      <c r="D507" s="27" t="n">
        <f aca="false">SUM(D6:D505)</f>
        <v>61</v>
      </c>
      <c r="E507" s="27" t="n">
        <f aca="false">SUM(E6:E505)</f>
        <v>13</v>
      </c>
      <c r="F507" s="27" t="n">
        <f aca="false">SUM(F6:F505)</f>
        <v>48</v>
      </c>
      <c r="I507" s="27" t="n">
        <f aca="false">SUM(I6:I505)</f>
        <v>1675000</v>
      </c>
    </row>
    <row r="509" customFormat="false" ht="15" hidden="false" customHeight="true" outlineLevel="0" collapsed="false">
      <c r="A509" s="7" t="s">
        <v>81</v>
      </c>
    </row>
  </sheetData>
  <mergeCells count="1">
    <mergeCell ref="A1:J1"/>
  </mergeCells>
  <conditionalFormatting sqref="A6:J505">
    <cfRule type="expression" priority="2" aboveAverage="0" equalAverage="0" bottom="0" percent="0" rank="0" text="" dxfId="1">
      <formula>OR($J6="횟수소진",$J6="기간만료")</formula>
    </cfRule>
    <cfRule type="expression" priority="3" aboveAverage="0" equalAverage="0" bottom="0" percent="0" rank="0" text="" dxfId="2">
      <formula>$J6="재결제 안내"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9" min="7" style="1" width="11"/>
    <col collapsed="false" customWidth="true" hidden="false" outlineLevel="0" max="10" min="10" style="1" width="14"/>
  </cols>
  <sheetData>
    <row r="1" customFormat="false" ht="25.5" hidden="false" customHeight="true" outlineLevel="0" collapsed="false">
      <c r="A1" s="2" t="s">
        <v>82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83</v>
      </c>
      <c r="B3" s="4" t="str">
        <f aca="false">"잔여 "&amp;사용안내!$C$18&amp;"회 이하 또는 만료 "&amp;사용안내!$C$17&amp;"일 이내"</f>
        <v>잔여 2회 이하 또는 만료 7일 이내</v>
      </c>
      <c r="E3" s="3" t="s">
        <v>84</v>
      </c>
      <c r="F3" s="20" t="n">
        <f aca="false">COUNTIF($H$6:$H$505,TRUE())</f>
        <v>1</v>
      </c>
    </row>
    <row r="5" customFormat="false" ht="15" hidden="false" customHeight="true" outlineLevel="0" collapsed="false">
      <c r="A5" s="9" t="s">
        <v>85</v>
      </c>
      <c r="B5" s="9" t="s">
        <v>29</v>
      </c>
      <c r="C5" s="9" t="s">
        <v>30</v>
      </c>
      <c r="D5" s="9" t="s">
        <v>31</v>
      </c>
      <c r="E5" s="9" t="s">
        <v>75</v>
      </c>
      <c r="F5" s="9" t="s">
        <v>86</v>
      </c>
      <c r="G5" s="22" t="s">
        <v>77</v>
      </c>
      <c r="H5" s="7" t="s">
        <v>87</v>
      </c>
      <c r="I5" s="7" t="s">
        <v>88</v>
      </c>
      <c r="J5" s="7" t="s">
        <v>89</v>
      </c>
    </row>
    <row r="6" customFormat="false" ht="15" hidden="false" customHeight="true" outlineLevel="0" collapsed="false">
      <c r="A6" s="28" t="n">
        <v>1</v>
      </c>
      <c r="B6" s="15" t="n">
        <f aca="false">IFERROR(INDEX(회원현황!$A$6:$A$505,MATCH("R"&amp;1,만료임박!$J$6:$J$505,0)),"")</f>
        <v>1002</v>
      </c>
      <c r="C6" s="15" t="str">
        <f aca="false">IF($B6="","",IFERROR(INDEX(회원현황!$B$6:$B$505,MATCH("R"&amp;1,만료임박!$J$6:$J$505,0)),""))</f>
        <v>이회원</v>
      </c>
      <c r="D6" s="15" t="str">
        <f aca="false">IF($B6="","",IFERROR(INDEX(회원현황!$C$6:$C$505,MATCH("R"&amp;1,만료임박!$J$6:$J$505,0)),""))</f>
        <v>010-0000-0002</v>
      </c>
      <c r="E6" s="23" t="n">
        <f aca="false">IF($B6="","",IFERROR(INDEX(회원현황!$F$6:$F$505,MATCH("R"&amp;1,만료임박!$J$6:$J$505,0)),""))</f>
        <v>2</v>
      </c>
      <c r="F6" s="17" t="n">
        <f aca="false">IF($B6="","",IFERROR(INDEX(회원현황!$G$6:$G$505,MATCH("R"&amp;1,만료임박!$J$6:$J$505,0)),""))</f>
        <v>46297</v>
      </c>
      <c r="G6" s="24" t="n">
        <f aca="false">IF($B6="","",IFERROR(INDEX(회원현황!$H$6:$H$505,MATCH("R"&amp;1,만료임박!$J$6:$J$505,0)),""))</f>
        <v>18</v>
      </c>
      <c r="H6" s="29" t="b">
        <f aca="false">IF(회원현황!$A6="",FALSE(),OR(AND(회원현황!$F6&gt;0,회원현황!$F6&lt;=사용안내!$C$18),AND(회원현황!$H6&lt;&gt;"",회원현황!$H6&gt;=0,회원현황!$H6&lt;=사용안내!$C$17)))</f>
        <v>0</v>
      </c>
      <c r="I6" s="7" t="str">
        <f aca="false">IF($H6=FALSE(),"",COUNTIF($H$6:$H6,TRUE()))</f>
        <v/>
      </c>
      <c r="J6" s="7" t="str">
        <f aca="false">IF($I6="","","R"&amp;$I6)</f>
        <v/>
      </c>
    </row>
    <row r="7" customFormat="false" ht="15" hidden="false" customHeight="true" outlineLevel="0" collapsed="false">
      <c r="A7" s="28" t="n">
        <v>2</v>
      </c>
      <c r="B7" s="15" t="str">
        <f aca="false">IFERROR(INDEX(회원현황!$A$6:$A$505,MATCH("R"&amp;2,만료임박!$J$6:$J$505,0)),"")</f>
        <v/>
      </c>
      <c r="C7" s="15" t="str">
        <f aca="false">IF($B7="","",IFERROR(INDEX(회원현황!$B$6:$B$505,MATCH("R"&amp;2,만료임박!$J$6:$J$505,0)),""))</f>
        <v/>
      </c>
      <c r="D7" s="15" t="str">
        <f aca="false">IF($B7="","",IFERROR(INDEX(회원현황!$C$6:$C$505,MATCH("R"&amp;2,만료임박!$J$6:$J$505,0)),""))</f>
        <v/>
      </c>
      <c r="E7" s="23" t="str">
        <f aca="false">IF($B7="","",IFERROR(INDEX(회원현황!$F$6:$F$505,MATCH("R"&amp;2,만료임박!$J$6:$J$505,0)),""))</f>
        <v/>
      </c>
      <c r="F7" s="17" t="str">
        <f aca="false">IF($B7="","",IFERROR(INDEX(회원현황!$G$6:$G$505,MATCH("R"&amp;2,만료임박!$J$6:$J$505,0)),""))</f>
        <v/>
      </c>
      <c r="G7" s="24" t="str">
        <f aca="false">IF($B7="","",IFERROR(INDEX(회원현황!$H$6:$H$505,MATCH("R"&amp;2,만료임박!$J$6:$J$505,0)),""))</f>
        <v/>
      </c>
      <c r="H7" s="29" t="b">
        <f aca="false">IF(회원현황!$A7="",FALSE(),OR(AND(회원현황!$F7&gt;0,회원현황!$F7&lt;=사용안내!$C$18),AND(회원현황!$H7&lt;&gt;"",회원현황!$H7&gt;=0,회원현황!$H7&lt;=사용안내!$C$17)))</f>
        <v>1</v>
      </c>
      <c r="I7" s="7" t="n">
        <f aca="false">IF($H7=FALSE(),"",COUNTIF($H$6:$H7,TRUE()))</f>
        <v>1</v>
      </c>
      <c r="J7" s="7" t="str">
        <f aca="false">IF($I7="","","R"&amp;$I7)</f>
        <v>R1</v>
      </c>
    </row>
    <row r="8" customFormat="false" ht="15" hidden="false" customHeight="true" outlineLevel="0" collapsed="false">
      <c r="A8" s="28" t="n">
        <v>3</v>
      </c>
      <c r="B8" s="15" t="str">
        <f aca="false">IFERROR(INDEX(회원현황!$A$6:$A$505,MATCH("R"&amp;3,만료임박!$J$6:$J$505,0)),"")</f>
        <v/>
      </c>
      <c r="C8" s="15" t="str">
        <f aca="false">IF($B8="","",IFERROR(INDEX(회원현황!$B$6:$B$505,MATCH("R"&amp;3,만료임박!$J$6:$J$505,0)),""))</f>
        <v/>
      </c>
      <c r="D8" s="15" t="str">
        <f aca="false">IF($B8="","",IFERROR(INDEX(회원현황!$C$6:$C$505,MATCH("R"&amp;3,만료임박!$J$6:$J$505,0)),""))</f>
        <v/>
      </c>
      <c r="E8" s="23" t="str">
        <f aca="false">IF($B8="","",IFERROR(INDEX(회원현황!$F$6:$F$505,MATCH("R"&amp;3,만료임박!$J$6:$J$505,0)),""))</f>
        <v/>
      </c>
      <c r="F8" s="17" t="str">
        <f aca="false">IF($B8="","",IFERROR(INDEX(회원현황!$G$6:$G$505,MATCH("R"&amp;3,만료임박!$J$6:$J$505,0)),""))</f>
        <v/>
      </c>
      <c r="G8" s="24" t="str">
        <f aca="false">IF($B8="","",IFERROR(INDEX(회원현황!$H$6:$H$505,MATCH("R"&amp;3,만료임박!$J$6:$J$505,0)),""))</f>
        <v/>
      </c>
      <c r="H8" s="29" t="b">
        <f aca="false">IF(회원현황!$A8="",FALSE(),OR(AND(회원현황!$F8&gt;0,회원현황!$F8&lt;=사용안내!$C$18),AND(회원현황!$H8&lt;&gt;"",회원현황!$H8&gt;=0,회원현황!$H8&lt;=사용안내!$C$17)))</f>
        <v>0</v>
      </c>
      <c r="I8" s="7" t="str">
        <f aca="false">IF($H8=FALSE(),"",COUNTIF($H$6:$H8,TRUE()))</f>
        <v/>
      </c>
      <c r="J8" s="7" t="str">
        <f aca="false">IF($I8="","","R"&amp;$I8)</f>
        <v/>
      </c>
    </row>
    <row r="9" customFormat="false" ht="15" hidden="false" customHeight="true" outlineLevel="0" collapsed="false">
      <c r="A9" s="28" t="n">
        <v>4</v>
      </c>
      <c r="B9" s="15" t="str">
        <f aca="false">IFERROR(INDEX(회원현황!$A$6:$A$505,MATCH("R"&amp;4,만료임박!$J$6:$J$505,0)),"")</f>
        <v/>
      </c>
      <c r="C9" s="15" t="str">
        <f aca="false">IF($B9="","",IFERROR(INDEX(회원현황!$B$6:$B$505,MATCH("R"&amp;4,만료임박!$J$6:$J$505,0)),""))</f>
        <v/>
      </c>
      <c r="D9" s="15" t="str">
        <f aca="false">IF($B9="","",IFERROR(INDEX(회원현황!$C$6:$C$505,MATCH("R"&amp;4,만료임박!$J$6:$J$505,0)),""))</f>
        <v/>
      </c>
      <c r="E9" s="23" t="str">
        <f aca="false">IF($B9="","",IFERROR(INDEX(회원현황!$F$6:$F$505,MATCH("R"&amp;4,만료임박!$J$6:$J$505,0)),""))</f>
        <v/>
      </c>
      <c r="F9" s="17" t="str">
        <f aca="false">IF($B9="","",IFERROR(INDEX(회원현황!$G$6:$G$505,MATCH("R"&amp;4,만료임박!$J$6:$J$505,0)),""))</f>
        <v/>
      </c>
      <c r="G9" s="24" t="str">
        <f aca="false">IF($B9="","",IFERROR(INDEX(회원현황!$H$6:$H$505,MATCH("R"&amp;4,만료임박!$J$6:$J$505,0)),""))</f>
        <v/>
      </c>
      <c r="H9" s="29" t="b">
        <f aca="false">IF(회원현황!$A9="",FALSE(),OR(AND(회원현황!$F9&gt;0,회원현황!$F9&lt;=사용안내!$C$18),AND(회원현황!$H9&lt;&gt;"",회원현황!$H9&gt;=0,회원현황!$H9&lt;=사용안내!$C$17)))</f>
        <v>0</v>
      </c>
      <c r="I9" s="7" t="str">
        <f aca="false">IF($H9=FALSE(),"",COUNTIF($H$6:$H9,TRUE()))</f>
        <v/>
      </c>
      <c r="J9" s="7" t="str">
        <f aca="false">IF($I9="","","R"&amp;$I9)</f>
        <v/>
      </c>
    </row>
    <row r="10" customFormat="false" ht="15" hidden="false" customHeight="true" outlineLevel="0" collapsed="false">
      <c r="A10" s="28" t="n">
        <v>5</v>
      </c>
      <c r="B10" s="15" t="str">
        <f aca="false">IFERROR(INDEX(회원현황!$A$6:$A$505,MATCH("R"&amp;5,만료임박!$J$6:$J$505,0)),"")</f>
        <v/>
      </c>
      <c r="C10" s="15" t="str">
        <f aca="false">IF($B10="","",IFERROR(INDEX(회원현황!$B$6:$B$505,MATCH("R"&amp;5,만료임박!$J$6:$J$505,0)),""))</f>
        <v/>
      </c>
      <c r="D10" s="15" t="str">
        <f aca="false">IF($B10="","",IFERROR(INDEX(회원현황!$C$6:$C$505,MATCH("R"&amp;5,만료임박!$J$6:$J$505,0)),""))</f>
        <v/>
      </c>
      <c r="E10" s="23" t="str">
        <f aca="false">IF($B10="","",IFERROR(INDEX(회원현황!$F$6:$F$505,MATCH("R"&amp;5,만료임박!$J$6:$J$505,0)),""))</f>
        <v/>
      </c>
      <c r="F10" s="17" t="str">
        <f aca="false">IF($B10="","",IFERROR(INDEX(회원현황!$G$6:$G$505,MATCH("R"&amp;5,만료임박!$J$6:$J$505,0)),""))</f>
        <v/>
      </c>
      <c r="G10" s="24" t="str">
        <f aca="false">IF($B10="","",IFERROR(INDEX(회원현황!$H$6:$H$505,MATCH("R"&amp;5,만료임박!$J$6:$J$505,0)),""))</f>
        <v/>
      </c>
      <c r="H10" s="29" t="b">
        <f aca="false">IF(회원현황!$A10="",FALSE(),OR(AND(회원현황!$F10&gt;0,회원현황!$F10&lt;=사용안내!$C$18),AND(회원현황!$H10&lt;&gt;"",회원현황!$H10&gt;=0,회원현황!$H10&lt;=사용안내!$C$17)))</f>
        <v>0</v>
      </c>
      <c r="I10" s="7" t="str">
        <f aca="false">IF($H10=FALSE(),"",COUNTIF($H$6:$H10,TRUE()))</f>
        <v/>
      </c>
      <c r="J10" s="7" t="str">
        <f aca="false">IF($I10="","","R"&amp;$I10)</f>
        <v/>
      </c>
    </row>
    <row r="11" customFormat="false" ht="15" hidden="false" customHeight="true" outlineLevel="0" collapsed="false">
      <c r="A11" s="28" t="n">
        <v>6</v>
      </c>
      <c r="B11" s="15" t="str">
        <f aca="false">IFERROR(INDEX(회원현황!$A$6:$A$505,MATCH("R"&amp;6,만료임박!$J$6:$J$505,0)),"")</f>
        <v/>
      </c>
      <c r="C11" s="15" t="str">
        <f aca="false">IF($B11="","",IFERROR(INDEX(회원현황!$B$6:$B$505,MATCH("R"&amp;6,만료임박!$J$6:$J$505,0)),""))</f>
        <v/>
      </c>
      <c r="D11" s="15" t="str">
        <f aca="false">IF($B11="","",IFERROR(INDEX(회원현황!$C$6:$C$505,MATCH("R"&amp;6,만료임박!$J$6:$J$505,0)),""))</f>
        <v/>
      </c>
      <c r="E11" s="23" t="str">
        <f aca="false">IF($B11="","",IFERROR(INDEX(회원현황!$F$6:$F$505,MATCH("R"&amp;6,만료임박!$J$6:$J$505,0)),""))</f>
        <v/>
      </c>
      <c r="F11" s="17" t="str">
        <f aca="false">IF($B11="","",IFERROR(INDEX(회원현황!$G$6:$G$505,MATCH("R"&amp;6,만료임박!$J$6:$J$505,0)),""))</f>
        <v/>
      </c>
      <c r="G11" s="24" t="str">
        <f aca="false">IF($B11="","",IFERROR(INDEX(회원현황!$H$6:$H$505,MATCH("R"&amp;6,만료임박!$J$6:$J$505,0)),""))</f>
        <v/>
      </c>
      <c r="H11" s="29" t="b">
        <f aca="false">IF(회원현황!$A11="",FALSE(),OR(AND(회원현황!$F11&gt;0,회원현황!$F11&lt;=사용안내!$C$18),AND(회원현황!$H11&lt;&gt;"",회원현황!$H11&gt;=0,회원현황!$H11&lt;=사용안내!$C$17)))</f>
        <v>0</v>
      </c>
      <c r="I11" s="7" t="str">
        <f aca="false">IF($H11=FALSE(),"",COUNTIF($H$6:$H11,TRUE()))</f>
        <v/>
      </c>
      <c r="J11" s="7" t="str">
        <f aca="false">IF($I11="","","R"&amp;$I11)</f>
        <v/>
      </c>
    </row>
    <row r="12" customFormat="false" ht="15" hidden="false" customHeight="true" outlineLevel="0" collapsed="false">
      <c r="A12" s="28" t="n">
        <v>7</v>
      </c>
      <c r="B12" s="15" t="str">
        <f aca="false">IFERROR(INDEX(회원현황!$A$6:$A$505,MATCH("R"&amp;7,만료임박!$J$6:$J$505,0)),"")</f>
        <v/>
      </c>
      <c r="C12" s="15" t="str">
        <f aca="false">IF($B12="","",IFERROR(INDEX(회원현황!$B$6:$B$505,MATCH("R"&amp;7,만료임박!$J$6:$J$505,0)),""))</f>
        <v/>
      </c>
      <c r="D12" s="15" t="str">
        <f aca="false">IF($B12="","",IFERROR(INDEX(회원현황!$C$6:$C$505,MATCH("R"&amp;7,만료임박!$J$6:$J$505,0)),""))</f>
        <v/>
      </c>
      <c r="E12" s="23" t="str">
        <f aca="false">IF($B12="","",IFERROR(INDEX(회원현황!$F$6:$F$505,MATCH("R"&amp;7,만료임박!$J$6:$J$505,0)),""))</f>
        <v/>
      </c>
      <c r="F12" s="17" t="str">
        <f aca="false">IF($B12="","",IFERROR(INDEX(회원현황!$G$6:$G$505,MATCH("R"&amp;7,만료임박!$J$6:$J$505,0)),""))</f>
        <v/>
      </c>
      <c r="G12" s="24" t="str">
        <f aca="false">IF($B12="","",IFERROR(INDEX(회원현황!$H$6:$H$505,MATCH("R"&amp;7,만료임박!$J$6:$J$505,0)),""))</f>
        <v/>
      </c>
      <c r="H12" s="29" t="b">
        <f aca="false">IF(회원현황!$A12="",FALSE(),OR(AND(회원현황!$F12&gt;0,회원현황!$F12&lt;=사용안내!$C$18),AND(회원현황!$H12&lt;&gt;"",회원현황!$H12&gt;=0,회원현황!$H12&lt;=사용안내!$C$17)))</f>
        <v>0</v>
      </c>
      <c r="I12" s="7" t="str">
        <f aca="false">IF($H12=FALSE(),"",COUNTIF($H$6:$H12,TRUE()))</f>
        <v/>
      </c>
      <c r="J12" s="7" t="str">
        <f aca="false">IF($I12="","","R"&amp;$I12)</f>
        <v/>
      </c>
    </row>
    <row r="13" customFormat="false" ht="15" hidden="false" customHeight="true" outlineLevel="0" collapsed="false">
      <c r="A13" s="28" t="n">
        <v>8</v>
      </c>
      <c r="B13" s="15" t="str">
        <f aca="false">IFERROR(INDEX(회원현황!$A$6:$A$505,MATCH("R"&amp;8,만료임박!$J$6:$J$505,0)),"")</f>
        <v/>
      </c>
      <c r="C13" s="15" t="str">
        <f aca="false">IF($B13="","",IFERROR(INDEX(회원현황!$B$6:$B$505,MATCH("R"&amp;8,만료임박!$J$6:$J$505,0)),""))</f>
        <v/>
      </c>
      <c r="D13" s="15" t="str">
        <f aca="false">IF($B13="","",IFERROR(INDEX(회원현황!$C$6:$C$505,MATCH("R"&amp;8,만료임박!$J$6:$J$505,0)),""))</f>
        <v/>
      </c>
      <c r="E13" s="23" t="str">
        <f aca="false">IF($B13="","",IFERROR(INDEX(회원현황!$F$6:$F$505,MATCH("R"&amp;8,만료임박!$J$6:$J$505,0)),""))</f>
        <v/>
      </c>
      <c r="F13" s="17" t="str">
        <f aca="false">IF($B13="","",IFERROR(INDEX(회원현황!$G$6:$G$505,MATCH("R"&amp;8,만료임박!$J$6:$J$505,0)),""))</f>
        <v/>
      </c>
      <c r="G13" s="24" t="str">
        <f aca="false">IF($B13="","",IFERROR(INDEX(회원현황!$H$6:$H$505,MATCH("R"&amp;8,만료임박!$J$6:$J$505,0)),""))</f>
        <v/>
      </c>
      <c r="H13" s="29" t="b">
        <f aca="false">IF(회원현황!$A13="",FALSE(),OR(AND(회원현황!$F13&gt;0,회원현황!$F13&lt;=사용안내!$C$18),AND(회원현황!$H13&lt;&gt;"",회원현황!$H13&gt;=0,회원현황!$H13&lt;=사용안내!$C$17)))</f>
        <v>0</v>
      </c>
      <c r="I13" s="7" t="str">
        <f aca="false">IF($H13=FALSE(),"",COUNTIF($H$6:$H13,TRUE()))</f>
        <v/>
      </c>
      <c r="J13" s="7" t="str">
        <f aca="false">IF($I13="","","R"&amp;$I13)</f>
        <v/>
      </c>
    </row>
    <row r="14" customFormat="false" ht="15" hidden="false" customHeight="true" outlineLevel="0" collapsed="false">
      <c r="A14" s="28" t="n">
        <v>9</v>
      </c>
      <c r="B14" s="15" t="str">
        <f aca="false">IFERROR(INDEX(회원현황!$A$6:$A$505,MATCH("R"&amp;9,만료임박!$J$6:$J$505,0)),"")</f>
        <v/>
      </c>
      <c r="C14" s="15" t="str">
        <f aca="false">IF($B14="","",IFERROR(INDEX(회원현황!$B$6:$B$505,MATCH("R"&amp;9,만료임박!$J$6:$J$505,0)),""))</f>
        <v/>
      </c>
      <c r="D14" s="15" t="str">
        <f aca="false">IF($B14="","",IFERROR(INDEX(회원현황!$C$6:$C$505,MATCH("R"&amp;9,만료임박!$J$6:$J$505,0)),""))</f>
        <v/>
      </c>
      <c r="E14" s="23" t="str">
        <f aca="false">IF($B14="","",IFERROR(INDEX(회원현황!$F$6:$F$505,MATCH("R"&amp;9,만료임박!$J$6:$J$505,0)),""))</f>
        <v/>
      </c>
      <c r="F14" s="17" t="str">
        <f aca="false">IF($B14="","",IFERROR(INDEX(회원현황!$G$6:$G$505,MATCH("R"&amp;9,만료임박!$J$6:$J$505,0)),""))</f>
        <v/>
      </c>
      <c r="G14" s="24" t="str">
        <f aca="false">IF($B14="","",IFERROR(INDEX(회원현황!$H$6:$H$505,MATCH("R"&amp;9,만료임박!$J$6:$J$505,0)),""))</f>
        <v/>
      </c>
      <c r="H14" s="29" t="b">
        <f aca="false">IF(회원현황!$A14="",FALSE(),OR(AND(회원현황!$F14&gt;0,회원현황!$F14&lt;=사용안내!$C$18),AND(회원현황!$H14&lt;&gt;"",회원현황!$H14&gt;=0,회원현황!$H14&lt;=사용안내!$C$17)))</f>
        <v>0</v>
      </c>
      <c r="I14" s="7" t="str">
        <f aca="false">IF($H14=FALSE(),"",COUNTIF($H$6:$H14,TRUE()))</f>
        <v/>
      </c>
      <c r="J14" s="7" t="str">
        <f aca="false">IF($I14="","","R"&amp;$I14)</f>
        <v/>
      </c>
    </row>
    <row r="15" customFormat="false" ht="15" hidden="false" customHeight="true" outlineLevel="0" collapsed="false">
      <c r="A15" s="28" t="n">
        <v>10</v>
      </c>
      <c r="B15" s="15" t="str">
        <f aca="false">IFERROR(INDEX(회원현황!$A$6:$A$505,MATCH("R"&amp;10,만료임박!$J$6:$J$505,0)),"")</f>
        <v/>
      </c>
      <c r="C15" s="15" t="str">
        <f aca="false">IF($B15="","",IFERROR(INDEX(회원현황!$B$6:$B$505,MATCH("R"&amp;10,만료임박!$J$6:$J$505,0)),""))</f>
        <v/>
      </c>
      <c r="D15" s="15" t="str">
        <f aca="false">IF($B15="","",IFERROR(INDEX(회원현황!$C$6:$C$505,MATCH("R"&amp;10,만료임박!$J$6:$J$505,0)),""))</f>
        <v/>
      </c>
      <c r="E15" s="23" t="str">
        <f aca="false">IF($B15="","",IFERROR(INDEX(회원현황!$F$6:$F$505,MATCH("R"&amp;10,만료임박!$J$6:$J$505,0)),""))</f>
        <v/>
      </c>
      <c r="F15" s="17" t="str">
        <f aca="false">IF($B15="","",IFERROR(INDEX(회원현황!$G$6:$G$505,MATCH("R"&amp;10,만료임박!$J$6:$J$505,0)),""))</f>
        <v/>
      </c>
      <c r="G15" s="24" t="str">
        <f aca="false">IF($B15="","",IFERROR(INDEX(회원현황!$H$6:$H$505,MATCH("R"&amp;10,만료임박!$J$6:$J$505,0)),""))</f>
        <v/>
      </c>
      <c r="H15" s="29" t="b">
        <f aca="false">IF(회원현황!$A15="",FALSE(),OR(AND(회원현황!$F15&gt;0,회원현황!$F15&lt;=사용안내!$C$18),AND(회원현황!$H15&lt;&gt;"",회원현황!$H15&gt;=0,회원현황!$H15&lt;=사용안내!$C$17)))</f>
        <v>0</v>
      </c>
      <c r="I15" s="7" t="str">
        <f aca="false">IF($H15=FALSE(),"",COUNTIF($H$6:$H15,TRUE()))</f>
        <v/>
      </c>
      <c r="J15" s="7" t="str">
        <f aca="false">IF($I15="","","R"&amp;$I15)</f>
        <v/>
      </c>
    </row>
    <row r="16" customFormat="false" ht="15" hidden="false" customHeight="true" outlineLevel="0" collapsed="false">
      <c r="A16" s="28" t="n">
        <v>11</v>
      </c>
      <c r="B16" s="15" t="str">
        <f aca="false">IFERROR(INDEX(회원현황!$A$6:$A$505,MATCH("R"&amp;11,만료임박!$J$6:$J$505,0)),"")</f>
        <v/>
      </c>
      <c r="C16" s="15" t="str">
        <f aca="false">IF($B16="","",IFERROR(INDEX(회원현황!$B$6:$B$505,MATCH("R"&amp;11,만료임박!$J$6:$J$505,0)),""))</f>
        <v/>
      </c>
      <c r="D16" s="15" t="str">
        <f aca="false">IF($B16="","",IFERROR(INDEX(회원현황!$C$6:$C$505,MATCH("R"&amp;11,만료임박!$J$6:$J$505,0)),""))</f>
        <v/>
      </c>
      <c r="E16" s="23" t="str">
        <f aca="false">IF($B16="","",IFERROR(INDEX(회원현황!$F$6:$F$505,MATCH("R"&amp;11,만료임박!$J$6:$J$505,0)),""))</f>
        <v/>
      </c>
      <c r="F16" s="17" t="str">
        <f aca="false">IF($B16="","",IFERROR(INDEX(회원현황!$G$6:$G$505,MATCH("R"&amp;11,만료임박!$J$6:$J$505,0)),""))</f>
        <v/>
      </c>
      <c r="G16" s="24" t="str">
        <f aca="false">IF($B16="","",IFERROR(INDEX(회원현황!$H$6:$H$505,MATCH("R"&amp;11,만료임박!$J$6:$J$505,0)),""))</f>
        <v/>
      </c>
      <c r="H16" s="29" t="b">
        <f aca="false">IF(회원현황!$A16="",FALSE(),OR(AND(회원현황!$F16&gt;0,회원현황!$F16&lt;=사용안내!$C$18),AND(회원현황!$H16&lt;&gt;"",회원현황!$H16&gt;=0,회원현황!$H16&lt;=사용안내!$C$17)))</f>
        <v>0</v>
      </c>
      <c r="I16" s="7" t="str">
        <f aca="false">IF($H16=FALSE(),"",COUNTIF($H$6:$H16,TRUE()))</f>
        <v/>
      </c>
      <c r="J16" s="7" t="str">
        <f aca="false">IF($I16="","","R"&amp;$I16)</f>
        <v/>
      </c>
    </row>
    <row r="17" customFormat="false" ht="15" hidden="false" customHeight="true" outlineLevel="0" collapsed="false">
      <c r="A17" s="28" t="n">
        <v>12</v>
      </c>
      <c r="B17" s="15" t="str">
        <f aca="false">IFERROR(INDEX(회원현황!$A$6:$A$505,MATCH("R"&amp;12,만료임박!$J$6:$J$505,0)),"")</f>
        <v/>
      </c>
      <c r="C17" s="15" t="str">
        <f aca="false">IF($B17="","",IFERROR(INDEX(회원현황!$B$6:$B$505,MATCH("R"&amp;12,만료임박!$J$6:$J$505,0)),""))</f>
        <v/>
      </c>
      <c r="D17" s="15" t="str">
        <f aca="false">IF($B17="","",IFERROR(INDEX(회원현황!$C$6:$C$505,MATCH("R"&amp;12,만료임박!$J$6:$J$505,0)),""))</f>
        <v/>
      </c>
      <c r="E17" s="23" t="str">
        <f aca="false">IF($B17="","",IFERROR(INDEX(회원현황!$F$6:$F$505,MATCH("R"&amp;12,만료임박!$J$6:$J$505,0)),""))</f>
        <v/>
      </c>
      <c r="F17" s="17" t="str">
        <f aca="false">IF($B17="","",IFERROR(INDEX(회원현황!$G$6:$G$505,MATCH("R"&amp;12,만료임박!$J$6:$J$505,0)),""))</f>
        <v/>
      </c>
      <c r="G17" s="24" t="str">
        <f aca="false">IF($B17="","",IFERROR(INDEX(회원현황!$H$6:$H$505,MATCH("R"&amp;12,만료임박!$J$6:$J$505,0)),""))</f>
        <v/>
      </c>
      <c r="H17" s="29" t="b">
        <f aca="false">IF(회원현황!$A17="",FALSE(),OR(AND(회원현황!$F17&gt;0,회원현황!$F17&lt;=사용안내!$C$18),AND(회원현황!$H17&lt;&gt;"",회원현황!$H17&gt;=0,회원현황!$H17&lt;=사용안내!$C$17)))</f>
        <v>0</v>
      </c>
      <c r="I17" s="7" t="str">
        <f aca="false">IF($H17=FALSE(),"",COUNTIF($H$6:$H17,TRUE()))</f>
        <v/>
      </c>
      <c r="J17" s="7" t="str">
        <f aca="false">IF($I17="","","R"&amp;$I17)</f>
        <v/>
      </c>
    </row>
    <row r="18" customFormat="false" ht="15" hidden="false" customHeight="true" outlineLevel="0" collapsed="false">
      <c r="A18" s="28" t="n">
        <v>13</v>
      </c>
      <c r="B18" s="15" t="str">
        <f aca="false">IFERROR(INDEX(회원현황!$A$6:$A$505,MATCH("R"&amp;13,만료임박!$J$6:$J$505,0)),"")</f>
        <v/>
      </c>
      <c r="C18" s="15" t="str">
        <f aca="false">IF($B18="","",IFERROR(INDEX(회원현황!$B$6:$B$505,MATCH("R"&amp;13,만료임박!$J$6:$J$505,0)),""))</f>
        <v/>
      </c>
      <c r="D18" s="15" t="str">
        <f aca="false">IF($B18="","",IFERROR(INDEX(회원현황!$C$6:$C$505,MATCH("R"&amp;13,만료임박!$J$6:$J$505,0)),""))</f>
        <v/>
      </c>
      <c r="E18" s="23" t="str">
        <f aca="false">IF($B18="","",IFERROR(INDEX(회원현황!$F$6:$F$505,MATCH("R"&amp;13,만료임박!$J$6:$J$505,0)),""))</f>
        <v/>
      </c>
      <c r="F18" s="17" t="str">
        <f aca="false">IF($B18="","",IFERROR(INDEX(회원현황!$G$6:$G$505,MATCH("R"&amp;13,만료임박!$J$6:$J$505,0)),""))</f>
        <v/>
      </c>
      <c r="G18" s="24" t="str">
        <f aca="false">IF($B18="","",IFERROR(INDEX(회원현황!$H$6:$H$505,MATCH("R"&amp;13,만료임박!$J$6:$J$505,0)),""))</f>
        <v/>
      </c>
      <c r="H18" s="29" t="b">
        <f aca="false">IF(회원현황!$A18="",FALSE(),OR(AND(회원현황!$F18&gt;0,회원현황!$F18&lt;=사용안내!$C$18),AND(회원현황!$H18&lt;&gt;"",회원현황!$H18&gt;=0,회원현황!$H18&lt;=사용안내!$C$17)))</f>
        <v>0</v>
      </c>
      <c r="I18" s="7" t="str">
        <f aca="false">IF($H18=FALSE(),"",COUNTIF($H$6:$H18,TRUE()))</f>
        <v/>
      </c>
      <c r="J18" s="7" t="str">
        <f aca="false">IF($I18="","","R"&amp;$I18)</f>
        <v/>
      </c>
    </row>
    <row r="19" customFormat="false" ht="15" hidden="false" customHeight="true" outlineLevel="0" collapsed="false">
      <c r="A19" s="28" t="n">
        <v>14</v>
      </c>
      <c r="B19" s="15" t="str">
        <f aca="false">IFERROR(INDEX(회원현황!$A$6:$A$505,MATCH("R"&amp;14,만료임박!$J$6:$J$505,0)),"")</f>
        <v/>
      </c>
      <c r="C19" s="15" t="str">
        <f aca="false">IF($B19="","",IFERROR(INDEX(회원현황!$B$6:$B$505,MATCH("R"&amp;14,만료임박!$J$6:$J$505,0)),""))</f>
        <v/>
      </c>
      <c r="D19" s="15" t="str">
        <f aca="false">IF($B19="","",IFERROR(INDEX(회원현황!$C$6:$C$505,MATCH("R"&amp;14,만료임박!$J$6:$J$505,0)),""))</f>
        <v/>
      </c>
      <c r="E19" s="23" t="str">
        <f aca="false">IF($B19="","",IFERROR(INDEX(회원현황!$F$6:$F$505,MATCH("R"&amp;14,만료임박!$J$6:$J$505,0)),""))</f>
        <v/>
      </c>
      <c r="F19" s="17" t="str">
        <f aca="false">IF($B19="","",IFERROR(INDEX(회원현황!$G$6:$G$505,MATCH("R"&amp;14,만료임박!$J$6:$J$505,0)),""))</f>
        <v/>
      </c>
      <c r="G19" s="24" t="str">
        <f aca="false">IF($B19="","",IFERROR(INDEX(회원현황!$H$6:$H$505,MATCH("R"&amp;14,만료임박!$J$6:$J$505,0)),""))</f>
        <v/>
      </c>
      <c r="H19" s="29" t="b">
        <f aca="false">IF(회원현황!$A19="",FALSE(),OR(AND(회원현황!$F19&gt;0,회원현황!$F19&lt;=사용안내!$C$18),AND(회원현황!$H19&lt;&gt;"",회원현황!$H19&gt;=0,회원현황!$H19&lt;=사용안내!$C$17)))</f>
        <v>0</v>
      </c>
      <c r="I19" s="7" t="str">
        <f aca="false">IF($H19=FALSE(),"",COUNTIF($H$6:$H19,TRUE()))</f>
        <v/>
      </c>
      <c r="J19" s="7" t="str">
        <f aca="false">IF($I19="","","R"&amp;$I19)</f>
        <v/>
      </c>
    </row>
    <row r="20" customFormat="false" ht="15" hidden="false" customHeight="true" outlineLevel="0" collapsed="false">
      <c r="A20" s="28" t="n">
        <v>15</v>
      </c>
      <c r="B20" s="15" t="str">
        <f aca="false">IFERROR(INDEX(회원현황!$A$6:$A$505,MATCH("R"&amp;15,만료임박!$J$6:$J$505,0)),"")</f>
        <v/>
      </c>
      <c r="C20" s="15" t="str">
        <f aca="false">IF($B20="","",IFERROR(INDEX(회원현황!$B$6:$B$505,MATCH("R"&amp;15,만료임박!$J$6:$J$505,0)),""))</f>
        <v/>
      </c>
      <c r="D20" s="15" t="str">
        <f aca="false">IF($B20="","",IFERROR(INDEX(회원현황!$C$6:$C$505,MATCH("R"&amp;15,만료임박!$J$6:$J$505,0)),""))</f>
        <v/>
      </c>
      <c r="E20" s="23" t="str">
        <f aca="false">IF($B20="","",IFERROR(INDEX(회원현황!$F$6:$F$505,MATCH("R"&amp;15,만료임박!$J$6:$J$505,0)),""))</f>
        <v/>
      </c>
      <c r="F20" s="17" t="str">
        <f aca="false">IF($B20="","",IFERROR(INDEX(회원현황!$G$6:$G$505,MATCH("R"&amp;15,만료임박!$J$6:$J$505,0)),""))</f>
        <v/>
      </c>
      <c r="G20" s="24" t="str">
        <f aca="false">IF($B20="","",IFERROR(INDEX(회원현황!$H$6:$H$505,MATCH("R"&amp;15,만료임박!$J$6:$J$505,0)),""))</f>
        <v/>
      </c>
      <c r="H20" s="29" t="b">
        <f aca="false">IF(회원현황!$A20="",FALSE(),OR(AND(회원현황!$F20&gt;0,회원현황!$F20&lt;=사용안내!$C$18),AND(회원현황!$H20&lt;&gt;"",회원현황!$H20&gt;=0,회원현황!$H20&lt;=사용안내!$C$17)))</f>
        <v>0</v>
      </c>
      <c r="I20" s="7" t="str">
        <f aca="false">IF($H20=FALSE(),"",COUNTIF($H$6:$H20,TRUE()))</f>
        <v/>
      </c>
      <c r="J20" s="7" t="str">
        <f aca="false">IF($I20="","","R"&amp;$I20)</f>
        <v/>
      </c>
    </row>
    <row r="21" customFormat="false" ht="15" hidden="false" customHeight="true" outlineLevel="0" collapsed="false">
      <c r="A21" s="28" t="n">
        <v>16</v>
      </c>
      <c r="B21" s="15" t="str">
        <f aca="false">IFERROR(INDEX(회원현황!$A$6:$A$505,MATCH("R"&amp;16,만료임박!$J$6:$J$505,0)),"")</f>
        <v/>
      </c>
      <c r="C21" s="15" t="str">
        <f aca="false">IF($B21="","",IFERROR(INDEX(회원현황!$B$6:$B$505,MATCH("R"&amp;16,만료임박!$J$6:$J$505,0)),""))</f>
        <v/>
      </c>
      <c r="D21" s="15" t="str">
        <f aca="false">IF($B21="","",IFERROR(INDEX(회원현황!$C$6:$C$505,MATCH("R"&amp;16,만료임박!$J$6:$J$505,0)),""))</f>
        <v/>
      </c>
      <c r="E21" s="23" t="str">
        <f aca="false">IF($B21="","",IFERROR(INDEX(회원현황!$F$6:$F$505,MATCH("R"&amp;16,만료임박!$J$6:$J$505,0)),""))</f>
        <v/>
      </c>
      <c r="F21" s="17" t="str">
        <f aca="false">IF($B21="","",IFERROR(INDEX(회원현황!$G$6:$G$505,MATCH("R"&amp;16,만료임박!$J$6:$J$505,0)),""))</f>
        <v/>
      </c>
      <c r="G21" s="24" t="str">
        <f aca="false">IF($B21="","",IFERROR(INDEX(회원현황!$H$6:$H$505,MATCH("R"&amp;16,만료임박!$J$6:$J$505,0)),""))</f>
        <v/>
      </c>
      <c r="H21" s="29" t="b">
        <f aca="false">IF(회원현황!$A21="",FALSE(),OR(AND(회원현황!$F21&gt;0,회원현황!$F21&lt;=사용안내!$C$18),AND(회원현황!$H21&lt;&gt;"",회원현황!$H21&gt;=0,회원현황!$H21&lt;=사용안내!$C$17)))</f>
        <v>0</v>
      </c>
      <c r="I21" s="7" t="str">
        <f aca="false">IF($H21=FALSE(),"",COUNTIF($H$6:$H21,TRUE()))</f>
        <v/>
      </c>
      <c r="J21" s="7" t="str">
        <f aca="false">IF($I21="","","R"&amp;$I21)</f>
        <v/>
      </c>
    </row>
    <row r="22" customFormat="false" ht="15" hidden="false" customHeight="true" outlineLevel="0" collapsed="false">
      <c r="A22" s="28" t="n">
        <v>17</v>
      </c>
      <c r="B22" s="15" t="str">
        <f aca="false">IFERROR(INDEX(회원현황!$A$6:$A$505,MATCH("R"&amp;17,만료임박!$J$6:$J$505,0)),"")</f>
        <v/>
      </c>
      <c r="C22" s="15" t="str">
        <f aca="false">IF($B22="","",IFERROR(INDEX(회원현황!$B$6:$B$505,MATCH("R"&amp;17,만료임박!$J$6:$J$505,0)),""))</f>
        <v/>
      </c>
      <c r="D22" s="15" t="str">
        <f aca="false">IF($B22="","",IFERROR(INDEX(회원현황!$C$6:$C$505,MATCH("R"&amp;17,만료임박!$J$6:$J$505,0)),""))</f>
        <v/>
      </c>
      <c r="E22" s="23" t="str">
        <f aca="false">IF($B22="","",IFERROR(INDEX(회원현황!$F$6:$F$505,MATCH("R"&amp;17,만료임박!$J$6:$J$505,0)),""))</f>
        <v/>
      </c>
      <c r="F22" s="17" t="str">
        <f aca="false">IF($B22="","",IFERROR(INDEX(회원현황!$G$6:$G$505,MATCH("R"&amp;17,만료임박!$J$6:$J$505,0)),""))</f>
        <v/>
      </c>
      <c r="G22" s="24" t="str">
        <f aca="false">IF($B22="","",IFERROR(INDEX(회원현황!$H$6:$H$505,MATCH("R"&amp;17,만료임박!$J$6:$J$505,0)),""))</f>
        <v/>
      </c>
      <c r="H22" s="29" t="b">
        <f aca="false">IF(회원현황!$A22="",FALSE(),OR(AND(회원현황!$F22&gt;0,회원현황!$F22&lt;=사용안내!$C$18),AND(회원현황!$H22&lt;&gt;"",회원현황!$H22&gt;=0,회원현황!$H22&lt;=사용안내!$C$17)))</f>
        <v>0</v>
      </c>
      <c r="I22" s="7" t="str">
        <f aca="false">IF($H22=FALSE(),"",COUNTIF($H$6:$H22,TRUE()))</f>
        <v/>
      </c>
      <c r="J22" s="7" t="str">
        <f aca="false">IF($I22="","","R"&amp;$I22)</f>
        <v/>
      </c>
    </row>
    <row r="23" customFormat="false" ht="15" hidden="false" customHeight="true" outlineLevel="0" collapsed="false">
      <c r="A23" s="28" t="n">
        <v>18</v>
      </c>
      <c r="B23" s="15" t="str">
        <f aca="false">IFERROR(INDEX(회원현황!$A$6:$A$505,MATCH("R"&amp;18,만료임박!$J$6:$J$505,0)),"")</f>
        <v/>
      </c>
      <c r="C23" s="15" t="str">
        <f aca="false">IF($B23="","",IFERROR(INDEX(회원현황!$B$6:$B$505,MATCH("R"&amp;18,만료임박!$J$6:$J$505,0)),""))</f>
        <v/>
      </c>
      <c r="D23" s="15" t="str">
        <f aca="false">IF($B23="","",IFERROR(INDEX(회원현황!$C$6:$C$505,MATCH("R"&amp;18,만료임박!$J$6:$J$505,0)),""))</f>
        <v/>
      </c>
      <c r="E23" s="23" t="str">
        <f aca="false">IF($B23="","",IFERROR(INDEX(회원현황!$F$6:$F$505,MATCH("R"&amp;18,만료임박!$J$6:$J$505,0)),""))</f>
        <v/>
      </c>
      <c r="F23" s="17" t="str">
        <f aca="false">IF($B23="","",IFERROR(INDEX(회원현황!$G$6:$G$505,MATCH("R"&amp;18,만료임박!$J$6:$J$505,0)),""))</f>
        <v/>
      </c>
      <c r="G23" s="24" t="str">
        <f aca="false">IF($B23="","",IFERROR(INDEX(회원현황!$H$6:$H$505,MATCH("R"&amp;18,만료임박!$J$6:$J$505,0)),""))</f>
        <v/>
      </c>
      <c r="H23" s="29" t="b">
        <f aca="false">IF(회원현황!$A23="",FALSE(),OR(AND(회원현황!$F23&gt;0,회원현황!$F23&lt;=사용안내!$C$18),AND(회원현황!$H23&lt;&gt;"",회원현황!$H23&gt;=0,회원현황!$H23&lt;=사용안내!$C$17)))</f>
        <v>0</v>
      </c>
      <c r="I23" s="7" t="str">
        <f aca="false">IF($H23=FALSE(),"",COUNTIF($H$6:$H23,TRUE()))</f>
        <v/>
      </c>
      <c r="J23" s="7" t="str">
        <f aca="false">IF($I23="","","R"&amp;$I23)</f>
        <v/>
      </c>
    </row>
    <row r="24" customFormat="false" ht="15" hidden="false" customHeight="true" outlineLevel="0" collapsed="false">
      <c r="A24" s="28" t="n">
        <v>19</v>
      </c>
      <c r="B24" s="15" t="str">
        <f aca="false">IFERROR(INDEX(회원현황!$A$6:$A$505,MATCH("R"&amp;19,만료임박!$J$6:$J$505,0)),"")</f>
        <v/>
      </c>
      <c r="C24" s="15" t="str">
        <f aca="false">IF($B24="","",IFERROR(INDEX(회원현황!$B$6:$B$505,MATCH("R"&amp;19,만료임박!$J$6:$J$505,0)),""))</f>
        <v/>
      </c>
      <c r="D24" s="15" t="str">
        <f aca="false">IF($B24="","",IFERROR(INDEX(회원현황!$C$6:$C$505,MATCH("R"&amp;19,만료임박!$J$6:$J$505,0)),""))</f>
        <v/>
      </c>
      <c r="E24" s="23" t="str">
        <f aca="false">IF($B24="","",IFERROR(INDEX(회원현황!$F$6:$F$505,MATCH("R"&amp;19,만료임박!$J$6:$J$505,0)),""))</f>
        <v/>
      </c>
      <c r="F24" s="17" t="str">
        <f aca="false">IF($B24="","",IFERROR(INDEX(회원현황!$G$6:$G$505,MATCH("R"&amp;19,만료임박!$J$6:$J$505,0)),""))</f>
        <v/>
      </c>
      <c r="G24" s="24" t="str">
        <f aca="false">IF($B24="","",IFERROR(INDEX(회원현황!$H$6:$H$505,MATCH("R"&amp;19,만료임박!$J$6:$J$505,0)),""))</f>
        <v/>
      </c>
      <c r="H24" s="29" t="b">
        <f aca="false">IF(회원현황!$A24="",FALSE(),OR(AND(회원현황!$F24&gt;0,회원현황!$F24&lt;=사용안내!$C$18),AND(회원현황!$H24&lt;&gt;"",회원현황!$H24&gt;=0,회원현황!$H24&lt;=사용안내!$C$17)))</f>
        <v>0</v>
      </c>
      <c r="I24" s="7" t="str">
        <f aca="false">IF($H24=FALSE(),"",COUNTIF($H$6:$H24,TRUE()))</f>
        <v/>
      </c>
      <c r="J24" s="7" t="str">
        <f aca="false">IF($I24="","","R"&amp;$I24)</f>
        <v/>
      </c>
    </row>
    <row r="25" customFormat="false" ht="15" hidden="false" customHeight="true" outlineLevel="0" collapsed="false">
      <c r="A25" s="28" t="n">
        <v>20</v>
      </c>
      <c r="B25" s="15" t="str">
        <f aca="false">IFERROR(INDEX(회원현황!$A$6:$A$505,MATCH("R"&amp;20,만료임박!$J$6:$J$505,0)),"")</f>
        <v/>
      </c>
      <c r="C25" s="15" t="str">
        <f aca="false">IF($B25="","",IFERROR(INDEX(회원현황!$B$6:$B$505,MATCH("R"&amp;20,만료임박!$J$6:$J$505,0)),""))</f>
        <v/>
      </c>
      <c r="D25" s="15" t="str">
        <f aca="false">IF($B25="","",IFERROR(INDEX(회원현황!$C$6:$C$505,MATCH("R"&amp;20,만료임박!$J$6:$J$505,0)),""))</f>
        <v/>
      </c>
      <c r="E25" s="23" t="str">
        <f aca="false">IF($B25="","",IFERROR(INDEX(회원현황!$F$6:$F$505,MATCH("R"&amp;20,만료임박!$J$6:$J$505,0)),""))</f>
        <v/>
      </c>
      <c r="F25" s="17" t="str">
        <f aca="false">IF($B25="","",IFERROR(INDEX(회원현황!$G$6:$G$505,MATCH("R"&amp;20,만료임박!$J$6:$J$505,0)),""))</f>
        <v/>
      </c>
      <c r="G25" s="24" t="str">
        <f aca="false">IF($B25="","",IFERROR(INDEX(회원현황!$H$6:$H$505,MATCH("R"&amp;20,만료임박!$J$6:$J$505,0)),""))</f>
        <v/>
      </c>
      <c r="H25" s="29" t="b">
        <f aca="false">IF(회원현황!$A25="",FALSE(),OR(AND(회원현황!$F25&gt;0,회원현황!$F25&lt;=사용안내!$C$18),AND(회원현황!$H25&lt;&gt;"",회원현황!$H25&gt;=0,회원현황!$H25&lt;=사용안내!$C$17)))</f>
        <v>0</v>
      </c>
      <c r="I25" s="7" t="str">
        <f aca="false">IF($H25=FALSE(),"",COUNTIF($H$6:$H25,TRUE()))</f>
        <v/>
      </c>
      <c r="J25" s="7" t="str">
        <f aca="false">IF($I25="","","R"&amp;$I25)</f>
        <v/>
      </c>
    </row>
    <row r="26" customFormat="false" ht="15" hidden="false" customHeight="true" outlineLevel="0" collapsed="false">
      <c r="A26" s="28" t="n">
        <v>21</v>
      </c>
      <c r="B26" s="15" t="str">
        <f aca="false">IFERROR(INDEX(회원현황!$A$6:$A$505,MATCH("R"&amp;21,만료임박!$J$6:$J$505,0)),"")</f>
        <v/>
      </c>
      <c r="C26" s="15" t="str">
        <f aca="false">IF($B26="","",IFERROR(INDEX(회원현황!$B$6:$B$505,MATCH("R"&amp;21,만료임박!$J$6:$J$505,0)),""))</f>
        <v/>
      </c>
      <c r="D26" s="15" t="str">
        <f aca="false">IF($B26="","",IFERROR(INDEX(회원현황!$C$6:$C$505,MATCH("R"&amp;21,만료임박!$J$6:$J$505,0)),""))</f>
        <v/>
      </c>
      <c r="E26" s="23" t="str">
        <f aca="false">IF($B26="","",IFERROR(INDEX(회원현황!$F$6:$F$505,MATCH("R"&amp;21,만료임박!$J$6:$J$505,0)),""))</f>
        <v/>
      </c>
      <c r="F26" s="17" t="str">
        <f aca="false">IF($B26="","",IFERROR(INDEX(회원현황!$G$6:$G$505,MATCH("R"&amp;21,만료임박!$J$6:$J$505,0)),""))</f>
        <v/>
      </c>
      <c r="G26" s="24" t="str">
        <f aca="false">IF($B26="","",IFERROR(INDEX(회원현황!$H$6:$H$505,MATCH("R"&amp;21,만료임박!$J$6:$J$505,0)),""))</f>
        <v/>
      </c>
      <c r="H26" s="29" t="b">
        <f aca="false">IF(회원현황!$A26="",FALSE(),OR(AND(회원현황!$F26&gt;0,회원현황!$F26&lt;=사용안내!$C$18),AND(회원현황!$H26&lt;&gt;"",회원현황!$H26&gt;=0,회원현황!$H26&lt;=사용안내!$C$17)))</f>
        <v>0</v>
      </c>
      <c r="I26" s="7" t="str">
        <f aca="false">IF($H26=FALSE(),"",COUNTIF($H$6:$H26,TRUE()))</f>
        <v/>
      </c>
      <c r="J26" s="7" t="str">
        <f aca="false">IF($I26="","","R"&amp;$I26)</f>
        <v/>
      </c>
    </row>
    <row r="27" customFormat="false" ht="15" hidden="false" customHeight="true" outlineLevel="0" collapsed="false">
      <c r="A27" s="28" t="n">
        <v>22</v>
      </c>
      <c r="B27" s="15" t="str">
        <f aca="false">IFERROR(INDEX(회원현황!$A$6:$A$505,MATCH("R"&amp;22,만료임박!$J$6:$J$505,0)),"")</f>
        <v/>
      </c>
      <c r="C27" s="15" t="str">
        <f aca="false">IF($B27="","",IFERROR(INDEX(회원현황!$B$6:$B$505,MATCH("R"&amp;22,만료임박!$J$6:$J$505,0)),""))</f>
        <v/>
      </c>
      <c r="D27" s="15" t="str">
        <f aca="false">IF($B27="","",IFERROR(INDEX(회원현황!$C$6:$C$505,MATCH("R"&amp;22,만료임박!$J$6:$J$505,0)),""))</f>
        <v/>
      </c>
      <c r="E27" s="23" t="str">
        <f aca="false">IF($B27="","",IFERROR(INDEX(회원현황!$F$6:$F$505,MATCH("R"&amp;22,만료임박!$J$6:$J$505,0)),""))</f>
        <v/>
      </c>
      <c r="F27" s="17" t="str">
        <f aca="false">IF($B27="","",IFERROR(INDEX(회원현황!$G$6:$G$505,MATCH("R"&amp;22,만료임박!$J$6:$J$505,0)),""))</f>
        <v/>
      </c>
      <c r="G27" s="24" t="str">
        <f aca="false">IF($B27="","",IFERROR(INDEX(회원현황!$H$6:$H$505,MATCH("R"&amp;22,만료임박!$J$6:$J$505,0)),""))</f>
        <v/>
      </c>
      <c r="H27" s="29" t="b">
        <f aca="false">IF(회원현황!$A27="",FALSE(),OR(AND(회원현황!$F27&gt;0,회원현황!$F27&lt;=사용안내!$C$18),AND(회원현황!$H27&lt;&gt;"",회원현황!$H27&gt;=0,회원현황!$H27&lt;=사용안내!$C$17)))</f>
        <v>0</v>
      </c>
      <c r="I27" s="7" t="str">
        <f aca="false">IF($H27=FALSE(),"",COUNTIF($H$6:$H27,TRUE()))</f>
        <v/>
      </c>
      <c r="J27" s="7" t="str">
        <f aca="false">IF($I27="","","R"&amp;$I27)</f>
        <v/>
      </c>
    </row>
    <row r="28" customFormat="false" ht="15" hidden="false" customHeight="true" outlineLevel="0" collapsed="false">
      <c r="A28" s="28" t="n">
        <v>23</v>
      </c>
      <c r="B28" s="15" t="str">
        <f aca="false">IFERROR(INDEX(회원현황!$A$6:$A$505,MATCH("R"&amp;23,만료임박!$J$6:$J$505,0)),"")</f>
        <v/>
      </c>
      <c r="C28" s="15" t="str">
        <f aca="false">IF($B28="","",IFERROR(INDEX(회원현황!$B$6:$B$505,MATCH("R"&amp;23,만료임박!$J$6:$J$505,0)),""))</f>
        <v/>
      </c>
      <c r="D28" s="15" t="str">
        <f aca="false">IF($B28="","",IFERROR(INDEX(회원현황!$C$6:$C$505,MATCH("R"&amp;23,만료임박!$J$6:$J$505,0)),""))</f>
        <v/>
      </c>
      <c r="E28" s="23" t="str">
        <f aca="false">IF($B28="","",IFERROR(INDEX(회원현황!$F$6:$F$505,MATCH("R"&amp;23,만료임박!$J$6:$J$505,0)),""))</f>
        <v/>
      </c>
      <c r="F28" s="17" t="str">
        <f aca="false">IF($B28="","",IFERROR(INDEX(회원현황!$G$6:$G$505,MATCH("R"&amp;23,만료임박!$J$6:$J$505,0)),""))</f>
        <v/>
      </c>
      <c r="G28" s="24" t="str">
        <f aca="false">IF($B28="","",IFERROR(INDEX(회원현황!$H$6:$H$505,MATCH("R"&amp;23,만료임박!$J$6:$J$505,0)),""))</f>
        <v/>
      </c>
      <c r="H28" s="29" t="b">
        <f aca="false">IF(회원현황!$A28="",FALSE(),OR(AND(회원현황!$F28&gt;0,회원현황!$F28&lt;=사용안내!$C$18),AND(회원현황!$H28&lt;&gt;"",회원현황!$H28&gt;=0,회원현황!$H28&lt;=사용안내!$C$17)))</f>
        <v>0</v>
      </c>
      <c r="I28" s="7" t="str">
        <f aca="false">IF($H28=FALSE(),"",COUNTIF($H$6:$H28,TRUE()))</f>
        <v/>
      </c>
      <c r="J28" s="7" t="str">
        <f aca="false">IF($I28="","","R"&amp;$I28)</f>
        <v/>
      </c>
    </row>
    <row r="29" customFormat="false" ht="15" hidden="false" customHeight="true" outlineLevel="0" collapsed="false">
      <c r="A29" s="28" t="n">
        <v>24</v>
      </c>
      <c r="B29" s="15" t="str">
        <f aca="false">IFERROR(INDEX(회원현황!$A$6:$A$505,MATCH("R"&amp;24,만료임박!$J$6:$J$505,0)),"")</f>
        <v/>
      </c>
      <c r="C29" s="15" t="str">
        <f aca="false">IF($B29="","",IFERROR(INDEX(회원현황!$B$6:$B$505,MATCH("R"&amp;24,만료임박!$J$6:$J$505,0)),""))</f>
        <v/>
      </c>
      <c r="D29" s="15" t="str">
        <f aca="false">IF($B29="","",IFERROR(INDEX(회원현황!$C$6:$C$505,MATCH("R"&amp;24,만료임박!$J$6:$J$505,0)),""))</f>
        <v/>
      </c>
      <c r="E29" s="23" t="str">
        <f aca="false">IF($B29="","",IFERROR(INDEX(회원현황!$F$6:$F$505,MATCH("R"&amp;24,만료임박!$J$6:$J$505,0)),""))</f>
        <v/>
      </c>
      <c r="F29" s="17" t="str">
        <f aca="false">IF($B29="","",IFERROR(INDEX(회원현황!$G$6:$G$505,MATCH("R"&amp;24,만료임박!$J$6:$J$505,0)),""))</f>
        <v/>
      </c>
      <c r="G29" s="24" t="str">
        <f aca="false">IF($B29="","",IFERROR(INDEX(회원현황!$H$6:$H$505,MATCH("R"&amp;24,만료임박!$J$6:$J$505,0)),""))</f>
        <v/>
      </c>
      <c r="H29" s="29" t="b">
        <f aca="false">IF(회원현황!$A29="",FALSE(),OR(AND(회원현황!$F29&gt;0,회원현황!$F29&lt;=사용안내!$C$18),AND(회원현황!$H29&lt;&gt;"",회원현황!$H29&gt;=0,회원현황!$H29&lt;=사용안내!$C$17)))</f>
        <v>0</v>
      </c>
      <c r="I29" s="7" t="str">
        <f aca="false">IF($H29=FALSE(),"",COUNTIF($H$6:$H29,TRUE()))</f>
        <v/>
      </c>
      <c r="J29" s="7" t="str">
        <f aca="false">IF($I29="","","R"&amp;$I29)</f>
        <v/>
      </c>
    </row>
    <row r="30" customFormat="false" ht="15" hidden="false" customHeight="true" outlineLevel="0" collapsed="false">
      <c r="A30" s="28" t="n">
        <v>25</v>
      </c>
      <c r="B30" s="15" t="str">
        <f aca="false">IFERROR(INDEX(회원현황!$A$6:$A$505,MATCH("R"&amp;25,만료임박!$J$6:$J$505,0)),"")</f>
        <v/>
      </c>
      <c r="C30" s="15" t="str">
        <f aca="false">IF($B30="","",IFERROR(INDEX(회원현황!$B$6:$B$505,MATCH("R"&amp;25,만료임박!$J$6:$J$505,0)),""))</f>
        <v/>
      </c>
      <c r="D30" s="15" t="str">
        <f aca="false">IF($B30="","",IFERROR(INDEX(회원현황!$C$6:$C$505,MATCH("R"&amp;25,만료임박!$J$6:$J$505,0)),""))</f>
        <v/>
      </c>
      <c r="E30" s="23" t="str">
        <f aca="false">IF($B30="","",IFERROR(INDEX(회원현황!$F$6:$F$505,MATCH("R"&amp;25,만료임박!$J$6:$J$505,0)),""))</f>
        <v/>
      </c>
      <c r="F30" s="17" t="str">
        <f aca="false">IF($B30="","",IFERROR(INDEX(회원현황!$G$6:$G$505,MATCH("R"&amp;25,만료임박!$J$6:$J$505,0)),""))</f>
        <v/>
      </c>
      <c r="G30" s="24" t="str">
        <f aca="false">IF($B30="","",IFERROR(INDEX(회원현황!$H$6:$H$505,MATCH("R"&amp;25,만료임박!$J$6:$J$505,0)),""))</f>
        <v/>
      </c>
      <c r="H30" s="29" t="b">
        <f aca="false">IF(회원현황!$A30="",FALSE(),OR(AND(회원현황!$F30&gt;0,회원현황!$F30&lt;=사용안내!$C$18),AND(회원현황!$H30&lt;&gt;"",회원현황!$H30&gt;=0,회원현황!$H30&lt;=사용안내!$C$17)))</f>
        <v>0</v>
      </c>
      <c r="I30" s="7" t="str">
        <f aca="false">IF($H30=FALSE(),"",COUNTIF($H$6:$H30,TRUE()))</f>
        <v/>
      </c>
      <c r="J30" s="7" t="str">
        <f aca="false">IF($I30="","","R"&amp;$I30)</f>
        <v/>
      </c>
    </row>
    <row r="31" customFormat="false" ht="15" hidden="false" customHeight="true" outlineLevel="0" collapsed="false">
      <c r="A31" s="28" t="n">
        <v>26</v>
      </c>
      <c r="B31" s="15" t="str">
        <f aca="false">IFERROR(INDEX(회원현황!$A$6:$A$505,MATCH("R"&amp;26,만료임박!$J$6:$J$505,0)),"")</f>
        <v/>
      </c>
      <c r="C31" s="15" t="str">
        <f aca="false">IF($B31="","",IFERROR(INDEX(회원현황!$B$6:$B$505,MATCH("R"&amp;26,만료임박!$J$6:$J$505,0)),""))</f>
        <v/>
      </c>
      <c r="D31" s="15" t="str">
        <f aca="false">IF($B31="","",IFERROR(INDEX(회원현황!$C$6:$C$505,MATCH("R"&amp;26,만료임박!$J$6:$J$505,0)),""))</f>
        <v/>
      </c>
      <c r="E31" s="23" t="str">
        <f aca="false">IF($B31="","",IFERROR(INDEX(회원현황!$F$6:$F$505,MATCH("R"&amp;26,만료임박!$J$6:$J$505,0)),""))</f>
        <v/>
      </c>
      <c r="F31" s="17" t="str">
        <f aca="false">IF($B31="","",IFERROR(INDEX(회원현황!$G$6:$G$505,MATCH("R"&amp;26,만료임박!$J$6:$J$505,0)),""))</f>
        <v/>
      </c>
      <c r="G31" s="24" t="str">
        <f aca="false">IF($B31="","",IFERROR(INDEX(회원현황!$H$6:$H$505,MATCH("R"&amp;26,만료임박!$J$6:$J$505,0)),""))</f>
        <v/>
      </c>
      <c r="H31" s="29" t="b">
        <f aca="false">IF(회원현황!$A31="",FALSE(),OR(AND(회원현황!$F31&gt;0,회원현황!$F31&lt;=사용안내!$C$18),AND(회원현황!$H31&lt;&gt;"",회원현황!$H31&gt;=0,회원현황!$H31&lt;=사용안내!$C$17)))</f>
        <v>0</v>
      </c>
      <c r="I31" s="7" t="str">
        <f aca="false">IF($H31=FALSE(),"",COUNTIF($H$6:$H31,TRUE()))</f>
        <v/>
      </c>
      <c r="J31" s="7" t="str">
        <f aca="false">IF($I31="","","R"&amp;$I31)</f>
        <v/>
      </c>
    </row>
    <row r="32" customFormat="false" ht="15" hidden="false" customHeight="true" outlineLevel="0" collapsed="false">
      <c r="A32" s="28" t="n">
        <v>27</v>
      </c>
      <c r="B32" s="15" t="str">
        <f aca="false">IFERROR(INDEX(회원현황!$A$6:$A$505,MATCH("R"&amp;27,만료임박!$J$6:$J$505,0)),"")</f>
        <v/>
      </c>
      <c r="C32" s="15" t="str">
        <f aca="false">IF($B32="","",IFERROR(INDEX(회원현황!$B$6:$B$505,MATCH("R"&amp;27,만료임박!$J$6:$J$505,0)),""))</f>
        <v/>
      </c>
      <c r="D32" s="15" t="str">
        <f aca="false">IF($B32="","",IFERROR(INDEX(회원현황!$C$6:$C$505,MATCH("R"&amp;27,만료임박!$J$6:$J$505,0)),""))</f>
        <v/>
      </c>
      <c r="E32" s="23" t="str">
        <f aca="false">IF($B32="","",IFERROR(INDEX(회원현황!$F$6:$F$505,MATCH("R"&amp;27,만료임박!$J$6:$J$505,0)),""))</f>
        <v/>
      </c>
      <c r="F32" s="17" t="str">
        <f aca="false">IF($B32="","",IFERROR(INDEX(회원현황!$G$6:$G$505,MATCH("R"&amp;27,만료임박!$J$6:$J$505,0)),""))</f>
        <v/>
      </c>
      <c r="G32" s="24" t="str">
        <f aca="false">IF($B32="","",IFERROR(INDEX(회원현황!$H$6:$H$505,MATCH("R"&amp;27,만료임박!$J$6:$J$505,0)),""))</f>
        <v/>
      </c>
      <c r="H32" s="29" t="b">
        <f aca="false">IF(회원현황!$A32="",FALSE(),OR(AND(회원현황!$F32&gt;0,회원현황!$F32&lt;=사용안내!$C$18),AND(회원현황!$H32&lt;&gt;"",회원현황!$H32&gt;=0,회원현황!$H32&lt;=사용안내!$C$17)))</f>
        <v>0</v>
      </c>
      <c r="I32" s="7" t="str">
        <f aca="false">IF($H32=FALSE(),"",COUNTIF($H$6:$H32,TRUE()))</f>
        <v/>
      </c>
      <c r="J32" s="7" t="str">
        <f aca="false">IF($I32="","","R"&amp;$I32)</f>
        <v/>
      </c>
    </row>
    <row r="33" customFormat="false" ht="15" hidden="false" customHeight="true" outlineLevel="0" collapsed="false">
      <c r="A33" s="28" t="n">
        <v>28</v>
      </c>
      <c r="B33" s="15" t="str">
        <f aca="false">IFERROR(INDEX(회원현황!$A$6:$A$505,MATCH("R"&amp;28,만료임박!$J$6:$J$505,0)),"")</f>
        <v/>
      </c>
      <c r="C33" s="15" t="str">
        <f aca="false">IF($B33="","",IFERROR(INDEX(회원현황!$B$6:$B$505,MATCH("R"&amp;28,만료임박!$J$6:$J$505,0)),""))</f>
        <v/>
      </c>
      <c r="D33" s="15" t="str">
        <f aca="false">IF($B33="","",IFERROR(INDEX(회원현황!$C$6:$C$505,MATCH("R"&amp;28,만료임박!$J$6:$J$505,0)),""))</f>
        <v/>
      </c>
      <c r="E33" s="23" t="str">
        <f aca="false">IF($B33="","",IFERROR(INDEX(회원현황!$F$6:$F$505,MATCH("R"&amp;28,만료임박!$J$6:$J$505,0)),""))</f>
        <v/>
      </c>
      <c r="F33" s="17" t="str">
        <f aca="false">IF($B33="","",IFERROR(INDEX(회원현황!$G$6:$G$505,MATCH("R"&amp;28,만료임박!$J$6:$J$505,0)),""))</f>
        <v/>
      </c>
      <c r="G33" s="24" t="str">
        <f aca="false">IF($B33="","",IFERROR(INDEX(회원현황!$H$6:$H$505,MATCH("R"&amp;28,만료임박!$J$6:$J$505,0)),""))</f>
        <v/>
      </c>
      <c r="H33" s="29" t="b">
        <f aca="false">IF(회원현황!$A33="",FALSE(),OR(AND(회원현황!$F33&gt;0,회원현황!$F33&lt;=사용안내!$C$18),AND(회원현황!$H33&lt;&gt;"",회원현황!$H33&gt;=0,회원현황!$H33&lt;=사용안내!$C$17)))</f>
        <v>0</v>
      </c>
      <c r="I33" s="7" t="str">
        <f aca="false">IF($H33=FALSE(),"",COUNTIF($H$6:$H33,TRUE()))</f>
        <v/>
      </c>
      <c r="J33" s="7" t="str">
        <f aca="false">IF($I33="","","R"&amp;$I33)</f>
        <v/>
      </c>
    </row>
    <row r="34" customFormat="false" ht="15" hidden="false" customHeight="true" outlineLevel="0" collapsed="false">
      <c r="A34" s="28" t="n">
        <v>29</v>
      </c>
      <c r="B34" s="15" t="str">
        <f aca="false">IFERROR(INDEX(회원현황!$A$6:$A$505,MATCH("R"&amp;29,만료임박!$J$6:$J$505,0)),"")</f>
        <v/>
      </c>
      <c r="C34" s="15" t="str">
        <f aca="false">IF($B34="","",IFERROR(INDEX(회원현황!$B$6:$B$505,MATCH("R"&amp;29,만료임박!$J$6:$J$505,0)),""))</f>
        <v/>
      </c>
      <c r="D34" s="15" t="str">
        <f aca="false">IF($B34="","",IFERROR(INDEX(회원현황!$C$6:$C$505,MATCH("R"&amp;29,만료임박!$J$6:$J$505,0)),""))</f>
        <v/>
      </c>
      <c r="E34" s="23" t="str">
        <f aca="false">IF($B34="","",IFERROR(INDEX(회원현황!$F$6:$F$505,MATCH("R"&amp;29,만료임박!$J$6:$J$505,0)),""))</f>
        <v/>
      </c>
      <c r="F34" s="17" t="str">
        <f aca="false">IF($B34="","",IFERROR(INDEX(회원현황!$G$6:$G$505,MATCH("R"&amp;29,만료임박!$J$6:$J$505,0)),""))</f>
        <v/>
      </c>
      <c r="G34" s="24" t="str">
        <f aca="false">IF($B34="","",IFERROR(INDEX(회원현황!$H$6:$H$505,MATCH("R"&amp;29,만료임박!$J$6:$J$505,0)),""))</f>
        <v/>
      </c>
      <c r="H34" s="29" t="b">
        <f aca="false">IF(회원현황!$A34="",FALSE(),OR(AND(회원현황!$F34&gt;0,회원현황!$F34&lt;=사용안내!$C$18),AND(회원현황!$H34&lt;&gt;"",회원현황!$H34&gt;=0,회원현황!$H34&lt;=사용안내!$C$17)))</f>
        <v>0</v>
      </c>
      <c r="I34" s="7" t="str">
        <f aca="false">IF($H34=FALSE(),"",COUNTIF($H$6:$H34,TRUE()))</f>
        <v/>
      </c>
      <c r="J34" s="7" t="str">
        <f aca="false">IF($I34="","","R"&amp;$I34)</f>
        <v/>
      </c>
    </row>
    <row r="35" customFormat="false" ht="15" hidden="false" customHeight="true" outlineLevel="0" collapsed="false">
      <c r="A35" s="28" t="n">
        <v>30</v>
      </c>
      <c r="B35" s="15" t="str">
        <f aca="false">IFERROR(INDEX(회원현황!$A$6:$A$505,MATCH("R"&amp;30,만료임박!$J$6:$J$505,0)),"")</f>
        <v/>
      </c>
      <c r="C35" s="15" t="str">
        <f aca="false">IF($B35="","",IFERROR(INDEX(회원현황!$B$6:$B$505,MATCH("R"&amp;30,만료임박!$J$6:$J$505,0)),""))</f>
        <v/>
      </c>
      <c r="D35" s="15" t="str">
        <f aca="false">IF($B35="","",IFERROR(INDEX(회원현황!$C$6:$C$505,MATCH("R"&amp;30,만료임박!$J$6:$J$505,0)),""))</f>
        <v/>
      </c>
      <c r="E35" s="23" t="str">
        <f aca="false">IF($B35="","",IFERROR(INDEX(회원현황!$F$6:$F$505,MATCH("R"&amp;30,만료임박!$J$6:$J$505,0)),""))</f>
        <v/>
      </c>
      <c r="F35" s="17" t="str">
        <f aca="false">IF($B35="","",IFERROR(INDEX(회원현황!$G$6:$G$505,MATCH("R"&amp;30,만료임박!$J$6:$J$505,0)),""))</f>
        <v/>
      </c>
      <c r="G35" s="24" t="str">
        <f aca="false">IF($B35="","",IFERROR(INDEX(회원현황!$H$6:$H$505,MATCH("R"&amp;30,만료임박!$J$6:$J$505,0)),""))</f>
        <v/>
      </c>
      <c r="H35" s="29" t="b">
        <f aca="false">IF(회원현황!$A35="",FALSE(),OR(AND(회원현황!$F35&gt;0,회원현황!$F35&lt;=사용안내!$C$18),AND(회원현황!$H35&lt;&gt;"",회원현황!$H35&gt;=0,회원현황!$H35&lt;=사용안내!$C$17)))</f>
        <v>0</v>
      </c>
      <c r="I35" s="7" t="str">
        <f aca="false">IF($H35=FALSE(),"",COUNTIF($H$6:$H35,TRUE()))</f>
        <v/>
      </c>
      <c r="J35" s="7" t="str">
        <f aca="false">IF($I35="","","R"&amp;$I35)</f>
        <v/>
      </c>
    </row>
    <row r="36" customFormat="false" ht="15" hidden="false" customHeight="true" outlineLevel="0" collapsed="false">
      <c r="A36" s="28" t="n">
        <v>31</v>
      </c>
      <c r="B36" s="15" t="str">
        <f aca="false">IFERROR(INDEX(회원현황!$A$6:$A$505,MATCH("R"&amp;31,만료임박!$J$6:$J$505,0)),"")</f>
        <v/>
      </c>
      <c r="C36" s="15" t="str">
        <f aca="false">IF($B36="","",IFERROR(INDEX(회원현황!$B$6:$B$505,MATCH("R"&amp;31,만료임박!$J$6:$J$505,0)),""))</f>
        <v/>
      </c>
      <c r="D36" s="15" t="str">
        <f aca="false">IF($B36="","",IFERROR(INDEX(회원현황!$C$6:$C$505,MATCH("R"&amp;31,만료임박!$J$6:$J$505,0)),""))</f>
        <v/>
      </c>
      <c r="E36" s="23" t="str">
        <f aca="false">IF($B36="","",IFERROR(INDEX(회원현황!$F$6:$F$505,MATCH("R"&amp;31,만료임박!$J$6:$J$505,0)),""))</f>
        <v/>
      </c>
      <c r="F36" s="17" t="str">
        <f aca="false">IF($B36="","",IFERROR(INDEX(회원현황!$G$6:$G$505,MATCH("R"&amp;31,만료임박!$J$6:$J$505,0)),""))</f>
        <v/>
      </c>
      <c r="G36" s="24" t="str">
        <f aca="false">IF($B36="","",IFERROR(INDEX(회원현황!$H$6:$H$505,MATCH("R"&amp;31,만료임박!$J$6:$J$505,0)),""))</f>
        <v/>
      </c>
      <c r="H36" s="29" t="b">
        <f aca="false">IF(회원현황!$A36="",FALSE(),OR(AND(회원현황!$F36&gt;0,회원현황!$F36&lt;=사용안내!$C$18),AND(회원현황!$H36&lt;&gt;"",회원현황!$H36&gt;=0,회원현황!$H36&lt;=사용안내!$C$17)))</f>
        <v>0</v>
      </c>
      <c r="I36" s="7" t="str">
        <f aca="false">IF($H36=FALSE(),"",COUNTIF($H$6:$H36,TRUE()))</f>
        <v/>
      </c>
      <c r="J36" s="7" t="str">
        <f aca="false">IF($I36="","","R"&amp;$I36)</f>
        <v/>
      </c>
    </row>
    <row r="37" customFormat="false" ht="15" hidden="false" customHeight="true" outlineLevel="0" collapsed="false">
      <c r="A37" s="28" t="n">
        <v>32</v>
      </c>
      <c r="B37" s="15" t="str">
        <f aca="false">IFERROR(INDEX(회원현황!$A$6:$A$505,MATCH("R"&amp;32,만료임박!$J$6:$J$505,0)),"")</f>
        <v/>
      </c>
      <c r="C37" s="15" t="str">
        <f aca="false">IF($B37="","",IFERROR(INDEX(회원현황!$B$6:$B$505,MATCH("R"&amp;32,만료임박!$J$6:$J$505,0)),""))</f>
        <v/>
      </c>
      <c r="D37" s="15" t="str">
        <f aca="false">IF($B37="","",IFERROR(INDEX(회원현황!$C$6:$C$505,MATCH("R"&amp;32,만료임박!$J$6:$J$505,0)),""))</f>
        <v/>
      </c>
      <c r="E37" s="23" t="str">
        <f aca="false">IF($B37="","",IFERROR(INDEX(회원현황!$F$6:$F$505,MATCH("R"&amp;32,만료임박!$J$6:$J$505,0)),""))</f>
        <v/>
      </c>
      <c r="F37" s="17" t="str">
        <f aca="false">IF($B37="","",IFERROR(INDEX(회원현황!$G$6:$G$505,MATCH("R"&amp;32,만료임박!$J$6:$J$505,0)),""))</f>
        <v/>
      </c>
      <c r="G37" s="24" t="str">
        <f aca="false">IF($B37="","",IFERROR(INDEX(회원현황!$H$6:$H$505,MATCH("R"&amp;32,만료임박!$J$6:$J$505,0)),""))</f>
        <v/>
      </c>
      <c r="H37" s="29" t="b">
        <f aca="false">IF(회원현황!$A37="",FALSE(),OR(AND(회원현황!$F37&gt;0,회원현황!$F37&lt;=사용안내!$C$18),AND(회원현황!$H37&lt;&gt;"",회원현황!$H37&gt;=0,회원현황!$H37&lt;=사용안내!$C$17)))</f>
        <v>0</v>
      </c>
      <c r="I37" s="7" t="str">
        <f aca="false">IF($H37=FALSE(),"",COUNTIF($H$6:$H37,TRUE()))</f>
        <v/>
      </c>
      <c r="J37" s="7" t="str">
        <f aca="false">IF($I37="","","R"&amp;$I37)</f>
        <v/>
      </c>
    </row>
    <row r="38" customFormat="false" ht="15" hidden="false" customHeight="true" outlineLevel="0" collapsed="false">
      <c r="A38" s="28" t="n">
        <v>33</v>
      </c>
      <c r="B38" s="15" t="str">
        <f aca="false">IFERROR(INDEX(회원현황!$A$6:$A$505,MATCH("R"&amp;33,만료임박!$J$6:$J$505,0)),"")</f>
        <v/>
      </c>
      <c r="C38" s="15" t="str">
        <f aca="false">IF($B38="","",IFERROR(INDEX(회원현황!$B$6:$B$505,MATCH("R"&amp;33,만료임박!$J$6:$J$505,0)),""))</f>
        <v/>
      </c>
      <c r="D38" s="15" t="str">
        <f aca="false">IF($B38="","",IFERROR(INDEX(회원현황!$C$6:$C$505,MATCH("R"&amp;33,만료임박!$J$6:$J$505,0)),""))</f>
        <v/>
      </c>
      <c r="E38" s="23" t="str">
        <f aca="false">IF($B38="","",IFERROR(INDEX(회원현황!$F$6:$F$505,MATCH("R"&amp;33,만료임박!$J$6:$J$505,0)),""))</f>
        <v/>
      </c>
      <c r="F38" s="17" t="str">
        <f aca="false">IF($B38="","",IFERROR(INDEX(회원현황!$G$6:$G$505,MATCH("R"&amp;33,만료임박!$J$6:$J$505,0)),""))</f>
        <v/>
      </c>
      <c r="G38" s="24" t="str">
        <f aca="false">IF($B38="","",IFERROR(INDEX(회원현황!$H$6:$H$505,MATCH("R"&amp;33,만료임박!$J$6:$J$505,0)),""))</f>
        <v/>
      </c>
      <c r="H38" s="29" t="b">
        <f aca="false">IF(회원현황!$A38="",FALSE(),OR(AND(회원현황!$F38&gt;0,회원현황!$F38&lt;=사용안내!$C$18),AND(회원현황!$H38&lt;&gt;"",회원현황!$H38&gt;=0,회원현황!$H38&lt;=사용안내!$C$17)))</f>
        <v>0</v>
      </c>
      <c r="I38" s="7" t="str">
        <f aca="false">IF($H38=FALSE(),"",COUNTIF($H$6:$H38,TRUE()))</f>
        <v/>
      </c>
      <c r="J38" s="7" t="str">
        <f aca="false">IF($I38="","","R"&amp;$I38)</f>
        <v/>
      </c>
    </row>
    <row r="39" customFormat="false" ht="15" hidden="false" customHeight="true" outlineLevel="0" collapsed="false">
      <c r="A39" s="28" t="n">
        <v>34</v>
      </c>
      <c r="B39" s="15" t="str">
        <f aca="false">IFERROR(INDEX(회원현황!$A$6:$A$505,MATCH("R"&amp;34,만료임박!$J$6:$J$505,0)),"")</f>
        <v/>
      </c>
      <c r="C39" s="15" t="str">
        <f aca="false">IF($B39="","",IFERROR(INDEX(회원현황!$B$6:$B$505,MATCH("R"&amp;34,만료임박!$J$6:$J$505,0)),""))</f>
        <v/>
      </c>
      <c r="D39" s="15" t="str">
        <f aca="false">IF($B39="","",IFERROR(INDEX(회원현황!$C$6:$C$505,MATCH("R"&amp;34,만료임박!$J$6:$J$505,0)),""))</f>
        <v/>
      </c>
      <c r="E39" s="23" t="str">
        <f aca="false">IF($B39="","",IFERROR(INDEX(회원현황!$F$6:$F$505,MATCH("R"&amp;34,만료임박!$J$6:$J$505,0)),""))</f>
        <v/>
      </c>
      <c r="F39" s="17" t="str">
        <f aca="false">IF($B39="","",IFERROR(INDEX(회원현황!$G$6:$G$505,MATCH("R"&amp;34,만료임박!$J$6:$J$505,0)),""))</f>
        <v/>
      </c>
      <c r="G39" s="24" t="str">
        <f aca="false">IF($B39="","",IFERROR(INDEX(회원현황!$H$6:$H$505,MATCH("R"&amp;34,만료임박!$J$6:$J$505,0)),""))</f>
        <v/>
      </c>
      <c r="H39" s="29" t="b">
        <f aca="false">IF(회원현황!$A39="",FALSE(),OR(AND(회원현황!$F39&gt;0,회원현황!$F39&lt;=사용안내!$C$18),AND(회원현황!$H39&lt;&gt;"",회원현황!$H39&gt;=0,회원현황!$H39&lt;=사용안내!$C$17)))</f>
        <v>0</v>
      </c>
      <c r="I39" s="7" t="str">
        <f aca="false">IF($H39=FALSE(),"",COUNTIF($H$6:$H39,TRUE()))</f>
        <v/>
      </c>
      <c r="J39" s="7" t="str">
        <f aca="false">IF($I39="","","R"&amp;$I39)</f>
        <v/>
      </c>
    </row>
    <row r="40" customFormat="false" ht="15" hidden="false" customHeight="true" outlineLevel="0" collapsed="false">
      <c r="A40" s="28" t="n">
        <v>35</v>
      </c>
      <c r="B40" s="15" t="str">
        <f aca="false">IFERROR(INDEX(회원현황!$A$6:$A$505,MATCH("R"&amp;35,만료임박!$J$6:$J$505,0)),"")</f>
        <v/>
      </c>
      <c r="C40" s="15" t="str">
        <f aca="false">IF($B40="","",IFERROR(INDEX(회원현황!$B$6:$B$505,MATCH("R"&amp;35,만료임박!$J$6:$J$505,0)),""))</f>
        <v/>
      </c>
      <c r="D40" s="15" t="str">
        <f aca="false">IF($B40="","",IFERROR(INDEX(회원현황!$C$6:$C$505,MATCH("R"&amp;35,만료임박!$J$6:$J$505,0)),""))</f>
        <v/>
      </c>
      <c r="E40" s="23" t="str">
        <f aca="false">IF($B40="","",IFERROR(INDEX(회원현황!$F$6:$F$505,MATCH("R"&amp;35,만료임박!$J$6:$J$505,0)),""))</f>
        <v/>
      </c>
      <c r="F40" s="17" t="str">
        <f aca="false">IF($B40="","",IFERROR(INDEX(회원현황!$G$6:$G$505,MATCH("R"&amp;35,만료임박!$J$6:$J$505,0)),""))</f>
        <v/>
      </c>
      <c r="G40" s="24" t="str">
        <f aca="false">IF($B40="","",IFERROR(INDEX(회원현황!$H$6:$H$505,MATCH("R"&amp;35,만료임박!$J$6:$J$505,0)),""))</f>
        <v/>
      </c>
      <c r="H40" s="29" t="b">
        <f aca="false">IF(회원현황!$A40="",FALSE(),OR(AND(회원현황!$F40&gt;0,회원현황!$F40&lt;=사용안내!$C$18),AND(회원현황!$H40&lt;&gt;"",회원현황!$H40&gt;=0,회원현황!$H40&lt;=사용안내!$C$17)))</f>
        <v>0</v>
      </c>
      <c r="I40" s="7" t="str">
        <f aca="false">IF($H40=FALSE(),"",COUNTIF($H$6:$H40,TRUE()))</f>
        <v/>
      </c>
      <c r="J40" s="7" t="str">
        <f aca="false">IF($I40="","","R"&amp;$I40)</f>
        <v/>
      </c>
    </row>
    <row r="41" customFormat="false" ht="15" hidden="false" customHeight="true" outlineLevel="0" collapsed="false">
      <c r="A41" s="28" t="n">
        <v>36</v>
      </c>
      <c r="B41" s="15" t="str">
        <f aca="false">IFERROR(INDEX(회원현황!$A$6:$A$505,MATCH("R"&amp;36,만료임박!$J$6:$J$505,0)),"")</f>
        <v/>
      </c>
      <c r="C41" s="15" t="str">
        <f aca="false">IF($B41="","",IFERROR(INDEX(회원현황!$B$6:$B$505,MATCH("R"&amp;36,만료임박!$J$6:$J$505,0)),""))</f>
        <v/>
      </c>
      <c r="D41" s="15" t="str">
        <f aca="false">IF($B41="","",IFERROR(INDEX(회원현황!$C$6:$C$505,MATCH("R"&amp;36,만료임박!$J$6:$J$505,0)),""))</f>
        <v/>
      </c>
      <c r="E41" s="23" t="str">
        <f aca="false">IF($B41="","",IFERROR(INDEX(회원현황!$F$6:$F$505,MATCH("R"&amp;36,만료임박!$J$6:$J$505,0)),""))</f>
        <v/>
      </c>
      <c r="F41" s="17" t="str">
        <f aca="false">IF($B41="","",IFERROR(INDEX(회원현황!$G$6:$G$505,MATCH("R"&amp;36,만료임박!$J$6:$J$505,0)),""))</f>
        <v/>
      </c>
      <c r="G41" s="24" t="str">
        <f aca="false">IF($B41="","",IFERROR(INDEX(회원현황!$H$6:$H$505,MATCH("R"&amp;36,만료임박!$J$6:$J$505,0)),""))</f>
        <v/>
      </c>
      <c r="H41" s="29" t="b">
        <f aca="false">IF(회원현황!$A41="",FALSE(),OR(AND(회원현황!$F41&gt;0,회원현황!$F41&lt;=사용안내!$C$18),AND(회원현황!$H41&lt;&gt;"",회원현황!$H41&gt;=0,회원현황!$H41&lt;=사용안내!$C$17)))</f>
        <v>0</v>
      </c>
      <c r="I41" s="7" t="str">
        <f aca="false">IF($H41=FALSE(),"",COUNTIF($H$6:$H41,TRUE()))</f>
        <v/>
      </c>
      <c r="J41" s="7" t="str">
        <f aca="false">IF($I41="","","R"&amp;$I41)</f>
        <v/>
      </c>
    </row>
    <row r="42" customFormat="false" ht="15" hidden="false" customHeight="true" outlineLevel="0" collapsed="false">
      <c r="A42" s="28" t="n">
        <v>37</v>
      </c>
      <c r="B42" s="15" t="str">
        <f aca="false">IFERROR(INDEX(회원현황!$A$6:$A$505,MATCH("R"&amp;37,만료임박!$J$6:$J$505,0)),"")</f>
        <v/>
      </c>
      <c r="C42" s="15" t="str">
        <f aca="false">IF($B42="","",IFERROR(INDEX(회원현황!$B$6:$B$505,MATCH("R"&amp;37,만료임박!$J$6:$J$505,0)),""))</f>
        <v/>
      </c>
      <c r="D42" s="15" t="str">
        <f aca="false">IF($B42="","",IFERROR(INDEX(회원현황!$C$6:$C$505,MATCH("R"&amp;37,만료임박!$J$6:$J$505,0)),""))</f>
        <v/>
      </c>
      <c r="E42" s="23" t="str">
        <f aca="false">IF($B42="","",IFERROR(INDEX(회원현황!$F$6:$F$505,MATCH("R"&amp;37,만료임박!$J$6:$J$505,0)),""))</f>
        <v/>
      </c>
      <c r="F42" s="17" t="str">
        <f aca="false">IF($B42="","",IFERROR(INDEX(회원현황!$G$6:$G$505,MATCH("R"&amp;37,만료임박!$J$6:$J$505,0)),""))</f>
        <v/>
      </c>
      <c r="G42" s="24" t="str">
        <f aca="false">IF($B42="","",IFERROR(INDEX(회원현황!$H$6:$H$505,MATCH("R"&amp;37,만료임박!$J$6:$J$505,0)),""))</f>
        <v/>
      </c>
      <c r="H42" s="29" t="b">
        <f aca="false">IF(회원현황!$A42="",FALSE(),OR(AND(회원현황!$F42&gt;0,회원현황!$F42&lt;=사용안내!$C$18),AND(회원현황!$H42&lt;&gt;"",회원현황!$H42&gt;=0,회원현황!$H42&lt;=사용안내!$C$17)))</f>
        <v>0</v>
      </c>
      <c r="I42" s="7" t="str">
        <f aca="false">IF($H42=FALSE(),"",COUNTIF($H$6:$H42,TRUE()))</f>
        <v/>
      </c>
      <c r="J42" s="7" t="str">
        <f aca="false">IF($I42="","","R"&amp;$I42)</f>
        <v/>
      </c>
    </row>
    <row r="43" customFormat="false" ht="15" hidden="false" customHeight="true" outlineLevel="0" collapsed="false">
      <c r="A43" s="28" t="n">
        <v>38</v>
      </c>
      <c r="B43" s="15" t="str">
        <f aca="false">IFERROR(INDEX(회원현황!$A$6:$A$505,MATCH("R"&amp;38,만료임박!$J$6:$J$505,0)),"")</f>
        <v/>
      </c>
      <c r="C43" s="15" t="str">
        <f aca="false">IF($B43="","",IFERROR(INDEX(회원현황!$B$6:$B$505,MATCH("R"&amp;38,만료임박!$J$6:$J$505,0)),""))</f>
        <v/>
      </c>
      <c r="D43" s="15" t="str">
        <f aca="false">IF($B43="","",IFERROR(INDEX(회원현황!$C$6:$C$505,MATCH("R"&amp;38,만료임박!$J$6:$J$505,0)),""))</f>
        <v/>
      </c>
      <c r="E43" s="23" t="str">
        <f aca="false">IF($B43="","",IFERROR(INDEX(회원현황!$F$6:$F$505,MATCH("R"&amp;38,만료임박!$J$6:$J$505,0)),""))</f>
        <v/>
      </c>
      <c r="F43" s="17" t="str">
        <f aca="false">IF($B43="","",IFERROR(INDEX(회원현황!$G$6:$G$505,MATCH("R"&amp;38,만료임박!$J$6:$J$505,0)),""))</f>
        <v/>
      </c>
      <c r="G43" s="24" t="str">
        <f aca="false">IF($B43="","",IFERROR(INDEX(회원현황!$H$6:$H$505,MATCH("R"&amp;38,만료임박!$J$6:$J$505,0)),""))</f>
        <v/>
      </c>
      <c r="H43" s="29" t="b">
        <f aca="false">IF(회원현황!$A43="",FALSE(),OR(AND(회원현황!$F43&gt;0,회원현황!$F43&lt;=사용안내!$C$18),AND(회원현황!$H43&lt;&gt;"",회원현황!$H43&gt;=0,회원현황!$H43&lt;=사용안내!$C$17)))</f>
        <v>0</v>
      </c>
      <c r="I43" s="7" t="str">
        <f aca="false">IF($H43=FALSE(),"",COUNTIF($H$6:$H43,TRUE()))</f>
        <v/>
      </c>
      <c r="J43" s="7" t="str">
        <f aca="false">IF($I43="","","R"&amp;$I43)</f>
        <v/>
      </c>
    </row>
    <row r="44" customFormat="false" ht="15" hidden="false" customHeight="true" outlineLevel="0" collapsed="false">
      <c r="A44" s="28" t="n">
        <v>39</v>
      </c>
      <c r="B44" s="15" t="str">
        <f aca="false">IFERROR(INDEX(회원현황!$A$6:$A$505,MATCH("R"&amp;39,만료임박!$J$6:$J$505,0)),"")</f>
        <v/>
      </c>
      <c r="C44" s="15" t="str">
        <f aca="false">IF($B44="","",IFERROR(INDEX(회원현황!$B$6:$B$505,MATCH("R"&amp;39,만료임박!$J$6:$J$505,0)),""))</f>
        <v/>
      </c>
      <c r="D44" s="15" t="str">
        <f aca="false">IF($B44="","",IFERROR(INDEX(회원현황!$C$6:$C$505,MATCH("R"&amp;39,만료임박!$J$6:$J$505,0)),""))</f>
        <v/>
      </c>
      <c r="E44" s="23" t="str">
        <f aca="false">IF($B44="","",IFERROR(INDEX(회원현황!$F$6:$F$505,MATCH("R"&amp;39,만료임박!$J$6:$J$505,0)),""))</f>
        <v/>
      </c>
      <c r="F44" s="17" t="str">
        <f aca="false">IF($B44="","",IFERROR(INDEX(회원현황!$G$6:$G$505,MATCH("R"&amp;39,만료임박!$J$6:$J$505,0)),""))</f>
        <v/>
      </c>
      <c r="G44" s="24" t="str">
        <f aca="false">IF($B44="","",IFERROR(INDEX(회원현황!$H$6:$H$505,MATCH("R"&amp;39,만료임박!$J$6:$J$505,0)),""))</f>
        <v/>
      </c>
      <c r="H44" s="29" t="b">
        <f aca="false">IF(회원현황!$A44="",FALSE(),OR(AND(회원현황!$F44&gt;0,회원현황!$F44&lt;=사용안내!$C$18),AND(회원현황!$H44&lt;&gt;"",회원현황!$H44&gt;=0,회원현황!$H44&lt;=사용안내!$C$17)))</f>
        <v>0</v>
      </c>
      <c r="I44" s="7" t="str">
        <f aca="false">IF($H44=FALSE(),"",COUNTIF($H$6:$H44,TRUE()))</f>
        <v/>
      </c>
      <c r="J44" s="7" t="str">
        <f aca="false">IF($I44="","","R"&amp;$I44)</f>
        <v/>
      </c>
    </row>
    <row r="45" customFormat="false" ht="15" hidden="false" customHeight="true" outlineLevel="0" collapsed="false">
      <c r="A45" s="28" t="n">
        <v>40</v>
      </c>
      <c r="B45" s="15" t="str">
        <f aca="false">IFERROR(INDEX(회원현황!$A$6:$A$505,MATCH("R"&amp;40,만료임박!$J$6:$J$505,0)),"")</f>
        <v/>
      </c>
      <c r="C45" s="15" t="str">
        <f aca="false">IF($B45="","",IFERROR(INDEX(회원현황!$B$6:$B$505,MATCH("R"&amp;40,만료임박!$J$6:$J$505,0)),""))</f>
        <v/>
      </c>
      <c r="D45" s="15" t="str">
        <f aca="false">IF($B45="","",IFERROR(INDEX(회원현황!$C$6:$C$505,MATCH("R"&amp;40,만료임박!$J$6:$J$505,0)),""))</f>
        <v/>
      </c>
      <c r="E45" s="23" t="str">
        <f aca="false">IF($B45="","",IFERROR(INDEX(회원현황!$F$6:$F$505,MATCH("R"&amp;40,만료임박!$J$6:$J$505,0)),""))</f>
        <v/>
      </c>
      <c r="F45" s="17" t="str">
        <f aca="false">IF($B45="","",IFERROR(INDEX(회원현황!$G$6:$G$505,MATCH("R"&amp;40,만료임박!$J$6:$J$505,0)),""))</f>
        <v/>
      </c>
      <c r="G45" s="24" t="str">
        <f aca="false">IF($B45="","",IFERROR(INDEX(회원현황!$H$6:$H$505,MATCH("R"&amp;40,만료임박!$J$6:$J$505,0)),""))</f>
        <v/>
      </c>
      <c r="H45" s="29" t="b">
        <f aca="false">IF(회원현황!$A45="",FALSE(),OR(AND(회원현황!$F45&gt;0,회원현황!$F45&lt;=사용안내!$C$18),AND(회원현황!$H45&lt;&gt;"",회원현황!$H45&gt;=0,회원현황!$H45&lt;=사용안내!$C$17)))</f>
        <v>0</v>
      </c>
      <c r="I45" s="7" t="str">
        <f aca="false">IF($H45=FALSE(),"",COUNTIF($H$6:$H45,TRUE()))</f>
        <v/>
      </c>
      <c r="J45" s="7" t="str">
        <f aca="false">IF($I45="","","R"&amp;$I45)</f>
        <v/>
      </c>
    </row>
    <row r="46" customFormat="false" ht="15" hidden="false" customHeight="true" outlineLevel="0" collapsed="false">
      <c r="A46" s="28" t="n">
        <v>41</v>
      </c>
      <c r="B46" s="15" t="str">
        <f aca="false">IFERROR(INDEX(회원현황!$A$6:$A$505,MATCH("R"&amp;41,만료임박!$J$6:$J$505,0)),"")</f>
        <v/>
      </c>
      <c r="C46" s="15" t="str">
        <f aca="false">IF($B46="","",IFERROR(INDEX(회원현황!$B$6:$B$505,MATCH("R"&amp;41,만료임박!$J$6:$J$505,0)),""))</f>
        <v/>
      </c>
      <c r="D46" s="15" t="str">
        <f aca="false">IF($B46="","",IFERROR(INDEX(회원현황!$C$6:$C$505,MATCH("R"&amp;41,만료임박!$J$6:$J$505,0)),""))</f>
        <v/>
      </c>
      <c r="E46" s="23" t="str">
        <f aca="false">IF($B46="","",IFERROR(INDEX(회원현황!$F$6:$F$505,MATCH("R"&amp;41,만료임박!$J$6:$J$505,0)),""))</f>
        <v/>
      </c>
      <c r="F46" s="17" t="str">
        <f aca="false">IF($B46="","",IFERROR(INDEX(회원현황!$G$6:$G$505,MATCH("R"&amp;41,만료임박!$J$6:$J$505,0)),""))</f>
        <v/>
      </c>
      <c r="G46" s="24" t="str">
        <f aca="false">IF($B46="","",IFERROR(INDEX(회원현황!$H$6:$H$505,MATCH("R"&amp;41,만료임박!$J$6:$J$505,0)),""))</f>
        <v/>
      </c>
      <c r="H46" s="29" t="b">
        <f aca="false">IF(회원현황!$A46="",FALSE(),OR(AND(회원현황!$F46&gt;0,회원현황!$F46&lt;=사용안내!$C$18),AND(회원현황!$H46&lt;&gt;"",회원현황!$H46&gt;=0,회원현황!$H46&lt;=사용안내!$C$17)))</f>
        <v>0</v>
      </c>
      <c r="I46" s="7" t="str">
        <f aca="false">IF($H46=FALSE(),"",COUNTIF($H$6:$H46,TRUE()))</f>
        <v/>
      </c>
      <c r="J46" s="7" t="str">
        <f aca="false">IF($I46="","","R"&amp;$I46)</f>
        <v/>
      </c>
    </row>
    <row r="47" customFormat="false" ht="15" hidden="false" customHeight="true" outlineLevel="0" collapsed="false">
      <c r="A47" s="28" t="n">
        <v>42</v>
      </c>
      <c r="B47" s="15" t="str">
        <f aca="false">IFERROR(INDEX(회원현황!$A$6:$A$505,MATCH("R"&amp;42,만료임박!$J$6:$J$505,0)),"")</f>
        <v/>
      </c>
      <c r="C47" s="15" t="str">
        <f aca="false">IF($B47="","",IFERROR(INDEX(회원현황!$B$6:$B$505,MATCH("R"&amp;42,만료임박!$J$6:$J$505,0)),""))</f>
        <v/>
      </c>
      <c r="D47" s="15" t="str">
        <f aca="false">IF($B47="","",IFERROR(INDEX(회원현황!$C$6:$C$505,MATCH("R"&amp;42,만료임박!$J$6:$J$505,0)),""))</f>
        <v/>
      </c>
      <c r="E47" s="23" t="str">
        <f aca="false">IF($B47="","",IFERROR(INDEX(회원현황!$F$6:$F$505,MATCH("R"&amp;42,만료임박!$J$6:$J$505,0)),""))</f>
        <v/>
      </c>
      <c r="F47" s="17" t="str">
        <f aca="false">IF($B47="","",IFERROR(INDEX(회원현황!$G$6:$G$505,MATCH("R"&amp;42,만료임박!$J$6:$J$505,0)),""))</f>
        <v/>
      </c>
      <c r="G47" s="24" t="str">
        <f aca="false">IF($B47="","",IFERROR(INDEX(회원현황!$H$6:$H$505,MATCH("R"&amp;42,만료임박!$J$6:$J$505,0)),""))</f>
        <v/>
      </c>
      <c r="H47" s="29" t="b">
        <f aca="false">IF(회원현황!$A47="",FALSE(),OR(AND(회원현황!$F47&gt;0,회원현황!$F47&lt;=사용안내!$C$18),AND(회원현황!$H47&lt;&gt;"",회원현황!$H47&gt;=0,회원현황!$H47&lt;=사용안내!$C$17)))</f>
        <v>0</v>
      </c>
      <c r="I47" s="7" t="str">
        <f aca="false">IF($H47=FALSE(),"",COUNTIF($H$6:$H47,TRUE()))</f>
        <v/>
      </c>
      <c r="J47" s="7" t="str">
        <f aca="false">IF($I47="","","R"&amp;$I47)</f>
        <v/>
      </c>
    </row>
    <row r="48" customFormat="false" ht="15" hidden="false" customHeight="true" outlineLevel="0" collapsed="false">
      <c r="A48" s="28" t="n">
        <v>43</v>
      </c>
      <c r="B48" s="15" t="str">
        <f aca="false">IFERROR(INDEX(회원현황!$A$6:$A$505,MATCH("R"&amp;43,만료임박!$J$6:$J$505,0)),"")</f>
        <v/>
      </c>
      <c r="C48" s="15" t="str">
        <f aca="false">IF($B48="","",IFERROR(INDEX(회원현황!$B$6:$B$505,MATCH("R"&amp;43,만료임박!$J$6:$J$505,0)),""))</f>
        <v/>
      </c>
      <c r="D48" s="15" t="str">
        <f aca="false">IF($B48="","",IFERROR(INDEX(회원현황!$C$6:$C$505,MATCH("R"&amp;43,만료임박!$J$6:$J$505,0)),""))</f>
        <v/>
      </c>
      <c r="E48" s="23" t="str">
        <f aca="false">IF($B48="","",IFERROR(INDEX(회원현황!$F$6:$F$505,MATCH("R"&amp;43,만료임박!$J$6:$J$505,0)),""))</f>
        <v/>
      </c>
      <c r="F48" s="17" t="str">
        <f aca="false">IF($B48="","",IFERROR(INDEX(회원현황!$G$6:$G$505,MATCH("R"&amp;43,만료임박!$J$6:$J$505,0)),""))</f>
        <v/>
      </c>
      <c r="G48" s="24" t="str">
        <f aca="false">IF($B48="","",IFERROR(INDEX(회원현황!$H$6:$H$505,MATCH("R"&amp;43,만료임박!$J$6:$J$505,0)),""))</f>
        <v/>
      </c>
      <c r="H48" s="29" t="b">
        <f aca="false">IF(회원현황!$A48="",FALSE(),OR(AND(회원현황!$F48&gt;0,회원현황!$F48&lt;=사용안내!$C$18),AND(회원현황!$H48&lt;&gt;"",회원현황!$H48&gt;=0,회원현황!$H48&lt;=사용안내!$C$17)))</f>
        <v>0</v>
      </c>
      <c r="I48" s="7" t="str">
        <f aca="false">IF($H48=FALSE(),"",COUNTIF($H$6:$H48,TRUE()))</f>
        <v/>
      </c>
      <c r="J48" s="7" t="str">
        <f aca="false">IF($I48="","","R"&amp;$I48)</f>
        <v/>
      </c>
    </row>
    <row r="49" customFormat="false" ht="15" hidden="false" customHeight="true" outlineLevel="0" collapsed="false">
      <c r="A49" s="28" t="n">
        <v>44</v>
      </c>
      <c r="B49" s="15" t="str">
        <f aca="false">IFERROR(INDEX(회원현황!$A$6:$A$505,MATCH("R"&amp;44,만료임박!$J$6:$J$505,0)),"")</f>
        <v/>
      </c>
      <c r="C49" s="15" t="str">
        <f aca="false">IF($B49="","",IFERROR(INDEX(회원현황!$B$6:$B$505,MATCH("R"&amp;44,만료임박!$J$6:$J$505,0)),""))</f>
        <v/>
      </c>
      <c r="D49" s="15" t="str">
        <f aca="false">IF($B49="","",IFERROR(INDEX(회원현황!$C$6:$C$505,MATCH("R"&amp;44,만료임박!$J$6:$J$505,0)),""))</f>
        <v/>
      </c>
      <c r="E49" s="23" t="str">
        <f aca="false">IF($B49="","",IFERROR(INDEX(회원현황!$F$6:$F$505,MATCH("R"&amp;44,만료임박!$J$6:$J$505,0)),""))</f>
        <v/>
      </c>
      <c r="F49" s="17" t="str">
        <f aca="false">IF($B49="","",IFERROR(INDEX(회원현황!$G$6:$G$505,MATCH("R"&amp;44,만료임박!$J$6:$J$505,0)),""))</f>
        <v/>
      </c>
      <c r="G49" s="24" t="str">
        <f aca="false">IF($B49="","",IFERROR(INDEX(회원현황!$H$6:$H$505,MATCH("R"&amp;44,만료임박!$J$6:$J$505,0)),""))</f>
        <v/>
      </c>
      <c r="H49" s="29" t="b">
        <f aca="false">IF(회원현황!$A49="",FALSE(),OR(AND(회원현황!$F49&gt;0,회원현황!$F49&lt;=사용안내!$C$18),AND(회원현황!$H49&lt;&gt;"",회원현황!$H49&gt;=0,회원현황!$H49&lt;=사용안내!$C$17)))</f>
        <v>0</v>
      </c>
      <c r="I49" s="7" t="str">
        <f aca="false">IF($H49=FALSE(),"",COUNTIF($H$6:$H49,TRUE()))</f>
        <v/>
      </c>
      <c r="J49" s="7" t="str">
        <f aca="false">IF($I49="","","R"&amp;$I49)</f>
        <v/>
      </c>
    </row>
    <row r="50" customFormat="false" ht="15" hidden="false" customHeight="true" outlineLevel="0" collapsed="false">
      <c r="A50" s="28" t="n">
        <v>45</v>
      </c>
      <c r="B50" s="15" t="str">
        <f aca="false">IFERROR(INDEX(회원현황!$A$6:$A$505,MATCH("R"&amp;45,만료임박!$J$6:$J$505,0)),"")</f>
        <v/>
      </c>
      <c r="C50" s="15" t="str">
        <f aca="false">IF($B50="","",IFERROR(INDEX(회원현황!$B$6:$B$505,MATCH("R"&amp;45,만료임박!$J$6:$J$505,0)),""))</f>
        <v/>
      </c>
      <c r="D50" s="15" t="str">
        <f aca="false">IF($B50="","",IFERROR(INDEX(회원현황!$C$6:$C$505,MATCH("R"&amp;45,만료임박!$J$6:$J$505,0)),""))</f>
        <v/>
      </c>
      <c r="E50" s="23" t="str">
        <f aca="false">IF($B50="","",IFERROR(INDEX(회원현황!$F$6:$F$505,MATCH("R"&amp;45,만료임박!$J$6:$J$505,0)),""))</f>
        <v/>
      </c>
      <c r="F50" s="17" t="str">
        <f aca="false">IF($B50="","",IFERROR(INDEX(회원현황!$G$6:$G$505,MATCH("R"&amp;45,만료임박!$J$6:$J$505,0)),""))</f>
        <v/>
      </c>
      <c r="G50" s="24" t="str">
        <f aca="false">IF($B50="","",IFERROR(INDEX(회원현황!$H$6:$H$505,MATCH("R"&amp;45,만료임박!$J$6:$J$505,0)),""))</f>
        <v/>
      </c>
      <c r="H50" s="29" t="b">
        <f aca="false">IF(회원현황!$A50="",FALSE(),OR(AND(회원현황!$F50&gt;0,회원현황!$F50&lt;=사용안내!$C$18),AND(회원현황!$H50&lt;&gt;"",회원현황!$H50&gt;=0,회원현황!$H50&lt;=사용안내!$C$17)))</f>
        <v>0</v>
      </c>
      <c r="I50" s="7" t="str">
        <f aca="false">IF($H50=FALSE(),"",COUNTIF($H$6:$H50,TRUE()))</f>
        <v/>
      </c>
      <c r="J50" s="7" t="str">
        <f aca="false">IF($I50="","","R"&amp;$I50)</f>
        <v/>
      </c>
    </row>
    <row r="51" customFormat="false" ht="15" hidden="false" customHeight="true" outlineLevel="0" collapsed="false">
      <c r="A51" s="28" t="n">
        <v>46</v>
      </c>
      <c r="B51" s="15" t="str">
        <f aca="false">IFERROR(INDEX(회원현황!$A$6:$A$505,MATCH("R"&amp;46,만료임박!$J$6:$J$505,0)),"")</f>
        <v/>
      </c>
      <c r="C51" s="15" t="str">
        <f aca="false">IF($B51="","",IFERROR(INDEX(회원현황!$B$6:$B$505,MATCH("R"&amp;46,만료임박!$J$6:$J$505,0)),""))</f>
        <v/>
      </c>
      <c r="D51" s="15" t="str">
        <f aca="false">IF($B51="","",IFERROR(INDEX(회원현황!$C$6:$C$505,MATCH("R"&amp;46,만료임박!$J$6:$J$505,0)),""))</f>
        <v/>
      </c>
      <c r="E51" s="23" t="str">
        <f aca="false">IF($B51="","",IFERROR(INDEX(회원현황!$F$6:$F$505,MATCH("R"&amp;46,만료임박!$J$6:$J$505,0)),""))</f>
        <v/>
      </c>
      <c r="F51" s="17" t="str">
        <f aca="false">IF($B51="","",IFERROR(INDEX(회원현황!$G$6:$G$505,MATCH("R"&amp;46,만료임박!$J$6:$J$505,0)),""))</f>
        <v/>
      </c>
      <c r="G51" s="24" t="str">
        <f aca="false">IF($B51="","",IFERROR(INDEX(회원현황!$H$6:$H$505,MATCH("R"&amp;46,만료임박!$J$6:$J$505,0)),""))</f>
        <v/>
      </c>
      <c r="H51" s="29" t="b">
        <f aca="false">IF(회원현황!$A51="",FALSE(),OR(AND(회원현황!$F51&gt;0,회원현황!$F51&lt;=사용안내!$C$18),AND(회원현황!$H51&lt;&gt;"",회원현황!$H51&gt;=0,회원현황!$H51&lt;=사용안내!$C$17)))</f>
        <v>0</v>
      </c>
      <c r="I51" s="7" t="str">
        <f aca="false">IF($H51=FALSE(),"",COUNTIF($H$6:$H51,TRUE()))</f>
        <v/>
      </c>
      <c r="J51" s="7" t="str">
        <f aca="false">IF($I51="","","R"&amp;$I51)</f>
        <v/>
      </c>
    </row>
    <row r="52" customFormat="false" ht="15" hidden="false" customHeight="true" outlineLevel="0" collapsed="false">
      <c r="A52" s="28" t="n">
        <v>47</v>
      </c>
      <c r="B52" s="15" t="str">
        <f aca="false">IFERROR(INDEX(회원현황!$A$6:$A$505,MATCH("R"&amp;47,만료임박!$J$6:$J$505,0)),"")</f>
        <v/>
      </c>
      <c r="C52" s="15" t="str">
        <f aca="false">IF($B52="","",IFERROR(INDEX(회원현황!$B$6:$B$505,MATCH("R"&amp;47,만료임박!$J$6:$J$505,0)),""))</f>
        <v/>
      </c>
      <c r="D52" s="15" t="str">
        <f aca="false">IF($B52="","",IFERROR(INDEX(회원현황!$C$6:$C$505,MATCH("R"&amp;47,만료임박!$J$6:$J$505,0)),""))</f>
        <v/>
      </c>
      <c r="E52" s="23" t="str">
        <f aca="false">IF($B52="","",IFERROR(INDEX(회원현황!$F$6:$F$505,MATCH("R"&amp;47,만료임박!$J$6:$J$505,0)),""))</f>
        <v/>
      </c>
      <c r="F52" s="17" t="str">
        <f aca="false">IF($B52="","",IFERROR(INDEX(회원현황!$G$6:$G$505,MATCH("R"&amp;47,만료임박!$J$6:$J$505,0)),""))</f>
        <v/>
      </c>
      <c r="G52" s="24" t="str">
        <f aca="false">IF($B52="","",IFERROR(INDEX(회원현황!$H$6:$H$505,MATCH("R"&amp;47,만료임박!$J$6:$J$505,0)),""))</f>
        <v/>
      </c>
      <c r="H52" s="29" t="b">
        <f aca="false">IF(회원현황!$A52="",FALSE(),OR(AND(회원현황!$F52&gt;0,회원현황!$F52&lt;=사용안내!$C$18),AND(회원현황!$H52&lt;&gt;"",회원현황!$H52&gt;=0,회원현황!$H52&lt;=사용안내!$C$17)))</f>
        <v>0</v>
      </c>
      <c r="I52" s="7" t="str">
        <f aca="false">IF($H52=FALSE(),"",COUNTIF($H$6:$H52,TRUE()))</f>
        <v/>
      </c>
      <c r="J52" s="7" t="str">
        <f aca="false">IF($I52="","","R"&amp;$I52)</f>
        <v/>
      </c>
    </row>
    <row r="53" customFormat="false" ht="15" hidden="false" customHeight="true" outlineLevel="0" collapsed="false">
      <c r="A53" s="28" t="n">
        <v>48</v>
      </c>
      <c r="B53" s="15" t="str">
        <f aca="false">IFERROR(INDEX(회원현황!$A$6:$A$505,MATCH("R"&amp;48,만료임박!$J$6:$J$505,0)),"")</f>
        <v/>
      </c>
      <c r="C53" s="15" t="str">
        <f aca="false">IF($B53="","",IFERROR(INDEX(회원현황!$B$6:$B$505,MATCH("R"&amp;48,만료임박!$J$6:$J$505,0)),""))</f>
        <v/>
      </c>
      <c r="D53" s="15" t="str">
        <f aca="false">IF($B53="","",IFERROR(INDEX(회원현황!$C$6:$C$505,MATCH("R"&amp;48,만료임박!$J$6:$J$505,0)),""))</f>
        <v/>
      </c>
      <c r="E53" s="23" t="str">
        <f aca="false">IF($B53="","",IFERROR(INDEX(회원현황!$F$6:$F$505,MATCH("R"&amp;48,만료임박!$J$6:$J$505,0)),""))</f>
        <v/>
      </c>
      <c r="F53" s="17" t="str">
        <f aca="false">IF($B53="","",IFERROR(INDEX(회원현황!$G$6:$G$505,MATCH("R"&amp;48,만료임박!$J$6:$J$505,0)),""))</f>
        <v/>
      </c>
      <c r="G53" s="24" t="str">
        <f aca="false">IF($B53="","",IFERROR(INDEX(회원현황!$H$6:$H$505,MATCH("R"&amp;48,만료임박!$J$6:$J$505,0)),""))</f>
        <v/>
      </c>
      <c r="H53" s="29" t="b">
        <f aca="false">IF(회원현황!$A53="",FALSE(),OR(AND(회원현황!$F53&gt;0,회원현황!$F53&lt;=사용안내!$C$18),AND(회원현황!$H53&lt;&gt;"",회원현황!$H53&gt;=0,회원현황!$H53&lt;=사용안내!$C$17)))</f>
        <v>0</v>
      </c>
      <c r="I53" s="7" t="str">
        <f aca="false">IF($H53=FALSE(),"",COUNTIF($H$6:$H53,TRUE()))</f>
        <v/>
      </c>
      <c r="J53" s="7" t="str">
        <f aca="false">IF($I53="","","R"&amp;$I53)</f>
        <v/>
      </c>
    </row>
    <row r="54" customFormat="false" ht="15" hidden="false" customHeight="true" outlineLevel="0" collapsed="false">
      <c r="A54" s="28" t="n">
        <v>49</v>
      </c>
      <c r="B54" s="15" t="str">
        <f aca="false">IFERROR(INDEX(회원현황!$A$6:$A$505,MATCH("R"&amp;49,만료임박!$J$6:$J$505,0)),"")</f>
        <v/>
      </c>
      <c r="C54" s="15" t="str">
        <f aca="false">IF($B54="","",IFERROR(INDEX(회원현황!$B$6:$B$505,MATCH("R"&amp;49,만료임박!$J$6:$J$505,0)),""))</f>
        <v/>
      </c>
      <c r="D54" s="15" t="str">
        <f aca="false">IF($B54="","",IFERROR(INDEX(회원현황!$C$6:$C$505,MATCH("R"&amp;49,만료임박!$J$6:$J$505,0)),""))</f>
        <v/>
      </c>
      <c r="E54" s="23" t="str">
        <f aca="false">IF($B54="","",IFERROR(INDEX(회원현황!$F$6:$F$505,MATCH("R"&amp;49,만료임박!$J$6:$J$505,0)),""))</f>
        <v/>
      </c>
      <c r="F54" s="17" t="str">
        <f aca="false">IF($B54="","",IFERROR(INDEX(회원현황!$G$6:$G$505,MATCH("R"&amp;49,만료임박!$J$6:$J$505,0)),""))</f>
        <v/>
      </c>
      <c r="G54" s="24" t="str">
        <f aca="false">IF($B54="","",IFERROR(INDEX(회원현황!$H$6:$H$505,MATCH("R"&amp;49,만료임박!$J$6:$J$505,0)),""))</f>
        <v/>
      </c>
      <c r="H54" s="29" t="b">
        <f aca="false">IF(회원현황!$A54="",FALSE(),OR(AND(회원현황!$F54&gt;0,회원현황!$F54&lt;=사용안내!$C$18),AND(회원현황!$H54&lt;&gt;"",회원현황!$H54&gt;=0,회원현황!$H54&lt;=사용안내!$C$17)))</f>
        <v>0</v>
      </c>
      <c r="I54" s="7" t="str">
        <f aca="false">IF($H54=FALSE(),"",COUNTIF($H$6:$H54,TRUE()))</f>
        <v/>
      </c>
      <c r="J54" s="7" t="str">
        <f aca="false">IF($I54="","","R"&amp;$I54)</f>
        <v/>
      </c>
    </row>
    <row r="55" customFormat="false" ht="15" hidden="false" customHeight="true" outlineLevel="0" collapsed="false">
      <c r="A55" s="28" t="n">
        <v>50</v>
      </c>
      <c r="B55" s="15" t="str">
        <f aca="false">IFERROR(INDEX(회원현황!$A$6:$A$505,MATCH("R"&amp;50,만료임박!$J$6:$J$505,0)),"")</f>
        <v/>
      </c>
      <c r="C55" s="15" t="str">
        <f aca="false">IF($B55="","",IFERROR(INDEX(회원현황!$B$6:$B$505,MATCH("R"&amp;50,만료임박!$J$6:$J$505,0)),""))</f>
        <v/>
      </c>
      <c r="D55" s="15" t="str">
        <f aca="false">IF($B55="","",IFERROR(INDEX(회원현황!$C$6:$C$505,MATCH("R"&amp;50,만료임박!$J$6:$J$505,0)),""))</f>
        <v/>
      </c>
      <c r="E55" s="23" t="str">
        <f aca="false">IF($B55="","",IFERROR(INDEX(회원현황!$F$6:$F$505,MATCH("R"&amp;50,만료임박!$J$6:$J$505,0)),""))</f>
        <v/>
      </c>
      <c r="F55" s="17" t="str">
        <f aca="false">IF($B55="","",IFERROR(INDEX(회원현황!$G$6:$G$505,MATCH("R"&amp;50,만료임박!$J$6:$J$505,0)),""))</f>
        <v/>
      </c>
      <c r="G55" s="24" t="str">
        <f aca="false">IF($B55="","",IFERROR(INDEX(회원현황!$H$6:$H$505,MATCH("R"&amp;50,만료임박!$J$6:$J$505,0)),""))</f>
        <v/>
      </c>
      <c r="H55" s="29" t="b">
        <f aca="false">IF(회원현황!$A55="",FALSE(),OR(AND(회원현황!$F55&gt;0,회원현황!$F55&lt;=사용안내!$C$18),AND(회원현황!$H55&lt;&gt;"",회원현황!$H55&gt;=0,회원현황!$H55&lt;=사용안내!$C$17)))</f>
        <v>0</v>
      </c>
      <c r="I55" s="7" t="str">
        <f aca="false">IF($H55=FALSE(),"",COUNTIF($H$6:$H55,TRUE()))</f>
        <v/>
      </c>
      <c r="J55" s="7" t="str">
        <f aca="false">IF($I55="","","R"&amp;$I55)</f>
        <v/>
      </c>
    </row>
    <row r="56" customFormat="false" ht="15" hidden="false" customHeight="true" outlineLevel="0" collapsed="false">
      <c r="A56" s="28" t="n">
        <v>51</v>
      </c>
      <c r="B56" s="15" t="str">
        <f aca="false">IFERROR(INDEX(회원현황!$A$6:$A$505,MATCH("R"&amp;51,만료임박!$J$6:$J$505,0)),"")</f>
        <v/>
      </c>
      <c r="C56" s="15" t="str">
        <f aca="false">IF($B56="","",IFERROR(INDEX(회원현황!$B$6:$B$505,MATCH("R"&amp;51,만료임박!$J$6:$J$505,0)),""))</f>
        <v/>
      </c>
      <c r="D56" s="15" t="str">
        <f aca="false">IF($B56="","",IFERROR(INDEX(회원현황!$C$6:$C$505,MATCH("R"&amp;51,만료임박!$J$6:$J$505,0)),""))</f>
        <v/>
      </c>
      <c r="E56" s="23" t="str">
        <f aca="false">IF($B56="","",IFERROR(INDEX(회원현황!$F$6:$F$505,MATCH("R"&amp;51,만료임박!$J$6:$J$505,0)),""))</f>
        <v/>
      </c>
      <c r="F56" s="17" t="str">
        <f aca="false">IF($B56="","",IFERROR(INDEX(회원현황!$G$6:$G$505,MATCH("R"&amp;51,만료임박!$J$6:$J$505,0)),""))</f>
        <v/>
      </c>
      <c r="G56" s="24" t="str">
        <f aca="false">IF($B56="","",IFERROR(INDEX(회원현황!$H$6:$H$505,MATCH("R"&amp;51,만료임박!$J$6:$J$505,0)),""))</f>
        <v/>
      </c>
      <c r="H56" s="29" t="b">
        <f aca="false">IF(회원현황!$A56="",FALSE(),OR(AND(회원현황!$F56&gt;0,회원현황!$F56&lt;=사용안내!$C$18),AND(회원현황!$H56&lt;&gt;"",회원현황!$H56&gt;=0,회원현황!$H56&lt;=사용안내!$C$17)))</f>
        <v>0</v>
      </c>
      <c r="I56" s="7" t="str">
        <f aca="false">IF($H56=FALSE(),"",COUNTIF($H$6:$H56,TRUE()))</f>
        <v/>
      </c>
      <c r="J56" s="7" t="str">
        <f aca="false">IF($I56="","","R"&amp;$I56)</f>
        <v/>
      </c>
    </row>
    <row r="57" customFormat="false" ht="15" hidden="false" customHeight="true" outlineLevel="0" collapsed="false">
      <c r="A57" s="28" t="n">
        <v>52</v>
      </c>
      <c r="B57" s="15" t="str">
        <f aca="false">IFERROR(INDEX(회원현황!$A$6:$A$505,MATCH("R"&amp;52,만료임박!$J$6:$J$505,0)),"")</f>
        <v/>
      </c>
      <c r="C57" s="15" t="str">
        <f aca="false">IF($B57="","",IFERROR(INDEX(회원현황!$B$6:$B$505,MATCH("R"&amp;52,만료임박!$J$6:$J$505,0)),""))</f>
        <v/>
      </c>
      <c r="D57" s="15" t="str">
        <f aca="false">IF($B57="","",IFERROR(INDEX(회원현황!$C$6:$C$505,MATCH("R"&amp;52,만료임박!$J$6:$J$505,0)),""))</f>
        <v/>
      </c>
      <c r="E57" s="23" t="str">
        <f aca="false">IF($B57="","",IFERROR(INDEX(회원현황!$F$6:$F$505,MATCH("R"&amp;52,만료임박!$J$6:$J$505,0)),""))</f>
        <v/>
      </c>
      <c r="F57" s="17" t="str">
        <f aca="false">IF($B57="","",IFERROR(INDEX(회원현황!$G$6:$G$505,MATCH("R"&amp;52,만료임박!$J$6:$J$505,0)),""))</f>
        <v/>
      </c>
      <c r="G57" s="24" t="str">
        <f aca="false">IF($B57="","",IFERROR(INDEX(회원현황!$H$6:$H$505,MATCH("R"&amp;52,만료임박!$J$6:$J$505,0)),""))</f>
        <v/>
      </c>
      <c r="H57" s="29" t="b">
        <f aca="false">IF(회원현황!$A57="",FALSE(),OR(AND(회원현황!$F57&gt;0,회원현황!$F57&lt;=사용안내!$C$18),AND(회원현황!$H57&lt;&gt;"",회원현황!$H57&gt;=0,회원현황!$H57&lt;=사용안내!$C$17)))</f>
        <v>0</v>
      </c>
      <c r="I57" s="7" t="str">
        <f aca="false">IF($H57=FALSE(),"",COUNTIF($H$6:$H57,TRUE()))</f>
        <v/>
      </c>
      <c r="J57" s="7" t="str">
        <f aca="false">IF($I57="","","R"&amp;$I57)</f>
        <v/>
      </c>
    </row>
    <row r="58" customFormat="false" ht="15" hidden="false" customHeight="true" outlineLevel="0" collapsed="false">
      <c r="A58" s="28" t="n">
        <v>53</v>
      </c>
      <c r="B58" s="15" t="str">
        <f aca="false">IFERROR(INDEX(회원현황!$A$6:$A$505,MATCH("R"&amp;53,만료임박!$J$6:$J$505,0)),"")</f>
        <v/>
      </c>
      <c r="C58" s="15" t="str">
        <f aca="false">IF($B58="","",IFERROR(INDEX(회원현황!$B$6:$B$505,MATCH("R"&amp;53,만료임박!$J$6:$J$505,0)),""))</f>
        <v/>
      </c>
      <c r="D58" s="15" t="str">
        <f aca="false">IF($B58="","",IFERROR(INDEX(회원현황!$C$6:$C$505,MATCH("R"&amp;53,만료임박!$J$6:$J$505,0)),""))</f>
        <v/>
      </c>
      <c r="E58" s="23" t="str">
        <f aca="false">IF($B58="","",IFERROR(INDEX(회원현황!$F$6:$F$505,MATCH("R"&amp;53,만료임박!$J$6:$J$505,0)),""))</f>
        <v/>
      </c>
      <c r="F58" s="17" t="str">
        <f aca="false">IF($B58="","",IFERROR(INDEX(회원현황!$G$6:$G$505,MATCH("R"&amp;53,만료임박!$J$6:$J$505,0)),""))</f>
        <v/>
      </c>
      <c r="G58" s="24" t="str">
        <f aca="false">IF($B58="","",IFERROR(INDEX(회원현황!$H$6:$H$505,MATCH("R"&amp;53,만료임박!$J$6:$J$505,0)),""))</f>
        <v/>
      </c>
      <c r="H58" s="29" t="b">
        <f aca="false">IF(회원현황!$A58="",FALSE(),OR(AND(회원현황!$F58&gt;0,회원현황!$F58&lt;=사용안내!$C$18),AND(회원현황!$H58&lt;&gt;"",회원현황!$H58&gt;=0,회원현황!$H58&lt;=사용안내!$C$17)))</f>
        <v>0</v>
      </c>
      <c r="I58" s="7" t="str">
        <f aca="false">IF($H58=FALSE(),"",COUNTIF($H$6:$H58,TRUE()))</f>
        <v/>
      </c>
      <c r="J58" s="7" t="str">
        <f aca="false">IF($I58="","","R"&amp;$I58)</f>
        <v/>
      </c>
    </row>
    <row r="59" customFormat="false" ht="15" hidden="false" customHeight="true" outlineLevel="0" collapsed="false">
      <c r="A59" s="28" t="n">
        <v>54</v>
      </c>
      <c r="B59" s="15" t="str">
        <f aca="false">IFERROR(INDEX(회원현황!$A$6:$A$505,MATCH("R"&amp;54,만료임박!$J$6:$J$505,0)),"")</f>
        <v/>
      </c>
      <c r="C59" s="15" t="str">
        <f aca="false">IF($B59="","",IFERROR(INDEX(회원현황!$B$6:$B$505,MATCH("R"&amp;54,만료임박!$J$6:$J$505,0)),""))</f>
        <v/>
      </c>
      <c r="D59" s="15" t="str">
        <f aca="false">IF($B59="","",IFERROR(INDEX(회원현황!$C$6:$C$505,MATCH("R"&amp;54,만료임박!$J$6:$J$505,0)),""))</f>
        <v/>
      </c>
      <c r="E59" s="23" t="str">
        <f aca="false">IF($B59="","",IFERROR(INDEX(회원현황!$F$6:$F$505,MATCH("R"&amp;54,만료임박!$J$6:$J$505,0)),""))</f>
        <v/>
      </c>
      <c r="F59" s="17" t="str">
        <f aca="false">IF($B59="","",IFERROR(INDEX(회원현황!$G$6:$G$505,MATCH("R"&amp;54,만료임박!$J$6:$J$505,0)),""))</f>
        <v/>
      </c>
      <c r="G59" s="24" t="str">
        <f aca="false">IF($B59="","",IFERROR(INDEX(회원현황!$H$6:$H$505,MATCH("R"&amp;54,만료임박!$J$6:$J$505,0)),""))</f>
        <v/>
      </c>
      <c r="H59" s="29" t="b">
        <f aca="false">IF(회원현황!$A59="",FALSE(),OR(AND(회원현황!$F59&gt;0,회원현황!$F59&lt;=사용안내!$C$18),AND(회원현황!$H59&lt;&gt;"",회원현황!$H59&gt;=0,회원현황!$H59&lt;=사용안내!$C$17)))</f>
        <v>0</v>
      </c>
      <c r="I59" s="7" t="str">
        <f aca="false">IF($H59=FALSE(),"",COUNTIF($H$6:$H59,TRUE()))</f>
        <v/>
      </c>
      <c r="J59" s="7" t="str">
        <f aca="false">IF($I59="","","R"&amp;$I59)</f>
        <v/>
      </c>
    </row>
    <row r="60" customFormat="false" ht="15" hidden="false" customHeight="true" outlineLevel="0" collapsed="false">
      <c r="A60" s="28" t="n">
        <v>55</v>
      </c>
      <c r="B60" s="15" t="str">
        <f aca="false">IFERROR(INDEX(회원현황!$A$6:$A$505,MATCH("R"&amp;55,만료임박!$J$6:$J$505,0)),"")</f>
        <v/>
      </c>
      <c r="C60" s="15" t="str">
        <f aca="false">IF($B60="","",IFERROR(INDEX(회원현황!$B$6:$B$505,MATCH("R"&amp;55,만료임박!$J$6:$J$505,0)),""))</f>
        <v/>
      </c>
      <c r="D60" s="15" t="str">
        <f aca="false">IF($B60="","",IFERROR(INDEX(회원현황!$C$6:$C$505,MATCH("R"&amp;55,만료임박!$J$6:$J$505,0)),""))</f>
        <v/>
      </c>
      <c r="E60" s="23" t="str">
        <f aca="false">IF($B60="","",IFERROR(INDEX(회원현황!$F$6:$F$505,MATCH("R"&amp;55,만료임박!$J$6:$J$505,0)),""))</f>
        <v/>
      </c>
      <c r="F60" s="17" t="str">
        <f aca="false">IF($B60="","",IFERROR(INDEX(회원현황!$G$6:$G$505,MATCH("R"&amp;55,만료임박!$J$6:$J$505,0)),""))</f>
        <v/>
      </c>
      <c r="G60" s="24" t="str">
        <f aca="false">IF($B60="","",IFERROR(INDEX(회원현황!$H$6:$H$505,MATCH("R"&amp;55,만료임박!$J$6:$J$505,0)),""))</f>
        <v/>
      </c>
      <c r="H60" s="29" t="b">
        <f aca="false">IF(회원현황!$A60="",FALSE(),OR(AND(회원현황!$F60&gt;0,회원현황!$F60&lt;=사용안내!$C$18),AND(회원현황!$H60&lt;&gt;"",회원현황!$H60&gt;=0,회원현황!$H60&lt;=사용안내!$C$17)))</f>
        <v>0</v>
      </c>
      <c r="I60" s="7" t="str">
        <f aca="false">IF($H60=FALSE(),"",COUNTIF($H$6:$H60,TRUE()))</f>
        <v/>
      </c>
      <c r="J60" s="7" t="str">
        <f aca="false">IF($I60="","","R"&amp;$I60)</f>
        <v/>
      </c>
    </row>
    <row r="61" customFormat="false" ht="15" hidden="false" customHeight="true" outlineLevel="0" collapsed="false">
      <c r="A61" s="28" t="n">
        <v>56</v>
      </c>
      <c r="B61" s="15" t="str">
        <f aca="false">IFERROR(INDEX(회원현황!$A$6:$A$505,MATCH("R"&amp;56,만료임박!$J$6:$J$505,0)),"")</f>
        <v/>
      </c>
      <c r="C61" s="15" t="str">
        <f aca="false">IF($B61="","",IFERROR(INDEX(회원현황!$B$6:$B$505,MATCH("R"&amp;56,만료임박!$J$6:$J$505,0)),""))</f>
        <v/>
      </c>
      <c r="D61" s="15" t="str">
        <f aca="false">IF($B61="","",IFERROR(INDEX(회원현황!$C$6:$C$505,MATCH("R"&amp;56,만료임박!$J$6:$J$505,0)),""))</f>
        <v/>
      </c>
      <c r="E61" s="23" t="str">
        <f aca="false">IF($B61="","",IFERROR(INDEX(회원현황!$F$6:$F$505,MATCH("R"&amp;56,만료임박!$J$6:$J$505,0)),""))</f>
        <v/>
      </c>
      <c r="F61" s="17" t="str">
        <f aca="false">IF($B61="","",IFERROR(INDEX(회원현황!$G$6:$G$505,MATCH("R"&amp;56,만료임박!$J$6:$J$505,0)),""))</f>
        <v/>
      </c>
      <c r="G61" s="24" t="str">
        <f aca="false">IF($B61="","",IFERROR(INDEX(회원현황!$H$6:$H$505,MATCH("R"&amp;56,만료임박!$J$6:$J$505,0)),""))</f>
        <v/>
      </c>
      <c r="H61" s="29" t="b">
        <f aca="false">IF(회원현황!$A61="",FALSE(),OR(AND(회원현황!$F61&gt;0,회원현황!$F61&lt;=사용안내!$C$18),AND(회원현황!$H61&lt;&gt;"",회원현황!$H61&gt;=0,회원현황!$H61&lt;=사용안내!$C$17)))</f>
        <v>0</v>
      </c>
      <c r="I61" s="7" t="str">
        <f aca="false">IF($H61=FALSE(),"",COUNTIF($H$6:$H61,TRUE()))</f>
        <v/>
      </c>
      <c r="J61" s="7" t="str">
        <f aca="false">IF($I61="","","R"&amp;$I61)</f>
        <v/>
      </c>
    </row>
    <row r="62" customFormat="false" ht="15" hidden="false" customHeight="true" outlineLevel="0" collapsed="false">
      <c r="A62" s="28" t="n">
        <v>57</v>
      </c>
      <c r="B62" s="15" t="str">
        <f aca="false">IFERROR(INDEX(회원현황!$A$6:$A$505,MATCH("R"&amp;57,만료임박!$J$6:$J$505,0)),"")</f>
        <v/>
      </c>
      <c r="C62" s="15" t="str">
        <f aca="false">IF($B62="","",IFERROR(INDEX(회원현황!$B$6:$B$505,MATCH("R"&amp;57,만료임박!$J$6:$J$505,0)),""))</f>
        <v/>
      </c>
      <c r="D62" s="15" t="str">
        <f aca="false">IF($B62="","",IFERROR(INDEX(회원현황!$C$6:$C$505,MATCH("R"&amp;57,만료임박!$J$6:$J$505,0)),""))</f>
        <v/>
      </c>
      <c r="E62" s="23" t="str">
        <f aca="false">IF($B62="","",IFERROR(INDEX(회원현황!$F$6:$F$505,MATCH("R"&amp;57,만료임박!$J$6:$J$505,0)),""))</f>
        <v/>
      </c>
      <c r="F62" s="17" t="str">
        <f aca="false">IF($B62="","",IFERROR(INDEX(회원현황!$G$6:$G$505,MATCH("R"&amp;57,만료임박!$J$6:$J$505,0)),""))</f>
        <v/>
      </c>
      <c r="G62" s="24" t="str">
        <f aca="false">IF($B62="","",IFERROR(INDEX(회원현황!$H$6:$H$505,MATCH("R"&amp;57,만료임박!$J$6:$J$505,0)),""))</f>
        <v/>
      </c>
      <c r="H62" s="29" t="b">
        <f aca="false">IF(회원현황!$A62="",FALSE(),OR(AND(회원현황!$F62&gt;0,회원현황!$F62&lt;=사용안내!$C$18),AND(회원현황!$H62&lt;&gt;"",회원현황!$H62&gt;=0,회원현황!$H62&lt;=사용안내!$C$17)))</f>
        <v>0</v>
      </c>
      <c r="I62" s="7" t="str">
        <f aca="false">IF($H62=FALSE(),"",COUNTIF($H$6:$H62,TRUE()))</f>
        <v/>
      </c>
      <c r="J62" s="7" t="str">
        <f aca="false">IF($I62="","","R"&amp;$I62)</f>
        <v/>
      </c>
    </row>
    <row r="63" customFormat="false" ht="15" hidden="false" customHeight="true" outlineLevel="0" collapsed="false">
      <c r="A63" s="28" t="n">
        <v>58</v>
      </c>
      <c r="B63" s="15" t="str">
        <f aca="false">IFERROR(INDEX(회원현황!$A$6:$A$505,MATCH("R"&amp;58,만료임박!$J$6:$J$505,0)),"")</f>
        <v/>
      </c>
      <c r="C63" s="15" t="str">
        <f aca="false">IF($B63="","",IFERROR(INDEX(회원현황!$B$6:$B$505,MATCH("R"&amp;58,만료임박!$J$6:$J$505,0)),""))</f>
        <v/>
      </c>
      <c r="D63" s="15" t="str">
        <f aca="false">IF($B63="","",IFERROR(INDEX(회원현황!$C$6:$C$505,MATCH("R"&amp;58,만료임박!$J$6:$J$505,0)),""))</f>
        <v/>
      </c>
      <c r="E63" s="23" t="str">
        <f aca="false">IF($B63="","",IFERROR(INDEX(회원현황!$F$6:$F$505,MATCH("R"&amp;58,만료임박!$J$6:$J$505,0)),""))</f>
        <v/>
      </c>
      <c r="F63" s="17" t="str">
        <f aca="false">IF($B63="","",IFERROR(INDEX(회원현황!$G$6:$G$505,MATCH("R"&amp;58,만료임박!$J$6:$J$505,0)),""))</f>
        <v/>
      </c>
      <c r="G63" s="24" t="str">
        <f aca="false">IF($B63="","",IFERROR(INDEX(회원현황!$H$6:$H$505,MATCH("R"&amp;58,만료임박!$J$6:$J$505,0)),""))</f>
        <v/>
      </c>
      <c r="H63" s="29" t="b">
        <f aca="false">IF(회원현황!$A63="",FALSE(),OR(AND(회원현황!$F63&gt;0,회원현황!$F63&lt;=사용안내!$C$18),AND(회원현황!$H63&lt;&gt;"",회원현황!$H63&gt;=0,회원현황!$H63&lt;=사용안내!$C$17)))</f>
        <v>0</v>
      </c>
      <c r="I63" s="7" t="str">
        <f aca="false">IF($H63=FALSE(),"",COUNTIF($H$6:$H63,TRUE()))</f>
        <v/>
      </c>
      <c r="J63" s="7" t="str">
        <f aca="false">IF($I63="","","R"&amp;$I63)</f>
        <v/>
      </c>
    </row>
    <row r="64" customFormat="false" ht="15" hidden="false" customHeight="true" outlineLevel="0" collapsed="false">
      <c r="A64" s="28" t="n">
        <v>59</v>
      </c>
      <c r="B64" s="15" t="str">
        <f aca="false">IFERROR(INDEX(회원현황!$A$6:$A$505,MATCH("R"&amp;59,만료임박!$J$6:$J$505,0)),"")</f>
        <v/>
      </c>
      <c r="C64" s="15" t="str">
        <f aca="false">IF($B64="","",IFERROR(INDEX(회원현황!$B$6:$B$505,MATCH("R"&amp;59,만료임박!$J$6:$J$505,0)),""))</f>
        <v/>
      </c>
      <c r="D64" s="15" t="str">
        <f aca="false">IF($B64="","",IFERROR(INDEX(회원현황!$C$6:$C$505,MATCH("R"&amp;59,만료임박!$J$6:$J$505,0)),""))</f>
        <v/>
      </c>
      <c r="E64" s="23" t="str">
        <f aca="false">IF($B64="","",IFERROR(INDEX(회원현황!$F$6:$F$505,MATCH("R"&amp;59,만료임박!$J$6:$J$505,0)),""))</f>
        <v/>
      </c>
      <c r="F64" s="17" t="str">
        <f aca="false">IF($B64="","",IFERROR(INDEX(회원현황!$G$6:$G$505,MATCH("R"&amp;59,만료임박!$J$6:$J$505,0)),""))</f>
        <v/>
      </c>
      <c r="G64" s="24" t="str">
        <f aca="false">IF($B64="","",IFERROR(INDEX(회원현황!$H$6:$H$505,MATCH("R"&amp;59,만료임박!$J$6:$J$505,0)),""))</f>
        <v/>
      </c>
      <c r="H64" s="29" t="b">
        <f aca="false">IF(회원현황!$A64="",FALSE(),OR(AND(회원현황!$F64&gt;0,회원현황!$F64&lt;=사용안내!$C$18),AND(회원현황!$H64&lt;&gt;"",회원현황!$H64&gt;=0,회원현황!$H64&lt;=사용안내!$C$17)))</f>
        <v>0</v>
      </c>
      <c r="I64" s="7" t="str">
        <f aca="false">IF($H64=FALSE(),"",COUNTIF($H$6:$H64,TRUE()))</f>
        <v/>
      </c>
      <c r="J64" s="7" t="str">
        <f aca="false">IF($I64="","","R"&amp;$I64)</f>
        <v/>
      </c>
    </row>
    <row r="65" customFormat="false" ht="15" hidden="false" customHeight="true" outlineLevel="0" collapsed="false">
      <c r="A65" s="28" t="n">
        <v>60</v>
      </c>
      <c r="B65" s="15" t="str">
        <f aca="false">IFERROR(INDEX(회원현황!$A$6:$A$505,MATCH("R"&amp;60,만료임박!$J$6:$J$505,0)),"")</f>
        <v/>
      </c>
      <c r="C65" s="15" t="str">
        <f aca="false">IF($B65="","",IFERROR(INDEX(회원현황!$B$6:$B$505,MATCH("R"&amp;60,만료임박!$J$6:$J$505,0)),""))</f>
        <v/>
      </c>
      <c r="D65" s="15" t="str">
        <f aca="false">IF($B65="","",IFERROR(INDEX(회원현황!$C$6:$C$505,MATCH("R"&amp;60,만료임박!$J$6:$J$505,0)),""))</f>
        <v/>
      </c>
      <c r="E65" s="23" t="str">
        <f aca="false">IF($B65="","",IFERROR(INDEX(회원현황!$F$6:$F$505,MATCH("R"&amp;60,만료임박!$J$6:$J$505,0)),""))</f>
        <v/>
      </c>
      <c r="F65" s="17" t="str">
        <f aca="false">IF($B65="","",IFERROR(INDEX(회원현황!$G$6:$G$505,MATCH("R"&amp;60,만료임박!$J$6:$J$505,0)),""))</f>
        <v/>
      </c>
      <c r="G65" s="24" t="str">
        <f aca="false">IF($B65="","",IFERROR(INDEX(회원현황!$H$6:$H$505,MATCH("R"&amp;60,만료임박!$J$6:$J$505,0)),""))</f>
        <v/>
      </c>
      <c r="H65" s="29" t="b">
        <f aca="false">IF(회원현황!$A65="",FALSE(),OR(AND(회원현황!$F65&gt;0,회원현황!$F65&lt;=사용안내!$C$18),AND(회원현황!$H65&lt;&gt;"",회원현황!$H65&gt;=0,회원현황!$H65&lt;=사용안내!$C$17)))</f>
        <v>0</v>
      </c>
      <c r="I65" s="7" t="str">
        <f aca="false">IF($H65=FALSE(),"",COUNTIF($H$6:$H65,TRUE()))</f>
        <v/>
      </c>
      <c r="J65" s="7" t="str">
        <f aca="false">IF($I65="","","R"&amp;$I65)</f>
        <v/>
      </c>
    </row>
    <row r="66" customFormat="false" ht="15" hidden="false" customHeight="true" outlineLevel="0" collapsed="false">
      <c r="H66" s="29" t="b">
        <f aca="false">IF(회원현황!$A66="",FALSE(),OR(AND(회원현황!$F66&gt;0,회원현황!$F66&lt;=사용안내!$C$18),AND(회원현황!$H66&lt;&gt;"",회원현황!$H66&gt;=0,회원현황!$H66&lt;=사용안내!$C$17)))</f>
        <v>0</v>
      </c>
      <c r="I66" s="7" t="str">
        <f aca="false">IF($H66=FALSE(),"",COUNTIF($H$6:$H66,TRUE()))</f>
        <v/>
      </c>
      <c r="J66" s="7" t="str">
        <f aca="false">IF($I66="","","R"&amp;$I66)</f>
        <v/>
      </c>
    </row>
    <row r="67" customFormat="false" ht="15" hidden="false" customHeight="true" outlineLevel="0" collapsed="false">
      <c r="H67" s="29" t="b">
        <f aca="false">IF(회원현황!$A67="",FALSE(),OR(AND(회원현황!$F67&gt;0,회원현황!$F67&lt;=사용안내!$C$18),AND(회원현황!$H67&lt;&gt;"",회원현황!$H67&gt;=0,회원현황!$H67&lt;=사용안내!$C$17)))</f>
        <v>0</v>
      </c>
      <c r="I67" s="7" t="str">
        <f aca="false">IF($H67=FALSE(),"",COUNTIF($H$6:$H67,TRUE()))</f>
        <v/>
      </c>
      <c r="J67" s="7" t="str">
        <f aca="false">IF($I67="","","R"&amp;$I67)</f>
        <v/>
      </c>
    </row>
    <row r="68" customFormat="false" ht="15" hidden="false" customHeight="true" outlineLevel="0" collapsed="false">
      <c r="A68" s="18" t="s">
        <v>90</v>
      </c>
      <c r="H68" s="29" t="b">
        <f aca="false">IF(회원현황!$A68="",FALSE(),OR(AND(회원현황!$F68&gt;0,회원현황!$F68&lt;=사용안내!$C$18),AND(회원현황!$H68&lt;&gt;"",회원현황!$H68&gt;=0,회원현황!$H68&lt;=사용안내!$C$17)))</f>
        <v>0</v>
      </c>
      <c r="I68" s="7" t="str">
        <f aca="false">IF($H68=FALSE(),"",COUNTIF($H$6:$H68,TRUE()))</f>
        <v/>
      </c>
      <c r="J68" s="7" t="str">
        <f aca="false">IF($I68="","","R"&amp;$I68)</f>
        <v/>
      </c>
    </row>
    <row r="69" customFormat="false" ht="15" hidden="false" customHeight="true" outlineLevel="0" collapsed="false">
      <c r="H69" s="29" t="b">
        <f aca="false">IF(회원현황!$A69="",FALSE(),OR(AND(회원현황!$F69&gt;0,회원현황!$F69&lt;=사용안내!$C$18),AND(회원현황!$H69&lt;&gt;"",회원현황!$H69&gt;=0,회원현황!$H69&lt;=사용안내!$C$17)))</f>
        <v>0</v>
      </c>
      <c r="I69" s="7" t="str">
        <f aca="false">IF($H69=FALSE(),"",COUNTIF($H$6:$H69,TRUE()))</f>
        <v/>
      </c>
      <c r="J69" s="7" t="str">
        <f aca="false">IF($I69="","","R"&amp;$I69)</f>
        <v/>
      </c>
    </row>
    <row r="70" customFormat="false" ht="15" hidden="false" customHeight="true" outlineLevel="0" collapsed="false">
      <c r="H70" s="29" t="b">
        <f aca="false">IF(회원현황!$A70="",FALSE(),OR(AND(회원현황!$F70&gt;0,회원현황!$F70&lt;=사용안내!$C$18),AND(회원현황!$H70&lt;&gt;"",회원현황!$H70&gt;=0,회원현황!$H70&lt;=사용안내!$C$17)))</f>
        <v>0</v>
      </c>
      <c r="I70" s="7" t="str">
        <f aca="false">IF($H70=FALSE(),"",COUNTIF($H$6:$H70,TRUE()))</f>
        <v/>
      </c>
      <c r="J70" s="7" t="str">
        <f aca="false">IF($I70="","","R"&amp;$I70)</f>
        <v/>
      </c>
    </row>
    <row r="71" customFormat="false" ht="15" hidden="false" customHeight="true" outlineLevel="0" collapsed="false">
      <c r="H71" s="29" t="b">
        <f aca="false">IF(회원현황!$A71="",FALSE(),OR(AND(회원현황!$F71&gt;0,회원현황!$F71&lt;=사용안내!$C$18),AND(회원현황!$H71&lt;&gt;"",회원현황!$H71&gt;=0,회원현황!$H71&lt;=사용안내!$C$17)))</f>
        <v>0</v>
      </c>
      <c r="I71" s="7" t="str">
        <f aca="false">IF($H71=FALSE(),"",COUNTIF($H$6:$H71,TRUE()))</f>
        <v/>
      </c>
      <c r="J71" s="7" t="str">
        <f aca="false">IF($I71="","","R"&amp;$I71)</f>
        <v/>
      </c>
    </row>
    <row r="72" customFormat="false" ht="15" hidden="false" customHeight="true" outlineLevel="0" collapsed="false">
      <c r="H72" s="29" t="b">
        <f aca="false">IF(회원현황!$A72="",FALSE(),OR(AND(회원현황!$F72&gt;0,회원현황!$F72&lt;=사용안내!$C$18),AND(회원현황!$H72&lt;&gt;"",회원현황!$H72&gt;=0,회원현황!$H72&lt;=사용안내!$C$17)))</f>
        <v>0</v>
      </c>
      <c r="I72" s="7" t="str">
        <f aca="false">IF($H72=FALSE(),"",COUNTIF($H$6:$H72,TRUE()))</f>
        <v/>
      </c>
      <c r="J72" s="7" t="str">
        <f aca="false">IF($I72="","","R"&amp;$I72)</f>
        <v/>
      </c>
    </row>
    <row r="73" customFormat="false" ht="15" hidden="false" customHeight="true" outlineLevel="0" collapsed="false">
      <c r="H73" s="29" t="b">
        <f aca="false">IF(회원현황!$A73="",FALSE(),OR(AND(회원현황!$F73&gt;0,회원현황!$F73&lt;=사용안내!$C$18),AND(회원현황!$H73&lt;&gt;"",회원현황!$H73&gt;=0,회원현황!$H73&lt;=사용안내!$C$17)))</f>
        <v>0</v>
      </c>
      <c r="I73" s="7" t="str">
        <f aca="false">IF($H73=FALSE(),"",COUNTIF($H$6:$H73,TRUE()))</f>
        <v/>
      </c>
      <c r="J73" s="7" t="str">
        <f aca="false">IF($I73="","","R"&amp;$I73)</f>
        <v/>
      </c>
    </row>
    <row r="74" customFormat="false" ht="15" hidden="false" customHeight="true" outlineLevel="0" collapsed="false">
      <c r="H74" s="29" t="b">
        <f aca="false">IF(회원현황!$A74="",FALSE(),OR(AND(회원현황!$F74&gt;0,회원현황!$F74&lt;=사용안내!$C$18),AND(회원현황!$H74&lt;&gt;"",회원현황!$H74&gt;=0,회원현황!$H74&lt;=사용안내!$C$17)))</f>
        <v>0</v>
      </c>
      <c r="I74" s="7" t="str">
        <f aca="false">IF($H74=FALSE(),"",COUNTIF($H$6:$H74,TRUE()))</f>
        <v/>
      </c>
      <c r="J74" s="7" t="str">
        <f aca="false">IF($I74="","","R"&amp;$I74)</f>
        <v/>
      </c>
    </row>
    <row r="75" customFormat="false" ht="15" hidden="false" customHeight="true" outlineLevel="0" collapsed="false">
      <c r="H75" s="29" t="b">
        <f aca="false">IF(회원현황!$A75="",FALSE(),OR(AND(회원현황!$F75&gt;0,회원현황!$F75&lt;=사용안내!$C$18),AND(회원현황!$H75&lt;&gt;"",회원현황!$H75&gt;=0,회원현황!$H75&lt;=사용안내!$C$17)))</f>
        <v>0</v>
      </c>
      <c r="I75" s="7" t="str">
        <f aca="false">IF($H75=FALSE(),"",COUNTIF($H$6:$H75,TRUE()))</f>
        <v/>
      </c>
      <c r="J75" s="7" t="str">
        <f aca="false">IF($I75="","","R"&amp;$I75)</f>
        <v/>
      </c>
    </row>
    <row r="76" customFormat="false" ht="15" hidden="false" customHeight="true" outlineLevel="0" collapsed="false">
      <c r="H76" s="29" t="b">
        <f aca="false">IF(회원현황!$A76="",FALSE(),OR(AND(회원현황!$F76&gt;0,회원현황!$F76&lt;=사용안내!$C$18),AND(회원현황!$H76&lt;&gt;"",회원현황!$H76&gt;=0,회원현황!$H76&lt;=사용안내!$C$17)))</f>
        <v>0</v>
      </c>
      <c r="I76" s="7" t="str">
        <f aca="false">IF($H76=FALSE(),"",COUNTIF($H$6:$H76,TRUE()))</f>
        <v/>
      </c>
      <c r="J76" s="7" t="str">
        <f aca="false">IF($I76="","","R"&amp;$I76)</f>
        <v/>
      </c>
    </row>
    <row r="77" customFormat="false" ht="15" hidden="false" customHeight="true" outlineLevel="0" collapsed="false">
      <c r="H77" s="29" t="b">
        <f aca="false">IF(회원현황!$A77="",FALSE(),OR(AND(회원현황!$F77&gt;0,회원현황!$F77&lt;=사용안내!$C$18),AND(회원현황!$H77&lt;&gt;"",회원현황!$H77&gt;=0,회원현황!$H77&lt;=사용안내!$C$17)))</f>
        <v>0</v>
      </c>
      <c r="I77" s="7" t="str">
        <f aca="false">IF($H77=FALSE(),"",COUNTIF($H$6:$H77,TRUE()))</f>
        <v/>
      </c>
      <c r="J77" s="7" t="str">
        <f aca="false">IF($I77="","","R"&amp;$I77)</f>
        <v/>
      </c>
    </row>
    <row r="78" customFormat="false" ht="15" hidden="false" customHeight="true" outlineLevel="0" collapsed="false">
      <c r="H78" s="29" t="b">
        <f aca="false">IF(회원현황!$A78="",FALSE(),OR(AND(회원현황!$F78&gt;0,회원현황!$F78&lt;=사용안내!$C$18),AND(회원현황!$H78&lt;&gt;"",회원현황!$H78&gt;=0,회원현황!$H78&lt;=사용안내!$C$17)))</f>
        <v>0</v>
      </c>
      <c r="I78" s="7" t="str">
        <f aca="false">IF($H78=FALSE(),"",COUNTIF($H$6:$H78,TRUE()))</f>
        <v/>
      </c>
      <c r="J78" s="7" t="str">
        <f aca="false">IF($I78="","","R"&amp;$I78)</f>
        <v/>
      </c>
    </row>
    <row r="79" customFormat="false" ht="15" hidden="false" customHeight="true" outlineLevel="0" collapsed="false">
      <c r="H79" s="29" t="b">
        <f aca="false">IF(회원현황!$A79="",FALSE(),OR(AND(회원현황!$F79&gt;0,회원현황!$F79&lt;=사용안내!$C$18),AND(회원현황!$H79&lt;&gt;"",회원현황!$H79&gt;=0,회원현황!$H79&lt;=사용안내!$C$17)))</f>
        <v>0</v>
      </c>
      <c r="I79" s="7" t="str">
        <f aca="false">IF($H79=FALSE(),"",COUNTIF($H$6:$H79,TRUE()))</f>
        <v/>
      </c>
      <c r="J79" s="7" t="str">
        <f aca="false">IF($I79="","","R"&amp;$I79)</f>
        <v/>
      </c>
    </row>
    <row r="80" customFormat="false" ht="15" hidden="false" customHeight="true" outlineLevel="0" collapsed="false">
      <c r="H80" s="29" t="b">
        <f aca="false">IF(회원현황!$A80="",FALSE(),OR(AND(회원현황!$F80&gt;0,회원현황!$F80&lt;=사용안내!$C$18),AND(회원현황!$H80&lt;&gt;"",회원현황!$H80&gt;=0,회원현황!$H80&lt;=사용안내!$C$17)))</f>
        <v>0</v>
      </c>
      <c r="I80" s="7" t="str">
        <f aca="false">IF($H80=FALSE(),"",COUNTIF($H$6:$H80,TRUE()))</f>
        <v/>
      </c>
      <c r="J80" s="7" t="str">
        <f aca="false">IF($I80="","","R"&amp;$I80)</f>
        <v/>
      </c>
    </row>
    <row r="81" customFormat="false" ht="15" hidden="false" customHeight="true" outlineLevel="0" collapsed="false">
      <c r="H81" s="29" t="b">
        <f aca="false">IF(회원현황!$A81="",FALSE(),OR(AND(회원현황!$F81&gt;0,회원현황!$F81&lt;=사용안내!$C$18),AND(회원현황!$H81&lt;&gt;"",회원현황!$H81&gt;=0,회원현황!$H81&lt;=사용안내!$C$17)))</f>
        <v>0</v>
      </c>
      <c r="I81" s="7" t="str">
        <f aca="false">IF($H81=FALSE(),"",COUNTIF($H$6:$H81,TRUE()))</f>
        <v/>
      </c>
      <c r="J81" s="7" t="str">
        <f aca="false">IF($I81="","","R"&amp;$I81)</f>
        <v/>
      </c>
    </row>
    <row r="82" customFormat="false" ht="15" hidden="false" customHeight="true" outlineLevel="0" collapsed="false">
      <c r="H82" s="29" t="b">
        <f aca="false">IF(회원현황!$A82="",FALSE(),OR(AND(회원현황!$F82&gt;0,회원현황!$F82&lt;=사용안내!$C$18),AND(회원현황!$H82&lt;&gt;"",회원현황!$H82&gt;=0,회원현황!$H82&lt;=사용안내!$C$17)))</f>
        <v>0</v>
      </c>
      <c r="I82" s="7" t="str">
        <f aca="false">IF($H82=FALSE(),"",COUNTIF($H$6:$H82,TRUE()))</f>
        <v/>
      </c>
      <c r="J82" s="7" t="str">
        <f aca="false">IF($I82="","","R"&amp;$I82)</f>
        <v/>
      </c>
    </row>
    <row r="83" customFormat="false" ht="15" hidden="false" customHeight="true" outlineLevel="0" collapsed="false">
      <c r="H83" s="29" t="b">
        <f aca="false">IF(회원현황!$A83="",FALSE(),OR(AND(회원현황!$F83&gt;0,회원현황!$F83&lt;=사용안내!$C$18),AND(회원현황!$H83&lt;&gt;"",회원현황!$H83&gt;=0,회원현황!$H83&lt;=사용안내!$C$17)))</f>
        <v>0</v>
      </c>
      <c r="I83" s="7" t="str">
        <f aca="false">IF($H83=FALSE(),"",COUNTIF($H$6:$H83,TRUE()))</f>
        <v/>
      </c>
      <c r="J83" s="7" t="str">
        <f aca="false">IF($I83="","","R"&amp;$I83)</f>
        <v/>
      </c>
    </row>
    <row r="84" customFormat="false" ht="15" hidden="false" customHeight="true" outlineLevel="0" collapsed="false">
      <c r="H84" s="29" t="b">
        <f aca="false">IF(회원현황!$A84="",FALSE(),OR(AND(회원현황!$F84&gt;0,회원현황!$F84&lt;=사용안내!$C$18),AND(회원현황!$H84&lt;&gt;"",회원현황!$H84&gt;=0,회원현황!$H84&lt;=사용안내!$C$17)))</f>
        <v>0</v>
      </c>
      <c r="I84" s="7" t="str">
        <f aca="false">IF($H84=FALSE(),"",COUNTIF($H$6:$H84,TRUE()))</f>
        <v/>
      </c>
      <c r="J84" s="7" t="str">
        <f aca="false">IF($I84="","","R"&amp;$I84)</f>
        <v/>
      </c>
    </row>
    <row r="85" customFormat="false" ht="15" hidden="false" customHeight="true" outlineLevel="0" collapsed="false">
      <c r="H85" s="29" t="b">
        <f aca="false">IF(회원현황!$A85="",FALSE(),OR(AND(회원현황!$F85&gt;0,회원현황!$F85&lt;=사용안내!$C$18),AND(회원현황!$H85&lt;&gt;"",회원현황!$H85&gt;=0,회원현황!$H85&lt;=사용안내!$C$17)))</f>
        <v>0</v>
      </c>
      <c r="I85" s="7" t="str">
        <f aca="false">IF($H85=FALSE(),"",COUNTIF($H$6:$H85,TRUE()))</f>
        <v/>
      </c>
      <c r="J85" s="7" t="str">
        <f aca="false">IF($I85="","","R"&amp;$I85)</f>
        <v/>
      </c>
    </row>
    <row r="86" customFormat="false" ht="15" hidden="false" customHeight="true" outlineLevel="0" collapsed="false">
      <c r="H86" s="29" t="b">
        <f aca="false">IF(회원현황!$A86="",FALSE(),OR(AND(회원현황!$F86&gt;0,회원현황!$F86&lt;=사용안내!$C$18),AND(회원현황!$H86&lt;&gt;"",회원현황!$H86&gt;=0,회원현황!$H86&lt;=사용안내!$C$17)))</f>
        <v>0</v>
      </c>
      <c r="I86" s="7" t="str">
        <f aca="false">IF($H86=FALSE(),"",COUNTIF($H$6:$H86,TRUE()))</f>
        <v/>
      </c>
      <c r="J86" s="7" t="str">
        <f aca="false">IF($I86="","","R"&amp;$I86)</f>
        <v/>
      </c>
    </row>
    <row r="87" customFormat="false" ht="15" hidden="false" customHeight="true" outlineLevel="0" collapsed="false">
      <c r="H87" s="29" t="b">
        <f aca="false">IF(회원현황!$A87="",FALSE(),OR(AND(회원현황!$F87&gt;0,회원현황!$F87&lt;=사용안내!$C$18),AND(회원현황!$H87&lt;&gt;"",회원현황!$H87&gt;=0,회원현황!$H87&lt;=사용안내!$C$17)))</f>
        <v>0</v>
      </c>
      <c r="I87" s="7" t="str">
        <f aca="false">IF($H87=FALSE(),"",COUNTIF($H$6:$H87,TRUE()))</f>
        <v/>
      </c>
      <c r="J87" s="7" t="str">
        <f aca="false">IF($I87="","","R"&amp;$I87)</f>
        <v/>
      </c>
    </row>
    <row r="88" customFormat="false" ht="15" hidden="false" customHeight="true" outlineLevel="0" collapsed="false">
      <c r="H88" s="29" t="b">
        <f aca="false">IF(회원현황!$A88="",FALSE(),OR(AND(회원현황!$F88&gt;0,회원현황!$F88&lt;=사용안내!$C$18),AND(회원현황!$H88&lt;&gt;"",회원현황!$H88&gt;=0,회원현황!$H88&lt;=사용안내!$C$17)))</f>
        <v>0</v>
      </c>
      <c r="I88" s="7" t="str">
        <f aca="false">IF($H88=FALSE(),"",COUNTIF($H$6:$H88,TRUE()))</f>
        <v/>
      </c>
      <c r="J88" s="7" t="str">
        <f aca="false">IF($I88="","","R"&amp;$I88)</f>
        <v/>
      </c>
    </row>
    <row r="89" customFormat="false" ht="15" hidden="false" customHeight="true" outlineLevel="0" collapsed="false">
      <c r="H89" s="29" t="b">
        <f aca="false">IF(회원현황!$A89="",FALSE(),OR(AND(회원현황!$F89&gt;0,회원현황!$F89&lt;=사용안내!$C$18),AND(회원현황!$H89&lt;&gt;"",회원현황!$H89&gt;=0,회원현황!$H89&lt;=사용안내!$C$17)))</f>
        <v>0</v>
      </c>
      <c r="I89" s="7" t="str">
        <f aca="false">IF($H89=FALSE(),"",COUNTIF($H$6:$H89,TRUE()))</f>
        <v/>
      </c>
      <c r="J89" s="7" t="str">
        <f aca="false">IF($I89="","","R"&amp;$I89)</f>
        <v/>
      </c>
    </row>
    <row r="90" customFormat="false" ht="15" hidden="false" customHeight="true" outlineLevel="0" collapsed="false">
      <c r="H90" s="29" t="b">
        <f aca="false">IF(회원현황!$A90="",FALSE(),OR(AND(회원현황!$F90&gt;0,회원현황!$F90&lt;=사용안내!$C$18),AND(회원현황!$H90&lt;&gt;"",회원현황!$H90&gt;=0,회원현황!$H90&lt;=사용안내!$C$17)))</f>
        <v>0</v>
      </c>
      <c r="I90" s="7" t="str">
        <f aca="false">IF($H90=FALSE(),"",COUNTIF($H$6:$H90,TRUE()))</f>
        <v/>
      </c>
      <c r="J90" s="7" t="str">
        <f aca="false">IF($I90="","","R"&amp;$I90)</f>
        <v/>
      </c>
    </row>
    <row r="91" customFormat="false" ht="15" hidden="false" customHeight="true" outlineLevel="0" collapsed="false">
      <c r="H91" s="29" t="b">
        <f aca="false">IF(회원현황!$A91="",FALSE(),OR(AND(회원현황!$F91&gt;0,회원현황!$F91&lt;=사용안내!$C$18),AND(회원현황!$H91&lt;&gt;"",회원현황!$H91&gt;=0,회원현황!$H91&lt;=사용안내!$C$17)))</f>
        <v>0</v>
      </c>
      <c r="I91" s="7" t="str">
        <f aca="false">IF($H91=FALSE(),"",COUNTIF($H$6:$H91,TRUE()))</f>
        <v/>
      </c>
      <c r="J91" s="7" t="str">
        <f aca="false">IF($I91="","","R"&amp;$I91)</f>
        <v/>
      </c>
    </row>
    <row r="92" customFormat="false" ht="15" hidden="false" customHeight="true" outlineLevel="0" collapsed="false">
      <c r="H92" s="29" t="b">
        <f aca="false">IF(회원현황!$A92="",FALSE(),OR(AND(회원현황!$F92&gt;0,회원현황!$F92&lt;=사용안내!$C$18),AND(회원현황!$H92&lt;&gt;"",회원현황!$H92&gt;=0,회원현황!$H92&lt;=사용안내!$C$17)))</f>
        <v>0</v>
      </c>
      <c r="I92" s="7" t="str">
        <f aca="false">IF($H92=FALSE(),"",COUNTIF($H$6:$H92,TRUE()))</f>
        <v/>
      </c>
      <c r="J92" s="7" t="str">
        <f aca="false">IF($I92="","","R"&amp;$I92)</f>
        <v/>
      </c>
    </row>
    <row r="93" customFormat="false" ht="15" hidden="false" customHeight="true" outlineLevel="0" collapsed="false">
      <c r="H93" s="29" t="b">
        <f aca="false">IF(회원현황!$A93="",FALSE(),OR(AND(회원현황!$F93&gt;0,회원현황!$F93&lt;=사용안내!$C$18),AND(회원현황!$H93&lt;&gt;"",회원현황!$H93&gt;=0,회원현황!$H93&lt;=사용안내!$C$17)))</f>
        <v>0</v>
      </c>
      <c r="I93" s="7" t="str">
        <f aca="false">IF($H93=FALSE(),"",COUNTIF($H$6:$H93,TRUE()))</f>
        <v/>
      </c>
      <c r="J93" s="7" t="str">
        <f aca="false">IF($I93="","","R"&amp;$I93)</f>
        <v/>
      </c>
    </row>
    <row r="94" customFormat="false" ht="15" hidden="false" customHeight="true" outlineLevel="0" collapsed="false">
      <c r="H94" s="29" t="b">
        <f aca="false">IF(회원현황!$A94="",FALSE(),OR(AND(회원현황!$F94&gt;0,회원현황!$F94&lt;=사용안내!$C$18),AND(회원현황!$H94&lt;&gt;"",회원현황!$H94&gt;=0,회원현황!$H94&lt;=사용안내!$C$17)))</f>
        <v>0</v>
      </c>
      <c r="I94" s="7" t="str">
        <f aca="false">IF($H94=FALSE(),"",COUNTIF($H$6:$H94,TRUE()))</f>
        <v/>
      </c>
      <c r="J94" s="7" t="str">
        <f aca="false">IF($I94="","","R"&amp;$I94)</f>
        <v/>
      </c>
    </row>
    <row r="95" customFormat="false" ht="15" hidden="false" customHeight="true" outlineLevel="0" collapsed="false">
      <c r="H95" s="29" t="b">
        <f aca="false">IF(회원현황!$A95="",FALSE(),OR(AND(회원현황!$F95&gt;0,회원현황!$F95&lt;=사용안내!$C$18),AND(회원현황!$H95&lt;&gt;"",회원현황!$H95&gt;=0,회원현황!$H95&lt;=사용안내!$C$17)))</f>
        <v>0</v>
      </c>
      <c r="I95" s="7" t="str">
        <f aca="false">IF($H95=FALSE(),"",COUNTIF($H$6:$H95,TRUE()))</f>
        <v/>
      </c>
      <c r="J95" s="7" t="str">
        <f aca="false">IF($I95="","","R"&amp;$I95)</f>
        <v/>
      </c>
    </row>
    <row r="96" customFormat="false" ht="15" hidden="false" customHeight="true" outlineLevel="0" collapsed="false">
      <c r="H96" s="29" t="b">
        <f aca="false">IF(회원현황!$A96="",FALSE(),OR(AND(회원현황!$F96&gt;0,회원현황!$F96&lt;=사용안내!$C$18),AND(회원현황!$H96&lt;&gt;"",회원현황!$H96&gt;=0,회원현황!$H96&lt;=사용안내!$C$17)))</f>
        <v>0</v>
      </c>
      <c r="I96" s="7" t="str">
        <f aca="false">IF($H96=FALSE(),"",COUNTIF($H$6:$H96,TRUE()))</f>
        <v/>
      </c>
      <c r="J96" s="7" t="str">
        <f aca="false">IF($I96="","","R"&amp;$I96)</f>
        <v/>
      </c>
    </row>
    <row r="97" customFormat="false" ht="15" hidden="false" customHeight="true" outlineLevel="0" collapsed="false">
      <c r="H97" s="29" t="b">
        <f aca="false">IF(회원현황!$A97="",FALSE(),OR(AND(회원현황!$F97&gt;0,회원현황!$F97&lt;=사용안내!$C$18),AND(회원현황!$H97&lt;&gt;"",회원현황!$H97&gt;=0,회원현황!$H97&lt;=사용안내!$C$17)))</f>
        <v>0</v>
      </c>
      <c r="I97" s="7" t="str">
        <f aca="false">IF($H97=FALSE(),"",COUNTIF($H$6:$H97,TRUE()))</f>
        <v/>
      </c>
      <c r="J97" s="7" t="str">
        <f aca="false">IF($I97="","","R"&amp;$I97)</f>
        <v/>
      </c>
    </row>
    <row r="98" customFormat="false" ht="15" hidden="false" customHeight="true" outlineLevel="0" collapsed="false">
      <c r="H98" s="29" t="b">
        <f aca="false">IF(회원현황!$A98="",FALSE(),OR(AND(회원현황!$F98&gt;0,회원현황!$F98&lt;=사용안내!$C$18),AND(회원현황!$H98&lt;&gt;"",회원현황!$H98&gt;=0,회원현황!$H98&lt;=사용안내!$C$17)))</f>
        <v>0</v>
      </c>
      <c r="I98" s="7" t="str">
        <f aca="false">IF($H98=FALSE(),"",COUNTIF($H$6:$H98,TRUE()))</f>
        <v/>
      </c>
      <c r="J98" s="7" t="str">
        <f aca="false">IF($I98="","","R"&amp;$I98)</f>
        <v/>
      </c>
    </row>
    <row r="99" customFormat="false" ht="15" hidden="false" customHeight="true" outlineLevel="0" collapsed="false">
      <c r="H99" s="29" t="b">
        <f aca="false">IF(회원현황!$A99="",FALSE(),OR(AND(회원현황!$F99&gt;0,회원현황!$F99&lt;=사용안내!$C$18),AND(회원현황!$H99&lt;&gt;"",회원현황!$H99&gt;=0,회원현황!$H99&lt;=사용안내!$C$17)))</f>
        <v>0</v>
      </c>
      <c r="I99" s="7" t="str">
        <f aca="false">IF($H99=FALSE(),"",COUNTIF($H$6:$H99,TRUE()))</f>
        <v/>
      </c>
      <c r="J99" s="7" t="str">
        <f aca="false">IF($I99="","","R"&amp;$I99)</f>
        <v/>
      </c>
    </row>
    <row r="100" customFormat="false" ht="15" hidden="false" customHeight="true" outlineLevel="0" collapsed="false">
      <c r="H100" s="29" t="b">
        <f aca="false">IF(회원현황!$A100="",FALSE(),OR(AND(회원현황!$F100&gt;0,회원현황!$F100&lt;=사용안내!$C$18),AND(회원현황!$H100&lt;&gt;"",회원현황!$H100&gt;=0,회원현황!$H100&lt;=사용안내!$C$17)))</f>
        <v>0</v>
      </c>
      <c r="I100" s="7" t="str">
        <f aca="false">IF($H100=FALSE(),"",COUNTIF($H$6:$H100,TRUE()))</f>
        <v/>
      </c>
      <c r="J100" s="7" t="str">
        <f aca="false">IF($I100="","","R"&amp;$I100)</f>
        <v/>
      </c>
    </row>
    <row r="101" customFormat="false" ht="15" hidden="false" customHeight="true" outlineLevel="0" collapsed="false">
      <c r="H101" s="29" t="b">
        <f aca="false">IF(회원현황!$A101="",FALSE(),OR(AND(회원현황!$F101&gt;0,회원현황!$F101&lt;=사용안내!$C$18),AND(회원현황!$H101&lt;&gt;"",회원현황!$H101&gt;=0,회원현황!$H101&lt;=사용안내!$C$17)))</f>
        <v>0</v>
      </c>
      <c r="I101" s="7" t="str">
        <f aca="false">IF($H101=FALSE(),"",COUNTIF($H$6:$H101,TRUE()))</f>
        <v/>
      </c>
      <c r="J101" s="7" t="str">
        <f aca="false">IF($I101="","","R"&amp;$I101)</f>
        <v/>
      </c>
    </row>
    <row r="102" customFormat="false" ht="15" hidden="false" customHeight="true" outlineLevel="0" collapsed="false">
      <c r="H102" s="29" t="b">
        <f aca="false">IF(회원현황!$A102="",FALSE(),OR(AND(회원현황!$F102&gt;0,회원현황!$F102&lt;=사용안내!$C$18),AND(회원현황!$H102&lt;&gt;"",회원현황!$H102&gt;=0,회원현황!$H102&lt;=사용안내!$C$17)))</f>
        <v>0</v>
      </c>
      <c r="I102" s="7" t="str">
        <f aca="false">IF($H102=FALSE(),"",COUNTIF($H$6:$H102,TRUE()))</f>
        <v/>
      </c>
      <c r="J102" s="7" t="str">
        <f aca="false">IF($I102="","","R"&amp;$I102)</f>
        <v/>
      </c>
    </row>
    <row r="103" customFormat="false" ht="15" hidden="false" customHeight="true" outlineLevel="0" collapsed="false">
      <c r="H103" s="29" t="b">
        <f aca="false">IF(회원현황!$A103="",FALSE(),OR(AND(회원현황!$F103&gt;0,회원현황!$F103&lt;=사용안내!$C$18),AND(회원현황!$H103&lt;&gt;"",회원현황!$H103&gt;=0,회원현황!$H103&lt;=사용안내!$C$17)))</f>
        <v>0</v>
      </c>
      <c r="I103" s="7" t="str">
        <f aca="false">IF($H103=FALSE(),"",COUNTIF($H$6:$H103,TRUE()))</f>
        <v/>
      </c>
      <c r="J103" s="7" t="str">
        <f aca="false">IF($I103="","","R"&amp;$I103)</f>
        <v/>
      </c>
    </row>
    <row r="104" customFormat="false" ht="15" hidden="false" customHeight="true" outlineLevel="0" collapsed="false">
      <c r="H104" s="29" t="b">
        <f aca="false">IF(회원현황!$A104="",FALSE(),OR(AND(회원현황!$F104&gt;0,회원현황!$F104&lt;=사용안내!$C$18),AND(회원현황!$H104&lt;&gt;"",회원현황!$H104&gt;=0,회원현황!$H104&lt;=사용안내!$C$17)))</f>
        <v>0</v>
      </c>
      <c r="I104" s="7" t="str">
        <f aca="false">IF($H104=FALSE(),"",COUNTIF($H$6:$H104,TRUE()))</f>
        <v/>
      </c>
      <c r="J104" s="7" t="str">
        <f aca="false">IF($I104="","","R"&amp;$I104)</f>
        <v/>
      </c>
    </row>
    <row r="105" customFormat="false" ht="15" hidden="false" customHeight="true" outlineLevel="0" collapsed="false">
      <c r="H105" s="29" t="b">
        <f aca="false">IF(회원현황!$A105="",FALSE(),OR(AND(회원현황!$F105&gt;0,회원현황!$F105&lt;=사용안내!$C$18),AND(회원현황!$H105&lt;&gt;"",회원현황!$H105&gt;=0,회원현황!$H105&lt;=사용안내!$C$17)))</f>
        <v>0</v>
      </c>
      <c r="I105" s="7" t="str">
        <f aca="false">IF($H105=FALSE(),"",COUNTIF($H$6:$H105,TRUE()))</f>
        <v/>
      </c>
      <c r="J105" s="7" t="str">
        <f aca="false">IF($I105="","","R"&amp;$I105)</f>
        <v/>
      </c>
    </row>
    <row r="106" customFormat="false" ht="15" hidden="false" customHeight="true" outlineLevel="0" collapsed="false">
      <c r="H106" s="29" t="b">
        <f aca="false">IF(회원현황!$A106="",FALSE(),OR(AND(회원현황!$F106&gt;0,회원현황!$F106&lt;=사용안내!$C$18),AND(회원현황!$H106&lt;&gt;"",회원현황!$H106&gt;=0,회원현황!$H106&lt;=사용안내!$C$17)))</f>
        <v>0</v>
      </c>
      <c r="I106" s="7" t="str">
        <f aca="false">IF($H106=FALSE(),"",COUNTIF($H$6:$H106,TRUE()))</f>
        <v/>
      </c>
      <c r="J106" s="7" t="str">
        <f aca="false">IF($I106="","","R"&amp;$I106)</f>
        <v/>
      </c>
    </row>
    <row r="107" customFormat="false" ht="15" hidden="false" customHeight="true" outlineLevel="0" collapsed="false">
      <c r="H107" s="29" t="b">
        <f aca="false">IF(회원현황!$A107="",FALSE(),OR(AND(회원현황!$F107&gt;0,회원현황!$F107&lt;=사용안내!$C$18),AND(회원현황!$H107&lt;&gt;"",회원현황!$H107&gt;=0,회원현황!$H107&lt;=사용안내!$C$17)))</f>
        <v>0</v>
      </c>
      <c r="I107" s="7" t="str">
        <f aca="false">IF($H107=FALSE(),"",COUNTIF($H$6:$H107,TRUE()))</f>
        <v/>
      </c>
      <c r="J107" s="7" t="str">
        <f aca="false">IF($I107="","","R"&amp;$I107)</f>
        <v/>
      </c>
    </row>
    <row r="108" customFormat="false" ht="15" hidden="false" customHeight="true" outlineLevel="0" collapsed="false">
      <c r="H108" s="29" t="b">
        <f aca="false">IF(회원현황!$A108="",FALSE(),OR(AND(회원현황!$F108&gt;0,회원현황!$F108&lt;=사용안내!$C$18),AND(회원현황!$H108&lt;&gt;"",회원현황!$H108&gt;=0,회원현황!$H108&lt;=사용안내!$C$17)))</f>
        <v>0</v>
      </c>
      <c r="I108" s="7" t="str">
        <f aca="false">IF($H108=FALSE(),"",COUNTIF($H$6:$H108,TRUE()))</f>
        <v/>
      </c>
      <c r="J108" s="7" t="str">
        <f aca="false">IF($I108="","","R"&amp;$I108)</f>
        <v/>
      </c>
    </row>
    <row r="109" customFormat="false" ht="15" hidden="false" customHeight="true" outlineLevel="0" collapsed="false">
      <c r="H109" s="29" t="b">
        <f aca="false">IF(회원현황!$A109="",FALSE(),OR(AND(회원현황!$F109&gt;0,회원현황!$F109&lt;=사용안내!$C$18),AND(회원현황!$H109&lt;&gt;"",회원현황!$H109&gt;=0,회원현황!$H109&lt;=사용안내!$C$17)))</f>
        <v>0</v>
      </c>
      <c r="I109" s="7" t="str">
        <f aca="false">IF($H109=FALSE(),"",COUNTIF($H$6:$H109,TRUE()))</f>
        <v/>
      </c>
      <c r="J109" s="7" t="str">
        <f aca="false">IF($I109="","","R"&amp;$I109)</f>
        <v/>
      </c>
    </row>
    <row r="110" customFormat="false" ht="15" hidden="false" customHeight="true" outlineLevel="0" collapsed="false">
      <c r="H110" s="29" t="b">
        <f aca="false">IF(회원현황!$A110="",FALSE(),OR(AND(회원현황!$F110&gt;0,회원현황!$F110&lt;=사용안내!$C$18),AND(회원현황!$H110&lt;&gt;"",회원현황!$H110&gt;=0,회원현황!$H110&lt;=사용안내!$C$17)))</f>
        <v>0</v>
      </c>
      <c r="I110" s="7" t="str">
        <f aca="false">IF($H110=FALSE(),"",COUNTIF($H$6:$H110,TRUE()))</f>
        <v/>
      </c>
      <c r="J110" s="7" t="str">
        <f aca="false">IF($I110="","","R"&amp;$I110)</f>
        <v/>
      </c>
    </row>
    <row r="111" customFormat="false" ht="15" hidden="false" customHeight="true" outlineLevel="0" collapsed="false">
      <c r="H111" s="29" t="b">
        <f aca="false">IF(회원현황!$A111="",FALSE(),OR(AND(회원현황!$F111&gt;0,회원현황!$F111&lt;=사용안내!$C$18),AND(회원현황!$H111&lt;&gt;"",회원현황!$H111&gt;=0,회원현황!$H111&lt;=사용안내!$C$17)))</f>
        <v>0</v>
      </c>
      <c r="I111" s="7" t="str">
        <f aca="false">IF($H111=FALSE(),"",COUNTIF($H$6:$H111,TRUE()))</f>
        <v/>
      </c>
      <c r="J111" s="7" t="str">
        <f aca="false">IF($I111="","","R"&amp;$I111)</f>
        <v/>
      </c>
    </row>
    <row r="112" customFormat="false" ht="15" hidden="false" customHeight="true" outlineLevel="0" collapsed="false">
      <c r="H112" s="29" t="b">
        <f aca="false">IF(회원현황!$A112="",FALSE(),OR(AND(회원현황!$F112&gt;0,회원현황!$F112&lt;=사용안내!$C$18),AND(회원현황!$H112&lt;&gt;"",회원현황!$H112&gt;=0,회원현황!$H112&lt;=사용안내!$C$17)))</f>
        <v>0</v>
      </c>
      <c r="I112" s="7" t="str">
        <f aca="false">IF($H112=FALSE(),"",COUNTIF($H$6:$H112,TRUE()))</f>
        <v/>
      </c>
      <c r="J112" s="7" t="str">
        <f aca="false">IF($I112="","","R"&amp;$I112)</f>
        <v/>
      </c>
    </row>
    <row r="113" customFormat="false" ht="15" hidden="false" customHeight="true" outlineLevel="0" collapsed="false">
      <c r="H113" s="29" t="b">
        <f aca="false">IF(회원현황!$A113="",FALSE(),OR(AND(회원현황!$F113&gt;0,회원현황!$F113&lt;=사용안내!$C$18),AND(회원현황!$H113&lt;&gt;"",회원현황!$H113&gt;=0,회원현황!$H113&lt;=사용안내!$C$17)))</f>
        <v>0</v>
      </c>
      <c r="I113" s="7" t="str">
        <f aca="false">IF($H113=FALSE(),"",COUNTIF($H$6:$H113,TRUE()))</f>
        <v/>
      </c>
      <c r="J113" s="7" t="str">
        <f aca="false">IF($I113="","","R"&amp;$I113)</f>
        <v/>
      </c>
    </row>
    <row r="114" customFormat="false" ht="15" hidden="false" customHeight="true" outlineLevel="0" collapsed="false">
      <c r="H114" s="29" t="b">
        <f aca="false">IF(회원현황!$A114="",FALSE(),OR(AND(회원현황!$F114&gt;0,회원현황!$F114&lt;=사용안내!$C$18),AND(회원현황!$H114&lt;&gt;"",회원현황!$H114&gt;=0,회원현황!$H114&lt;=사용안내!$C$17)))</f>
        <v>0</v>
      </c>
      <c r="I114" s="7" t="str">
        <f aca="false">IF($H114=FALSE(),"",COUNTIF($H$6:$H114,TRUE()))</f>
        <v/>
      </c>
      <c r="J114" s="7" t="str">
        <f aca="false">IF($I114="","","R"&amp;$I114)</f>
        <v/>
      </c>
    </row>
    <row r="115" customFormat="false" ht="15" hidden="false" customHeight="true" outlineLevel="0" collapsed="false">
      <c r="H115" s="29" t="b">
        <f aca="false">IF(회원현황!$A115="",FALSE(),OR(AND(회원현황!$F115&gt;0,회원현황!$F115&lt;=사용안내!$C$18),AND(회원현황!$H115&lt;&gt;"",회원현황!$H115&gt;=0,회원현황!$H115&lt;=사용안내!$C$17)))</f>
        <v>0</v>
      </c>
      <c r="I115" s="7" t="str">
        <f aca="false">IF($H115=FALSE(),"",COUNTIF($H$6:$H115,TRUE()))</f>
        <v/>
      </c>
      <c r="J115" s="7" t="str">
        <f aca="false">IF($I115="","","R"&amp;$I115)</f>
        <v/>
      </c>
    </row>
    <row r="116" customFormat="false" ht="15" hidden="false" customHeight="true" outlineLevel="0" collapsed="false">
      <c r="H116" s="29" t="b">
        <f aca="false">IF(회원현황!$A116="",FALSE(),OR(AND(회원현황!$F116&gt;0,회원현황!$F116&lt;=사용안내!$C$18),AND(회원현황!$H116&lt;&gt;"",회원현황!$H116&gt;=0,회원현황!$H116&lt;=사용안내!$C$17)))</f>
        <v>0</v>
      </c>
      <c r="I116" s="7" t="str">
        <f aca="false">IF($H116=FALSE(),"",COUNTIF($H$6:$H116,TRUE()))</f>
        <v/>
      </c>
      <c r="J116" s="7" t="str">
        <f aca="false">IF($I116="","","R"&amp;$I116)</f>
        <v/>
      </c>
    </row>
    <row r="117" customFormat="false" ht="15" hidden="false" customHeight="true" outlineLevel="0" collapsed="false">
      <c r="H117" s="29" t="b">
        <f aca="false">IF(회원현황!$A117="",FALSE(),OR(AND(회원현황!$F117&gt;0,회원현황!$F117&lt;=사용안내!$C$18),AND(회원현황!$H117&lt;&gt;"",회원현황!$H117&gt;=0,회원현황!$H117&lt;=사용안내!$C$17)))</f>
        <v>0</v>
      </c>
      <c r="I117" s="7" t="str">
        <f aca="false">IF($H117=FALSE(),"",COUNTIF($H$6:$H117,TRUE()))</f>
        <v/>
      </c>
      <c r="J117" s="7" t="str">
        <f aca="false">IF($I117="","","R"&amp;$I117)</f>
        <v/>
      </c>
    </row>
    <row r="118" customFormat="false" ht="15" hidden="false" customHeight="true" outlineLevel="0" collapsed="false">
      <c r="H118" s="29" t="b">
        <f aca="false">IF(회원현황!$A118="",FALSE(),OR(AND(회원현황!$F118&gt;0,회원현황!$F118&lt;=사용안내!$C$18),AND(회원현황!$H118&lt;&gt;"",회원현황!$H118&gt;=0,회원현황!$H118&lt;=사용안내!$C$17)))</f>
        <v>0</v>
      </c>
      <c r="I118" s="7" t="str">
        <f aca="false">IF($H118=FALSE(),"",COUNTIF($H$6:$H118,TRUE()))</f>
        <v/>
      </c>
      <c r="J118" s="7" t="str">
        <f aca="false">IF($I118="","","R"&amp;$I118)</f>
        <v/>
      </c>
    </row>
    <row r="119" customFormat="false" ht="15" hidden="false" customHeight="true" outlineLevel="0" collapsed="false">
      <c r="H119" s="29" t="b">
        <f aca="false">IF(회원현황!$A119="",FALSE(),OR(AND(회원현황!$F119&gt;0,회원현황!$F119&lt;=사용안내!$C$18),AND(회원현황!$H119&lt;&gt;"",회원현황!$H119&gt;=0,회원현황!$H119&lt;=사용안내!$C$17)))</f>
        <v>0</v>
      </c>
      <c r="I119" s="7" t="str">
        <f aca="false">IF($H119=FALSE(),"",COUNTIF($H$6:$H119,TRUE()))</f>
        <v/>
      </c>
      <c r="J119" s="7" t="str">
        <f aca="false">IF($I119="","","R"&amp;$I119)</f>
        <v/>
      </c>
    </row>
    <row r="120" customFormat="false" ht="15" hidden="false" customHeight="true" outlineLevel="0" collapsed="false">
      <c r="H120" s="29" t="b">
        <f aca="false">IF(회원현황!$A120="",FALSE(),OR(AND(회원현황!$F120&gt;0,회원현황!$F120&lt;=사용안내!$C$18),AND(회원현황!$H120&lt;&gt;"",회원현황!$H120&gt;=0,회원현황!$H120&lt;=사용안내!$C$17)))</f>
        <v>0</v>
      </c>
      <c r="I120" s="7" t="str">
        <f aca="false">IF($H120=FALSE(),"",COUNTIF($H$6:$H120,TRUE()))</f>
        <v/>
      </c>
      <c r="J120" s="7" t="str">
        <f aca="false">IF($I120="","","R"&amp;$I120)</f>
        <v/>
      </c>
    </row>
    <row r="121" customFormat="false" ht="15" hidden="false" customHeight="true" outlineLevel="0" collapsed="false">
      <c r="H121" s="29" t="b">
        <f aca="false">IF(회원현황!$A121="",FALSE(),OR(AND(회원현황!$F121&gt;0,회원현황!$F121&lt;=사용안내!$C$18),AND(회원현황!$H121&lt;&gt;"",회원현황!$H121&gt;=0,회원현황!$H121&lt;=사용안내!$C$17)))</f>
        <v>0</v>
      </c>
      <c r="I121" s="7" t="str">
        <f aca="false">IF($H121=FALSE(),"",COUNTIF($H$6:$H121,TRUE()))</f>
        <v/>
      </c>
      <c r="J121" s="7" t="str">
        <f aca="false">IF($I121="","","R"&amp;$I121)</f>
        <v/>
      </c>
    </row>
    <row r="122" customFormat="false" ht="15" hidden="false" customHeight="true" outlineLevel="0" collapsed="false">
      <c r="H122" s="29" t="b">
        <f aca="false">IF(회원현황!$A122="",FALSE(),OR(AND(회원현황!$F122&gt;0,회원현황!$F122&lt;=사용안내!$C$18),AND(회원현황!$H122&lt;&gt;"",회원현황!$H122&gt;=0,회원현황!$H122&lt;=사용안내!$C$17)))</f>
        <v>0</v>
      </c>
      <c r="I122" s="7" t="str">
        <f aca="false">IF($H122=FALSE(),"",COUNTIF($H$6:$H122,TRUE()))</f>
        <v/>
      </c>
      <c r="J122" s="7" t="str">
        <f aca="false">IF($I122="","","R"&amp;$I122)</f>
        <v/>
      </c>
    </row>
    <row r="123" customFormat="false" ht="15" hidden="false" customHeight="true" outlineLevel="0" collapsed="false">
      <c r="H123" s="29" t="b">
        <f aca="false">IF(회원현황!$A123="",FALSE(),OR(AND(회원현황!$F123&gt;0,회원현황!$F123&lt;=사용안내!$C$18),AND(회원현황!$H123&lt;&gt;"",회원현황!$H123&gt;=0,회원현황!$H123&lt;=사용안내!$C$17)))</f>
        <v>0</v>
      </c>
      <c r="I123" s="7" t="str">
        <f aca="false">IF($H123=FALSE(),"",COUNTIF($H$6:$H123,TRUE()))</f>
        <v/>
      </c>
      <c r="J123" s="7" t="str">
        <f aca="false">IF($I123="","","R"&amp;$I123)</f>
        <v/>
      </c>
    </row>
    <row r="124" customFormat="false" ht="15" hidden="false" customHeight="true" outlineLevel="0" collapsed="false">
      <c r="H124" s="29" t="b">
        <f aca="false">IF(회원현황!$A124="",FALSE(),OR(AND(회원현황!$F124&gt;0,회원현황!$F124&lt;=사용안내!$C$18),AND(회원현황!$H124&lt;&gt;"",회원현황!$H124&gt;=0,회원현황!$H124&lt;=사용안내!$C$17)))</f>
        <v>0</v>
      </c>
      <c r="I124" s="7" t="str">
        <f aca="false">IF($H124=FALSE(),"",COUNTIF($H$6:$H124,TRUE()))</f>
        <v/>
      </c>
      <c r="J124" s="7" t="str">
        <f aca="false">IF($I124="","","R"&amp;$I124)</f>
        <v/>
      </c>
    </row>
    <row r="125" customFormat="false" ht="15" hidden="false" customHeight="true" outlineLevel="0" collapsed="false">
      <c r="H125" s="29" t="b">
        <f aca="false">IF(회원현황!$A125="",FALSE(),OR(AND(회원현황!$F125&gt;0,회원현황!$F125&lt;=사용안내!$C$18),AND(회원현황!$H125&lt;&gt;"",회원현황!$H125&gt;=0,회원현황!$H125&lt;=사용안내!$C$17)))</f>
        <v>0</v>
      </c>
      <c r="I125" s="7" t="str">
        <f aca="false">IF($H125=FALSE(),"",COUNTIF($H$6:$H125,TRUE()))</f>
        <v/>
      </c>
      <c r="J125" s="7" t="str">
        <f aca="false">IF($I125="","","R"&amp;$I125)</f>
        <v/>
      </c>
    </row>
    <row r="126" customFormat="false" ht="15" hidden="false" customHeight="true" outlineLevel="0" collapsed="false">
      <c r="H126" s="29" t="b">
        <f aca="false">IF(회원현황!$A126="",FALSE(),OR(AND(회원현황!$F126&gt;0,회원현황!$F126&lt;=사용안내!$C$18),AND(회원현황!$H126&lt;&gt;"",회원현황!$H126&gt;=0,회원현황!$H126&lt;=사용안내!$C$17)))</f>
        <v>0</v>
      </c>
      <c r="I126" s="7" t="str">
        <f aca="false">IF($H126=FALSE(),"",COUNTIF($H$6:$H126,TRUE()))</f>
        <v/>
      </c>
      <c r="J126" s="7" t="str">
        <f aca="false">IF($I126="","","R"&amp;$I126)</f>
        <v/>
      </c>
    </row>
    <row r="127" customFormat="false" ht="15" hidden="false" customHeight="true" outlineLevel="0" collapsed="false">
      <c r="H127" s="29" t="b">
        <f aca="false">IF(회원현황!$A127="",FALSE(),OR(AND(회원현황!$F127&gt;0,회원현황!$F127&lt;=사용안내!$C$18),AND(회원현황!$H127&lt;&gt;"",회원현황!$H127&gt;=0,회원현황!$H127&lt;=사용안내!$C$17)))</f>
        <v>0</v>
      </c>
      <c r="I127" s="7" t="str">
        <f aca="false">IF($H127=FALSE(),"",COUNTIF($H$6:$H127,TRUE()))</f>
        <v/>
      </c>
      <c r="J127" s="7" t="str">
        <f aca="false">IF($I127="","","R"&amp;$I127)</f>
        <v/>
      </c>
    </row>
    <row r="128" customFormat="false" ht="15" hidden="false" customHeight="true" outlineLevel="0" collapsed="false">
      <c r="H128" s="29" t="b">
        <f aca="false">IF(회원현황!$A128="",FALSE(),OR(AND(회원현황!$F128&gt;0,회원현황!$F128&lt;=사용안내!$C$18),AND(회원현황!$H128&lt;&gt;"",회원현황!$H128&gt;=0,회원현황!$H128&lt;=사용안내!$C$17)))</f>
        <v>0</v>
      </c>
      <c r="I128" s="7" t="str">
        <f aca="false">IF($H128=FALSE(),"",COUNTIF($H$6:$H128,TRUE()))</f>
        <v/>
      </c>
      <c r="J128" s="7" t="str">
        <f aca="false">IF($I128="","","R"&amp;$I128)</f>
        <v/>
      </c>
    </row>
    <row r="129" customFormat="false" ht="15" hidden="false" customHeight="true" outlineLevel="0" collapsed="false">
      <c r="H129" s="29" t="b">
        <f aca="false">IF(회원현황!$A129="",FALSE(),OR(AND(회원현황!$F129&gt;0,회원현황!$F129&lt;=사용안내!$C$18),AND(회원현황!$H129&lt;&gt;"",회원현황!$H129&gt;=0,회원현황!$H129&lt;=사용안내!$C$17)))</f>
        <v>0</v>
      </c>
      <c r="I129" s="7" t="str">
        <f aca="false">IF($H129=FALSE(),"",COUNTIF($H$6:$H129,TRUE()))</f>
        <v/>
      </c>
      <c r="J129" s="7" t="str">
        <f aca="false">IF($I129="","","R"&amp;$I129)</f>
        <v/>
      </c>
    </row>
    <row r="130" customFormat="false" ht="15" hidden="false" customHeight="true" outlineLevel="0" collapsed="false">
      <c r="H130" s="29" t="b">
        <f aca="false">IF(회원현황!$A130="",FALSE(),OR(AND(회원현황!$F130&gt;0,회원현황!$F130&lt;=사용안내!$C$18),AND(회원현황!$H130&lt;&gt;"",회원현황!$H130&gt;=0,회원현황!$H130&lt;=사용안내!$C$17)))</f>
        <v>0</v>
      </c>
      <c r="I130" s="7" t="str">
        <f aca="false">IF($H130=FALSE(),"",COUNTIF($H$6:$H130,TRUE()))</f>
        <v/>
      </c>
      <c r="J130" s="7" t="str">
        <f aca="false">IF($I130="","","R"&amp;$I130)</f>
        <v/>
      </c>
    </row>
    <row r="131" customFormat="false" ht="15" hidden="false" customHeight="true" outlineLevel="0" collapsed="false">
      <c r="H131" s="29" t="b">
        <f aca="false">IF(회원현황!$A131="",FALSE(),OR(AND(회원현황!$F131&gt;0,회원현황!$F131&lt;=사용안내!$C$18),AND(회원현황!$H131&lt;&gt;"",회원현황!$H131&gt;=0,회원현황!$H131&lt;=사용안내!$C$17)))</f>
        <v>0</v>
      </c>
      <c r="I131" s="7" t="str">
        <f aca="false">IF($H131=FALSE(),"",COUNTIF($H$6:$H131,TRUE()))</f>
        <v/>
      </c>
      <c r="J131" s="7" t="str">
        <f aca="false">IF($I131="","","R"&amp;$I131)</f>
        <v/>
      </c>
    </row>
    <row r="132" customFormat="false" ht="15" hidden="false" customHeight="true" outlineLevel="0" collapsed="false">
      <c r="H132" s="29" t="b">
        <f aca="false">IF(회원현황!$A132="",FALSE(),OR(AND(회원현황!$F132&gt;0,회원현황!$F132&lt;=사용안내!$C$18),AND(회원현황!$H132&lt;&gt;"",회원현황!$H132&gt;=0,회원현황!$H132&lt;=사용안내!$C$17)))</f>
        <v>0</v>
      </c>
      <c r="I132" s="7" t="str">
        <f aca="false">IF($H132=FALSE(),"",COUNTIF($H$6:$H132,TRUE()))</f>
        <v/>
      </c>
      <c r="J132" s="7" t="str">
        <f aca="false">IF($I132="","","R"&amp;$I132)</f>
        <v/>
      </c>
    </row>
    <row r="133" customFormat="false" ht="15" hidden="false" customHeight="true" outlineLevel="0" collapsed="false">
      <c r="H133" s="29" t="b">
        <f aca="false">IF(회원현황!$A133="",FALSE(),OR(AND(회원현황!$F133&gt;0,회원현황!$F133&lt;=사용안내!$C$18),AND(회원현황!$H133&lt;&gt;"",회원현황!$H133&gt;=0,회원현황!$H133&lt;=사용안내!$C$17)))</f>
        <v>0</v>
      </c>
      <c r="I133" s="7" t="str">
        <f aca="false">IF($H133=FALSE(),"",COUNTIF($H$6:$H133,TRUE()))</f>
        <v/>
      </c>
      <c r="J133" s="7" t="str">
        <f aca="false">IF($I133="","","R"&amp;$I133)</f>
        <v/>
      </c>
    </row>
    <row r="134" customFormat="false" ht="15" hidden="false" customHeight="true" outlineLevel="0" collapsed="false">
      <c r="H134" s="29" t="b">
        <f aca="false">IF(회원현황!$A134="",FALSE(),OR(AND(회원현황!$F134&gt;0,회원현황!$F134&lt;=사용안내!$C$18),AND(회원현황!$H134&lt;&gt;"",회원현황!$H134&gt;=0,회원현황!$H134&lt;=사용안내!$C$17)))</f>
        <v>0</v>
      </c>
      <c r="I134" s="7" t="str">
        <f aca="false">IF($H134=FALSE(),"",COUNTIF($H$6:$H134,TRUE()))</f>
        <v/>
      </c>
      <c r="J134" s="7" t="str">
        <f aca="false">IF($I134="","","R"&amp;$I134)</f>
        <v/>
      </c>
    </row>
    <row r="135" customFormat="false" ht="15" hidden="false" customHeight="true" outlineLevel="0" collapsed="false">
      <c r="H135" s="29" t="b">
        <f aca="false">IF(회원현황!$A135="",FALSE(),OR(AND(회원현황!$F135&gt;0,회원현황!$F135&lt;=사용안내!$C$18),AND(회원현황!$H135&lt;&gt;"",회원현황!$H135&gt;=0,회원현황!$H135&lt;=사용안내!$C$17)))</f>
        <v>0</v>
      </c>
      <c r="I135" s="7" t="str">
        <f aca="false">IF($H135=FALSE(),"",COUNTIF($H$6:$H135,TRUE()))</f>
        <v/>
      </c>
      <c r="J135" s="7" t="str">
        <f aca="false">IF($I135="","","R"&amp;$I135)</f>
        <v/>
      </c>
    </row>
    <row r="136" customFormat="false" ht="15" hidden="false" customHeight="true" outlineLevel="0" collapsed="false">
      <c r="H136" s="29" t="b">
        <f aca="false">IF(회원현황!$A136="",FALSE(),OR(AND(회원현황!$F136&gt;0,회원현황!$F136&lt;=사용안내!$C$18),AND(회원현황!$H136&lt;&gt;"",회원현황!$H136&gt;=0,회원현황!$H136&lt;=사용안내!$C$17)))</f>
        <v>0</v>
      </c>
      <c r="I136" s="7" t="str">
        <f aca="false">IF($H136=FALSE(),"",COUNTIF($H$6:$H136,TRUE()))</f>
        <v/>
      </c>
      <c r="J136" s="7" t="str">
        <f aca="false">IF($I136="","","R"&amp;$I136)</f>
        <v/>
      </c>
    </row>
    <row r="137" customFormat="false" ht="15" hidden="false" customHeight="true" outlineLevel="0" collapsed="false">
      <c r="H137" s="29" t="b">
        <f aca="false">IF(회원현황!$A137="",FALSE(),OR(AND(회원현황!$F137&gt;0,회원현황!$F137&lt;=사용안내!$C$18),AND(회원현황!$H137&lt;&gt;"",회원현황!$H137&gt;=0,회원현황!$H137&lt;=사용안내!$C$17)))</f>
        <v>0</v>
      </c>
      <c r="I137" s="7" t="str">
        <f aca="false">IF($H137=FALSE(),"",COUNTIF($H$6:$H137,TRUE()))</f>
        <v/>
      </c>
      <c r="J137" s="7" t="str">
        <f aca="false">IF($I137="","","R"&amp;$I137)</f>
        <v/>
      </c>
    </row>
    <row r="138" customFormat="false" ht="15" hidden="false" customHeight="true" outlineLevel="0" collapsed="false">
      <c r="H138" s="29" t="b">
        <f aca="false">IF(회원현황!$A138="",FALSE(),OR(AND(회원현황!$F138&gt;0,회원현황!$F138&lt;=사용안내!$C$18),AND(회원현황!$H138&lt;&gt;"",회원현황!$H138&gt;=0,회원현황!$H138&lt;=사용안내!$C$17)))</f>
        <v>0</v>
      </c>
      <c r="I138" s="7" t="str">
        <f aca="false">IF($H138=FALSE(),"",COUNTIF($H$6:$H138,TRUE()))</f>
        <v/>
      </c>
      <c r="J138" s="7" t="str">
        <f aca="false">IF($I138="","","R"&amp;$I138)</f>
        <v/>
      </c>
    </row>
    <row r="139" customFormat="false" ht="15" hidden="false" customHeight="true" outlineLevel="0" collapsed="false">
      <c r="H139" s="29" t="b">
        <f aca="false">IF(회원현황!$A139="",FALSE(),OR(AND(회원현황!$F139&gt;0,회원현황!$F139&lt;=사용안내!$C$18),AND(회원현황!$H139&lt;&gt;"",회원현황!$H139&gt;=0,회원현황!$H139&lt;=사용안내!$C$17)))</f>
        <v>0</v>
      </c>
      <c r="I139" s="7" t="str">
        <f aca="false">IF($H139=FALSE(),"",COUNTIF($H$6:$H139,TRUE()))</f>
        <v/>
      </c>
      <c r="J139" s="7" t="str">
        <f aca="false">IF($I139="","","R"&amp;$I139)</f>
        <v/>
      </c>
    </row>
    <row r="140" customFormat="false" ht="15" hidden="false" customHeight="true" outlineLevel="0" collapsed="false">
      <c r="H140" s="29" t="b">
        <f aca="false">IF(회원현황!$A140="",FALSE(),OR(AND(회원현황!$F140&gt;0,회원현황!$F140&lt;=사용안내!$C$18),AND(회원현황!$H140&lt;&gt;"",회원현황!$H140&gt;=0,회원현황!$H140&lt;=사용안내!$C$17)))</f>
        <v>0</v>
      </c>
      <c r="I140" s="7" t="str">
        <f aca="false">IF($H140=FALSE(),"",COUNTIF($H$6:$H140,TRUE()))</f>
        <v/>
      </c>
      <c r="J140" s="7" t="str">
        <f aca="false">IF($I140="","","R"&amp;$I140)</f>
        <v/>
      </c>
    </row>
    <row r="141" customFormat="false" ht="15" hidden="false" customHeight="true" outlineLevel="0" collapsed="false">
      <c r="H141" s="29" t="b">
        <f aca="false">IF(회원현황!$A141="",FALSE(),OR(AND(회원현황!$F141&gt;0,회원현황!$F141&lt;=사용안내!$C$18),AND(회원현황!$H141&lt;&gt;"",회원현황!$H141&gt;=0,회원현황!$H141&lt;=사용안내!$C$17)))</f>
        <v>0</v>
      </c>
      <c r="I141" s="7" t="str">
        <f aca="false">IF($H141=FALSE(),"",COUNTIF($H$6:$H141,TRUE()))</f>
        <v/>
      </c>
      <c r="J141" s="7" t="str">
        <f aca="false">IF($I141="","","R"&amp;$I141)</f>
        <v/>
      </c>
    </row>
    <row r="142" customFormat="false" ht="15" hidden="false" customHeight="true" outlineLevel="0" collapsed="false">
      <c r="H142" s="29" t="b">
        <f aca="false">IF(회원현황!$A142="",FALSE(),OR(AND(회원현황!$F142&gt;0,회원현황!$F142&lt;=사용안내!$C$18),AND(회원현황!$H142&lt;&gt;"",회원현황!$H142&gt;=0,회원현황!$H142&lt;=사용안내!$C$17)))</f>
        <v>0</v>
      </c>
      <c r="I142" s="7" t="str">
        <f aca="false">IF($H142=FALSE(),"",COUNTIF($H$6:$H142,TRUE()))</f>
        <v/>
      </c>
      <c r="J142" s="7" t="str">
        <f aca="false">IF($I142="","","R"&amp;$I142)</f>
        <v/>
      </c>
    </row>
    <row r="143" customFormat="false" ht="15" hidden="false" customHeight="true" outlineLevel="0" collapsed="false">
      <c r="H143" s="29" t="b">
        <f aca="false">IF(회원현황!$A143="",FALSE(),OR(AND(회원현황!$F143&gt;0,회원현황!$F143&lt;=사용안내!$C$18),AND(회원현황!$H143&lt;&gt;"",회원현황!$H143&gt;=0,회원현황!$H143&lt;=사용안내!$C$17)))</f>
        <v>0</v>
      </c>
      <c r="I143" s="7" t="str">
        <f aca="false">IF($H143=FALSE(),"",COUNTIF($H$6:$H143,TRUE()))</f>
        <v/>
      </c>
      <c r="J143" s="7" t="str">
        <f aca="false">IF($I143="","","R"&amp;$I143)</f>
        <v/>
      </c>
    </row>
    <row r="144" customFormat="false" ht="15" hidden="false" customHeight="true" outlineLevel="0" collapsed="false">
      <c r="H144" s="29" t="b">
        <f aca="false">IF(회원현황!$A144="",FALSE(),OR(AND(회원현황!$F144&gt;0,회원현황!$F144&lt;=사용안내!$C$18),AND(회원현황!$H144&lt;&gt;"",회원현황!$H144&gt;=0,회원현황!$H144&lt;=사용안내!$C$17)))</f>
        <v>0</v>
      </c>
      <c r="I144" s="7" t="str">
        <f aca="false">IF($H144=FALSE(),"",COUNTIF($H$6:$H144,TRUE()))</f>
        <v/>
      </c>
      <c r="J144" s="7" t="str">
        <f aca="false">IF($I144="","","R"&amp;$I144)</f>
        <v/>
      </c>
    </row>
    <row r="145" customFormat="false" ht="15" hidden="false" customHeight="true" outlineLevel="0" collapsed="false">
      <c r="H145" s="29" t="b">
        <f aca="false">IF(회원현황!$A145="",FALSE(),OR(AND(회원현황!$F145&gt;0,회원현황!$F145&lt;=사용안내!$C$18),AND(회원현황!$H145&lt;&gt;"",회원현황!$H145&gt;=0,회원현황!$H145&lt;=사용안내!$C$17)))</f>
        <v>0</v>
      </c>
      <c r="I145" s="7" t="str">
        <f aca="false">IF($H145=FALSE(),"",COUNTIF($H$6:$H145,TRUE()))</f>
        <v/>
      </c>
      <c r="J145" s="7" t="str">
        <f aca="false">IF($I145="","","R"&amp;$I145)</f>
        <v/>
      </c>
    </row>
    <row r="146" customFormat="false" ht="15" hidden="false" customHeight="true" outlineLevel="0" collapsed="false">
      <c r="H146" s="29" t="b">
        <f aca="false">IF(회원현황!$A146="",FALSE(),OR(AND(회원현황!$F146&gt;0,회원현황!$F146&lt;=사용안내!$C$18),AND(회원현황!$H146&lt;&gt;"",회원현황!$H146&gt;=0,회원현황!$H146&lt;=사용안내!$C$17)))</f>
        <v>0</v>
      </c>
      <c r="I146" s="7" t="str">
        <f aca="false">IF($H146=FALSE(),"",COUNTIF($H$6:$H146,TRUE()))</f>
        <v/>
      </c>
      <c r="J146" s="7" t="str">
        <f aca="false">IF($I146="","","R"&amp;$I146)</f>
        <v/>
      </c>
    </row>
    <row r="147" customFormat="false" ht="15" hidden="false" customHeight="true" outlineLevel="0" collapsed="false">
      <c r="H147" s="29" t="b">
        <f aca="false">IF(회원현황!$A147="",FALSE(),OR(AND(회원현황!$F147&gt;0,회원현황!$F147&lt;=사용안내!$C$18),AND(회원현황!$H147&lt;&gt;"",회원현황!$H147&gt;=0,회원현황!$H147&lt;=사용안내!$C$17)))</f>
        <v>0</v>
      </c>
      <c r="I147" s="7" t="str">
        <f aca="false">IF($H147=FALSE(),"",COUNTIF($H$6:$H147,TRUE()))</f>
        <v/>
      </c>
      <c r="J147" s="7" t="str">
        <f aca="false">IF($I147="","","R"&amp;$I147)</f>
        <v/>
      </c>
    </row>
    <row r="148" customFormat="false" ht="15" hidden="false" customHeight="true" outlineLevel="0" collapsed="false">
      <c r="H148" s="29" t="b">
        <f aca="false">IF(회원현황!$A148="",FALSE(),OR(AND(회원현황!$F148&gt;0,회원현황!$F148&lt;=사용안내!$C$18),AND(회원현황!$H148&lt;&gt;"",회원현황!$H148&gt;=0,회원현황!$H148&lt;=사용안내!$C$17)))</f>
        <v>0</v>
      </c>
      <c r="I148" s="7" t="str">
        <f aca="false">IF($H148=FALSE(),"",COUNTIF($H$6:$H148,TRUE()))</f>
        <v/>
      </c>
      <c r="J148" s="7" t="str">
        <f aca="false">IF($I148="","","R"&amp;$I148)</f>
        <v/>
      </c>
    </row>
    <row r="149" customFormat="false" ht="15" hidden="false" customHeight="true" outlineLevel="0" collapsed="false">
      <c r="H149" s="29" t="b">
        <f aca="false">IF(회원현황!$A149="",FALSE(),OR(AND(회원현황!$F149&gt;0,회원현황!$F149&lt;=사용안내!$C$18),AND(회원현황!$H149&lt;&gt;"",회원현황!$H149&gt;=0,회원현황!$H149&lt;=사용안내!$C$17)))</f>
        <v>0</v>
      </c>
      <c r="I149" s="7" t="str">
        <f aca="false">IF($H149=FALSE(),"",COUNTIF($H$6:$H149,TRUE()))</f>
        <v/>
      </c>
      <c r="J149" s="7" t="str">
        <f aca="false">IF($I149="","","R"&amp;$I149)</f>
        <v/>
      </c>
    </row>
    <row r="150" customFormat="false" ht="15" hidden="false" customHeight="true" outlineLevel="0" collapsed="false">
      <c r="H150" s="29" t="b">
        <f aca="false">IF(회원현황!$A150="",FALSE(),OR(AND(회원현황!$F150&gt;0,회원현황!$F150&lt;=사용안내!$C$18),AND(회원현황!$H150&lt;&gt;"",회원현황!$H150&gt;=0,회원현황!$H150&lt;=사용안내!$C$17)))</f>
        <v>0</v>
      </c>
      <c r="I150" s="7" t="str">
        <f aca="false">IF($H150=FALSE(),"",COUNTIF($H$6:$H150,TRUE()))</f>
        <v/>
      </c>
      <c r="J150" s="7" t="str">
        <f aca="false">IF($I150="","","R"&amp;$I150)</f>
        <v/>
      </c>
    </row>
    <row r="151" customFormat="false" ht="15" hidden="false" customHeight="true" outlineLevel="0" collapsed="false">
      <c r="H151" s="29" t="b">
        <f aca="false">IF(회원현황!$A151="",FALSE(),OR(AND(회원현황!$F151&gt;0,회원현황!$F151&lt;=사용안내!$C$18),AND(회원현황!$H151&lt;&gt;"",회원현황!$H151&gt;=0,회원현황!$H151&lt;=사용안내!$C$17)))</f>
        <v>0</v>
      </c>
      <c r="I151" s="7" t="str">
        <f aca="false">IF($H151=FALSE(),"",COUNTIF($H$6:$H151,TRUE()))</f>
        <v/>
      </c>
      <c r="J151" s="7" t="str">
        <f aca="false">IF($I151="","","R"&amp;$I151)</f>
        <v/>
      </c>
    </row>
    <row r="152" customFormat="false" ht="15" hidden="false" customHeight="true" outlineLevel="0" collapsed="false">
      <c r="H152" s="29" t="b">
        <f aca="false">IF(회원현황!$A152="",FALSE(),OR(AND(회원현황!$F152&gt;0,회원현황!$F152&lt;=사용안내!$C$18),AND(회원현황!$H152&lt;&gt;"",회원현황!$H152&gt;=0,회원현황!$H152&lt;=사용안내!$C$17)))</f>
        <v>0</v>
      </c>
      <c r="I152" s="7" t="str">
        <f aca="false">IF($H152=FALSE(),"",COUNTIF($H$6:$H152,TRUE()))</f>
        <v/>
      </c>
      <c r="J152" s="7" t="str">
        <f aca="false">IF($I152="","","R"&amp;$I152)</f>
        <v/>
      </c>
    </row>
    <row r="153" customFormat="false" ht="15" hidden="false" customHeight="true" outlineLevel="0" collapsed="false">
      <c r="H153" s="29" t="b">
        <f aca="false">IF(회원현황!$A153="",FALSE(),OR(AND(회원현황!$F153&gt;0,회원현황!$F153&lt;=사용안내!$C$18),AND(회원현황!$H153&lt;&gt;"",회원현황!$H153&gt;=0,회원현황!$H153&lt;=사용안내!$C$17)))</f>
        <v>0</v>
      </c>
      <c r="I153" s="7" t="str">
        <f aca="false">IF($H153=FALSE(),"",COUNTIF($H$6:$H153,TRUE()))</f>
        <v/>
      </c>
      <c r="J153" s="7" t="str">
        <f aca="false">IF($I153="","","R"&amp;$I153)</f>
        <v/>
      </c>
    </row>
    <row r="154" customFormat="false" ht="15" hidden="false" customHeight="true" outlineLevel="0" collapsed="false">
      <c r="H154" s="29" t="b">
        <f aca="false">IF(회원현황!$A154="",FALSE(),OR(AND(회원현황!$F154&gt;0,회원현황!$F154&lt;=사용안내!$C$18),AND(회원현황!$H154&lt;&gt;"",회원현황!$H154&gt;=0,회원현황!$H154&lt;=사용안내!$C$17)))</f>
        <v>0</v>
      </c>
      <c r="I154" s="7" t="str">
        <f aca="false">IF($H154=FALSE(),"",COUNTIF($H$6:$H154,TRUE()))</f>
        <v/>
      </c>
      <c r="J154" s="7" t="str">
        <f aca="false">IF($I154="","","R"&amp;$I154)</f>
        <v/>
      </c>
    </row>
    <row r="155" customFormat="false" ht="15" hidden="false" customHeight="true" outlineLevel="0" collapsed="false">
      <c r="H155" s="29" t="b">
        <f aca="false">IF(회원현황!$A155="",FALSE(),OR(AND(회원현황!$F155&gt;0,회원현황!$F155&lt;=사용안내!$C$18),AND(회원현황!$H155&lt;&gt;"",회원현황!$H155&gt;=0,회원현황!$H155&lt;=사용안내!$C$17)))</f>
        <v>0</v>
      </c>
      <c r="I155" s="7" t="str">
        <f aca="false">IF($H155=FALSE(),"",COUNTIF($H$6:$H155,TRUE()))</f>
        <v/>
      </c>
      <c r="J155" s="7" t="str">
        <f aca="false">IF($I155="","","R"&amp;$I155)</f>
        <v/>
      </c>
    </row>
    <row r="156" customFormat="false" ht="15" hidden="false" customHeight="true" outlineLevel="0" collapsed="false">
      <c r="H156" s="29" t="b">
        <f aca="false">IF(회원현황!$A156="",FALSE(),OR(AND(회원현황!$F156&gt;0,회원현황!$F156&lt;=사용안내!$C$18),AND(회원현황!$H156&lt;&gt;"",회원현황!$H156&gt;=0,회원현황!$H156&lt;=사용안내!$C$17)))</f>
        <v>0</v>
      </c>
      <c r="I156" s="7" t="str">
        <f aca="false">IF($H156=FALSE(),"",COUNTIF($H$6:$H156,TRUE()))</f>
        <v/>
      </c>
      <c r="J156" s="7" t="str">
        <f aca="false">IF($I156="","","R"&amp;$I156)</f>
        <v/>
      </c>
    </row>
    <row r="157" customFormat="false" ht="15" hidden="false" customHeight="true" outlineLevel="0" collapsed="false">
      <c r="H157" s="29" t="b">
        <f aca="false">IF(회원현황!$A157="",FALSE(),OR(AND(회원현황!$F157&gt;0,회원현황!$F157&lt;=사용안내!$C$18),AND(회원현황!$H157&lt;&gt;"",회원현황!$H157&gt;=0,회원현황!$H157&lt;=사용안내!$C$17)))</f>
        <v>0</v>
      </c>
      <c r="I157" s="7" t="str">
        <f aca="false">IF($H157=FALSE(),"",COUNTIF($H$6:$H157,TRUE()))</f>
        <v/>
      </c>
      <c r="J157" s="7" t="str">
        <f aca="false">IF($I157="","","R"&amp;$I157)</f>
        <v/>
      </c>
    </row>
    <row r="158" customFormat="false" ht="15" hidden="false" customHeight="true" outlineLevel="0" collapsed="false">
      <c r="H158" s="29" t="b">
        <f aca="false">IF(회원현황!$A158="",FALSE(),OR(AND(회원현황!$F158&gt;0,회원현황!$F158&lt;=사용안내!$C$18),AND(회원현황!$H158&lt;&gt;"",회원현황!$H158&gt;=0,회원현황!$H158&lt;=사용안내!$C$17)))</f>
        <v>0</v>
      </c>
      <c r="I158" s="7" t="str">
        <f aca="false">IF($H158=FALSE(),"",COUNTIF($H$6:$H158,TRUE()))</f>
        <v/>
      </c>
      <c r="J158" s="7" t="str">
        <f aca="false">IF($I158="","","R"&amp;$I158)</f>
        <v/>
      </c>
    </row>
    <row r="159" customFormat="false" ht="15" hidden="false" customHeight="true" outlineLevel="0" collapsed="false">
      <c r="H159" s="29" t="b">
        <f aca="false">IF(회원현황!$A159="",FALSE(),OR(AND(회원현황!$F159&gt;0,회원현황!$F159&lt;=사용안내!$C$18),AND(회원현황!$H159&lt;&gt;"",회원현황!$H159&gt;=0,회원현황!$H159&lt;=사용안내!$C$17)))</f>
        <v>0</v>
      </c>
      <c r="I159" s="7" t="str">
        <f aca="false">IF($H159=FALSE(),"",COUNTIF($H$6:$H159,TRUE()))</f>
        <v/>
      </c>
      <c r="J159" s="7" t="str">
        <f aca="false">IF($I159="","","R"&amp;$I159)</f>
        <v/>
      </c>
    </row>
    <row r="160" customFormat="false" ht="15" hidden="false" customHeight="true" outlineLevel="0" collapsed="false">
      <c r="H160" s="29" t="b">
        <f aca="false">IF(회원현황!$A160="",FALSE(),OR(AND(회원현황!$F160&gt;0,회원현황!$F160&lt;=사용안내!$C$18),AND(회원현황!$H160&lt;&gt;"",회원현황!$H160&gt;=0,회원현황!$H160&lt;=사용안내!$C$17)))</f>
        <v>0</v>
      </c>
      <c r="I160" s="7" t="str">
        <f aca="false">IF($H160=FALSE(),"",COUNTIF($H$6:$H160,TRUE()))</f>
        <v/>
      </c>
      <c r="J160" s="7" t="str">
        <f aca="false">IF($I160="","","R"&amp;$I160)</f>
        <v/>
      </c>
    </row>
    <row r="161" customFormat="false" ht="15" hidden="false" customHeight="true" outlineLevel="0" collapsed="false">
      <c r="H161" s="29" t="b">
        <f aca="false">IF(회원현황!$A161="",FALSE(),OR(AND(회원현황!$F161&gt;0,회원현황!$F161&lt;=사용안내!$C$18),AND(회원현황!$H161&lt;&gt;"",회원현황!$H161&gt;=0,회원현황!$H161&lt;=사용안내!$C$17)))</f>
        <v>0</v>
      </c>
      <c r="I161" s="7" t="str">
        <f aca="false">IF($H161=FALSE(),"",COUNTIF($H$6:$H161,TRUE()))</f>
        <v/>
      </c>
      <c r="J161" s="7" t="str">
        <f aca="false">IF($I161="","","R"&amp;$I161)</f>
        <v/>
      </c>
    </row>
    <row r="162" customFormat="false" ht="15" hidden="false" customHeight="true" outlineLevel="0" collapsed="false">
      <c r="H162" s="29" t="b">
        <f aca="false">IF(회원현황!$A162="",FALSE(),OR(AND(회원현황!$F162&gt;0,회원현황!$F162&lt;=사용안내!$C$18),AND(회원현황!$H162&lt;&gt;"",회원현황!$H162&gt;=0,회원현황!$H162&lt;=사용안내!$C$17)))</f>
        <v>0</v>
      </c>
      <c r="I162" s="7" t="str">
        <f aca="false">IF($H162=FALSE(),"",COUNTIF($H$6:$H162,TRUE()))</f>
        <v/>
      </c>
      <c r="J162" s="7" t="str">
        <f aca="false">IF($I162="","","R"&amp;$I162)</f>
        <v/>
      </c>
    </row>
    <row r="163" customFormat="false" ht="15" hidden="false" customHeight="true" outlineLevel="0" collapsed="false">
      <c r="H163" s="29" t="b">
        <f aca="false">IF(회원현황!$A163="",FALSE(),OR(AND(회원현황!$F163&gt;0,회원현황!$F163&lt;=사용안내!$C$18),AND(회원현황!$H163&lt;&gt;"",회원현황!$H163&gt;=0,회원현황!$H163&lt;=사용안내!$C$17)))</f>
        <v>0</v>
      </c>
      <c r="I163" s="7" t="str">
        <f aca="false">IF($H163=FALSE(),"",COUNTIF($H$6:$H163,TRUE()))</f>
        <v/>
      </c>
      <c r="J163" s="7" t="str">
        <f aca="false">IF($I163="","","R"&amp;$I163)</f>
        <v/>
      </c>
    </row>
    <row r="164" customFormat="false" ht="15" hidden="false" customHeight="true" outlineLevel="0" collapsed="false">
      <c r="H164" s="29" t="b">
        <f aca="false">IF(회원현황!$A164="",FALSE(),OR(AND(회원현황!$F164&gt;0,회원현황!$F164&lt;=사용안내!$C$18),AND(회원현황!$H164&lt;&gt;"",회원현황!$H164&gt;=0,회원현황!$H164&lt;=사용안내!$C$17)))</f>
        <v>0</v>
      </c>
      <c r="I164" s="7" t="str">
        <f aca="false">IF($H164=FALSE(),"",COUNTIF($H$6:$H164,TRUE()))</f>
        <v/>
      </c>
      <c r="J164" s="7" t="str">
        <f aca="false">IF($I164="","","R"&amp;$I164)</f>
        <v/>
      </c>
    </row>
    <row r="165" customFormat="false" ht="15" hidden="false" customHeight="true" outlineLevel="0" collapsed="false">
      <c r="H165" s="29" t="b">
        <f aca="false">IF(회원현황!$A165="",FALSE(),OR(AND(회원현황!$F165&gt;0,회원현황!$F165&lt;=사용안내!$C$18),AND(회원현황!$H165&lt;&gt;"",회원현황!$H165&gt;=0,회원현황!$H165&lt;=사용안내!$C$17)))</f>
        <v>0</v>
      </c>
      <c r="I165" s="7" t="str">
        <f aca="false">IF($H165=FALSE(),"",COUNTIF($H$6:$H165,TRUE()))</f>
        <v/>
      </c>
      <c r="J165" s="7" t="str">
        <f aca="false">IF($I165="","","R"&amp;$I165)</f>
        <v/>
      </c>
    </row>
    <row r="166" customFormat="false" ht="15" hidden="false" customHeight="true" outlineLevel="0" collapsed="false">
      <c r="H166" s="29" t="b">
        <f aca="false">IF(회원현황!$A166="",FALSE(),OR(AND(회원현황!$F166&gt;0,회원현황!$F166&lt;=사용안내!$C$18),AND(회원현황!$H166&lt;&gt;"",회원현황!$H166&gt;=0,회원현황!$H166&lt;=사용안내!$C$17)))</f>
        <v>0</v>
      </c>
      <c r="I166" s="7" t="str">
        <f aca="false">IF($H166=FALSE(),"",COUNTIF($H$6:$H166,TRUE()))</f>
        <v/>
      </c>
      <c r="J166" s="7" t="str">
        <f aca="false">IF($I166="","","R"&amp;$I166)</f>
        <v/>
      </c>
    </row>
    <row r="167" customFormat="false" ht="15" hidden="false" customHeight="true" outlineLevel="0" collapsed="false">
      <c r="H167" s="29" t="b">
        <f aca="false">IF(회원현황!$A167="",FALSE(),OR(AND(회원현황!$F167&gt;0,회원현황!$F167&lt;=사용안내!$C$18),AND(회원현황!$H167&lt;&gt;"",회원현황!$H167&gt;=0,회원현황!$H167&lt;=사용안내!$C$17)))</f>
        <v>0</v>
      </c>
      <c r="I167" s="7" t="str">
        <f aca="false">IF($H167=FALSE(),"",COUNTIF($H$6:$H167,TRUE()))</f>
        <v/>
      </c>
      <c r="J167" s="7" t="str">
        <f aca="false">IF($I167="","","R"&amp;$I167)</f>
        <v/>
      </c>
    </row>
    <row r="168" customFormat="false" ht="15" hidden="false" customHeight="true" outlineLevel="0" collapsed="false">
      <c r="H168" s="29" t="b">
        <f aca="false">IF(회원현황!$A168="",FALSE(),OR(AND(회원현황!$F168&gt;0,회원현황!$F168&lt;=사용안내!$C$18),AND(회원현황!$H168&lt;&gt;"",회원현황!$H168&gt;=0,회원현황!$H168&lt;=사용안내!$C$17)))</f>
        <v>0</v>
      </c>
      <c r="I168" s="7" t="str">
        <f aca="false">IF($H168=FALSE(),"",COUNTIF($H$6:$H168,TRUE()))</f>
        <v/>
      </c>
      <c r="J168" s="7" t="str">
        <f aca="false">IF($I168="","","R"&amp;$I168)</f>
        <v/>
      </c>
    </row>
    <row r="169" customFormat="false" ht="15" hidden="false" customHeight="true" outlineLevel="0" collapsed="false">
      <c r="H169" s="29" t="b">
        <f aca="false">IF(회원현황!$A169="",FALSE(),OR(AND(회원현황!$F169&gt;0,회원현황!$F169&lt;=사용안내!$C$18),AND(회원현황!$H169&lt;&gt;"",회원현황!$H169&gt;=0,회원현황!$H169&lt;=사용안내!$C$17)))</f>
        <v>0</v>
      </c>
      <c r="I169" s="7" t="str">
        <f aca="false">IF($H169=FALSE(),"",COUNTIF($H$6:$H169,TRUE()))</f>
        <v/>
      </c>
      <c r="J169" s="7" t="str">
        <f aca="false">IF($I169="","","R"&amp;$I169)</f>
        <v/>
      </c>
    </row>
    <row r="170" customFormat="false" ht="15" hidden="false" customHeight="true" outlineLevel="0" collapsed="false">
      <c r="H170" s="29" t="b">
        <f aca="false">IF(회원현황!$A170="",FALSE(),OR(AND(회원현황!$F170&gt;0,회원현황!$F170&lt;=사용안내!$C$18),AND(회원현황!$H170&lt;&gt;"",회원현황!$H170&gt;=0,회원현황!$H170&lt;=사용안내!$C$17)))</f>
        <v>0</v>
      </c>
      <c r="I170" s="7" t="str">
        <f aca="false">IF($H170=FALSE(),"",COUNTIF($H$6:$H170,TRUE()))</f>
        <v/>
      </c>
      <c r="J170" s="7" t="str">
        <f aca="false">IF($I170="","","R"&amp;$I170)</f>
        <v/>
      </c>
    </row>
    <row r="171" customFormat="false" ht="15" hidden="false" customHeight="true" outlineLevel="0" collapsed="false">
      <c r="H171" s="29" t="b">
        <f aca="false">IF(회원현황!$A171="",FALSE(),OR(AND(회원현황!$F171&gt;0,회원현황!$F171&lt;=사용안내!$C$18),AND(회원현황!$H171&lt;&gt;"",회원현황!$H171&gt;=0,회원현황!$H171&lt;=사용안내!$C$17)))</f>
        <v>0</v>
      </c>
      <c r="I171" s="7" t="str">
        <f aca="false">IF($H171=FALSE(),"",COUNTIF($H$6:$H171,TRUE()))</f>
        <v/>
      </c>
      <c r="J171" s="7" t="str">
        <f aca="false">IF($I171="","","R"&amp;$I171)</f>
        <v/>
      </c>
    </row>
    <row r="172" customFormat="false" ht="15" hidden="false" customHeight="true" outlineLevel="0" collapsed="false">
      <c r="H172" s="29" t="b">
        <f aca="false">IF(회원현황!$A172="",FALSE(),OR(AND(회원현황!$F172&gt;0,회원현황!$F172&lt;=사용안내!$C$18),AND(회원현황!$H172&lt;&gt;"",회원현황!$H172&gt;=0,회원현황!$H172&lt;=사용안내!$C$17)))</f>
        <v>0</v>
      </c>
      <c r="I172" s="7" t="str">
        <f aca="false">IF($H172=FALSE(),"",COUNTIF($H$6:$H172,TRUE()))</f>
        <v/>
      </c>
      <c r="J172" s="7" t="str">
        <f aca="false">IF($I172="","","R"&amp;$I172)</f>
        <v/>
      </c>
    </row>
    <row r="173" customFormat="false" ht="15" hidden="false" customHeight="true" outlineLevel="0" collapsed="false">
      <c r="H173" s="29" t="b">
        <f aca="false">IF(회원현황!$A173="",FALSE(),OR(AND(회원현황!$F173&gt;0,회원현황!$F173&lt;=사용안내!$C$18),AND(회원현황!$H173&lt;&gt;"",회원현황!$H173&gt;=0,회원현황!$H173&lt;=사용안내!$C$17)))</f>
        <v>0</v>
      </c>
      <c r="I173" s="7" t="str">
        <f aca="false">IF($H173=FALSE(),"",COUNTIF($H$6:$H173,TRUE()))</f>
        <v/>
      </c>
      <c r="J173" s="7" t="str">
        <f aca="false">IF($I173="","","R"&amp;$I173)</f>
        <v/>
      </c>
    </row>
    <row r="174" customFormat="false" ht="15" hidden="false" customHeight="true" outlineLevel="0" collapsed="false">
      <c r="H174" s="29" t="b">
        <f aca="false">IF(회원현황!$A174="",FALSE(),OR(AND(회원현황!$F174&gt;0,회원현황!$F174&lt;=사용안내!$C$18),AND(회원현황!$H174&lt;&gt;"",회원현황!$H174&gt;=0,회원현황!$H174&lt;=사용안내!$C$17)))</f>
        <v>0</v>
      </c>
      <c r="I174" s="7" t="str">
        <f aca="false">IF($H174=FALSE(),"",COUNTIF($H$6:$H174,TRUE()))</f>
        <v/>
      </c>
      <c r="J174" s="7" t="str">
        <f aca="false">IF($I174="","","R"&amp;$I174)</f>
        <v/>
      </c>
    </row>
    <row r="175" customFormat="false" ht="15" hidden="false" customHeight="true" outlineLevel="0" collapsed="false">
      <c r="H175" s="29" t="b">
        <f aca="false">IF(회원현황!$A175="",FALSE(),OR(AND(회원현황!$F175&gt;0,회원현황!$F175&lt;=사용안내!$C$18),AND(회원현황!$H175&lt;&gt;"",회원현황!$H175&gt;=0,회원현황!$H175&lt;=사용안내!$C$17)))</f>
        <v>0</v>
      </c>
      <c r="I175" s="7" t="str">
        <f aca="false">IF($H175=FALSE(),"",COUNTIF($H$6:$H175,TRUE()))</f>
        <v/>
      </c>
      <c r="J175" s="7" t="str">
        <f aca="false">IF($I175="","","R"&amp;$I175)</f>
        <v/>
      </c>
    </row>
    <row r="176" customFormat="false" ht="15" hidden="false" customHeight="true" outlineLevel="0" collapsed="false">
      <c r="H176" s="29" t="b">
        <f aca="false">IF(회원현황!$A176="",FALSE(),OR(AND(회원현황!$F176&gt;0,회원현황!$F176&lt;=사용안내!$C$18),AND(회원현황!$H176&lt;&gt;"",회원현황!$H176&gt;=0,회원현황!$H176&lt;=사용안내!$C$17)))</f>
        <v>0</v>
      </c>
      <c r="I176" s="7" t="str">
        <f aca="false">IF($H176=FALSE(),"",COUNTIF($H$6:$H176,TRUE()))</f>
        <v/>
      </c>
      <c r="J176" s="7" t="str">
        <f aca="false">IF($I176="","","R"&amp;$I176)</f>
        <v/>
      </c>
    </row>
    <row r="177" customFormat="false" ht="15" hidden="false" customHeight="true" outlineLevel="0" collapsed="false">
      <c r="H177" s="29" t="b">
        <f aca="false">IF(회원현황!$A177="",FALSE(),OR(AND(회원현황!$F177&gt;0,회원현황!$F177&lt;=사용안내!$C$18),AND(회원현황!$H177&lt;&gt;"",회원현황!$H177&gt;=0,회원현황!$H177&lt;=사용안내!$C$17)))</f>
        <v>0</v>
      </c>
      <c r="I177" s="7" t="str">
        <f aca="false">IF($H177=FALSE(),"",COUNTIF($H$6:$H177,TRUE()))</f>
        <v/>
      </c>
      <c r="J177" s="7" t="str">
        <f aca="false">IF($I177="","","R"&amp;$I177)</f>
        <v/>
      </c>
    </row>
    <row r="178" customFormat="false" ht="15" hidden="false" customHeight="true" outlineLevel="0" collapsed="false">
      <c r="H178" s="29" t="b">
        <f aca="false">IF(회원현황!$A178="",FALSE(),OR(AND(회원현황!$F178&gt;0,회원현황!$F178&lt;=사용안내!$C$18),AND(회원현황!$H178&lt;&gt;"",회원현황!$H178&gt;=0,회원현황!$H178&lt;=사용안내!$C$17)))</f>
        <v>0</v>
      </c>
      <c r="I178" s="7" t="str">
        <f aca="false">IF($H178=FALSE(),"",COUNTIF($H$6:$H178,TRUE()))</f>
        <v/>
      </c>
      <c r="J178" s="7" t="str">
        <f aca="false">IF($I178="","","R"&amp;$I178)</f>
        <v/>
      </c>
    </row>
    <row r="179" customFormat="false" ht="15" hidden="false" customHeight="true" outlineLevel="0" collapsed="false">
      <c r="H179" s="29" t="b">
        <f aca="false">IF(회원현황!$A179="",FALSE(),OR(AND(회원현황!$F179&gt;0,회원현황!$F179&lt;=사용안내!$C$18),AND(회원현황!$H179&lt;&gt;"",회원현황!$H179&gt;=0,회원현황!$H179&lt;=사용안내!$C$17)))</f>
        <v>0</v>
      </c>
      <c r="I179" s="7" t="str">
        <f aca="false">IF($H179=FALSE(),"",COUNTIF($H$6:$H179,TRUE()))</f>
        <v/>
      </c>
      <c r="J179" s="7" t="str">
        <f aca="false">IF($I179="","","R"&amp;$I179)</f>
        <v/>
      </c>
    </row>
    <row r="180" customFormat="false" ht="15" hidden="false" customHeight="true" outlineLevel="0" collapsed="false">
      <c r="H180" s="29" t="b">
        <f aca="false">IF(회원현황!$A180="",FALSE(),OR(AND(회원현황!$F180&gt;0,회원현황!$F180&lt;=사용안내!$C$18),AND(회원현황!$H180&lt;&gt;"",회원현황!$H180&gt;=0,회원현황!$H180&lt;=사용안내!$C$17)))</f>
        <v>0</v>
      </c>
      <c r="I180" s="7" t="str">
        <f aca="false">IF($H180=FALSE(),"",COUNTIF($H$6:$H180,TRUE()))</f>
        <v/>
      </c>
      <c r="J180" s="7" t="str">
        <f aca="false">IF($I180="","","R"&amp;$I180)</f>
        <v/>
      </c>
    </row>
    <row r="181" customFormat="false" ht="15" hidden="false" customHeight="true" outlineLevel="0" collapsed="false">
      <c r="H181" s="29" t="b">
        <f aca="false">IF(회원현황!$A181="",FALSE(),OR(AND(회원현황!$F181&gt;0,회원현황!$F181&lt;=사용안내!$C$18),AND(회원현황!$H181&lt;&gt;"",회원현황!$H181&gt;=0,회원현황!$H181&lt;=사용안내!$C$17)))</f>
        <v>0</v>
      </c>
      <c r="I181" s="7" t="str">
        <f aca="false">IF($H181=FALSE(),"",COUNTIF($H$6:$H181,TRUE()))</f>
        <v/>
      </c>
      <c r="J181" s="7" t="str">
        <f aca="false">IF($I181="","","R"&amp;$I181)</f>
        <v/>
      </c>
    </row>
    <row r="182" customFormat="false" ht="15" hidden="false" customHeight="true" outlineLevel="0" collapsed="false">
      <c r="H182" s="29" t="b">
        <f aca="false">IF(회원현황!$A182="",FALSE(),OR(AND(회원현황!$F182&gt;0,회원현황!$F182&lt;=사용안내!$C$18),AND(회원현황!$H182&lt;&gt;"",회원현황!$H182&gt;=0,회원현황!$H182&lt;=사용안내!$C$17)))</f>
        <v>0</v>
      </c>
      <c r="I182" s="7" t="str">
        <f aca="false">IF($H182=FALSE(),"",COUNTIF($H$6:$H182,TRUE()))</f>
        <v/>
      </c>
      <c r="J182" s="7" t="str">
        <f aca="false">IF($I182="","","R"&amp;$I182)</f>
        <v/>
      </c>
    </row>
    <row r="183" customFormat="false" ht="15" hidden="false" customHeight="true" outlineLevel="0" collapsed="false">
      <c r="H183" s="29" t="b">
        <f aca="false">IF(회원현황!$A183="",FALSE(),OR(AND(회원현황!$F183&gt;0,회원현황!$F183&lt;=사용안내!$C$18),AND(회원현황!$H183&lt;&gt;"",회원현황!$H183&gt;=0,회원현황!$H183&lt;=사용안내!$C$17)))</f>
        <v>0</v>
      </c>
      <c r="I183" s="7" t="str">
        <f aca="false">IF($H183=FALSE(),"",COUNTIF($H$6:$H183,TRUE()))</f>
        <v/>
      </c>
      <c r="J183" s="7" t="str">
        <f aca="false">IF($I183="","","R"&amp;$I183)</f>
        <v/>
      </c>
    </row>
    <row r="184" customFormat="false" ht="15" hidden="false" customHeight="true" outlineLevel="0" collapsed="false">
      <c r="H184" s="29" t="b">
        <f aca="false">IF(회원현황!$A184="",FALSE(),OR(AND(회원현황!$F184&gt;0,회원현황!$F184&lt;=사용안내!$C$18),AND(회원현황!$H184&lt;&gt;"",회원현황!$H184&gt;=0,회원현황!$H184&lt;=사용안내!$C$17)))</f>
        <v>0</v>
      </c>
      <c r="I184" s="7" t="str">
        <f aca="false">IF($H184=FALSE(),"",COUNTIF($H$6:$H184,TRUE()))</f>
        <v/>
      </c>
      <c r="J184" s="7" t="str">
        <f aca="false">IF($I184="","","R"&amp;$I184)</f>
        <v/>
      </c>
    </row>
    <row r="185" customFormat="false" ht="15" hidden="false" customHeight="true" outlineLevel="0" collapsed="false">
      <c r="H185" s="29" t="b">
        <f aca="false">IF(회원현황!$A185="",FALSE(),OR(AND(회원현황!$F185&gt;0,회원현황!$F185&lt;=사용안내!$C$18),AND(회원현황!$H185&lt;&gt;"",회원현황!$H185&gt;=0,회원현황!$H185&lt;=사용안내!$C$17)))</f>
        <v>0</v>
      </c>
      <c r="I185" s="7" t="str">
        <f aca="false">IF($H185=FALSE(),"",COUNTIF($H$6:$H185,TRUE()))</f>
        <v/>
      </c>
      <c r="J185" s="7" t="str">
        <f aca="false">IF($I185="","","R"&amp;$I185)</f>
        <v/>
      </c>
    </row>
    <row r="186" customFormat="false" ht="15" hidden="false" customHeight="true" outlineLevel="0" collapsed="false">
      <c r="H186" s="29" t="b">
        <f aca="false">IF(회원현황!$A186="",FALSE(),OR(AND(회원현황!$F186&gt;0,회원현황!$F186&lt;=사용안내!$C$18),AND(회원현황!$H186&lt;&gt;"",회원현황!$H186&gt;=0,회원현황!$H186&lt;=사용안내!$C$17)))</f>
        <v>0</v>
      </c>
      <c r="I186" s="7" t="str">
        <f aca="false">IF($H186=FALSE(),"",COUNTIF($H$6:$H186,TRUE()))</f>
        <v/>
      </c>
      <c r="J186" s="7" t="str">
        <f aca="false">IF($I186="","","R"&amp;$I186)</f>
        <v/>
      </c>
    </row>
    <row r="187" customFormat="false" ht="15" hidden="false" customHeight="true" outlineLevel="0" collapsed="false">
      <c r="H187" s="29" t="b">
        <f aca="false">IF(회원현황!$A187="",FALSE(),OR(AND(회원현황!$F187&gt;0,회원현황!$F187&lt;=사용안내!$C$18),AND(회원현황!$H187&lt;&gt;"",회원현황!$H187&gt;=0,회원현황!$H187&lt;=사용안내!$C$17)))</f>
        <v>0</v>
      </c>
      <c r="I187" s="7" t="str">
        <f aca="false">IF($H187=FALSE(),"",COUNTIF($H$6:$H187,TRUE()))</f>
        <v/>
      </c>
      <c r="J187" s="7" t="str">
        <f aca="false">IF($I187="","","R"&amp;$I187)</f>
        <v/>
      </c>
    </row>
    <row r="188" customFormat="false" ht="15" hidden="false" customHeight="true" outlineLevel="0" collapsed="false">
      <c r="H188" s="29" t="b">
        <f aca="false">IF(회원현황!$A188="",FALSE(),OR(AND(회원현황!$F188&gt;0,회원현황!$F188&lt;=사용안내!$C$18),AND(회원현황!$H188&lt;&gt;"",회원현황!$H188&gt;=0,회원현황!$H188&lt;=사용안내!$C$17)))</f>
        <v>0</v>
      </c>
      <c r="I188" s="7" t="str">
        <f aca="false">IF($H188=FALSE(),"",COUNTIF($H$6:$H188,TRUE()))</f>
        <v/>
      </c>
      <c r="J188" s="7" t="str">
        <f aca="false">IF($I188="","","R"&amp;$I188)</f>
        <v/>
      </c>
    </row>
    <row r="189" customFormat="false" ht="15" hidden="false" customHeight="true" outlineLevel="0" collapsed="false">
      <c r="H189" s="29" t="b">
        <f aca="false">IF(회원현황!$A189="",FALSE(),OR(AND(회원현황!$F189&gt;0,회원현황!$F189&lt;=사용안내!$C$18),AND(회원현황!$H189&lt;&gt;"",회원현황!$H189&gt;=0,회원현황!$H189&lt;=사용안내!$C$17)))</f>
        <v>0</v>
      </c>
      <c r="I189" s="7" t="str">
        <f aca="false">IF($H189=FALSE(),"",COUNTIF($H$6:$H189,TRUE()))</f>
        <v/>
      </c>
      <c r="J189" s="7" t="str">
        <f aca="false">IF($I189="","","R"&amp;$I189)</f>
        <v/>
      </c>
    </row>
    <row r="190" customFormat="false" ht="15" hidden="false" customHeight="true" outlineLevel="0" collapsed="false">
      <c r="H190" s="29" t="b">
        <f aca="false">IF(회원현황!$A190="",FALSE(),OR(AND(회원현황!$F190&gt;0,회원현황!$F190&lt;=사용안내!$C$18),AND(회원현황!$H190&lt;&gt;"",회원현황!$H190&gt;=0,회원현황!$H190&lt;=사용안내!$C$17)))</f>
        <v>0</v>
      </c>
      <c r="I190" s="7" t="str">
        <f aca="false">IF($H190=FALSE(),"",COUNTIF($H$6:$H190,TRUE()))</f>
        <v/>
      </c>
      <c r="J190" s="7" t="str">
        <f aca="false">IF($I190="","","R"&amp;$I190)</f>
        <v/>
      </c>
    </row>
    <row r="191" customFormat="false" ht="15" hidden="false" customHeight="true" outlineLevel="0" collapsed="false">
      <c r="H191" s="29" t="b">
        <f aca="false">IF(회원현황!$A191="",FALSE(),OR(AND(회원현황!$F191&gt;0,회원현황!$F191&lt;=사용안내!$C$18),AND(회원현황!$H191&lt;&gt;"",회원현황!$H191&gt;=0,회원현황!$H191&lt;=사용안내!$C$17)))</f>
        <v>0</v>
      </c>
      <c r="I191" s="7" t="str">
        <f aca="false">IF($H191=FALSE(),"",COUNTIF($H$6:$H191,TRUE()))</f>
        <v/>
      </c>
      <c r="J191" s="7" t="str">
        <f aca="false">IF($I191="","","R"&amp;$I191)</f>
        <v/>
      </c>
    </row>
    <row r="192" customFormat="false" ht="15" hidden="false" customHeight="true" outlineLevel="0" collapsed="false">
      <c r="H192" s="29" t="b">
        <f aca="false">IF(회원현황!$A192="",FALSE(),OR(AND(회원현황!$F192&gt;0,회원현황!$F192&lt;=사용안내!$C$18),AND(회원현황!$H192&lt;&gt;"",회원현황!$H192&gt;=0,회원현황!$H192&lt;=사용안내!$C$17)))</f>
        <v>0</v>
      </c>
      <c r="I192" s="7" t="str">
        <f aca="false">IF($H192=FALSE(),"",COUNTIF($H$6:$H192,TRUE()))</f>
        <v/>
      </c>
      <c r="J192" s="7" t="str">
        <f aca="false">IF($I192="","","R"&amp;$I192)</f>
        <v/>
      </c>
    </row>
    <row r="193" customFormat="false" ht="15" hidden="false" customHeight="true" outlineLevel="0" collapsed="false">
      <c r="H193" s="29" t="b">
        <f aca="false">IF(회원현황!$A193="",FALSE(),OR(AND(회원현황!$F193&gt;0,회원현황!$F193&lt;=사용안내!$C$18),AND(회원현황!$H193&lt;&gt;"",회원현황!$H193&gt;=0,회원현황!$H193&lt;=사용안내!$C$17)))</f>
        <v>0</v>
      </c>
      <c r="I193" s="7" t="str">
        <f aca="false">IF($H193=FALSE(),"",COUNTIF($H$6:$H193,TRUE()))</f>
        <v/>
      </c>
      <c r="J193" s="7" t="str">
        <f aca="false">IF($I193="","","R"&amp;$I193)</f>
        <v/>
      </c>
    </row>
    <row r="194" customFormat="false" ht="15" hidden="false" customHeight="true" outlineLevel="0" collapsed="false">
      <c r="H194" s="29" t="b">
        <f aca="false">IF(회원현황!$A194="",FALSE(),OR(AND(회원현황!$F194&gt;0,회원현황!$F194&lt;=사용안내!$C$18),AND(회원현황!$H194&lt;&gt;"",회원현황!$H194&gt;=0,회원현황!$H194&lt;=사용안내!$C$17)))</f>
        <v>0</v>
      </c>
      <c r="I194" s="7" t="str">
        <f aca="false">IF($H194=FALSE(),"",COUNTIF($H$6:$H194,TRUE()))</f>
        <v/>
      </c>
      <c r="J194" s="7" t="str">
        <f aca="false">IF($I194="","","R"&amp;$I194)</f>
        <v/>
      </c>
    </row>
    <row r="195" customFormat="false" ht="15" hidden="false" customHeight="true" outlineLevel="0" collapsed="false">
      <c r="H195" s="29" t="b">
        <f aca="false">IF(회원현황!$A195="",FALSE(),OR(AND(회원현황!$F195&gt;0,회원현황!$F195&lt;=사용안내!$C$18),AND(회원현황!$H195&lt;&gt;"",회원현황!$H195&gt;=0,회원현황!$H195&lt;=사용안내!$C$17)))</f>
        <v>0</v>
      </c>
      <c r="I195" s="7" t="str">
        <f aca="false">IF($H195=FALSE(),"",COUNTIF($H$6:$H195,TRUE()))</f>
        <v/>
      </c>
      <c r="J195" s="7" t="str">
        <f aca="false">IF($I195="","","R"&amp;$I195)</f>
        <v/>
      </c>
    </row>
    <row r="196" customFormat="false" ht="15" hidden="false" customHeight="true" outlineLevel="0" collapsed="false">
      <c r="H196" s="29" t="b">
        <f aca="false">IF(회원현황!$A196="",FALSE(),OR(AND(회원현황!$F196&gt;0,회원현황!$F196&lt;=사용안내!$C$18),AND(회원현황!$H196&lt;&gt;"",회원현황!$H196&gt;=0,회원현황!$H196&lt;=사용안내!$C$17)))</f>
        <v>0</v>
      </c>
      <c r="I196" s="7" t="str">
        <f aca="false">IF($H196=FALSE(),"",COUNTIF($H$6:$H196,TRUE()))</f>
        <v/>
      </c>
      <c r="J196" s="7" t="str">
        <f aca="false">IF($I196="","","R"&amp;$I196)</f>
        <v/>
      </c>
    </row>
    <row r="197" customFormat="false" ht="15" hidden="false" customHeight="true" outlineLevel="0" collapsed="false">
      <c r="H197" s="29" t="b">
        <f aca="false">IF(회원현황!$A197="",FALSE(),OR(AND(회원현황!$F197&gt;0,회원현황!$F197&lt;=사용안내!$C$18),AND(회원현황!$H197&lt;&gt;"",회원현황!$H197&gt;=0,회원현황!$H197&lt;=사용안내!$C$17)))</f>
        <v>0</v>
      </c>
      <c r="I197" s="7" t="str">
        <f aca="false">IF($H197=FALSE(),"",COUNTIF($H$6:$H197,TRUE()))</f>
        <v/>
      </c>
      <c r="J197" s="7" t="str">
        <f aca="false">IF($I197="","","R"&amp;$I197)</f>
        <v/>
      </c>
    </row>
    <row r="198" customFormat="false" ht="15" hidden="false" customHeight="true" outlineLevel="0" collapsed="false">
      <c r="H198" s="29" t="b">
        <f aca="false">IF(회원현황!$A198="",FALSE(),OR(AND(회원현황!$F198&gt;0,회원현황!$F198&lt;=사용안내!$C$18),AND(회원현황!$H198&lt;&gt;"",회원현황!$H198&gt;=0,회원현황!$H198&lt;=사용안내!$C$17)))</f>
        <v>0</v>
      </c>
      <c r="I198" s="7" t="str">
        <f aca="false">IF($H198=FALSE(),"",COUNTIF($H$6:$H198,TRUE()))</f>
        <v/>
      </c>
      <c r="J198" s="7" t="str">
        <f aca="false">IF($I198="","","R"&amp;$I198)</f>
        <v/>
      </c>
    </row>
    <row r="199" customFormat="false" ht="15" hidden="false" customHeight="true" outlineLevel="0" collapsed="false">
      <c r="H199" s="29" t="b">
        <f aca="false">IF(회원현황!$A199="",FALSE(),OR(AND(회원현황!$F199&gt;0,회원현황!$F199&lt;=사용안내!$C$18),AND(회원현황!$H199&lt;&gt;"",회원현황!$H199&gt;=0,회원현황!$H199&lt;=사용안내!$C$17)))</f>
        <v>0</v>
      </c>
      <c r="I199" s="7" t="str">
        <f aca="false">IF($H199=FALSE(),"",COUNTIF($H$6:$H199,TRUE()))</f>
        <v/>
      </c>
      <c r="J199" s="7" t="str">
        <f aca="false">IF($I199="","","R"&amp;$I199)</f>
        <v/>
      </c>
    </row>
    <row r="200" customFormat="false" ht="15" hidden="false" customHeight="true" outlineLevel="0" collapsed="false">
      <c r="H200" s="29" t="b">
        <f aca="false">IF(회원현황!$A200="",FALSE(),OR(AND(회원현황!$F200&gt;0,회원현황!$F200&lt;=사용안내!$C$18),AND(회원현황!$H200&lt;&gt;"",회원현황!$H200&gt;=0,회원현황!$H200&lt;=사용안내!$C$17)))</f>
        <v>0</v>
      </c>
      <c r="I200" s="7" t="str">
        <f aca="false">IF($H200=FALSE(),"",COUNTIF($H$6:$H200,TRUE()))</f>
        <v/>
      </c>
      <c r="J200" s="7" t="str">
        <f aca="false">IF($I200="","","R"&amp;$I200)</f>
        <v/>
      </c>
    </row>
    <row r="201" customFormat="false" ht="15" hidden="false" customHeight="true" outlineLevel="0" collapsed="false">
      <c r="H201" s="29" t="b">
        <f aca="false">IF(회원현황!$A201="",FALSE(),OR(AND(회원현황!$F201&gt;0,회원현황!$F201&lt;=사용안내!$C$18),AND(회원현황!$H201&lt;&gt;"",회원현황!$H201&gt;=0,회원현황!$H201&lt;=사용안내!$C$17)))</f>
        <v>0</v>
      </c>
      <c r="I201" s="7" t="str">
        <f aca="false">IF($H201=FALSE(),"",COUNTIF($H$6:$H201,TRUE()))</f>
        <v/>
      </c>
      <c r="J201" s="7" t="str">
        <f aca="false">IF($I201="","","R"&amp;$I201)</f>
        <v/>
      </c>
    </row>
    <row r="202" customFormat="false" ht="15" hidden="false" customHeight="true" outlineLevel="0" collapsed="false">
      <c r="H202" s="29" t="b">
        <f aca="false">IF(회원현황!$A202="",FALSE(),OR(AND(회원현황!$F202&gt;0,회원현황!$F202&lt;=사용안내!$C$18),AND(회원현황!$H202&lt;&gt;"",회원현황!$H202&gt;=0,회원현황!$H202&lt;=사용안내!$C$17)))</f>
        <v>0</v>
      </c>
      <c r="I202" s="7" t="str">
        <f aca="false">IF($H202=FALSE(),"",COUNTIF($H$6:$H202,TRUE()))</f>
        <v/>
      </c>
      <c r="J202" s="7" t="str">
        <f aca="false">IF($I202="","","R"&amp;$I202)</f>
        <v/>
      </c>
    </row>
    <row r="203" customFormat="false" ht="15" hidden="false" customHeight="true" outlineLevel="0" collapsed="false">
      <c r="H203" s="29" t="b">
        <f aca="false">IF(회원현황!$A203="",FALSE(),OR(AND(회원현황!$F203&gt;0,회원현황!$F203&lt;=사용안내!$C$18),AND(회원현황!$H203&lt;&gt;"",회원현황!$H203&gt;=0,회원현황!$H203&lt;=사용안내!$C$17)))</f>
        <v>0</v>
      </c>
      <c r="I203" s="7" t="str">
        <f aca="false">IF($H203=FALSE(),"",COUNTIF($H$6:$H203,TRUE()))</f>
        <v/>
      </c>
      <c r="J203" s="7" t="str">
        <f aca="false">IF($I203="","","R"&amp;$I203)</f>
        <v/>
      </c>
    </row>
    <row r="204" customFormat="false" ht="15" hidden="false" customHeight="true" outlineLevel="0" collapsed="false">
      <c r="H204" s="29" t="b">
        <f aca="false">IF(회원현황!$A204="",FALSE(),OR(AND(회원현황!$F204&gt;0,회원현황!$F204&lt;=사용안내!$C$18),AND(회원현황!$H204&lt;&gt;"",회원현황!$H204&gt;=0,회원현황!$H204&lt;=사용안내!$C$17)))</f>
        <v>0</v>
      </c>
      <c r="I204" s="7" t="str">
        <f aca="false">IF($H204=FALSE(),"",COUNTIF($H$6:$H204,TRUE()))</f>
        <v/>
      </c>
      <c r="J204" s="7" t="str">
        <f aca="false">IF($I204="","","R"&amp;$I204)</f>
        <v/>
      </c>
    </row>
    <row r="205" customFormat="false" ht="15" hidden="false" customHeight="true" outlineLevel="0" collapsed="false">
      <c r="H205" s="29" t="b">
        <f aca="false">IF(회원현황!$A205="",FALSE(),OR(AND(회원현황!$F205&gt;0,회원현황!$F205&lt;=사용안내!$C$18),AND(회원현황!$H205&lt;&gt;"",회원현황!$H205&gt;=0,회원현황!$H205&lt;=사용안내!$C$17)))</f>
        <v>0</v>
      </c>
      <c r="I205" s="7" t="str">
        <f aca="false">IF($H205=FALSE(),"",COUNTIF($H$6:$H205,TRUE()))</f>
        <v/>
      </c>
      <c r="J205" s="7" t="str">
        <f aca="false">IF($I205="","","R"&amp;$I205)</f>
        <v/>
      </c>
    </row>
    <row r="206" customFormat="false" ht="15" hidden="false" customHeight="true" outlineLevel="0" collapsed="false">
      <c r="H206" s="29" t="b">
        <f aca="false">IF(회원현황!$A206="",FALSE(),OR(AND(회원현황!$F206&gt;0,회원현황!$F206&lt;=사용안내!$C$18),AND(회원현황!$H206&lt;&gt;"",회원현황!$H206&gt;=0,회원현황!$H206&lt;=사용안내!$C$17)))</f>
        <v>0</v>
      </c>
      <c r="I206" s="7" t="str">
        <f aca="false">IF($H206=FALSE(),"",COUNTIF($H$6:$H206,TRUE()))</f>
        <v/>
      </c>
      <c r="J206" s="7" t="str">
        <f aca="false">IF($I206="","","R"&amp;$I206)</f>
        <v/>
      </c>
    </row>
    <row r="207" customFormat="false" ht="15" hidden="false" customHeight="true" outlineLevel="0" collapsed="false">
      <c r="H207" s="29" t="b">
        <f aca="false">IF(회원현황!$A207="",FALSE(),OR(AND(회원현황!$F207&gt;0,회원현황!$F207&lt;=사용안내!$C$18),AND(회원현황!$H207&lt;&gt;"",회원현황!$H207&gt;=0,회원현황!$H207&lt;=사용안내!$C$17)))</f>
        <v>0</v>
      </c>
      <c r="I207" s="7" t="str">
        <f aca="false">IF($H207=FALSE(),"",COUNTIF($H$6:$H207,TRUE()))</f>
        <v/>
      </c>
      <c r="J207" s="7" t="str">
        <f aca="false">IF($I207="","","R"&amp;$I207)</f>
        <v/>
      </c>
    </row>
    <row r="208" customFormat="false" ht="15" hidden="false" customHeight="true" outlineLevel="0" collapsed="false">
      <c r="H208" s="29" t="b">
        <f aca="false">IF(회원현황!$A208="",FALSE(),OR(AND(회원현황!$F208&gt;0,회원현황!$F208&lt;=사용안내!$C$18),AND(회원현황!$H208&lt;&gt;"",회원현황!$H208&gt;=0,회원현황!$H208&lt;=사용안내!$C$17)))</f>
        <v>0</v>
      </c>
      <c r="I208" s="7" t="str">
        <f aca="false">IF($H208=FALSE(),"",COUNTIF($H$6:$H208,TRUE()))</f>
        <v/>
      </c>
      <c r="J208" s="7" t="str">
        <f aca="false">IF($I208="","","R"&amp;$I208)</f>
        <v/>
      </c>
    </row>
    <row r="209" customFormat="false" ht="15" hidden="false" customHeight="true" outlineLevel="0" collapsed="false">
      <c r="H209" s="29" t="b">
        <f aca="false">IF(회원현황!$A209="",FALSE(),OR(AND(회원현황!$F209&gt;0,회원현황!$F209&lt;=사용안내!$C$18),AND(회원현황!$H209&lt;&gt;"",회원현황!$H209&gt;=0,회원현황!$H209&lt;=사용안내!$C$17)))</f>
        <v>0</v>
      </c>
      <c r="I209" s="7" t="str">
        <f aca="false">IF($H209=FALSE(),"",COUNTIF($H$6:$H209,TRUE()))</f>
        <v/>
      </c>
      <c r="J209" s="7" t="str">
        <f aca="false">IF($I209="","","R"&amp;$I209)</f>
        <v/>
      </c>
    </row>
    <row r="210" customFormat="false" ht="15" hidden="false" customHeight="true" outlineLevel="0" collapsed="false">
      <c r="H210" s="29" t="b">
        <f aca="false">IF(회원현황!$A210="",FALSE(),OR(AND(회원현황!$F210&gt;0,회원현황!$F210&lt;=사용안내!$C$18),AND(회원현황!$H210&lt;&gt;"",회원현황!$H210&gt;=0,회원현황!$H210&lt;=사용안내!$C$17)))</f>
        <v>0</v>
      </c>
      <c r="I210" s="7" t="str">
        <f aca="false">IF($H210=FALSE(),"",COUNTIF($H$6:$H210,TRUE()))</f>
        <v/>
      </c>
      <c r="J210" s="7" t="str">
        <f aca="false">IF($I210="","","R"&amp;$I210)</f>
        <v/>
      </c>
    </row>
    <row r="211" customFormat="false" ht="15" hidden="false" customHeight="true" outlineLevel="0" collapsed="false">
      <c r="H211" s="29" t="b">
        <f aca="false">IF(회원현황!$A211="",FALSE(),OR(AND(회원현황!$F211&gt;0,회원현황!$F211&lt;=사용안내!$C$18),AND(회원현황!$H211&lt;&gt;"",회원현황!$H211&gt;=0,회원현황!$H211&lt;=사용안내!$C$17)))</f>
        <v>0</v>
      </c>
      <c r="I211" s="7" t="str">
        <f aca="false">IF($H211=FALSE(),"",COUNTIF($H$6:$H211,TRUE()))</f>
        <v/>
      </c>
      <c r="J211" s="7" t="str">
        <f aca="false">IF($I211="","","R"&amp;$I211)</f>
        <v/>
      </c>
    </row>
    <row r="212" customFormat="false" ht="15" hidden="false" customHeight="true" outlineLevel="0" collapsed="false">
      <c r="H212" s="29" t="b">
        <f aca="false">IF(회원현황!$A212="",FALSE(),OR(AND(회원현황!$F212&gt;0,회원현황!$F212&lt;=사용안내!$C$18),AND(회원현황!$H212&lt;&gt;"",회원현황!$H212&gt;=0,회원현황!$H212&lt;=사용안내!$C$17)))</f>
        <v>0</v>
      </c>
      <c r="I212" s="7" t="str">
        <f aca="false">IF($H212=FALSE(),"",COUNTIF($H$6:$H212,TRUE()))</f>
        <v/>
      </c>
      <c r="J212" s="7" t="str">
        <f aca="false">IF($I212="","","R"&amp;$I212)</f>
        <v/>
      </c>
    </row>
    <row r="213" customFormat="false" ht="15" hidden="false" customHeight="true" outlineLevel="0" collapsed="false">
      <c r="H213" s="29" t="b">
        <f aca="false">IF(회원현황!$A213="",FALSE(),OR(AND(회원현황!$F213&gt;0,회원현황!$F213&lt;=사용안내!$C$18),AND(회원현황!$H213&lt;&gt;"",회원현황!$H213&gt;=0,회원현황!$H213&lt;=사용안내!$C$17)))</f>
        <v>0</v>
      </c>
      <c r="I213" s="7" t="str">
        <f aca="false">IF($H213=FALSE(),"",COUNTIF($H$6:$H213,TRUE()))</f>
        <v/>
      </c>
      <c r="J213" s="7" t="str">
        <f aca="false">IF($I213="","","R"&amp;$I213)</f>
        <v/>
      </c>
    </row>
    <row r="214" customFormat="false" ht="15" hidden="false" customHeight="true" outlineLevel="0" collapsed="false">
      <c r="H214" s="29" t="b">
        <f aca="false">IF(회원현황!$A214="",FALSE(),OR(AND(회원현황!$F214&gt;0,회원현황!$F214&lt;=사용안내!$C$18),AND(회원현황!$H214&lt;&gt;"",회원현황!$H214&gt;=0,회원현황!$H214&lt;=사용안내!$C$17)))</f>
        <v>0</v>
      </c>
      <c r="I214" s="7" t="str">
        <f aca="false">IF($H214=FALSE(),"",COUNTIF($H$6:$H214,TRUE()))</f>
        <v/>
      </c>
      <c r="J214" s="7" t="str">
        <f aca="false">IF($I214="","","R"&amp;$I214)</f>
        <v/>
      </c>
    </row>
    <row r="215" customFormat="false" ht="15" hidden="false" customHeight="true" outlineLevel="0" collapsed="false">
      <c r="H215" s="29" t="b">
        <f aca="false">IF(회원현황!$A215="",FALSE(),OR(AND(회원현황!$F215&gt;0,회원현황!$F215&lt;=사용안내!$C$18),AND(회원현황!$H215&lt;&gt;"",회원현황!$H215&gt;=0,회원현황!$H215&lt;=사용안내!$C$17)))</f>
        <v>0</v>
      </c>
      <c r="I215" s="7" t="str">
        <f aca="false">IF($H215=FALSE(),"",COUNTIF($H$6:$H215,TRUE()))</f>
        <v/>
      </c>
      <c r="J215" s="7" t="str">
        <f aca="false">IF($I215="","","R"&amp;$I215)</f>
        <v/>
      </c>
    </row>
    <row r="216" customFormat="false" ht="15" hidden="false" customHeight="true" outlineLevel="0" collapsed="false">
      <c r="H216" s="29" t="b">
        <f aca="false">IF(회원현황!$A216="",FALSE(),OR(AND(회원현황!$F216&gt;0,회원현황!$F216&lt;=사용안내!$C$18),AND(회원현황!$H216&lt;&gt;"",회원현황!$H216&gt;=0,회원현황!$H216&lt;=사용안내!$C$17)))</f>
        <v>0</v>
      </c>
      <c r="I216" s="7" t="str">
        <f aca="false">IF($H216=FALSE(),"",COUNTIF($H$6:$H216,TRUE()))</f>
        <v/>
      </c>
      <c r="J216" s="7" t="str">
        <f aca="false">IF($I216="","","R"&amp;$I216)</f>
        <v/>
      </c>
    </row>
    <row r="217" customFormat="false" ht="15" hidden="false" customHeight="true" outlineLevel="0" collapsed="false">
      <c r="H217" s="29" t="b">
        <f aca="false">IF(회원현황!$A217="",FALSE(),OR(AND(회원현황!$F217&gt;0,회원현황!$F217&lt;=사용안내!$C$18),AND(회원현황!$H217&lt;&gt;"",회원현황!$H217&gt;=0,회원현황!$H217&lt;=사용안내!$C$17)))</f>
        <v>0</v>
      </c>
      <c r="I217" s="7" t="str">
        <f aca="false">IF($H217=FALSE(),"",COUNTIF($H$6:$H217,TRUE()))</f>
        <v/>
      </c>
      <c r="J217" s="7" t="str">
        <f aca="false">IF($I217="","","R"&amp;$I217)</f>
        <v/>
      </c>
    </row>
    <row r="218" customFormat="false" ht="15" hidden="false" customHeight="true" outlineLevel="0" collapsed="false">
      <c r="H218" s="29" t="b">
        <f aca="false">IF(회원현황!$A218="",FALSE(),OR(AND(회원현황!$F218&gt;0,회원현황!$F218&lt;=사용안내!$C$18),AND(회원현황!$H218&lt;&gt;"",회원현황!$H218&gt;=0,회원현황!$H218&lt;=사용안내!$C$17)))</f>
        <v>0</v>
      </c>
      <c r="I218" s="7" t="str">
        <f aca="false">IF($H218=FALSE(),"",COUNTIF($H$6:$H218,TRUE()))</f>
        <v/>
      </c>
      <c r="J218" s="7" t="str">
        <f aca="false">IF($I218="","","R"&amp;$I218)</f>
        <v/>
      </c>
    </row>
    <row r="219" customFormat="false" ht="15" hidden="false" customHeight="true" outlineLevel="0" collapsed="false">
      <c r="H219" s="29" t="b">
        <f aca="false">IF(회원현황!$A219="",FALSE(),OR(AND(회원현황!$F219&gt;0,회원현황!$F219&lt;=사용안내!$C$18),AND(회원현황!$H219&lt;&gt;"",회원현황!$H219&gt;=0,회원현황!$H219&lt;=사용안내!$C$17)))</f>
        <v>0</v>
      </c>
      <c r="I219" s="7" t="str">
        <f aca="false">IF($H219=FALSE(),"",COUNTIF($H$6:$H219,TRUE()))</f>
        <v/>
      </c>
      <c r="J219" s="7" t="str">
        <f aca="false">IF($I219="","","R"&amp;$I219)</f>
        <v/>
      </c>
    </row>
    <row r="220" customFormat="false" ht="15" hidden="false" customHeight="true" outlineLevel="0" collapsed="false">
      <c r="H220" s="29" t="b">
        <f aca="false">IF(회원현황!$A220="",FALSE(),OR(AND(회원현황!$F220&gt;0,회원현황!$F220&lt;=사용안내!$C$18),AND(회원현황!$H220&lt;&gt;"",회원현황!$H220&gt;=0,회원현황!$H220&lt;=사용안내!$C$17)))</f>
        <v>0</v>
      </c>
      <c r="I220" s="7" t="str">
        <f aca="false">IF($H220=FALSE(),"",COUNTIF($H$6:$H220,TRUE()))</f>
        <v/>
      </c>
      <c r="J220" s="7" t="str">
        <f aca="false">IF($I220="","","R"&amp;$I220)</f>
        <v/>
      </c>
    </row>
    <row r="221" customFormat="false" ht="15" hidden="false" customHeight="true" outlineLevel="0" collapsed="false">
      <c r="H221" s="29" t="b">
        <f aca="false">IF(회원현황!$A221="",FALSE(),OR(AND(회원현황!$F221&gt;0,회원현황!$F221&lt;=사용안내!$C$18),AND(회원현황!$H221&lt;&gt;"",회원현황!$H221&gt;=0,회원현황!$H221&lt;=사용안내!$C$17)))</f>
        <v>0</v>
      </c>
      <c r="I221" s="7" t="str">
        <f aca="false">IF($H221=FALSE(),"",COUNTIF($H$6:$H221,TRUE()))</f>
        <v/>
      </c>
      <c r="J221" s="7" t="str">
        <f aca="false">IF($I221="","","R"&amp;$I221)</f>
        <v/>
      </c>
    </row>
    <row r="222" customFormat="false" ht="15" hidden="false" customHeight="true" outlineLevel="0" collapsed="false">
      <c r="H222" s="29" t="b">
        <f aca="false">IF(회원현황!$A222="",FALSE(),OR(AND(회원현황!$F222&gt;0,회원현황!$F222&lt;=사용안내!$C$18),AND(회원현황!$H222&lt;&gt;"",회원현황!$H222&gt;=0,회원현황!$H222&lt;=사용안내!$C$17)))</f>
        <v>0</v>
      </c>
      <c r="I222" s="7" t="str">
        <f aca="false">IF($H222=FALSE(),"",COUNTIF($H$6:$H222,TRUE()))</f>
        <v/>
      </c>
      <c r="J222" s="7" t="str">
        <f aca="false">IF($I222="","","R"&amp;$I222)</f>
        <v/>
      </c>
    </row>
    <row r="223" customFormat="false" ht="15" hidden="false" customHeight="true" outlineLevel="0" collapsed="false">
      <c r="H223" s="29" t="b">
        <f aca="false">IF(회원현황!$A223="",FALSE(),OR(AND(회원현황!$F223&gt;0,회원현황!$F223&lt;=사용안내!$C$18),AND(회원현황!$H223&lt;&gt;"",회원현황!$H223&gt;=0,회원현황!$H223&lt;=사용안내!$C$17)))</f>
        <v>0</v>
      </c>
      <c r="I223" s="7" t="str">
        <f aca="false">IF($H223=FALSE(),"",COUNTIF($H$6:$H223,TRUE()))</f>
        <v/>
      </c>
      <c r="J223" s="7" t="str">
        <f aca="false">IF($I223="","","R"&amp;$I223)</f>
        <v/>
      </c>
    </row>
    <row r="224" customFormat="false" ht="15" hidden="false" customHeight="true" outlineLevel="0" collapsed="false">
      <c r="H224" s="29" t="b">
        <f aca="false">IF(회원현황!$A224="",FALSE(),OR(AND(회원현황!$F224&gt;0,회원현황!$F224&lt;=사용안내!$C$18),AND(회원현황!$H224&lt;&gt;"",회원현황!$H224&gt;=0,회원현황!$H224&lt;=사용안내!$C$17)))</f>
        <v>0</v>
      </c>
      <c r="I224" s="7" t="str">
        <f aca="false">IF($H224=FALSE(),"",COUNTIF($H$6:$H224,TRUE()))</f>
        <v/>
      </c>
      <c r="J224" s="7" t="str">
        <f aca="false">IF($I224="","","R"&amp;$I224)</f>
        <v/>
      </c>
    </row>
    <row r="225" customFormat="false" ht="15" hidden="false" customHeight="true" outlineLevel="0" collapsed="false">
      <c r="H225" s="29" t="b">
        <f aca="false">IF(회원현황!$A225="",FALSE(),OR(AND(회원현황!$F225&gt;0,회원현황!$F225&lt;=사용안내!$C$18),AND(회원현황!$H225&lt;&gt;"",회원현황!$H225&gt;=0,회원현황!$H225&lt;=사용안내!$C$17)))</f>
        <v>0</v>
      </c>
      <c r="I225" s="7" t="str">
        <f aca="false">IF($H225=FALSE(),"",COUNTIF($H$6:$H225,TRUE()))</f>
        <v/>
      </c>
      <c r="J225" s="7" t="str">
        <f aca="false">IF($I225="","","R"&amp;$I225)</f>
        <v/>
      </c>
    </row>
    <row r="226" customFormat="false" ht="15" hidden="false" customHeight="true" outlineLevel="0" collapsed="false">
      <c r="H226" s="29" t="b">
        <f aca="false">IF(회원현황!$A226="",FALSE(),OR(AND(회원현황!$F226&gt;0,회원현황!$F226&lt;=사용안내!$C$18),AND(회원현황!$H226&lt;&gt;"",회원현황!$H226&gt;=0,회원현황!$H226&lt;=사용안내!$C$17)))</f>
        <v>0</v>
      </c>
      <c r="I226" s="7" t="str">
        <f aca="false">IF($H226=FALSE(),"",COUNTIF($H$6:$H226,TRUE()))</f>
        <v/>
      </c>
      <c r="J226" s="7" t="str">
        <f aca="false">IF($I226="","","R"&amp;$I226)</f>
        <v/>
      </c>
    </row>
    <row r="227" customFormat="false" ht="15" hidden="false" customHeight="true" outlineLevel="0" collapsed="false">
      <c r="H227" s="29" t="b">
        <f aca="false">IF(회원현황!$A227="",FALSE(),OR(AND(회원현황!$F227&gt;0,회원현황!$F227&lt;=사용안내!$C$18),AND(회원현황!$H227&lt;&gt;"",회원현황!$H227&gt;=0,회원현황!$H227&lt;=사용안내!$C$17)))</f>
        <v>0</v>
      </c>
      <c r="I227" s="7" t="str">
        <f aca="false">IF($H227=FALSE(),"",COUNTIF($H$6:$H227,TRUE()))</f>
        <v/>
      </c>
      <c r="J227" s="7" t="str">
        <f aca="false">IF($I227="","","R"&amp;$I227)</f>
        <v/>
      </c>
    </row>
    <row r="228" customFormat="false" ht="15" hidden="false" customHeight="true" outlineLevel="0" collapsed="false">
      <c r="H228" s="29" t="b">
        <f aca="false">IF(회원현황!$A228="",FALSE(),OR(AND(회원현황!$F228&gt;0,회원현황!$F228&lt;=사용안내!$C$18),AND(회원현황!$H228&lt;&gt;"",회원현황!$H228&gt;=0,회원현황!$H228&lt;=사용안내!$C$17)))</f>
        <v>0</v>
      </c>
      <c r="I228" s="7" t="str">
        <f aca="false">IF($H228=FALSE(),"",COUNTIF($H$6:$H228,TRUE()))</f>
        <v/>
      </c>
      <c r="J228" s="7" t="str">
        <f aca="false">IF($I228="","","R"&amp;$I228)</f>
        <v/>
      </c>
    </row>
    <row r="229" customFormat="false" ht="15" hidden="false" customHeight="true" outlineLevel="0" collapsed="false">
      <c r="H229" s="29" t="b">
        <f aca="false">IF(회원현황!$A229="",FALSE(),OR(AND(회원현황!$F229&gt;0,회원현황!$F229&lt;=사용안내!$C$18),AND(회원현황!$H229&lt;&gt;"",회원현황!$H229&gt;=0,회원현황!$H229&lt;=사용안내!$C$17)))</f>
        <v>0</v>
      </c>
      <c r="I229" s="7" t="str">
        <f aca="false">IF($H229=FALSE(),"",COUNTIF($H$6:$H229,TRUE()))</f>
        <v/>
      </c>
      <c r="J229" s="7" t="str">
        <f aca="false">IF($I229="","","R"&amp;$I229)</f>
        <v/>
      </c>
    </row>
    <row r="230" customFormat="false" ht="15" hidden="false" customHeight="true" outlineLevel="0" collapsed="false">
      <c r="H230" s="29" t="b">
        <f aca="false">IF(회원현황!$A230="",FALSE(),OR(AND(회원현황!$F230&gt;0,회원현황!$F230&lt;=사용안내!$C$18),AND(회원현황!$H230&lt;&gt;"",회원현황!$H230&gt;=0,회원현황!$H230&lt;=사용안내!$C$17)))</f>
        <v>0</v>
      </c>
      <c r="I230" s="7" t="str">
        <f aca="false">IF($H230=FALSE(),"",COUNTIF($H$6:$H230,TRUE()))</f>
        <v/>
      </c>
      <c r="J230" s="7" t="str">
        <f aca="false">IF($I230="","","R"&amp;$I230)</f>
        <v/>
      </c>
    </row>
    <row r="231" customFormat="false" ht="15" hidden="false" customHeight="true" outlineLevel="0" collapsed="false">
      <c r="H231" s="29" t="b">
        <f aca="false">IF(회원현황!$A231="",FALSE(),OR(AND(회원현황!$F231&gt;0,회원현황!$F231&lt;=사용안내!$C$18),AND(회원현황!$H231&lt;&gt;"",회원현황!$H231&gt;=0,회원현황!$H231&lt;=사용안내!$C$17)))</f>
        <v>0</v>
      </c>
      <c r="I231" s="7" t="str">
        <f aca="false">IF($H231=FALSE(),"",COUNTIF($H$6:$H231,TRUE()))</f>
        <v/>
      </c>
      <c r="J231" s="7" t="str">
        <f aca="false">IF($I231="","","R"&amp;$I231)</f>
        <v/>
      </c>
    </row>
    <row r="232" customFormat="false" ht="15" hidden="false" customHeight="true" outlineLevel="0" collapsed="false">
      <c r="H232" s="29" t="b">
        <f aca="false">IF(회원현황!$A232="",FALSE(),OR(AND(회원현황!$F232&gt;0,회원현황!$F232&lt;=사용안내!$C$18),AND(회원현황!$H232&lt;&gt;"",회원현황!$H232&gt;=0,회원현황!$H232&lt;=사용안내!$C$17)))</f>
        <v>0</v>
      </c>
      <c r="I232" s="7" t="str">
        <f aca="false">IF($H232=FALSE(),"",COUNTIF($H$6:$H232,TRUE()))</f>
        <v/>
      </c>
      <c r="J232" s="7" t="str">
        <f aca="false">IF($I232="","","R"&amp;$I232)</f>
        <v/>
      </c>
    </row>
    <row r="233" customFormat="false" ht="15" hidden="false" customHeight="true" outlineLevel="0" collapsed="false">
      <c r="H233" s="29" t="b">
        <f aca="false">IF(회원현황!$A233="",FALSE(),OR(AND(회원현황!$F233&gt;0,회원현황!$F233&lt;=사용안내!$C$18),AND(회원현황!$H233&lt;&gt;"",회원현황!$H233&gt;=0,회원현황!$H233&lt;=사용안내!$C$17)))</f>
        <v>0</v>
      </c>
      <c r="I233" s="7" t="str">
        <f aca="false">IF($H233=FALSE(),"",COUNTIF($H$6:$H233,TRUE()))</f>
        <v/>
      </c>
      <c r="J233" s="7" t="str">
        <f aca="false">IF($I233="","","R"&amp;$I233)</f>
        <v/>
      </c>
    </row>
    <row r="234" customFormat="false" ht="15" hidden="false" customHeight="true" outlineLevel="0" collapsed="false">
      <c r="H234" s="29" t="b">
        <f aca="false">IF(회원현황!$A234="",FALSE(),OR(AND(회원현황!$F234&gt;0,회원현황!$F234&lt;=사용안내!$C$18),AND(회원현황!$H234&lt;&gt;"",회원현황!$H234&gt;=0,회원현황!$H234&lt;=사용안내!$C$17)))</f>
        <v>0</v>
      </c>
      <c r="I234" s="7" t="str">
        <f aca="false">IF($H234=FALSE(),"",COUNTIF($H$6:$H234,TRUE()))</f>
        <v/>
      </c>
      <c r="J234" s="7" t="str">
        <f aca="false">IF($I234="","","R"&amp;$I234)</f>
        <v/>
      </c>
    </row>
    <row r="235" customFormat="false" ht="15" hidden="false" customHeight="true" outlineLevel="0" collapsed="false">
      <c r="H235" s="29" t="b">
        <f aca="false">IF(회원현황!$A235="",FALSE(),OR(AND(회원현황!$F235&gt;0,회원현황!$F235&lt;=사용안내!$C$18),AND(회원현황!$H235&lt;&gt;"",회원현황!$H235&gt;=0,회원현황!$H235&lt;=사용안내!$C$17)))</f>
        <v>0</v>
      </c>
      <c r="I235" s="7" t="str">
        <f aca="false">IF($H235=FALSE(),"",COUNTIF($H$6:$H235,TRUE()))</f>
        <v/>
      </c>
      <c r="J235" s="7" t="str">
        <f aca="false">IF($I235="","","R"&amp;$I235)</f>
        <v/>
      </c>
    </row>
    <row r="236" customFormat="false" ht="15" hidden="false" customHeight="true" outlineLevel="0" collapsed="false">
      <c r="H236" s="29" t="b">
        <f aca="false">IF(회원현황!$A236="",FALSE(),OR(AND(회원현황!$F236&gt;0,회원현황!$F236&lt;=사용안내!$C$18),AND(회원현황!$H236&lt;&gt;"",회원현황!$H236&gt;=0,회원현황!$H236&lt;=사용안내!$C$17)))</f>
        <v>0</v>
      </c>
      <c r="I236" s="7" t="str">
        <f aca="false">IF($H236=FALSE(),"",COUNTIF($H$6:$H236,TRUE()))</f>
        <v/>
      </c>
      <c r="J236" s="7" t="str">
        <f aca="false">IF($I236="","","R"&amp;$I236)</f>
        <v/>
      </c>
    </row>
    <row r="237" customFormat="false" ht="15" hidden="false" customHeight="true" outlineLevel="0" collapsed="false">
      <c r="H237" s="29" t="b">
        <f aca="false">IF(회원현황!$A237="",FALSE(),OR(AND(회원현황!$F237&gt;0,회원현황!$F237&lt;=사용안내!$C$18),AND(회원현황!$H237&lt;&gt;"",회원현황!$H237&gt;=0,회원현황!$H237&lt;=사용안내!$C$17)))</f>
        <v>0</v>
      </c>
      <c r="I237" s="7" t="str">
        <f aca="false">IF($H237=FALSE(),"",COUNTIF($H$6:$H237,TRUE()))</f>
        <v/>
      </c>
      <c r="J237" s="7" t="str">
        <f aca="false">IF($I237="","","R"&amp;$I237)</f>
        <v/>
      </c>
    </row>
    <row r="238" customFormat="false" ht="15" hidden="false" customHeight="true" outlineLevel="0" collapsed="false">
      <c r="H238" s="29" t="b">
        <f aca="false">IF(회원현황!$A238="",FALSE(),OR(AND(회원현황!$F238&gt;0,회원현황!$F238&lt;=사용안내!$C$18),AND(회원현황!$H238&lt;&gt;"",회원현황!$H238&gt;=0,회원현황!$H238&lt;=사용안내!$C$17)))</f>
        <v>0</v>
      </c>
      <c r="I238" s="7" t="str">
        <f aca="false">IF($H238=FALSE(),"",COUNTIF($H$6:$H238,TRUE()))</f>
        <v/>
      </c>
      <c r="J238" s="7" t="str">
        <f aca="false">IF($I238="","","R"&amp;$I238)</f>
        <v/>
      </c>
    </row>
    <row r="239" customFormat="false" ht="15" hidden="false" customHeight="true" outlineLevel="0" collapsed="false">
      <c r="H239" s="29" t="b">
        <f aca="false">IF(회원현황!$A239="",FALSE(),OR(AND(회원현황!$F239&gt;0,회원현황!$F239&lt;=사용안내!$C$18),AND(회원현황!$H239&lt;&gt;"",회원현황!$H239&gt;=0,회원현황!$H239&lt;=사용안내!$C$17)))</f>
        <v>0</v>
      </c>
      <c r="I239" s="7" t="str">
        <f aca="false">IF($H239=FALSE(),"",COUNTIF($H$6:$H239,TRUE()))</f>
        <v/>
      </c>
      <c r="J239" s="7" t="str">
        <f aca="false">IF($I239="","","R"&amp;$I239)</f>
        <v/>
      </c>
    </row>
    <row r="240" customFormat="false" ht="15" hidden="false" customHeight="true" outlineLevel="0" collapsed="false">
      <c r="H240" s="29" t="b">
        <f aca="false">IF(회원현황!$A240="",FALSE(),OR(AND(회원현황!$F240&gt;0,회원현황!$F240&lt;=사용안내!$C$18),AND(회원현황!$H240&lt;&gt;"",회원현황!$H240&gt;=0,회원현황!$H240&lt;=사용안내!$C$17)))</f>
        <v>0</v>
      </c>
      <c r="I240" s="7" t="str">
        <f aca="false">IF($H240=FALSE(),"",COUNTIF($H$6:$H240,TRUE()))</f>
        <v/>
      </c>
      <c r="J240" s="7" t="str">
        <f aca="false">IF($I240="","","R"&amp;$I240)</f>
        <v/>
      </c>
    </row>
    <row r="241" customFormat="false" ht="15" hidden="false" customHeight="true" outlineLevel="0" collapsed="false">
      <c r="H241" s="29" t="b">
        <f aca="false">IF(회원현황!$A241="",FALSE(),OR(AND(회원현황!$F241&gt;0,회원현황!$F241&lt;=사용안내!$C$18),AND(회원현황!$H241&lt;&gt;"",회원현황!$H241&gt;=0,회원현황!$H241&lt;=사용안내!$C$17)))</f>
        <v>0</v>
      </c>
      <c r="I241" s="7" t="str">
        <f aca="false">IF($H241=FALSE(),"",COUNTIF($H$6:$H241,TRUE()))</f>
        <v/>
      </c>
      <c r="J241" s="7" t="str">
        <f aca="false">IF($I241="","","R"&amp;$I241)</f>
        <v/>
      </c>
    </row>
    <row r="242" customFormat="false" ht="15" hidden="false" customHeight="true" outlineLevel="0" collapsed="false">
      <c r="H242" s="29" t="b">
        <f aca="false">IF(회원현황!$A242="",FALSE(),OR(AND(회원현황!$F242&gt;0,회원현황!$F242&lt;=사용안내!$C$18),AND(회원현황!$H242&lt;&gt;"",회원현황!$H242&gt;=0,회원현황!$H242&lt;=사용안내!$C$17)))</f>
        <v>0</v>
      </c>
      <c r="I242" s="7" t="str">
        <f aca="false">IF($H242=FALSE(),"",COUNTIF($H$6:$H242,TRUE()))</f>
        <v/>
      </c>
      <c r="J242" s="7" t="str">
        <f aca="false">IF($I242="","","R"&amp;$I242)</f>
        <v/>
      </c>
    </row>
    <row r="243" customFormat="false" ht="15" hidden="false" customHeight="true" outlineLevel="0" collapsed="false">
      <c r="H243" s="29" t="b">
        <f aca="false">IF(회원현황!$A243="",FALSE(),OR(AND(회원현황!$F243&gt;0,회원현황!$F243&lt;=사용안내!$C$18),AND(회원현황!$H243&lt;&gt;"",회원현황!$H243&gt;=0,회원현황!$H243&lt;=사용안내!$C$17)))</f>
        <v>0</v>
      </c>
      <c r="I243" s="7" t="str">
        <f aca="false">IF($H243=FALSE(),"",COUNTIF($H$6:$H243,TRUE()))</f>
        <v/>
      </c>
      <c r="J243" s="7" t="str">
        <f aca="false">IF($I243="","","R"&amp;$I243)</f>
        <v/>
      </c>
    </row>
    <row r="244" customFormat="false" ht="15" hidden="false" customHeight="true" outlineLevel="0" collapsed="false">
      <c r="H244" s="29" t="b">
        <f aca="false">IF(회원현황!$A244="",FALSE(),OR(AND(회원현황!$F244&gt;0,회원현황!$F244&lt;=사용안내!$C$18),AND(회원현황!$H244&lt;&gt;"",회원현황!$H244&gt;=0,회원현황!$H244&lt;=사용안내!$C$17)))</f>
        <v>0</v>
      </c>
      <c r="I244" s="7" t="str">
        <f aca="false">IF($H244=FALSE(),"",COUNTIF($H$6:$H244,TRUE()))</f>
        <v/>
      </c>
      <c r="J244" s="7" t="str">
        <f aca="false">IF($I244="","","R"&amp;$I244)</f>
        <v/>
      </c>
    </row>
    <row r="245" customFormat="false" ht="15" hidden="false" customHeight="true" outlineLevel="0" collapsed="false">
      <c r="H245" s="29" t="b">
        <f aca="false">IF(회원현황!$A245="",FALSE(),OR(AND(회원현황!$F245&gt;0,회원현황!$F245&lt;=사용안내!$C$18),AND(회원현황!$H245&lt;&gt;"",회원현황!$H245&gt;=0,회원현황!$H245&lt;=사용안내!$C$17)))</f>
        <v>0</v>
      </c>
      <c r="I245" s="7" t="str">
        <f aca="false">IF($H245=FALSE(),"",COUNTIF($H$6:$H245,TRUE()))</f>
        <v/>
      </c>
      <c r="J245" s="7" t="str">
        <f aca="false">IF($I245="","","R"&amp;$I245)</f>
        <v/>
      </c>
    </row>
    <row r="246" customFormat="false" ht="15" hidden="false" customHeight="true" outlineLevel="0" collapsed="false">
      <c r="H246" s="29" t="b">
        <f aca="false">IF(회원현황!$A246="",FALSE(),OR(AND(회원현황!$F246&gt;0,회원현황!$F246&lt;=사용안내!$C$18),AND(회원현황!$H246&lt;&gt;"",회원현황!$H246&gt;=0,회원현황!$H246&lt;=사용안내!$C$17)))</f>
        <v>0</v>
      </c>
      <c r="I246" s="7" t="str">
        <f aca="false">IF($H246=FALSE(),"",COUNTIF($H$6:$H246,TRUE()))</f>
        <v/>
      </c>
      <c r="J246" s="7" t="str">
        <f aca="false">IF($I246="","","R"&amp;$I246)</f>
        <v/>
      </c>
    </row>
    <row r="247" customFormat="false" ht="15" hidden="false" customHeight="true" outlineLevel="0" collapsed="false">
      <c r="H247" s="29" t="b">
        <f aca="false">IF(회원현황!$A247="",FALSE(),OR(AND(회원현황!$F247&gt;0,회원현황!$F247&lt;=사용안내!$C$18),AND(회원현황!$H247&lt;&gt;"",회원현황!$H247&gt;=0,회원현황!$H247&lt;=사용안내!$C$17)))</f>
        <v>0</v>
      </c>
      <c r="I247" s="7" t="str">
        <f aca="false">IF($H247=FALSE(),"",COUNTIF($H$6:$H247,TRUE()))</f>
        <v/>
      </c>
      <c r="J247" s="7" t="str">
        <f aca="false">IF($I247="","","R"&amp;$I247)</f>
        <v/>
      </c>
    </row>
    <row r="248" customFormat="false" ht="15" hidden="false" customHeight="true" outlineLevel="0" collapsed="false">
      <c r="H248" s="29" t="b">
        <f aca="false">IF(회원현황!$A248="",FALSE(),OR(AND(회원현황!$F248&gt;0,회원현황!$F248&lt;=사용안내!$C$18),AND(회원현황!$H248&lt;&gt;"",회원현황!$H248&gt;=0,회원현황!$H248&lt;=사용안내!$C$17)))</f>
        <v>0</v>
      </c>
      <c r="I248" s="7" t="str">
        <f aca="false">IF($H248=FALSE(),"",COUNTIF($H$6:$H248,TRUE()))</f>
        <v/>
      </c>
      <c r="J248" s="7" t="str">
        <f aca="false">IF($I248="","","R"&amp;$I248)</f>
        <v/>
      </c>
    </row>
    <row r="249" customFormat="false" ht="15" hidden="false" customHeight="true" outlineLevel="0" collapsed="false">
      <c r="H249" s="29" t="b">
        <f aca="false">IF(회원현황!$A249="",FALSE(),OR(AND(회원현황!$F249&gt;0,회원현황!$F249&lt;=사용안내!$C$18),AND(회원현황!$H249&lt;&gt;"",회원현황!$H249&gt;=0,회원현황!$H249&lt;=사용안내!$C$17)))</f>
        <v>0</v>
      </c>
      <c r="I249" s="7" t="str">
        <f aca="false">IF($H249=FALSE(),"",COUNTIF($H$6:$H249,TRUE()))</f>
        <v/>
      </c>
      <c r="J249" s="7" t="str">
        <f aca="false">IF($I249="","","R"&amp;$I249)</f>
        <v/>
      </c>
    </row>
    <row r="250" customFormat="false" ht="15" hidden="false" customHeight="true" outlineLevel="0" collapsed="false">
      <c r="H250" s="29" t="b">
        <f aca="false">IF(회원현황!$A250="",FALSE(),OR(AND(회원현황!$F250&gt;0,회원현황!$F250&lt;=사용안내!$C$18),AND(회원현황!$H250&lt;&gt;"",회원현황!$H250&gt;=0,회원현황!$H250&lt;=사용안내!$C$17)))</f>
        <v>0</v>
      </c>
      <c r="I250" s="7" t="str">
        <f aca="false">IF($H250=FALSE(),"",COUNTIF($H$6:$H250,TRUE()))</f>
        <v/>
      </c>
      <c r="J250" s="7" t="str">
        <f aca="false">IF($I250="","","R"&amp;$I250)</f>
        <v/>
      </c>
    </row>
    <row r="251" customFormat="false" ht="15" hidden="false" customHeight="true" outlineLevel="0" collapsed="false">
      <c r="H251" s="29" t="b">
        <f aca="false">IF(회원현황!$A251="",FALSE(),OR(AND(회원현황!$F251&gt;0,회원현황!$F251&lt;=사용안내!$C$18),AND(회원현황!$H251&lt;&gt;"",회원현황!$H251&gt;=0,회원현황!$H251&lt;=사용안내!$C$17)))</f>
        <v>0</v>
      </c>
      <c r="I251" s="7" t="str">
        <f aca="false">IF($H251=FALSE(),"",COUNTIF($H$6:$H251,TRUE()))</f>
        <v/>
      </c>
      <c r="J251" s="7" t="str">
        <f aca="false">IF($I251="","","R"&amp;$I251)</f>
        <v/>
      </c>
    </row>
    <row r="252" customFormat="false" ht="15" hidden="false" customHeight="true" outlineLevel="0" collapsed="false">
      <c r="H252" s="29" t="b">
        <f aca="false">IF(회원현황!$A252="",FALSE(),OR(AND(회원현황!$F252&gt;0,회원현황!$F252&lt;=사용안내!$C$18),AND(회원현황!$H252&lt;&gt;"",회원현황!$H252&gt;=0,회원현황!$H252&lt;=사용안내!$C$17)))</f>
        <v>0</v>
      </c>
      <c r="I252" s="7" t="str">
        <f aca="false">IF($H252=FALSE(),"",COUNTIF($H$6:$H252,TRUE()))</f>
        <v/>
      </c>
      <c r="J252" s="7" t="str">
        <f aca="false">IF($I252="","","R"&amp;$I252)</f>
        <v/>
      </c>
    </row>
    <row r="253" customFormat="false" ht="15" hidden="false" customHeight="true" outlineLevel="0" collapsed="false">
      <c r="H253" s="29" t="b">
        <f aca="false">IF(회원현황!$A253="",FALSE(),OR(AND(회원현황!$F253&gt;0,회원현황!$F253&lt;=사용안내!$C$18),AND(회원현황!$H253&lt;&gt;"",회원현황!$H253&gt;=0,회원현황!$H253&lt;=사용안내!$C$17)))</f>
        <v>0</v>
      </c>
      <c r="I253" s="7" t="str">
        <f aca="false">IF($H253=FALSE(),"",COUNTIF($H$6:$H253,TRUE()))</f>
        <v/>
      </c>
      <c r="J253" s="7" t="str">
        <f aca="false">IF($I253="","","R"&amp;$I253)</f>
        <v/>
      </c>
    </row>
    <row r="254" customFormat="false" ht="15" hidden="false" customHeight="true" outlineLevel="0" collapsed="false">
      <c r="H254" s="29" t="b">
        <f aca="false">IF(회원현황!$A254="",FALSE(),OR(AND(회원현황!$F254&gt;0,회원현황!$F254&lt;=사용안내!$C$18),AND(회원현황!$H254&lt;&gt;"",회원현황!$H254&gt;=0,회원현황!$H254&lt;=사용안내!$C$17)))</f>
        <v>0</v>
      </c>
      <c r="I254" s="7" t="str">
        <f aca="false">IF($H254=FALSE(),"",COUNTIF($H$6:$H254,TRUE()))</f>
        <v/>
      </c>
      <c r="J254" s="7" t="str">
        <f aca="false">IF($I254="","","R"&amp;$I254)</f>
        <v/>
      </c>
    </row>
    <row r="255" customFormat="false" ht="15" hidden="false" customHeight="true" outlineLevel="0" collapsed="false">
      <c r="H255" s="29" t="b">
        <f aca="false">IF(회원현황!$A255="",FALSE(),OR(AND(회원현황!$F255&gt;0,회원현황!$F255&lt;=사용안내!$C$18),AND(회원현황!$H255&lt;&gt;"",회원현황!$H255&gt;=0,회원현황!$H255&lt;=사용안내!$C$17)))</f>
        <v>0</v>
      </c>
      <c r="I255" s="7" t="str">
        <f aca="false">IF($H255=FALSE(),"",COUNTIF($H$6:$H255,TRUE()))</f>
        <v/>
      </c>
      <c r="J255" s="7" t="str">
        <f aca="false">IF($I255="","","R"&amp;$I255)</f>
        <v/>
      </c>
    </row>
    <row r="256" customFormat="false" ht="15" hidden="false" customHeight="true" outlineLevel="0" collapsed="false">
      <c r="H256" s="29" t="b">
        <f aca="false">IF(회원현황!$A256="",FALSE(),OR(AND(회원현황!$F256&gt;0,회원현황!$F256&lt;=사용안내!$C$18),AND(회원현황!$H256&lt;&gt;"",회원현황!$H256&gt;=0,회원현황!$H256&lt;=사용안내!$C$17)))</f>
        <v>0</v>
      </c>
      <c r="I256" s="7" t="str">
        <f aca="false">IF($H256=FALSE(),"",COUNTIF($H$6:$H256,TRUE()))</f>
        <v/>
      </c>
      <c r="J256" s="7" t="str">
        <f aca="false">IF($I256="","","R"&amp;$I256)</f>
        <v/>
      </c>
    </row>
    <row r="257" customFormat="false" ht="15" hidden="false" customHeight="true" outlineLevel="0" collapsed="false">
      <c r="H257" s="29" t="b">
        <f aca="false">IF(회원현황!$A257="",FALSE(),OR(AND(회원현황!$F257&gt;0,회원현황!$F257&lt;=사용안내!$C$18),AND(회원현황!$H257&lt;&gt;"",회원현황!$H257&gt;=0,회원현황!$H257&lt;=사용안내!$C$17)))</f>
        <v>0</v>
      </c>
      <c r="I257" s="7" t="str">
        <f aca="false">IF($H257=FALSE(),"",COUNTIF($H$6:$H257,TRUE()))</f>
        <v/>
      </c>
      <c r="J257" s="7" t="str">
        <f aca="false">IF($I257="","","R"&amp;$I257)</f>
        <v/>
      </c>
    </row>
    <row r="258" customFormat="false" ht="15" hidden="false" customHeight="true" outlineLevel="0" collapsed="false">
      <c r="H258" s="29" t="b">
        <f aca="false">IF(회원현황!$A258="",FALSE(),OR(AND(회원현황!$F258&gt;0,회원현황!$F258&lt;=사용안내!$C$18),AND(회원현황!$H258&lt;&gt;"",회원현황!$H258&gt;=0,회원현황!$H258&lt;=사용안내!$C$17)))</f>
        <v>0</v>
      </c>
      <c r="I258" s="7" t="str">
        <f aca="false">IF($H258=FALSE(),"",COUNTIF($H$6:$H258,TRUE()))</f>
        <v/>
      </c>
      <c r="J258" s="7" t="str">
        <f aca="false">IF($I258="","","R"&amp;$I258)</f>
        <v/>
      </c>
    </row>
    <row r="259" customFormat="false" ht="15" hidden="false" customHeight="true" outlineLevel="0" collapsed="false">
      <c r="H259" s="29" t="b">
        <f aca="false">IF(회원현황!$A259="",FALSE(),OR(AND(회원현황!$F259&gt;0,회원현황!$F259&lt;=사용안내!$C$18),AND(회원현황!$H259&lt;&gt;"",회원현황!$H259&gt;=0,회원현황!$H259&lt;=사용안내!$C$17)))</f>
        <v>0</v>
      </c>
      <c r="I259" s="7" t="str">
        <f aca="false">IF($H259=FALSE(),"",COUNTIF($H$6:$H259,TRUE()))</f>
        <v/>
      </c>
      <c r="J259" s="7" t="str">
        <f aca="false">IF($I259="","","R"&amp;$I259)</f>
        <v/>
      </c>
    </row>
    <row r="260" customFormat="false" ht="15" hidden="false" customHeight="true" outlineLevel="0" collapsed="false">
      <c r="H260" s="29" t="b">
        <f aca="false">IF(회원현황!$A260="",FALSE(),OR(AND(회원현황!$F260&gt;0,회원현황!$F260&lt;=사용안내!$C$18),AND(회원현황!$H260&lt;&gt;"",회원현황!$H260&gt;=0,회원현황!$H260&lt;=사용안내!$C$17)))</f>
        <v>0</v>
      </c>
      <c r="I260" s="7" t="str">
        <f aca="false">IF($H260=FALSE(),"",COUNTIF($H$6:$H260,TRUE()))</f>
        <v/>
      </c>
      <c r="J260" s="7" t="str">
        <f aca="false">IF($I260="","","R"&amp;$I260)</f>
        <v/>
      </c>
    </row>
    <row r="261" customFormat="false" ht="15" hidden="false" customHeight="true" outlineLevel="0" collapsed="false">
      <c r="H261" s="29" t="b">
        <f aca="false">IF(회원현황!$A261="",FALSE(),OR(AND(회원현황!$F261&gt;0,회원현황!$F261&lt;=사용안내!$C$18),AND(회원현황!$H261&lt;&gt;"",회원현황!$H261&gt;=0,회원현황!$H261&lt;=사용안내!$C$17)))</f>
        <v>0</v>
      </c>
      <c r="I261" s="7" t="str">
        <f aca="false">IF($H261=FALSE(),"",COUNTIF($H$6:$H261,TRUE()))</f>
        <v/>
      </c>
      <c r="J261" s="7" t="str">
        <f aca="false">IF($I261="","","R"&amp;$I261)</f>
        <v/>
      </c>
    </row>
    <row r="262" customFormat="false" ht="15" hidden="false" customHeight="true" outlineLevel="0" collapsed="false">
      <c r="H262" s="29" t="b">
        <f aca="false">IF(회원현황!$A262="",FALSE(),OR(AND(회원현황!$F262&gt;0,회원현황!$F262&lt;=사용안내!$C$18),AND(회원현황!$H262&lt;&gt;"",회원현황!$H262&gt;=0,회원현황!$H262&lt;=사용안내!$C$17)))</f>
        <v>0</v>
      </c>
      <c r="I262" s="7" t="str">
        <f aca="false">IF($H262=FALSE(),"",COUNTIF($H$6:$H262,TRUE()))</f>
        <v/>
      </c>
      <c r="J262" s="7" t="str">
        <f aca="false">IF($I262="","","R"&amp;$I262)</f>
        <v/>
      </c>
    </row>
    <row r="263" customFormat="false" ht="15" hidden="false" customHeight="true" outlineLevel="0" collapsed="false">
      <c r="H263" s="29" t="b">
        <f aca="false">IF(회원현황!$A263="",FALSE(),OR(AND(회원현황!$F263&gt;0,회원현황!$F263&lt;=사용안내!$C$18),AND(회원현황!$H263&lt;&gt;"",회원현황!$H263&gt;=0,회원현황!$H263&lt;=사용안내!$C$17)))</f>
        <v>0</v>
      </c>
      <c r="I263" s="7" t="str">
        <f aca="false">IF($H263=FALSE(),"",COUNTIF($H$6:$H263,TRUE()))</f>
        <v/>
      </c>
      <c r="J263" s="7" t="str">
        <f aca="false">IF($I263="","","R"&amp;$I263)</f>
        <v/>
      </c>
    </row>
    <row r="264" customFormat="false" ht="15" hidden="false" customHeight="true" outlineLevel="0" collapsed="false">
      <c r="H264" s="29" t="b">
        <f aca="false">IF(회원현황!$A264="",FALSE(),OR(AND(회원현황!$F264&gt;0,회원현황!$F264&lt;=사용안내!$C$18),AND(회원현황!$H264&lt;&gt;"",회원현황!$H264&gt;=0,회원현황!$H264&lt;=사용안내!$C$17)))</f>
        <v>0</v>
      </c>
      <c r="I264" s="7" t="str">
        <f aca="false">IF($H264=FALSE(),"",COUNTIF($H$6:$H264,TRUE()))</f>
        <v/>
      </c>
      <c r="J264" s="7" t="str">
        <f aca="false">IF($I264="","","R"&amp;$I264)</f>
        <v/>
      </c>
    </row>
    <row r="265" customFormat="false" ht="15" hidden="false" customHeight="true" outlineLevel="0" collapsed="false">
      <c r="H265" s="29" t="b">
        <f aca="false">IF(회원현황!$A265="",FALSE(),OR(AND(회원현황!$F265&gt;0,회원현황!$F265&lt;=사용안내!$C$18),AND(회원현황!$H265&lt;&gt;"",회원현황!$H265&gt;=0,회원현황!$H265&lt;=사용안내!$C$17)))</f>
        <v>0</v>
      </c>
      <c r="I265" s="7" t="str">
        <f aca="false">IF($H265=FALSE(),"",COUNTIF($H$6:$H265,TRUE()))</f>
        <v/>
      </c>
      <c r="J265" s="7" t="str">
        <f aca="false">IF($I265="","","R"&amp;$I265)</f>
        <v/>
      </c>
    </row>
    <row r="266" customFormat="false" ht="15" hidden="false" customHeight="true" outlineLevel="0" collapsed="false">
      <c r="H266" s="29" t="b">
        <f aca="false">IF(회원현황!$A266="",FALSE(),OR(AND(회원현황!$F266&gt;0,회원현황!$F266&lt;=사용안내!$C$18),AND(회원현황!$H266&lt;&gt;"",회원현황!$H266&gt;=0,회원현황!$H266&lt;=사용안내!$C$17)))</f>
        <v>0</v>
      </c>
      <c r="I266" s="7" t="str">
        <f aca="false">IF($H266=FALSE(),"",COUNTIF($H$6:$H266,TRUE()))</f>
        <v/>
      </c>
      <c r="J266" s="7" t="str">
        <f aca="false">IF($I266="","","R"&amp;$I266)</f>
        <v/>
      </c>
    </row>
    <row r="267" customFormat="false" ht="15" hidden="false" customHeight="true" outlineLevel="0" collapsed="false">
      <c r="H267" s="29" t="b">
        <f aca="false">IF(회원현황!$A267="",FALSE(),OR(AND(회원현황!$F267&gt;0,회원현황!$F267&lt;=사용안내!$C$18),AND(회원현황!$H267&lt;&gt;"",회원현황!$H267&gt;=0,회원현황!$H267&lt;=사용안내!$C$17)))</f>
        <v>0</v>
      </c>
      <c r="I267" s="7" t="str">
        <f aca="false">IF($H267=FALSE(),"",COUNTIF($H$6:$H267,TRUE()))</f>
        <v/>
      </c>
      <c r="J267" s="7" t="str">
        <f aca="false">IF($I267="","","R"&amp;$I267)</f>
        <v/>
      </c>
    </row>
    <row r="268" customFormat="false" ht="15" hidden="false" customHeight="true" outlineLevel="0" collapsed="false">
      <c r="H268" s="29" t="b">
        <f aca="false">IF(회원현황!$A268="",FALSE(),OR(AND(회원현황!$F268&gt;0,회원현황!$F268&lt;=사용안내!$C$18),AND(회원현황!$H268&lt;&gt;"",회원현황!$H268&gt;=0,회원현황!$H268&lt;=사용안내!$C$17)))</f>
        <v>0</v>
      </c>
      <c r="I268" s="7" t="str">
        <f aca="false">IF($H268=FALSE(),"",COUNTIF($H$6:$H268,TRUE()))</f>
        <v/>
      </c>
      <c r="J268" s="7" t="str">
        <f aca="false">IF($I268="","","R"&amp;$I268)</f>
        <v/>
      </c>
    </row>
    <row r="269" customFormat="false" ht="15" hidden="false" customHeight="true" outlineLevel="0" collapsed="false">
      <c r="H269" s="29" t="b">
        <f aca="false">IF(회원현황!$A269="",FALSE(),OR(AND(회원현황!$F269&gt;0,회원현황!$F269&lt;=사용안내!$C$18),AND(회원현황!$H269&lt;&gt;"",회원현황!$H269&gt;=0,회원현황!$H269&lt;=사용안내!$C$17)))</f>
        <v>0</v>
      </c>
      <c r="I269" s="7" t="str">
        <f aca="false">IF($H269=FALSE(),"",COUNTIF($H$6:$H269,TRUE()))</f>
        <v/>
      </c>
      <c r="J269" s="7" t="str">
        <f aca="false">IF($I269="","","R"&amp;$I269)</f>
        <v/>
      </c>
    </row>
    <row r="270" customFormat="false" ht="15" hidden="false" customHeight="true" outlineLevel="0" collapsed="false">
      <c r="H270" s="29" t="b">
        <f aca="false">IF(회원현황!$A270="",FALSE(),OR(AND(회원현황!$F270&gt;0,회원현황!$F270&lt;=사용안내!$C$18),AND(회원현황!$H270&lt;&gt;"",회원현황!$H270&gt;=0,회원현황!$H270&lt;=사용안내!$C$17)))</f>
        <v>0</v>
      </c>
      <c r="I270" s="7" t="str">
        <f aca="false">IF($H270=FALSE(),"",COUNTIF($H$6:$H270,TRUE()))</f>
        <v/>
      </c>
      <c r="J270" s="7" t="str">
        <f aca="false">IF($I270="","","R"&amp;$I270)</f>
        <v/>
      </c>
    </row>
    <row r="271" customFormat="false" ht="15" hidden="false" customHeight="true" outlineLevel="0" collapsed="false">
      <c r="H271" s="29" t="b">
        <f aca="false">IF(회원현황!$A271="",FALSE(),OR(AND(회원현황!$F271&gt;0,회원현황!$F271&lt;=사용안내!$C$18),AND(회원현황!$H271&lt;&gt;"",회원현황!$H271&gt;=0,회원현황!$H271&lt;=사용안내!$C$17)))</f>
        <v>0</v>
      </c>
      <c r="I271" s="7" t="str">
        <f aca="false">IF($H271=FALSE(),"",COUNTIF($H$6:$H271,TRUE()))</f>
        <v/>
      </c>
      <c r="J271" s="7" t="str">
        <f aca="false">IF($I271="","","R"&amp;$I271)</f>
        <v/>
      </c>
    </row>
    <row r="272" customFormat="false" ht="15" hidden="false" customHeight="true" outlineLevel="0" collapsed="false">
      <c r="H272" s="29" t="b">
        <f aca="false">IF(회원현황!$A272="",FALSE(),OR(AND(회원현황!$F272&gt;0,회원현황!$F272&lt;=사용안내!$C$18),AND(회원현황!$H272&lt;&gt;"",회원현황!$H272&gt;=0,회원현황!$H272&lt;=사용안내!$C$17)))</f>
        <v>0</v>
      </c>
      <c r="I272" s="7" t="str">
        <f aca="false">IF($H272=FALSE(),"",COUNTIF($H$6:$H272,TRUE()))</f>
        <v/>
      </c>
      <c r="J272" s="7" t="str">
        <f aca="false">IF($I272="","","R"&amp;$I272)</f>
        <v/>
      </c>
    </row>
    <row r="273" customFormat="false" ht="15" hidden="false" customHeight="true" outlineLevel="0" collapsed="false">
      <c r="H273" s="29" t="b">
        <f aca="false">IF(회원현황!$A273="",FALSE(),OR(AND(회원현황!$F273&gt;0,회원현황!$F273&lt;=사용안내!$C$18),AND(회원현황!$H273&lt;&gt;"",회원현황!$H273&gt;=0,회원현황!$H273&lt;=사용안내!$C$17)))</f>
        <v>0</v>
      </c>
      <c r="I273" s="7" t="str">
        <f aca="false">IF($H273=FALSE(),"",COUNTIF($H$6:$H273,TRUE()))</f>
        <v/>
      </c>
      <c r="J273" s="7" t="str">
        <f aca="false">IF($I273="","","R"&amp;$I273)</f>
        <v/>
      </c>
    </row>
    <row r="274" customFormat="false" ht="15" hidden="false" customHeight="true" outlineLevel="0" collapsed="false">
      <c r="H274" s="29" t="b">
        <f aca="false">IF(회원현황!$A274="",FALSE(),OR(AND(회원현황!$F274&gt;0,회원현황!$F274&lt;=사용안내!$C$18),AND(회원현황!$H274&lt;&gt;"",회원현황!$H274&gt;=0,회원현황!$H274&lt;=사용안내!$C$17)))</f>
        <v>0</v>
      </c>
      <c r="I274" s="7" t="str">
        <f aca="false">IF($H274=FALSE(),"",COUNTIF($H$6:$H274,TRUE()))</f>
        <v/>
      </c>
      <c r="J274" s="7" t="str">
        <f aca="false">IF($I274="","","R"&amp;$I274)</f>
        <v/>
      </c>
    </row>
    <row r="275" customFormat="false" ht="15" hidden="false" customHeight="true" outlineLevel="0" collapsed="false">
      <c r="H275" s="29" t="b">
        <f aca="false">IF(회원현황!$A275="",FALSE(),OR(AND(회원현황!$F275&gt;0,회원현황!$F275&lt;=사용안내!$C$18),AND(회원현황!$H275&lt;&gt;"",회원현황!$H275&gt;=0,회원현황!$H275&lt;=사용안내!$C$17)))</f>
        <v>0</v>
      </c>
      <c r="I275" s="7" t="str">
        <f aca="false">IF($H275=FALSE(),"",COUNTIF($H$6:$H275,TRUE()))</f>
        <v/>
      </c>
      <c r="J275" s="7" t="str">
        <f aca="false">IF($I275="","","R"&amp;$I275)</f>
        <v/>
      </c>
    </row>
    <row r="276" customFormat="false" ht="15" hidden="false" customHeight="true" outlineLevel="0" collapsed="false">
      <c r="H276" s="29" t="b">
        <f aca="false">IF(회원현황!$A276="",FALSE(),OR(AND(회원현황!$F276&gt;0,회원현황!$F276&lt;=사용안내!$C$18),AND(회원현황!$H276&lt;&gt;"",회원현황!$H276&gt;=0,회원현황!$H276&lt;=사용안내!$C$17)))</f>
        <v>0</v>
      </c>
      <c r="I276" s="7" t="str">
        <f aca="false">IF($H276=FALSE(),"",COUNTIF($H$6:$H276,TRUE()))</f>
        <v/>
      </c>
      <c r="J276" s="7" t="str">
        <f aca="false">IF($I276="","","R"&amp;$I276)</f>
        <v/>
      </c>
    </row>
    <row r="277" customFormat="false" ht="15" hidden="false" customHeight="true" outlineLevel="0" collapsed="false">
      <c r="H277" s="29" t="b">
        <f aca="false">IF(회원현황!$A277="",FALSE(),OR(AND(회원현황!$F277&gt;0,회원현황!$F277&lt;=사용안내!$C$18),AND(회원현황!$H277&lt;&gt;"",회원현황!$H277&gt;=0,회원현황!$H277&lt;=사용안내!$C$17)))</f>
        <v>0</v>
      </c>
      <c r="I277" s="7" t="str">
        <f aca="false">IF($H277=FALSE(),"",COUNTIF($H$6:$H277,TRUE()))</f>
        <v/>
      </c>
      <c r="J277" s="7" t="str">
        <f aca="false">IF($I277="","","R"&amp;$I277)</f>
        <v/>
      </c>
    </row>
    <row r="278" customFormat="false" ht="15" hidden="false" customHeight="true" outlineLevel="0" collapsed="false">
      <c r="H278" s="29" t="b">
        <f aca="false">IF(회원현황!$A278="",FALSE(),OR(AND(회원현황!$F278&gt;0,회원현황!$F278&lt;=사용안내!$C$18),AND(회원현황!$H278&lt;&gt;"",회원현황!$H278&gt;=0,회원현황!$H278&lt;=사용안내!$C$17)))</f>
        <v>0</v>
      </c>
      <c r="I278" s="7" t="str">
        <f aca="false">IF($H278=FALSE(),"",COUNTIF($H$6:$H278,TRUE()))</f>
        <v/>
      </c>
      <c r="J278" s="7" t="str">
        <f aca="false">IF($I278="","","R"&amp;$I278)</f>
        <v/>
      </c>
    </row>
    <row r="279" customFormat="false" ht="15" hidden="false" customHeight="true" outlineLevel="0" collapsed="false">
      <c r="H279" s="29" t="b">
        <f aca="false">IF(회원현황!$A279="",FALSE(),OR(AND(회원현황!$F279&gt;0,회원현황!$F279&lt;=사용안내!$C$18),AND(회원현황!$H279&lt;&gt;"",회원현황!$H279&gt;=0,회원현황!$H279&lt;=사용안내!$C$17)))</f>
        <v>0</v>
      </c>
      <c r="I279" s="7" t="str">
        <f aca="false">IF($H279=FALSE(),"",COUNTIF($H$6:$H279,TRUE()))</f>
        <v/>
      </c>
      <c r="J279" s="7" t="str">
        <f aca="false">IF($I279="","","R"&amp;$I279)</f>
        <v/>
      </c>
    </row>
    <row r="280" customFormat="false" ht="15" hidden="false" customHeight="true" outlineLevel="0" collapsed="false">
      <c r="H280" s="29" t="b">
        <f aca="false">IF(회원현황!$A280="",FALSE(),OR(AND(회원현황!$F280&gt;0,회원현황!$F280&lt;=사용안내!$C$18),AND(회원현황!$H280&lt;&gt;"",회원현황!$H280&gt;=0,회원현황!$H280&lt;=사용안내!$C$17)))</f>
        <v>0</v>
      </c>
      <c r="I280" s="7" t="str">
        <f aca="false">IF($H280=FALSE(),"",COUNTIF($H$6:$H280,TRUE()))</f>
        <v/>
      </c>
      <c r="J280" s="7" t="str">
        <f aca="false">IF($I280="","","R"&amp;$I280)</f>
        <v/>
      </c>
    </row>
    <row r="281" customFormat="false" ht="15" hidden="false" customHeight="true" outlineLevel="0" collapsed="false">
      <c r="H281" s="29" t="b">
        <f aca="false">IF(회원현황!$A281="",FALSE(),OR(AND(회원현황!$F281&gt;0,회원현황!$F281&lt;=사용안내!$C$18),AND(회원현황!$H281&lt;&gt;"",회원현황!$H281&gt;=0,회원현황!$H281&lt;=사용안내!$C$17)))</f>
        <v>0</v>
      </c>
      <c r="I281" s="7" t="str">
        <f aca="false">IF($H281=FALSE(),"",COUNTIF($H$6:$H281,TRUE()))</f>
        <v/>
      </c>
      <c r="J281" s="7" t="str">
        <f aca="false">IF($I281="","","R"&amp;$I281)</f>
        <v/>
      </c>
    </row>
    <row r="282" customFormat="false" ht="15" hidden="false" customHeight="true" outlineLevel="0" collapsed="false">
      <c r="H282" s="29" t="b">
        <f aca="false">IF(회원현황!$A282="",FALSE(),OR(AND(회원현황!$F282&gt;0,회원현황!$F282&lt;=사용안내!$C$18),AND(회원현황!$H282&lt;&gt;"",회원현황!$H282&gt;=0,회원현황!$H282&lt;=사용안내!$C$17)))</f>
        <v>0</v>
      </c>
      <c r="I282" s="7" t="str">
        <f aca="false">IF($H282=FALSE(),"",COUNTIF($H$6:$H282,TRUE()))</f>
        <v/>
      </c>
      <c r="J282" s="7" t="str">
        <f aca="false">IF($I282="","","R"&amp;$I282)</f>
        <v/>
      </c>
    </row>
    <row r="283" customFormat="false" ht="15" hidden="false" customHeight="true" outlineLevel="0" collapsed="false">
      <c r="H283" s="29" t="b">
        <f aca="false">IF(회원현황!$A283="",FALSE(),OR(AND(회원현황!$F283&gt;0,회원현황!$F283&lt;=사용안내!$C$18),AND(회원현황!$H283&lt;&gt;"",회원현황!$H283&gt;=0,회원현황!$H283&lt;=사용안내!$C$17)))</f>
        <v>0</v>
      </c>
      <c r="I283" s="7" t="str">
        <f aca="false">IF($H283=FALSE(),"",COUNTIF($H$6:$H283,TRUE()))</f>
        <v/>
      </c>
      <c r="J283" s="7" t="str">
        <f aca="false">IF($I283="","","R"&amp;$I283)</f>
        <v/>
      </c>
    </row>
    <row r="284" customFormat="false" ht="15" hidden="false" customHeight="true" outlineLevel="0" collapsed="false">
      <c r="H284" s="29" t="b">
        <f aca="false">IF(회원현황!$A284="",FALSE(),OR(AND(회원현황!$F284&gt;0,회원현황!$F284&lt;=사용안내!$C$18),AND(회원현황!$H284&lt;&gt;"",회원현황!$H284&gt;=0,회원현황!$H284&lt;=사용안내!$C$17)))</f>
        <v>0</v>
      </c>
      <c r="I284" s="7" t="str">
        <f aca="false">IF($H284=FALSE(),"",COUNTIF($H$6:$H284,TRUE()))</f>
        <v/>
      </c>
      <c r="J284" s="7" t="str">
        <f aca="false">IF($I284="","","R"&amp;$I284)</f>
        <v/>
      </c>
    </row>
    <row r="285" customFormat="false" ht="15" hidden="false" customHeight="true" outlineLevel="0" collapsed="false">
      <c r="H285" s="29" t="b">
        <f aca="false">IF(회원현황!$A285="",FALSE(),OR(AND(회원현황!$F285&gt;0,회원현황!$F285&lt;=사용안내!$C$18),AND(회원현황!$H285&lt;&gt;"",회원현황!$H285&gt;=0,회원현황!$H285&lt;=사용안내!$C$17)))</f>
        <v>0</v>
      </c>
      <c r="I285" s="7" t="str">
        <f aca="false">IF($H285=FALSE(),"",COUNTIF($H$6:$H285,TRUE()))</f>
        <v/>
      </c>
      <c r="J285" s="7" t="str">
        <f aca="false">IF($I285="","","R"&amp;$I285)</f>
        <v/>
      </c>
    </row>
    <row r="286" customFormat="false" ht="15" hidden="false" customHeight="true" outlineLevel="0" collapsed="false">
      <c r="H286" s="29" t="b">
        <f aca="false">IF(회원현황!$A286="",FALSE(),OR(AND(회원현황!$F286&gt;0,회원현황!$F286&lt;=사용안내!$C$18),AND(회원현황!$H286&lt;&gt;"",회원현황!$H286&gt;=0,회원현황!$H286&lt;=사용안내!$C$17)))</f>
        <v>0</v>
      </c>
      <c r="I286" s="7" t="str">
        <f aca="false">IF($H286=FALSE(),"",COUNTIF($H$6:$H286,TRUE()))</f>
        <v/>
      </c>
      <c r="J286" s="7" t="str">
        <f aca="false">IF($I286="","","R"&amp;$I286)</f>
        <v/>
      </c>
    </row>
    <row r="287" customFormat="false" ht="15" hidden="false" customHeight="true" outlineLevel="0" collapsed="false">
      <c r="H287" s="29" t="b">
        <f aca="false">IF(회원현황!$A287="",FALSE(),OR(AND(회원현황!$F287&gt;0,회원현황!$F287&lt;=사용안내!$C$18),AND(회원현황!$H287&lt;&gt;"",회원현황!$H287&gt;=0,회원현황!$H287&lt;=사용안내!$C$17)))</f>
        <v>0</v>
      </c>
      <c r="I287" s="7" t="str">
        <f aca="false">IF($H287=FALSE(),"",COUNTIF($H$6:$H287,TRUE()))</f>
        <v/>
      </c>
      <c r="J287" s="7" t="str">
        <f aca="false">IF($I287="","","R"&amp;$I287)</f>
        <v/>
      </c>
    </row>
    <row r="288" customFormat="false" ht="15" hidden="false" customHeight="true" outlineLevel="0" collapsed="false">
      <c r="H288" s="29" t="b">
        <f aca="false">IF(회원현황!$A288="",FALSE(),OR(AND(회원현황!$F288&gt;0,회원현황!$F288&lt;=사용안내!$C$18),AND(회원현황!$H288&lt;&gt;"",회원현황!$H288&gt;=0,회원현황!$H288&lt;=사용안내!$C$17)))</f>
        <v>0</v>
      </c>
      <c r="I288" s="7" t="str">
        <f aca="false">IF($H288=FALSE(),"",COUNTIF($H$6:$H288,TRUE()))</f>
        <v/>
      </c>
      <c r="J288" s="7" t="str">
        <f aca="false">IF($I288="","","R"&amp;$I288)</f>
        <v/>
      </c>
    </row>
    <row r="289" customFormat="false" ht="15" hidden="false" customHeight="true" outlineLevel="0" collapsed="false">
      <c r="H289" s="29" t="b">
        <f aca="false">IF(회원현황!$A289="",FALSE(),OR(AND(회원현황!$F289&gt;0,회원현황!$F289&lt;=사용안내!$C$18),AND(회원현황!$H289&lt;&gt;"",회원현황!$H289&gt;=0,회원현황!$H289&lt;=사용안내!$C$17)))</f>
        <v>0</v>
      </c>
      <c r="I289" s="7" t="str">
        <f aca="false">IF($H289=FALSE(),"",COUNTIF($H$6:$H289,TRUE()))</f>
        <v/>
      </c>
      <c r="J289" s="7" t="str">
        <f aca="false">IF($I289="","","R"&amp;$I289)</f>
        <v/>
      </c>
    </row>
    <row r="290" customFormat="false" ht="15" hidden="false" customHeight="true" outlineLevel="0" collapsed="false">
      <c r="H290" s="29" t="b">
        <f aca="false">IF(회원현황!$A290="",FALSE(),OR(AND(회원현황!$F290&gt;0,회원현황!$F290&lt;=사용안내!$C$18),AND(회원현황!$H290&lt;&gt;"",회원현황!$H290&gt;=0,회원현황!$H290&lt;=사용안내!$C$17)))</f>
        <v>0</v>
      </c>
      <c r="I290" s="7" t="str">
        <f aca="false">IF($H290=FALSE(),"",COUNTIF($H$6:$H290,TRUE()))</f>
        <v/>
      </c>
      <c r="J290" s="7" t="str">
        <f aca="false">IF($I290="","","R"&amp;$I290)</f>
        <v/>
      </c>
    </row>
    <row r="291" customFormat="false" ht="15" hidden="false" customHeight="true" outlineLevel="0" collapsed="false">
      <c r="H291" s="29" t="b">
        <f aca="false">IF(회원현황!$A291="",FALSE(),OR(AND(회원현황!$F291&gt;0,회원현황!$F291&lt;=사용안내!$C$18),AND(회원현황!$H291&lt;&gt;"",회원현황!$H291&gt;=0,회원현황!$H291&lt;=사용안내!$C$17)))</f>
        <v>0</v>
      </c>
      <c r="I291" s="7" t="str">
        <f aca="false">IF($H291=FALSE(),"",COUNTIF($H$6:$H291,TRUE()))</f>
        <v/>
      </c>
      <c r="J291" s="7" t="str">
        <f aca="false">IF($I291="","","R"&amp;$I291)</f>
        <v/>
      </c>
    </row>
    <row r="292" customFormat="false" ht="15" hidden="false" customHeight="true" outlineLevel="0" collapsed="false">
      <c r="H292" s="29" t="b">
        <f aca="false">IF(회원현황!$A292="",FALSE(),OR(AND(회원현황!$F292&gt;0,회원현황!$F292&lt;=사용안내!$C$18),AND(회원현황!$H292&lt;&gt;"",회원현황!$H292&gt;=0,회원현황!$H292&lt;=사용안내!$C$17)))</f>
        <v>0</v>
      </c>
      <c r="I292" s="7" t="str">
        <f aca="false">IF($H292=FALSE(),"",COUNTIF($H$6:$H292,TRUE()))</f>
        <v/>
      </c>
      <c r="J292" s="7" t="str">
        <f aca="false">IF($I292="","","R"&amp;$I292)</f>
        <v/>
      </c>
    </row>
    <row r="293" customFormat="false" ht="15" hidden="false" customHeight="true" outlineLevel="0" collapsed="false">
      <c r="H293" s="29" t="b">
        <f aca="false">IF(회원현황!$A293="",FALSE(),OR(AND(회원현황!$F293&gt;0,회원현황!$F293&lt;=사용안내!$C$18),AND(회원현황!$H293&lt;&gt;"",회원현황!$H293&gt;=0,회원현황!$H293&lt;=사용안내!$C$17)))</f>
        <v>0</v>
      </c>
      <c r="I293" s="7" t="str">
        <f aca="false">IF($H293=FALSE(),"",COUNTIF($H$6:$H293,TRUE()))</f>
        <v/>
      </c>
      <c r="J293" s="7" t="str">
        <f aca="false">IF($I293="","","R"&amp;$I293)</f>
        <v/>
      </c>
    </row>
    <row r="294" customFormat="false" ht="15" hidden="false" customHeight="true" outlineLevel="0" collapsed="false">
      <c r="H294" s="29" t="b">
        <f aca="false">IF(회원현황!$A294="",FALSE(),OR(AND(회원현황!$F294&gt;0,회원현황!$F294&lt;=사용안내!$C$18),AND(회원현황!$H294&lt;&gt;"",회원현황!$H294&gt;=0,회원현황!$H294&lt;=사용안내!$C$17)))</f>
        <v>0</v>
      </c>
      <c r="I294" s="7" t="str">
        <f aca="false">IF($H294=FALSE(),"",COUNTIF($H$6:$H294,TRUE()))</f>
        <v/>
      </c>
      <c r="J294" s="7" t="str">
        <f aca="false">IF($I294="","","R"&amp;$I294)</f>
        <v/>
      </c>
    </row>
    <row r="295" customFormat="false" ht="15" hidden="false" customHeight="true" outlineLevel="0" collapsed="false">
      <c r="H295" s="29" t="b">
        <f aca="false">IF(회원현황!$A295="",FALSE(),OR(AND(회원현황!$F295&gt;0,회원현황!$F295&lt;=사용안내!$C$18),AND(회원현황!$H295&lt;&gt;"",회원현황!$H295&gt;=0,회원현황!$H295&lt;=사용안내!$C$17)))</f>
        <v>0</v>
      </c>
      <c r="I295" s="7" t="str">
        <f aca="false">IF($H295=FALSE(),"",COUNTIF($H$6:$H295,TRUE()))</f>
        <v/>
      </c>
      <c r="J295" s="7" t="str">
        <f aca="false">IF($I295="","","R"&amp;$I295)</f>
        <v/>
      </c>
    </row>
    <row r="296" customFormat="false" ht="15" hidden="false" customHeight="true" outlineLevel="0" collapsed="false">
      <c r="H296" s="29" t="b">
        <f aca="false">IF(회원현황!$A296="",FALSE(),OR(AND(회원현황!$F296&gt;0,회원현황!$F296&lt;=사용안내!$C$18),AND(회원현황!$H296&lt;&gt;"",회원현황!$H296&gt;=0,회원현황!$H296&lt;=사용안내!$C$17)))</f>
        <v>0</v>
      </c>
      <c r="I296" s="7" t="str">
        <f aca="false">IF($H296=FALSE(),"",COUNTIF($H$6:$H296,TRUE()))</f>
        <v/>
      </c>
      <c r="J296" s="7" t="str">
        <f aca="false">IF($I296="","","R"&amp;$I296)</f>
        <v/>
      </c>
    </row>
    <row r="297" customFormat="false" ht="15" hidden="false" customHeight="true" outlineLevel="0" collapsed="false">
      <c r="H297" s="29" t="b">
        <f aca="false">IF(회원현황!$A297="",FALSE(),OR(AND(회원현황!$F297&gt;0,회원현황!$F297&lt;=사용안내!$C$18),AND(회원현황!$H297&lt;&gt;"",회원현황!$H297&gt;=0,회원현황!$H297&lt;=사용안내!$C$17)))</f>
        <v>0</v>
      </c>
      <c r="I297" s="7" t="str">
        <f aca="false">IF($H297=FALSE(),"",COUNTIF($H$6:$H297,TRUE()))</f>
        <v/>
      </c>
      <c r="J297" s="7" t="str">
        <f aca="false">IF($I297="","","R"&amp;$I297)</f>
        <v/>
      </c>
    </row>
    <row r="298" customFormat="false" ht="15" hidden="false" customHeight="true" outlineLevel="0" collapsed="false">
      <c r="H298" s="29" t="b">
        <f aca="false">IF(회원현황!$A298="",FALSE(),OR(AND(회원현황!$F298&gt;0,회원현황!$F298&lt;=사용안내!$C$18),AND(회원현황!$H298&lt;&gt;"",회원현황!$H298&gt;=0,회원현황!$H298&lt;=사용안내!$C$17)))</f>
        <v>0</v>
      </c>
      <c r="I298" s="7" t="str">
        <f aca="false">IF($H298=FALSE(),"",COUNTIF($H$6:$H298,TRUE()))</f>
        <v/>
      </c>
      <c r="J298" s="7" t="str">
        <f aca="false">IF($I298="","","R"&amp;$I298)</f>
        <v/>
      </c>
    </row>
    <row r="299" customFormat="false" ht="15" hidden="false" customHeight="true" outlineLevel="0" collapsed="false">
      <c r="H299" s="29" t="b">
        <f aca="false">IF(회원현황!$A299="",FALSE(),OR(AND(회원현황!$F299&gt;0,회원현황!$F299&lt;=사용안내!$C$18),AND(회원현황!$H299&lt;&gt;"",회원현황!$H299&gt;=0,회원현황!$H299&lt;=사용안내!$C$17)))</f>
        <v>0</v>
      </c>
      <c r="I299" s="7" t="str">
        <f aca="false">IF($H299=FALSE(),"",COUNTIF($H$6:$H299,TRUE()))</f>
        <v/>
      </c>
      <c r="J299" s="7" t="str">
        <f aca="false">IF($I299="","","R"&amp;$I299)</f>
        <v/>
      </c>
    </row>
    <row r="300" customFormat="false" ht="15" hidden="false" customHeight="true" outlineLevel="0" collapsed="false">
      <c r="H300" s="29" t="b">
        <f aca="false">IF(회원현황!$A300="",FALSE(),OR(AND(회원현황!$F300&gt;0,회원현황!$F300&lt;=사용안내!$C$18),AND(회원현황!$H300&lt;&gt;"",회원현황!$H300&gt;=0,회원현황!$H300&lt;=사용안내!$C$17)))</f>
        <v>0</v>
      </c>
      <c r="I300" s="7" t="str">
        <f aca="false">IF($H300=FALSE(),"",COUNTIF($H$6:$H300,TRUE()))</f>
        <v/>
      </c>
      <c r="J300" s="7" t="str">
        <f aca="false">IF($I300="","","R"&amp;$I300)</f>
        <v/>
      </c>
    </row>
    <row r="301" customFormat="false" ht="15" hidden="false" customHeight="true" outlineLevel="0" collapsed="false">
      <c r="H301" s="29" t="b">
        <f aca="false">IF(회원현황!$A301="",FALSE(),OR(AND(회원현황!$F301&gt;0,회원현황!$F301&lt;=사용안내!$C$18),AND(회원현황!$H301&lt;&gt;"",회원현황!$H301&gt;=0,회원현황!$H301&lt;=사용안내!$C$17)))</f>
        <v>0</v>
      </c>
      <c r="I301" s="7" t="str">
        <f aca="false">IF($H301=FALSE(),"",COUNTIF($H$6:$H301,TRUE()))</f>
        <v/>
      </c>
      <c r="J301" s="7" t="str">
        <f aca="false">IF($I301="","","R"&amp;$I301)</f>
        <v/>
      </c>
    </row>
    <row r="302" customFormat="false" ht="15" hidden="false" customHeight="true" outlineLevel="0" collapsed="false">
      <c r="H302" s="29" t="b">
        <f aca="false">IF(회원현황!$A302="",FALSE(),OR(AND(회원현황!$F302&gt;0,회원현황!$F302&lt;=사용안내!$C$18),AND(회원현황!$H302&lt;&gt;"",회원현황!$H302&gt;=0,회원현황!$H302&lt;=사용안내!$C$17)))</f>
        <v>0</v>
      </c>
      <c r="I302" s="7" t="str">
        <f aca="false">IF($H302=FALSE(),"",COUNTIF($H$6:$H302,TRUE()))</f>
        <v/>
      </c>
      <c r="J302" s="7" t="str">
        <f aca="false">IF($I302="","","R"&amp;$I302)</f>
        <v/>
      </c>
    </row>
    <row r="303" customFormat="false" ht="15" hidden="false" customHeight="true" outlineLevel="0" collapsed="false">
      <c r="H303" s="29" t="b">
        <f aca="false">IF(회원현황!$A303="",FALSE(),OR(AND(회원현황!$F303&gt;0,회원현황!$F303&lt;=사용안내!$C$18),AND(회원현황!$H303&lt;&gt;"",회원현황!$H303&gt;=0,회원현황!$H303&lt;=사용안내!$C$17)))</f>
        <v>0</v>
      </c>
      <c r="I303" s="7" t="str">
        <f aca="false">IF($H303=FALSE(),"",COUNTIF($H$6:$H303,TRUE()))</f>
        <v/>
      </c>
      <c r="J303" s="7" t="str">
        <f aca="false">IF($I303="","","R"&amp;$I303)</f>
        <v/>
      </c>
    </row>
    <row r="304" customFormat="false" ht="15" hidden="false" customHeight="true" outlineLevel="0" collapsed="false">
      <c r="H304" s="29" t="b">
        <f aca="false">IF(회원현황!$A304="",FALSE(),OR(AND(회원현황!$F304&gt;0,회원현황!$F304&lt;=사용안내!$C$18),AND(회원현황!$H304&lt;&gt;"",회원현황!$H304&gt;=0,회원현황!$H304&lt;=사용안내!$C$17)))</f>
        <v>0</v>
      </c>
      <c r="I304" s="7" t="str">
        <f aca="false">IF($H304=FALSE(),"",COUNTIF($H$6:$H304,TRUE()))</f>
        <v/>
      </c>
      <c r="J304" s="7" t="str">
        <f aca="false">IF($I304="","","R"&amp;$I304)</f>
        <v/>
      </c>
    </row>
    <row r="305" customFormat="false" ht="15" hidden="false" customHeight="true" outlineLevel="0" collapsed="false">
      <c r="H305" s="29" t="b">
        <f aca="false">IF(회원현황!$A305="",FALSE(),OR(AND(회원현황!$F305&gt;0,회원현황!$F305&lt;=사용안내!$C$18),AND(회원현황!$H305&lt;&gt;"",회원현황!$H305&gt;=0,회원현황!$H305&lt;=사용안내!$C$17)))</f>
        <v>0</v>
      </c>
      <c r="I305" s="7" t="str">
        <f aca="false">IF($H305=FALSE(),"",COUNTIF($H$6:$H305,TRUE()))</f>
        <v/>
      </c>
      <c r="J305" s="7" t="str">
        <f aca="false">IF($I305="","","R"&amp;$I305)</f>
        <v/>
      </c>
    </row>
    <row r="306" customFormat="false" ht="15" hidden="false" customHeight="true" outlineLevel="0" collapsed="false">
      <c r="H306" s="29" t="b">
        <f aca="false">IF(회원현황!$A306="",FALSE(),OR(AND(회원현황!$F306&gt;0,회원현황!$F306&lt;=사용안내!$C$18),AND(회원현황!$H306&lt;&gt;"",회원현황!$H306&gt;=0,회원현황!$H306&lt;=사용안내!$C$17)))</f>
        <v>0</v>
      </c>
      <c r="I306" s="7" t="str">
        <f aca="false">IF($H306=FALSE(),"",COUNTIF($H$6:$H306,TRUE()))</f>
        <v/>
      </c>
      <c r="J306" s="7" t="str">
        <f aca="false">IF($I306="","","R"&amp;$I306)</f>
        <v/>
      </c>
    </row>
    <row r="307" customFormat="false" ht="15" hidden="false" customHeight="true" outlineLevel="0" collapsed="false">
      <c r="H307" s="29" t="b">
        <f aca="false">IF(회원현황!$A307="",FALSE(),OR(AND(회원현황!$F307&gt;0,회원현황!$F307&lt;=사용안내!$C$18),AND(회원현황!$H307&lt;&gt;"",회원현황!$H307&gt;=0,회원현황!$H307&lt;=사용안내!$C$17)))</f>
        <v>0</v>
      </c>
      <c r="I307" s="7" t="str">
        <f aca="false">IF($H307=FALSE(),"",COUNTIF($H$6:$H307,TRUE()))</f>
        <v/>
      </c>
      <c r="J307" s="7" t="str">
        <f aca="false">IF($I307="","","R"&amp;$I307)</f>
        <v/>
      </c>
    </row>
    <row r="308" customFormat="false" ht="15" hidden="false" customHeight="true" outlineLevel="0" collapsed="false">
      <c r="H308" s="29" t="b">
        <f aca="false">IF(회원현황!$A308="",FALSE(),OR(AND(회원현황!$F308&gt;0,회원현황!$F308&lt;=사용안내!$C$18),AND(회원현황!$H308&lt;&gt;"",회원현황!$H308&gt;=0,회원현황!$H308&lt;=사용안내!$C$17)))</f>
        <v>0</v>
      </c>
      <c r="I308" s="7" t="str">
        <f aca="false">IF($H308=FALSE(),"",COUNTIF($H$6:$H308,TRUE()))</f>
        <v/>
      </c>
      <c r="J308" s="7" t="str">
        <f aca="false">IF($I308="","","R"&amp;$I308)</f>
        <v/>
      </c>
    </row>
    <row r="309" customFormat="false" ht="15" hidden="false" customHeight="true" outlineLevel="0" collapsed="false">
      <c r="H309" s="29" t="b">
        <f aca="false">IF(회원현황!$A309="",FALSE(),OR(AND(회원현황!$F309&gt;0,회원현황!$F309&lt;=사용안내!$C$18),AND(회원현황!$H309&lt;&gt;"",회원현황!$H309&gt;=0,회원현황!$H309&lt;=사용안내!$C$17)))</f>
        <v>0</v>
      </c>
      <c r="I309" s="7" t="str">
        <f aca="false">IF($H309=FALSE(),"",COUNTIF($H$6:$H309,TRUE()))</f>
        <v/>
      </c>
      <c r="J309" s="7" t="str">
        <f aca="false">IF($I309="","","R"&amp;$I309)</f>
        <v/>
      </c>
    </row>
    <row r="310" customFormat="false" ht="15" hidden="false" customHeight="true" outlineLevel="0" collapsed="false">
      <c r="H310" s="29" t="b">
        <f aca="false">IF(회원현황!$A310="",FALSE(),OR(AND(회원현황!$F310&gt;0,회원현황!$F310&lt;=사용안내!$C$18),AND(회원현황!$H310&lt;&gt;"",회원현황!$H310&gt;=0,회원현황!$H310&lt;=사용안내!$C$17)))</f>
        <v>0</v>
      </c>
      <c r="I310" s="7" t="str">
        <f aca="false">IF($H310=FALSE(),"",COUNTIF($H$6:$H310,TRUE()))</f>
        <v/>
      </c>
      <c r="J310" s="7" t="str">
        <f aca="false">IF($I310="","","R"&amp;$I310)</f>
        <v/>
      </c>
    </row>
    <row r="311" customFormat="false" ht="15" hidden="false" customHeight="true" outlineLevel="0" collapsed="false">
      <c r="H311" s="29" t="b">
        <f aca="false">IF(회원현황!$A311="",FALSE(),OR(AND(회원현황!$F311&gt;0,회원현황!$F311&lt;=사용안내!$C$18),AND(회원현황!$H311&lt;&gt;"",회원현황!$H311&gt;=0,회원현황!$H311&lt;=사용안내!$C$17)))</f>
        <v>0</v>
      </c>
      <c r="I311" s="7" t="str">
        <f aca="false">IF($H311=FALSE(),"",COUNTIF($H$6:$H311,TRUE()))</f>
        <v/>
      </c>
      <c r="J311" s="7" t="str">
        <f aca="false">IF($I311="","","R"&amp;$I311)</f>
        <v/>
      </c>
    </row>
    <row r="312" customFormat="false" ht="15" hidden="false" customHeight="true" outlineLevel="0" collapsed="false">
      <c r="H312" s="29" t="b">
        <f aca="false">IF(회원현황!$A312="",FALSE(),OR(AND(회원현황!$F312&gt;0,회원현황!$F312&lt;=사용안내!$C$18),AND(회원현황!$H312&lt;&gt;"",회원현황!$H312&gt;=0,회원현황!$H312&lt;=사용안내!$C$17)))</f>
        <v>0</v>
      </c>
      <c r="I312" s="7" t="str">
        <f aca="false">IF($H312=FALSE(),"",COUNTIF($H$6:$H312,TRUE()))</f>
        <v/>
      </c>
      <c r="J312" s="7" t="str">
        <f aca="false">IF($I312="","","R"&amp;$I312)</f>
        <v/>
      </c>
    </row>
    <row r="313" customFormat="false" ht="15" hidden="false" customHeight="true" outlineLevel="0" collapsed="false">
      <c r="H313" s="29" t="b">
        <f aca="false">IF(회원현황!$A313="",FALSE(),OR(AND(회원현황!$F313&gt;0,회원현황!$F313&lt;=사용안내!$C$18),AND(회원현황!$H313&lt;&gt;"",회원현황!$H313&gt;=0,회원현황!$H313&lt;=사용안내!$C$17)))</f>
        <v>0</v>
      </c>
      <c r="I313" s="7" t="str">
        <f aca="false">IF($H313=FALSE(),"",COUNTIF($H$6:$H313,TRUE()))</f>
        <v/>
      </c>
      <c r="J313" s="7" t="str">
        <f aca="false">IF($I313="","","R"&amp;$I313)</f>
        <v/>
      </c>
    </row>
    <row r="314" customFormat="false" ht="15" hidden="false" customHeight="true" outlineLevel="0" collapsed="false">
      <c r="H314" s="29" t="b">
        <f aca="false">IF(회원현황!$A314="",FALSE(),OR(AND(회원현황!$F314&gt;0,회원현황!$F314&lt;=사용안내!$C$18),AND(회원현황!$H314&lt;&gt;"",회원현황!$H314&gt;=0,회원현황!$H314&lt;=사용안내!$C$17)))</f>
        <v>0</v>
      </c>
      <c r="I314" s="7" t="str">
        <f aca="false">IF($H314=FALSE(),"",COUNTIF($H$6:$H314,TRUE()))</f>
        <v/>
      </c>
      <c r="J314" s="7" t="str">
        <f aca="false">IF($I314="","","R"&amp;$I314)</f>
        <v/>
      </c>
    </row>
    <row r="315" customFormat="false" ht="15" hidden="false" customHeight="true" outlineLevel="0" collapsed="false">
      <c r="H315" s="29" t="b">
        <f aca="false">IF(회원현황!$A315="",FALSE(),OR(AND(회원현황!$F315&gt;0,회원현황!$F315&lt;=사용안내!$C$18),AND(회원현황!$H315&lt;&gt;"",회원현황!$H315&gt;=0,회원현황!$H315&lt;=사용안내!$C$17)))</f>
        <v>0</v>
      </c>
      <c r="I315" s="7" t="str">
        <f aca="false">IF($H315=FALSE(),"",COUNTIF($H$6:$H315,TRUE()))</f>
        <v/>
      </c>
      <c r="J315" s="7" t="str">
        <f aca="false">IF($I315="","","R"&amp;$I315)</f>
        <v/>
      </c>
    </row>
    <row r="316" customFormat="false" ht="15" hidden="false" customHeight="true" outlineLevel="0" collapsed="false">
      <c r="H316" s="29" t="b">
        <f aca="false">IF(회원현황!$A316="",FALSE(),OR(AND(회원현황!$F316&gt;0,회원현황!$F316&lt;=사용안내!$C$18),AND(회원현황!$H316&lt;&gt;"",회원현황!$H316&gt;=0,회원현황!$H316&lt;=사용안내!$C$17)))</f>
        <v>0</v>
      </c>
      <c r="I316" s="7" t="str">
        <f aca="false">IF($H316=FALSE(),"",COUNTIF($H$6:$H316,TRUE()))</f>
        <v/>
      </c>
      <c r="J316" s="7" t="str">
        <f aca="false">IF($I316="","","R"&amp;$I316)</f>
        <v/>
      </c>
    </row>
    <row r="317" customFormat="false" ht="15" hidden="false" customHeight="true" outlineLevel="0" collapsed="false">
      <c r="H317" s="29" t="b">
        <f aca="false">IF(회원현황!$A317="",FALSE(),OR(AND(회원현황!$F317&gt;0,회원현황!$F317&lt;=사용안내!$C$18),AND(회원현황!$H317&lt;&gt;"",회원현황!$H317&gt;=0,회원현황!$H317&lt;=사용안내!$C$17)))</f>
        <v>0</v>
      </c>
      <c r="I317" s="7" t="str">
        <f aca="false">IF($H317=FALSE(),"",COUNTIF($H$6:$H317,TRUE()))</f>
        <v/>
      </c>
      <c r="J317" s="7" t="str">
        <f aca="false">IF($I317="","","R"&amp;$I317)</f>
        <v/>
      </c>
    </row>
    <row r="318" customFormat="false" ht="15" hidden="false" customHeight="true" outlineLevel="0" collapsed="false">
      <c r="H318" s="29" t="b">
        <f aca="false">IF(회원현황!$A318="",FALSE(),OR(AND(회원현황!$F318&gt;0,회원현황!$F318&lt;=사용안내!$C$18),AND(회원현황!$H318&lt;&gt;"",회원현황!$H318&gt;=0,회원현황!$H318&lt;=사용안내!$C$17)))</f>
        <v>0</v>
      </c>
      <c r="I318" s="7" t="str">
        <f aca="false">IF($H318=FALSE(),"",COUNTIF($H$6:$H318,TRUE()))</f>
        <v/>
      </c>
      <c r="J318" s="7" t="str">
        <f aca="false">IF($I318="","","R"&amp;$I318)</f>
        <v/>
      </c>
    </row>
    <row r="319" customFormat="false" ht="15" hidden="false" customHeight="true" outlineLevel="0" collapsed="false">
      <c r="H319" s="29" t="b">
        <f aca="false">IF(회원현황!$A319="",FALSE(),OR(AND(회원현황!$F319&gt;0,회원현황!$F319&lt;=사용안내!$C$18),AND(회원현황!$H319&lt;&gt;"",회원현황!$H319&gt;=0,회원현황!$H319&lt;=사용안내!$C$17)))</f>
        <v>0</v>
      </c>
      <c r="I319" s="7" t="str">
        <f aca="false">IF($H319=FALSE(),"",COUNTIF($H$6:$H319,TRUE()))</f>
        <v/>
      </c>
      <c r="J319" s="7" t="str">
        <f aca="false">IF($I319="","","R"&amp;$I319)</f>
        <v/>
      </c>
    </row>
    <row r="320" customFormat="false" ht="15" hidden="false" customHeight="true" outlineLevel="0" collapsed="false">
      <c r="H320" s="29" t="b">
        <f aca="false">IF(회원현황!$A320="",FALSE(),OR(AND(회원현황!$F320&gt;0,회원현황!$F320&lt;=사용안내!$C$18),AND(회원현황!$H320&lt;&gt;"",회원현황!$H320&gt;=0,회원현황!$H320&lt;=사용안내!$C$17)))</f>
        <v>0</v>
      </c>
      <c r="I320" s="7" t="str">
        <f aca="false">IF($H320=FALSE(),"",COUNTIF($H$6:$H320,TRUE()))</f>
        <v/>
      </c>
      <c r="J320" s="7" t="str">
        <f aca="false">IF($I320="","","R"&amp;$I320)</f>
        <v/>
      </c>
    </row>
    <row r="321" customFormat="false" ht="15" hidden="false" customHeight="true" outlineLevel="0" collapsed="false">
      <c r="H321" s="29" t="b">
        <f aca="false">IF(회원현황!$A321="",FALSE(),OR(AND(회원현황!$F321&gt;0,회원현황!$F321&lt;=사용안내!$C$18),AND(회원현황!$H321&lt;&gt;"",회원현황!$H321&gt;=0,회원현황!$H321&lt;=사용안내!$C$17)))</f>
        <v>0</v>
      </c>
      <c r="I321" s="7" t="str">
        <f aca="false">IF($H321=FALSE(),"",COUNTIF($H$6:$H321,TRUE()))</f>
        <v/>
      </c>
      <c r="J321" s="7" t="str">
        <f aca="false">IF($I321="","","R"&amp;$I321)</f>
        <v/>
      </c>
    </row>
    <row r="322" customFormat="false" ht="15" hidden="false" customHeight="true" outlineLevel="0" collapsed="false">
      <c r="H322" s="29" t="b">
        <f aca="false">IF(회원현황!$A322="",FALSE(),OR(AND(회원현황!$F322&gt;0,회원현황!$F322&lt;=사용안내!$C$18),AND(회원현황!$H322&lt;&gt;"",회원현황!$H322&gt;=0,회원현황!$H322&lt;=사용안내!$C$17)))</f>
        <v>0</v>
      </c>
      <c r="I322" s="7" t="str">
        <f aca="false">IF($H322=FALSE(),"",COUNTIF($H$6:$H322,TRUE()))</f>
        <v/>
      </c>
      <c r="J322" s="7" t="str">
        <f aca="false">IF($I322="","","R"&amp;$I322)</f>
        <v/>
      </c>
    </row>
    <row r="323" customFormat="false" ht="15" hidden="false" customHeight="true" outlineLevel="0" collapsed="false">
      <c r="H323" s="29" t="b">
        <f aca="false">IF(회원현황!$A323="",FALSE(),OR(AND(회원현황!$F323&gt;0,회원현황!$F323&lt;=사용안내!$C$18),AND(회원현황!$H323&lt;&gt;"",회원현황!$H323&gt;=0,회원현황!$H323&lt;=사용안내!$C$17)))</f>
        <v>0</v>
      </c>
      <c r="I323" s="7" t="str">
        <f aca="false">IF($H323=FALSE(),"",COUNTIF($H$6:$H323,TRUE()))</f>
        <v/>
      </c>
      <c r="J323" s="7" t="str">
        <f aca="false">IF($I323="","","R"&amp;$I323)</f>
        <v/>
      </c>
    </row>
    <row r="324" customFormat="false" ht="15" hidden="false" customHeight="true" outlineLevel="0" collapsed="false">
      <c r="H324" s="29" t="b">
        <f aca="false">IF(회원현황!$A324="",FALSE(),OR(AND(회원현황!$F324&gt;0,회원현황!$F324&lt;=사용안내!$C$18),AND(회원현황!$H324&lt;&gt;"",회원현황!$H324&gt;=0,회원현황!$H324&lt;=사용안내!$C$17)))</f>
        <v>0</v>
      </c>
      <c r="I324" s="7" t="str">
        <f aca="false">IF($H324=FALSE(),"",COUNTIF($H$6:$H324,TRUE()))</f>
        <v/>
      </c>
      <c r="J324" s="7" t="str">
        <f aca="false">IF($I324="","","R"&amp;$I324)</f>
        <v/>
      </c>
    </row>
    <row r="325" customFormat="false" ht="15" hidden="false" customHeight="true" outlineLevel="0" collapsed="false">
      <c r="H325" s="29" t="b">
        <f aca="false">IF(회원현황!$A325="",FALSE(),OR(AND(회원현황!$F325&gt;0,회원현황!$F325&lt;=사용안내!$C$18),AND(회원현황!$H325&lt;&gt;"",회원현황!$H325&gt;=0,회원현황!$H325&lt;=사용안내!$C$17)))</f>
        <v>0</v>
      </c>
      <c r="I325" s="7" t="str">
        <f aca="false">IF($H325=FALSE(),"",COUNTIF($H$6:$H325,TRUE()))</f>
        <v/>
      </c>
      <c r="J325" s="7" t="str">
        <f aca="false">IF($I325="","","R"&amp;$I325)</f>
        <v/>
      </c>
    </row>
    <row r="326" customFormat="false" ht="15" hidden="false" customHeight="true" outlineLevel="0" collapsed="false">
      <c r="H326" s="29" t="b">
        <f aca="false">IF(회원현황!$A326="",FALSE(),OR(AND(회원현황!$F326&gt;0,회원현황!$F326&lt;=사용안내!$C$18),AND(회원현황!$H326&lt;&gt;"",회원현황!$H326&gt;=0,회원현황!$H326&lt;=사용안내!$C$17)))</f>
        <v>0</v>
      </c>
      <c r="I326" s="7" t="str">
        <f aca="false">IF($H326=FALSE(),"",COUNTIF($H$6:$H326,TRUE()))</f>
        <v/>
      </c>
      <c r="J326" s="7" t="str">
        <f aca="false">IF($I326="","","R"&amp;$I326)</f>
        <v/>
      </c>
    </row>
    <row r="327" customFormat="false" ht="15" hidden="false" customHeight="true" outlineLevel="0" collapsed="false">
      <c r="H327" s="29" t="b">
        <f aca="false">IF(회원현황!$A327="",FALSE(),OR(AND(회원현황!$F327&gt;0,회원현황!$F327&lt;=사용안내!$C$18),AND(회원현황!$H327&lt;&gt;"",회원현황!$H327&gt;=0,회원현황!$H327&lt;=사용안내!$C$17)))</f>
        <v>0</v>
      </c>
      <c r="I327" s="7" t="str">
        <f aca="false">IF($H327=FALSE(),"",COUNTIF($H$6:$H327,TRUE()))</f>
        <v/>
      </c>
      <c r="J327" s="7" t="str">
        <f aca="false">IF($I327="","","R"&amp;$I327)</f>
        <v/>
      </c>
    </row>
    <row r="328" customFormat="false" ht="15" hidden="false" customHeight="true" outlineLevel="0" collapsed="false">
      <c r="H328" s="29" t="b">
        <f aca="false">IF(회원현황!$A328="",FALSE(),OR(AND(회원현황!$F328&gt;0,회원현황!$F328&lt;=사용안내!$C$18),AND(회원현황!$H328&lt;&gt;"",회원현황!$H328&gt;=0,회원현황!$H328&lt;=사용안내!$C$17)))</f>
        <v>0</v>
      </c>
      <c r="I328" s="7" t="str">
        <f aca="false">IF($H328=FALSE(),"",COUNTIF($H$6:$H328,TRUE()))</f>
        <v/>
      </c>
      <c r="J328" s="7" t="str">
        <f aca="false">IF($I328="","","R"&amp;$I328)</f>
        <v/>
      </c>
    </row>
    <row r="329" customFormat="false" ht="15" hidden="false" customHeight="true" outlineLevel="0" collapsed="false">
      <c r="H329" s="29" t="b">
        <f aca="false">IF(회원현황!$A329="",FALSE(),OR(AND(회원현황!$F329&gt;0,회원현황!$F329&lt;=사용안내!$C$18),AND(회원현황!$H329&lt;&gt;"",회원현황!$H329&gt;=0,회원현황!$H329&lt;=사용안내!$C$17)))</f>
        <v>0</v>
      </c>
      <c r="I329" s="7" t="str">
        <f aca="false">IF($H329=FALSE(),"",COUNTIF($H$6:$H329,TRUE()))</f>
        <v/>
      </c>
      <c r="J329" s="7" t="str">
        <f aca="false">IF($I329="","","R"&amp;$I329)</f>
        <v/>
      </c>
    </row>
    <row r="330" customFormat="false" ht="15" hidden="false" customHeight="true" outlineLevel="0" collapsed="false">
      <c r="H330" s="29" t="b">
        <f aca="false">IF(회원현황!$A330="",FALSE(),OR(AND(회원현황!$F330&gt;0,회원현황!$F330&lt;=사용안내!$C$18),AND(회원현황!$H330&lt;&gt;"",회원현황!$H330&gt;=0,회원현황!$H330&lt;=사용안내!$C$17)))</f>
        <v>0</v>
      </c>
      <c r="I330" s="7" t="str">
        <f aca="false">IF($H330=FALSE(),"",COUNTIF($H$6:$H330,TRUE()))</f>
        <v/>
      </c>
      <c r="J330" s="7" t="str">
        <f aca="false">IF($I330="","","R"&amp;$I330)</f>
        <v/>
      </c>
    </row>
    <row r="331" customFormat="false" ht="15" hidden="false" customHeight="true" outlineLevel="0" collapsed="false">
      <c r="H331" s="29" t="b">
        <f aca="false">IF(회원현황!$A331="",FALSE(),OR(AND(회원현황!$F331&gt;0,회원현황!$F331&lt;=사용안내!$C$18),AND(회원현황!$H331&lt;&gt;"",회원현황!$H331&gt;=0,회원현황!$H331&lt;=사용안내!$C$17)))</f>
        <v>0</v>
      </c>
      <c r="I331" s="7" t="str">
        <f aca="false">IF($H331=FALSE(),"",COUNTIF($H$6:$H331,TRUE()))</f>
        <v/>
      </c>
      <c r="J331" s="7" t="str">
        <f aca="false">IF($I331="","","R"&amp;$I331)</f>
        <v/>
      </c>
    </row>
    <row r="332" customFormat="false" ht="15" hidden="false" customHeight="true" outlineLevel="0" collapsed="false">
      <c r="H332" s="29" t="b">
        <f aca="false">IF(회원현황!$A332="",FALSE(),OR(AND(회원현황!$F332&gt;0,회원현황!$F332&lt;=사용안내!$C$18),AND(회원현황!$H332&lt;&gt;"",회원현황!$H332&gt;=0,회원현황!$H332&lt;=사용안내!$C$17)))</f>
        <v>0</v>
      </c>
      <c r="I332" s="7" t="str">
        <f aca="false">IF($H332=FALSE(),"",COUNTIF($H$6:$H332,TRUE()))</f>
        <v/>
      </c>
      <c r="J332" s="7" t="str">
        <f aca="false">IF($I332="","","R"&amp;$I332)</f>
        <v/>
      </c>
    </row>
    <row r="333" customFormat="false" ht="15" hidden="false" customHeight="true" outlineLevel="0" collapsed="false">
      <c r="H333" s="29" t="b">
        <f aca="false">IF(회원현황!$A333="",FALSE(),OR(AND(회원현황!$F333&gt;0,회원현황!$F333&lt;=사용안내!$C$18),AND(회원현황!$H333&lt;&gt;"",회원현황!$H333&gt;=0,회원현황!$H333&lt;=사용안내!$C$17)))</f>
        <v>0</v>
      </c>
      <c r="I333" s="7" t="str">
        <f aca="false">IF($H333=FALSE(),"",COUNTIF($H$6:$H333,TRUE()))</f>
        <v/>
      </c>
      <c r="J333" s="7" t="str">
        <f aca="false">IF($I333="","","R"&amp;$I333)</f>
        <v/>
      </c>
    </row>
    <row r="334" customFormat="false" ht="15" hidden="false" customHeight="true" outlineLevel="0" collapsed="false">
      <c r="H334" s="29" t="b">
        <f aca="false">IF(회원현황!$A334="",FALSE(),OR(AND(회원현황!$F334&gt;0,회원현황!$F334&lt;=사용안내!$C$18),AND(회원현황!$H334&lt;&gt;"",회원현황!$H334&gt;=0,회원현황!$H334&lt;=사용안내!$C$17)))</f>
        <v>0</v>
      </c>
      <c r="I334" s="7" t="str">
        <f aca="false">IF($H334=FALSE(),"",COUNTIF($H$6:$H334,TRUE()))</f>
        <v/>
      </c>
      <c r="J334" s="7" t="str">
        <f aca="false">IF($I334="","","R"&amp;$I334)</f>
        <v/>
      </c>
    </row>
    <row r="335" customFormat="false" ht="15" hidden="false" customHeight="true" outlineLevel="0" collapsed="false">
      <c r="H335" s="29" t="b">
        <f aca="false">IF(회원현황!$A335="",FALSE(),OR(AND(회원현황!$F335&gt;0,회원현황!$F335&lt;=사용안내!$C$18),AND(회원현황!$H335&lt;&gt;"",회원현황!$H335&gt;=0,회원현황!$H335&lt;=사용안내!$C$17)))</f>
        <v>0</v>
      </c>
      <c r="I335" s="7" t="str">
        <f aca="false">IF($H335=FALSE(),"",COUNTIF($H$6:$H335,TRUE()))</f>
        <v/>
      </c>
      <c r="J335" s="7" t="str">
        <f aca="false">IF($I335="","","R"&amp;$I335)</f>
        <v/>
      </c>
    </row>
    <row r="336" customFormat="false" ht="15" hidden="false" customHeight="true" outlineLevel="0" collapsed="false">
      <c r="H336" s="29" t="b">
        <f aca="false">IF(회원현황!$A336="",FALSE(),OR(AND(회원현황!$F336&gt;0,회원현황!$F336&lt;=사용안내!$C$18),AND(회원현황!$H336&lt;&gt;"",회원현황!$H336&gt;=0,회원현황!$H336&lt;=사용안내!$C$17)))</f>
        <v>0</v>
      </c>
      <c r="I336" s="7" t="str">
        <f aca="false">IF($H336=FALSE(),"",COUNTIF($H$6:$H336,TRUE()))</f>
        <v/>
      </c>
      <c r="J336" s="7" t="str">
        <f aca="false">IF($I336="","","R"&amp;$I336)</f>
        <v/>
      </c>
    </row>
    <row r="337" customFormat="false" ht="15" hidden="false" customHeight="true" outlineLevel="0" collapsed="false">
      <c r="H337" s="29" t="b">
        <f aca="false">IF(회원현황!$A337="",FALSE(),OR(AND(회원현황!$F337&gt;0,회원현황!$F337&lt;=사용안내!$C$18),AND(회원현황!$H337&lt;&gt;"",회원현황!$H337&gt;=0,회원현황!$H337&lt;=사용안내!$C$17)))</f>
        <v>0</v>
      </c>
      <c r="I337" s="7" t="str">
        <f aca="false">IF($H337=FALSE(),"",COUNTIF($H$6:$H337,TRUE()))</f>
        <v/>
      </c>
      <c r="J337" s="7" t="str">
        <f aca="false">IF($I337="","","R"&amp;$I337)</f>
        <v/>
      </c>
    </row>
    <row r="338" customFormat="false" ht="15" hidden="false" customHeight="true" outlineLevel="0" collapsed="false">
      <c r="H338" s="29" t="b">
        <f aca="false">IF(회원현황!$A338="",FALSE(),OR(AND(회원현황!$F338&gt;0,회원현황!$F338&lt;=사용안내!$C$18),AND(회원현황!$H338&lt;&gt;"",회원현황!$H338&gt;=0,회원현황!$H338&lt;=사용안내!$C$17)))</f>
        <v>0</v>
      </c>
      <c r="I338" s="7" t="str">
        <f aca="false">IF($H338=FALSE(),"",COUNTIF($H$6:$H338,TRUE()))</f>
        <v/>
      </c>
      <c r="J338" s="7" t="str">
        <f aca="false">IF($I338="","","R"&amp;$I338)</f>
        <v/>
      </c>
    </row>
    <row r="339" customFormat="false" ht="15" hidden="false" customHeight="true" outlineLevel="0" collapsed="false">
      <c r="H339" s="29" t="b">
        <f aca="false">IF(회원현황!$A339="",FALSE(),OR(AND(회원현황!$F339&gt;0,회원현황!$F339&lt;=사용안내!$C$18),AND(회원현황!$H339&lt;&gt;"",회원현황!$H339&gt;=0,회원현황!$H339&lt;=사용안내!$C$17)))</f>
        <v>0</v>
      </c>
      <c r="I339" s="7" t="str">
        <f aca="false">IF($H339=FALSE(),"",COUNTIF($H$6:$H339,TRUE()))</f>
        <v/>
      </c>
      <c r="J339" s="7" t="str">
        <f aca="false">IF($I339="","","R"&amp;$I339)</f>
        <v/>
      </c>
    </row>
    <row r="340" customFormat="false" ht="15" hidden="false" customHeight="true" outlineLevel="0" collapsed="false">
      <c r="H340" s="29" t="b">
        <f aca="false">IF(회원현황!$A340="",FALSE(),OR(AND(회원현황!$F340&gt;0,회원현황!$F340&lt;=사용안내!$C$18),AND(회원현황!$H340&lt;&gt;"",회원현황!$H340&gt;=0,회원현황!$H340&lt;=사용안내!$C$17)))</f>
        <v>0</v>
      </c>
      <c r="I340" s="7" t="str">
        <f aca="false">IF($H340=FALSE(),"",COUNTIF($H$6:$H340,TRUE()))</f>
        <v/>
      </c>
      <c r="J340" s="7" t="str">
        <f aca="false">IF($I340="","","R"&amp;$I340)</f>
        <v/>
      </c>
    </row>
    <row r="341" customFormat="false" ht="15" hidden="false" customHeight="true" outlineLevel="0" collapsed="false">
      <c r="H341" s="29" t="b">
        <f aca="false">IF(회원현황!$A341="",FALSE(),OR(AND(회원현황!$F341&gt;0,회원현황!$F341&lt;=사용안내!$C$18),AND(회원현황!$H341&lt;&gt;"",회원현황!$H341&gt;=0,회원현황!$H341&lt;=사용안내!$C$17)))</f>
        <v>0</v>
      </c>
      <c r="I341" s="7" t="str">
        <f aca="false">IF($H341=FALSE(),"",COUNTIF($H$6:$H341,TRUE()))</f>
        <v/>
      </c>
      <c r="J341" s="7" t="str">
        <f aca="false">IF($I341="","","R"&amp;$I341)</f>
        <v/>
      </c>
    </row>
    <row r="342" customFormat="false" ht="15" hidden="false" customHeight="true" outlineLevel="0" collapsed="false">
      <c r="H342" s="29" t="b">
        <f aca="false">IF(회원현황!$A342="",FALSE(),OR(AND(회원현황!$F342&gt;0,회원현황!$F342&lt;=사용안내!$C$18),AND(회원현황!$H342&lt;&gt;"",회원현황!$H342&gt;=0,회원현황!$H342&lt;=사용안내!$C$17)))</f>
        <v>0</v>
      </c>
      <c r="I342" s="7" t="str">
        <f aca="false">IF($H342=FALSE(),"",COUNTIF($H$6:$H342,TRUE()))</f>
        <v/>
      </c>
      <c r="J342" s="7" t="str">
        <f aca="false">IF($I342="","","R"&amp;$I342)</f>
        <v/>
      </c>
    </row>
    <row r="343" customFormat="false" ht="15" hidden="false" customHeight="true" outlineLevel="0" collapsed="false">
      <c r="H343" s="29" t="b">
        <f aca="false">IF(회원현황!$A343="",FALSE(),OR(AND(회원현황!$F343&gt;0,회원현황!$F343&lt;=사용안내!$C$18),AND(회원현황!$H343&lt;&gt;"",회원현황!$H343&gt;=0,회원현황!$H343&lt;=사용안내!$C$17)))</f>
        <v>0</v>
      </c>
      <c r="I343" s="7" t="str">
        <f aca="false">IF($H343=FALSE(),"",COUNTIF($H$6:$H343,TRUE()))</f>
        <v/>
      </c>
      <c r="J343" s="7" t="str">
        <f aca="false">IF($I343="","","R"&amp;$I343)</f>
        <v/>
      </c>
    </row>
    <row r="344" customFormat="false" ht="15" hidden="false" customHeight="true" outlineLevel="0" collapsed="false">
      <c r="H344" s="29" t="b">
        <f aca="false">IF(회원현황!$A344="",FALSE(),OR(AND(회원현황!$F344&gt;0,회원현황!$F344&lt;=사용안내!$C$18),AND(회원현황!$H344&lt;&gt;"",회원현황!$H344&gt;=0,회원현황!$H344&lt;=사용안내!$C$17)))</f>
        <v>0</v>
      </c>
      <c r="I344" s="7" t="str">
        <f aca="false">IF($H344=FALSE(),"",COUNTIF($H$6:$H344,TRUE()))</f>
        <v/>
      </c>
      <c r="J344" s="7" t="str">
        <f aca="false">IF($I344="","","R"&amp;$I344)</f>
        <v/>
      </c>
    </row>
    <row r="345" customFormat="false" ht="15" hidden="false" customHeight="true" outlineLevel="0" collapsed="false">
      <c r="H345" s="29" t="b">
        <f aca="false">IF(회원현황!$A345="",FALSE(),OR(AND(회원현황!$F345&gt;0,회원현황!$F345&lt;=사용안내!$C$18),AND(회원현황!$H345&lt;&gt;"",회원현황!$H345&gt;=0,회원현황!$H345&lt;=사용안내!$C$17)))</f>
        <v>0</v>
      </c>
      <c r="I345" s="7" t="str">
        <f aca="false">IF($H345=FALSE(),"",COUNTIF($H$6:$H345,TRUE()))</f>
        <v/>
      </c>
      <c r="J345" s="7" t="str">
        <f aca="false">IF($I345="","","R"&amp;$I345)</f>
        <v/>
      </c>
    </row>
    <row r="346" customFormat="false" ht="15" hidden="false" customHeight="true" outlineLevel="0" collapsed="false">
      <c r="H346" s="29" t="b">
        <f aca="false">IF(회원현황!$A346="",FALSE(),OR(AND(회원현황!$F346&gt;0,회원현황!$F346&lt;=사용안내!$C$18),AND(회원현황!$H346&lt;&gt;"",회원현황!$H346&gt;=0,회원현황!$H346&lt;=사용안내!$C$17)))</f>
        <v>0</v>
      </c>
      <c r="I346" s="7" t="str">
        <f aca="false">IF($H346=FALSE(),"",COUNTIF($H$6:$H346,TRUE()))</f>
        <v/>
      </c>
      <c r="J346" s="7" t="str">
        <f aca="false">IF($I346="","","R"&amp;$I346)</f>
        <v/>
      </c>
    </row>
    <row r="347" customFormat="false" ht="15" hidden="false" customHeight="true" outlineLevel="0" collapsed="false">
      <c r="H347" s="29" t="b">
        <f aca="false">IF(회원현황!$A347="",FALSE(),OR(AND(회원현황!$F347&gt;0,회원현황!$F347&lt;=사용안내!$C$18),AND(회원현황!$H347&lt;&gt;"",회원현황!$H347&gt;=0,회원현황!$H347&lt;=사용안내!$C$17)))</f>
        <v>0</v>
      </c>
      <c r="I347" s="7" t="str">
        <f aca="false">IF($H347=FALSE(),"",COUNTIF($H$6:$H347,TRUE()))</f>
        <v/>
      </c>
      <c r="J347" s="7" t="str">
        <f aca="false">IF($I347="","","R"&amp;$I347)</f>
        <v/>
      </c>
    </row>
    <row r="348" customFormat="false" ht="15" hidden="false" customHeight="true" outlineLevel="0" collapsed="false">
      <c r="H348" s="29" t="b">
        <f aca="false">IF(회원현황!$A348="",FALSE(),OR(AND(회원현황!$F348&gt;0,회원현황!$F348&lt;=사용안내!$C$18),AND(회원현황!$H348&lt;&gt;"",회원현황!$H348&gt;=0,회원현황!$H348&lt;=사용안내!$C$17)))</f>
        <v>0</v>
      </c>
      <c r="I348" s="7" t="str">
        <f aca="false">IF($H348=FALSE(),"",COUNTIF($H$6:$H348,TRUE()))</f>
        <v/>
      </c>
      <c r="J348" s="7" t="str">
        <f aca="false">IF($I348="","","R"&amp;$I348)</f>
        <v/>
      </c>
    </row>
    <row r="349" customFormat="false" ht="15" hidden="false" customHeight="true" outlineLevel="0" collapsed="false">
      <c r="H349" s="29" t="b">
        <f aca="false">IF(회원현황!$A349="",FALSE(),OR(AND(회원현황!$F349&gt;0,회원현황!$F349&lt;=사용안내!$C$18),AND(회원현황!$H349&lt;&gt;"",회원현황!$H349&gt;=0,회원현황!$H349&lt;=사용안내!$C$17)))</f>
        <v>0</v>
      </c>
      <c r="I349" s="7" t="str">
        <f aca="false">IF($H349=FALSE(),"",COUNTIF($H$6:$H349,TRUE()))</f>
        <v/>
      </c>
      <c r="J349" s="7" t="str">
        <f aca="false">IF($I349="","","R"&amp;$I349)</f>
        <v/>
      </c>
    </row>
    <row r="350" customFormat="false" ht="15" hidden="false" customHeight="true" outlineLevel="0" collapsed="false">
      <c r="H350" s="29" t="b">
        <f aca="false">IF(회원현황!$A350="",FALSE(),OR(AND(회원현황!$F350&gt;0,회원현황!$F350&lt;=사용안내!$C$18),AND(회원현황!$H350&lt;&gt;"",회원현황!$H350&gt;=0,회원현황!$H350&lt;=사용안내!$C$17)))</f>
        <v>0</v>
      </c>
      <c r="I350" s="7" t="str">
        <f aca="false">IF($H350=FALSE(),"",COUNTIF($H$6:$H350,TRUE()))</f>
        <v/>
      </c>
      <c r="J350" s="7" t="str">
        <f aca="false">IF($I350="","","R"&amp;$I350)</f>
        <v/>
      </c>
    </row>
    <row r="351" customFormat="false" ht="15" hidden="false" customHeight="true" outlineLevel="0" collapsed="false">
      <c r="H351" s="29" t="b">
        <f aca="false">IF(회원현황!$A351="",FALSE(),OR(AND(회원현황!$F351&gt;0,회원현황!$F351&lt;=사용안내!$C$18),AND(회원현황!$H351&lt;&gt;"",회원현황!$H351&gt;=0,회원현황!$H351&lt;=사용안내!$C$17)))</f>
        <v>0</v>
      </c>
      <c r="I351" s="7" t="str">
        <f aca="false">IF($H351=FALSE(),"",COUNTIF($H$6:$H351,TRUE()))</f>
        <v/>
      </c>
      <c r="J351" s="7" t="str">
        <f aca="false">IF($I351="","","R"&amp;$I351)</f>
        <v/>
      </c>
    </row>
    <row r="352" customFormat="false" ht="15" hidden="false" customHeight="true" outlineLevel="0" collapsed="false">
      <c r="H352" s="29" t="b">
        <f aca="false">IF(회원현황!$A352="",FALSE(),OR(AND(회원현황!$F352&gt;0,회원현황!$F352&lt;=사용안내!$C$18),AND(회원현황!$H352&lt;&gt;"",회원현황!$H352&gt;=0,회원현황!$H352&lt;=사용안내!$C$17)))</f>
        <v>0</v>
      </c>
      <c r="I352" s="7" t="str">
        <f aca="false">IF($H352=FALSE(),"",COUNTIF($H$6:$H352,TRUE()))</f>
        <v/>
      </c>
      <c r="J352" s="7" t="str">
        <f aca="false">IF($I352="","","R"&amp;$I352)</f>
        <v/>
      </c>
    </row>
    <row r="353" customFormat="false" ht="15" hidden="false" customHeight="true" outlineLevel="0" collapsed="false">
      <c r="H353" s="29" t="b">
        <f aca="false">IF(회원현황!$A353="",FALSE(),OR(AND(회원현황!$F353&gt;0,회원현황!$F353&lt;=사용안내!$C$18),AND(회원현황!$H353&lt;&gt;"",회원현황!$H353&gt;=0,회원현황!$H353&lt;=사용안내!$C$17)))</f>
        <v>0</v>
      </c>
      <c r="I353" s="7" t="str">
        <f aca="false">IF($H353=FALSE(),"",COUNTIF($H$6:$H353,TRUE()))</f>
        <v/>
      </c>
      <c r="J353" s="7" t="str">
        <f aca="false">IF($I353="","","R"&amp;$I353)</f>
        <v/>
      </c>
    </row>
    <row r="354" customFormat="false" ht="15" hidden="false" customHeight="true" outlineLevel="0" collapsed="false">
      <c r="H354" s="29" t="b">
        <f aca="false">IF(회원현황!$A354="",FALSE(),OR(AND(회원현황!$F354&gt;0,회원현황!$F354&lt;=사용안내!$C$18),AND(회원현황!$H354&lt;&gt;"",회원현황!$H354&gt;=0,회원현황!$H354&lt;=사용안내!$C$17)))</f>
        <v>0</v>
      </c>
      <c r="I354" s="7" t="str">
        <f aca="false">IF($H354=FALSE(),"",COUNTIF($H$6:$H354,TRUE()))</f>
        <v/>
      </c>
      <c r="J354" s="7" t="str">
        <f aca="false">IF($I354="","","R"&amp;$I354)</f>
        <v/>
      </c>
    </row>
    <row r="355" customFormat="false" ht="15" hidden="false" customHeight="true" outlineLevel="0" collapsed="false">
      <c r="H355" s="29" t="b">
        <f aca="false">IF(회원현황!$A355="",FALSE(),OR(AND(회원현황!$F355&gt;0,회원현황!$F355&lt;=사용안내!$C$18),AND(회원현황!$H355&lt;&gt;"",회원현황!$H355&gt;=0,회원현황!$H355&lt;=사용안내!$C$17)))</f>
        <v>0</v>
      </c>
      <c r="I355" s="7" t="str">
        <f aca="false">IF($H355=FALSE(),"",COUNTIF($H$6:$H355,TRUE()))</f>
        <v/>
      </c>
      <c r="J355" s="7" t="str">
        <f aca="false">IF($I355="","","R"&amp;$I355)</f>
        <v/>
      </c>
    </row>
    <row r="356" customFormat="false" ht="15" hidden="false" customHeight="true" outlineLevel="0" collapsed="false">
      <c r="H356" s="29" t="b">
        <f aca="false">IF(회원현황!$A356="",FALSE(),OR(AND(회원현황!$F356&gt;0,회원현황!$F356&lt;=사용안내!$C$18),AND(회원현황!$H356&lt;&gt;"",회원현황!$H356&gt;=0,회원현황!$H356&lt;=사용안내!$C$17)))</f>
        <v>0</v>
      </c>
      <c r="I356" s="7" t="str">
        <f aca="false">IF($H356=FALSE(),"",COUNTIF($H$6:$H356,TRUE()))</f>
        <v/>
      </c>
      <c r="J356" s="7" t="str">
        <f aca="false">IF($I356="","","R"&amp;$I356)</f>
        <v/>
      </c>
    </row>
    <row r="357" customFormat="false" ht="15" hidden="false" customHeight="true" outlineLevel="0" collapsed="false">
      <c r="H357" s="29" t="b">
        <f aca="false">IF(회원현황!$A357="",FALSE(),OR(AND(회원현황!$F357&gt;0,회원현황!$F357&lt;=사용안내!$C$18),AND(회원현황!$H357&lt;&gt;"",회원현황!$H357&gt;=0,회원현황!$H357&lt;=사용안내!$C$17)))</f>
        <v>0</v>
      </c>
      <c r="I357" s="7" t="str">
        <f aca="false">IF($H357=FALSE(),"",COUNTIF($H$6:$H357,TRUE()))</f>
        <v/>
      </c>
      <c r="J357" s="7" t="str">
        <f aca="false">IF($I357="","","R"&amp;$I357)</f>
        <v/>
      </c>
    </row>
    <row r="358" customFormat="false" ht="15" hidden="false" customHeight="true" outlineLevel="0" collapsed="false">
      <c r="H358" s="29" t="b">
        <f aca="false">IF(회원현황!$A358="",FALSE(),OR(AND(회원현황!$F358&gt;0,회원현황!$F358&lt;=사용안내!$C$18),AND(회원현황!$H358&lt;&gt;"",회원현황!$H358&gt;=0,회원현황!$H358&lt;=사용안내!$C$17)))</f>
        <v>0</v>
      </c>
      <c r="I358" s="7" t="str">
        <f aca="false">IF($H358=FALSE(),"",COUNTIF($H$6:$H358,TRUE()))</f>
        <v/>
      </c>
      <c r="J358" s="7" t="str">
        <f aca="false">IF($I358="","","R"&amp;$I358)</f>
        <v/>
      </c>
    </row>
    <row r="359" customFormat="false" ht="15" hidden="false" customHeight="true" outlineLevel="0" collapsed="false">
      <c r="H359" s="29" t="b">
        <f aca="false">IF(회원현황!$A359="",FALSE(),OR(AND(회원현황!$F359&gt;0,회원현황!$F359&lt;=사용안내!$C$18),AND(회원현황!$H359&lt;&gt;"",회원현황!$H359&gt;=0,회원현황!$H359&lt;=사용안내!$C$17)))</f>
        <v>0</v>
      </c>
      <c r="I359" s="7" t="str">
        <f aca="false">IF($H359=FALSE(),"",COUNTIF($H$6:$H359,TRUE()))</f>
        <v/>
      </c>
      <c r="J359" s="7" t="str">
        <f aca="false">IF($I359="","","R"&amp;$I359)</f>
        <v/>
      </c>
    </row>
    <row r="360" customFormat="false" ht="15" hidden="false" customHeight="true" outlineLevel="0" collapsed="false">
      <c r="H360" s="29" t="b">
        <f aca="false">IF(회원현황!$A360="",FALSE(),OR(AND(회원현황!$F360&gt;0,회원현황!$F360&lt;=사용안내!$C$18),AND(회원현황!$H360&lt;&gt;"",회원현황!$H360&gt;=0,회원현황!$H360&lt;=사용안내!$C$17)))</f>
        <v>0</v>
      </c>
      <c r="I360" s="7" t="str">
        <f aca="false">IF($H360=FALSE(),"",COUNTIF($H$6:$H360,TRUE()))</f>
        <v/>
      </c>
      <c r="J360" s="7" t="str">
        <f aca="false">IF($I360="","","R"&amp;$I360)</f>
        <v/>
      </c>
    </row>
    <row r="361" customFormat="false" ht="15" hidden="false" customHeight="true" outlineLevel="0" collapsed="false">
      <c r="H361" s="29" t="b">
        <f aca="false">IF(회원현황!$A361="",FALSE(),OR(AND(회원현황!$F361&gt;0,회원현황!$F361&lt;=사용안내!$C$18),AND(회원현황!$H361&lt;&gt;"",회원현황!$H361&gt;=0,회원현황!$H361&lt;=사용안내!$C$17)))</f>
        <v>0</v>
      </c>
      <c r="I361" s="7" t="str">
        <f aca="false">IF($H361=FALSE(),"",COUNTIF($H$6:$H361,TRUE()))</f>
        <v/>
      </c>
      <c r="J361" s="7" t="str">
        <f aca="false">IF($I361="","","R"&amp;$I361)</f>
        <v/>
      </c>
    </row>
    <row r="362" customFormat="false" ht="15" hidden="false" customHeight="true" outlineLevel="0" collapsed="false">
      <c r="H362" s="29" t="b">
        <f aca="false">IF(회원현황!$A362="",FALSE(),OR(AND(회원현황!$F362&gt;0,회원현황!$F362&lt;=사용안내!$C$18),AND(회원현황!$H362&lt;&gt;"",회원현황!$H362&gt;=0,회원현황!$H362&lt;=사용안내!$C$17)))</f>
        <v>0</v>
      </c>
      <c r="I362" s="7" t="str">
        <f aca="false">IF($H362=FALSE(),"",COUNTIF($H$6:$H362,TRUE()))</f>
        <v/>
      </c>
      <c r="J362" s="7" t="str">
        <f aca="false">IF($I362="","","R"&amp;$I362)</f>
        <v/>
      </c>
    </row>
    <row r="363" customFormat="false" ht="15" hidden="false" customHeight="true" outlineLevel="0" collapsed="false">
      <c r="H363" s="29" t="b">
        <f aca="false">IF(회원현황!$A363="",FALSE(),OR(AND(회원현황!$F363&gt;0,회원현황!$F363&lt;=사용안내!$C$18),AND(회원현황!$H363&lt;&gt;"",회원현황!$H363&gt;=0,회원현황!$H363&lt;=사용안내!$C$17)))</f>
        <v>0</v>
      </c>
      <c r="I363" s="7" t="str">
        <f aca="false">IF($H363=FALSE(),"",COUNTIF($H$6:$H363,TRUE()))</f>
        <v/>
      </c>
      <c r="J363" s="7" t="str">
        <f aca="false">IF($I363="","","R"&amp;$I363)</f>
        <v/>
      </c>
    </row>
    <row r="364" customFormat="false" ht="15" hidden="false" customHeight="true" outlineLevel="0" collapsed="false">
      <c r="H364" s="29" t="b">
        <f aca="false">IF(회원현황!$A364="",FALSE(),OR(AND(회원현황!$F364&gt;0,회원현황!$F364&lt;=사용안내!$C$18),AND(회원현황!$H364&lt;&gt;"",회원현황!$H364&gt;=0,회원현황!$H364&lt;=사용안내!$C$17)))</f>
        <v>0</v>
      </c>
      <c r="I364" s="7" t="str">
        <f aca="false">IF($H364=FALSE(),"",COUNTIF($H$6:$H364,TRUE()))</f>
        <v/>
      </c>
      <c r="J364" s="7" t="str">
        <f aca="false">IF($I364="","","R"&amp;$I364)</f>
        <v/>
      </c>
    </row>
    <row r="365" customFormat="false" ht="15" hidden="false" customHeight="true" outlineLevel="0" collapsed="false">
      <c r="H365" s="29" t="b">
        <f aca="false">IF(회원현황!$A365="",FALSE(),OR(AND(회원현황!$F365&gt;0,회원현황!$F365&lt;=사용안내!$C$18),AND(회원현황!$H365&lt;&gt;"",회원현황!$H365&gt;=0,회원현황!$H365&lt;=사용안내!$C$17)))</f>
        <v>0</v>
      </c>
      <c r="I365" s="7" t="str">
        <f aca="false">IF($H365=FALSE(),"",COUNTIF($H$6:$H365,TRUE()))</f>
        <v/>
      </c>
      <c r="J365" s="7" t="str">
        <f aca="false">IF($I365="","","R"&amp;$I365)</f>
        <v/>
      </c>
    </row>
    <row r="366" customFormat="false" ht="15" hidden="false" customHeight="true" outlineLevel="0" collapsed="false">
      <c r="H366" s="29" t="b">
        <f aca="false">IF(회원현황!$A366="",FALSE(),OR(AND(회원현황!$F366&gt;0,회원현황!$F366&lt;=사용안내!$C$18),AND(회원현황!$H366&lt;&gt;"",회원현황!$H366&gt;=0,회원현황!$H366&lt;=사용안내!$C$17)))</f>
        <v>0</v>
      </c>
      <c r="I366" s="7" t="str">
        <f aca="false">IF($H366=FALSE(),"",COUNTIF($H$6:$H366,TRUE()))</f>
        <v/>
      </c>
      <c r="J366" s="7" t="str">
        <f aca="false">IF($I366="","","R"&amp;$I366)</f>
        <v/>
      </c>
    </row>
    <row r="367" customFormat="false" ht="15" hidden="false" customHeight="true" outlineLevel="0" collapsed="false">
      <c r="H367" s="29" t="b">
        <f aca="false">IF(회원현황!$A367="",FALSE(),OR(AND(회원현황!$F367&gt;0,회원현황!$F367&lt;=사용안내!$C$18),AND(회원현황!$H367&lt;&gt;"",회원현황!$H367&gt;=0,회원현황!$H367&lt;=사용안내!$C$17)))</f>
        <v>0</v>
      </c>
      <c r="I367" s="7" t="str">
        <f aca="false">IF($H367=FALSE(),"",COUNTIF($H$6:$H367,TRUE()))</f>
        <v/>
      </c>
      <c r="J367" s="7" t="str">
        <f aca="false">IF($I367="","","R"&amp;$I367)</f>
        <v/>
      </c>
    </row>
    <row r="368" customFormat="false" ht="15" hidden="false" customHeight="true" outlineLevel="0" collapsed="false">
      <c r="H368" s="29" t="b">
        <f aca="false">IF(회원현황!$A368="",FALSE(),OR(AND(회원현황!$F368&gt;0,회원현황!$F368&lt;=사용안내!$C$18),AND(회원현황!$H368&lt;&gt;"",회원현황!$H368&gt;=0,회원현황!$H368&lt;=사용안내!$C$17)))</f>
        <v>0</v>
      </c>
      <c r="I368" s="7" t="str">
        <f aca="false">IF($H368=FALSE(),"",COUNTIF($H$6:$H368,TRUE()))</f>
        <v/>
      </c>
      <c r="J368" s="7" t="str">
        <f aca="false">IF($I368="","","R"&amp;$I368)</f>
        <v/>
      </c>
    </row>
    <row r="369" customFormat="false" ht="15" hidden="false" customHeight="true" outlineLevel="0" collapsed="false">
      <c r="H369" s="29" t="b">
        <f aca="false">IF(회원현황!$A369="",FALSE(),OR(AND(회원현황!$F369&gt;0,회원현황!$F369&lt;=사용안내!$C$18),AND(회원현황!$H369&lt;&gt;"",회원현황!$H369&gt;=0,회원현황!$H369&lt;=사용안내!$C$17)))</f>
        <v>0</v>
      </c>
      <c r="I369" s="7" t="str">
        <f aca="false">IF($H369=FALSE(),"",COUNTIF($H$6:$H369,TRUE()))</f>
        <v/>
      </c>
      <c r="J369" s="7" t="str">
        <f aca="false">IF($I369="","","R"&amp;$I369)</f>
        <v/>
      </c>
    </row>
    <row r="370" customFormat="false" ht="15" hidden="false" customHeight="true" outlineLevel="0" collapsed="false">
      <c r="H370" s="29" t="b">
        <f aca="false">IF(회원현황!$A370="",FALSE(),OR(AND(회원현황!$F370&gt;0,회원현황!$F370&lt;=사용안내!$C$18),AND(회원현황!$H370&lt;&gt;"",회원현황!$H370&gt;=0,회원현황!$H370&lt;=사용안내!$C$17)))</f>
        <v>0</v>
      </c>
      <c r="I370" s="7" t="str">
        <f aca="false">IF($H370=FALSE(),"",COUNTIF($H$6:$H370,TRUE()))</f>
        <v/>
      </c>
      <c r="J370" s="7" t="str">
        <f aca="false">IF($I370="","","R"&amp;$I370)</f>
        <v/>
      </c>
    </row>
    <row r="371" customFormat="false" ht="15" hidden="false" customHeight="true" outlineLevel="0" collapsed="false">
      <c r="H371" s="29" t="b">
        <f aca="false">IF(회원현황!$A371="",FALSE(),OR(AND(회원현황!$F371&gt;0,회원현황!$F371&lt;=사용안내!$C$18),AND(회원현황!$H371&lt;&gt;"",회원현황!$H371&gt;=0,회원현황!$H371&lt;=사용안내!$C$17)))</f>
        <v>0</v>
      </c>
      <c r="I371" s="7" t="str">
        <f aca="false">IF($H371=FALSE(),"",COUNTIF($H$6:$H371,TRUE()))</f>
        <v/>
      </c>
      <c r="J371" s="7" t="str">
        <f aca="false">IF($I371="","","R"&amp;$I371)</f>
        <v/>
      </c>
    </row>
    <row r="372" customFormat="false" ht="15" hidden="false" customHeight="true" outlineLevel="0" collapsed="false">
      <c r="H372" s="29" t="b">
        <f aca="false">IF(회원현황!$A372="",FALSE(),OR(AND(회원현황!$F372&gt;0,회원현황!$F372&lt;=사용안내!$C$18),AND(회원현황!$H372&lt;&gt;"",회원현황!$H372&gt;=0,회원현황!$H372&lt;=사용안내!$C$17)))</f>
        <v>0</v>
      </c>
      <c r="I372" s="7" t="str">
        <f aca="false">IF($H372=FALSE(),"",COUNTIF($H$6:$H372,TRUE()))</f>
        <v/>
      </c>
      <c r="J372" s="7" t="str">
        <f aca="false">IF($I372="","","R"&amp;$I372)</f>
        <v/>
      </c>
    </row>
    <row r="373" customFormat="false" ht="15" hidden="false" customHeight="true" outlineLevel="0" collapsed="false">
      <c r="H373" s="29" t="b">
        <f aca="false">IF(회원현황!$A373="",FALSE(),OR(AND(회원현황!$F373&gt;0,회원현황!$F373&lt;=사용안내!$C$18),AND(회원현황!$H373&lt;&gt;"",회원현황!$H373&gt;=0,회원현황!$H373&lt;=사용안내!$C$17)))</f>
        <v>0</v>
      </c>
      <c r="I373" s="7" t="str">
        <f aca="false">IF($H373=FALSE(),"",COUNTIF($H$6:$H373,TRUE()))</f>
        <v/>
      </c>
      <c r="J373" s="7" t="str">
        <f aca="false">IF($I373="","","R"&amp;$I373)</f>
        <v/>
      </c>
    </row>
    <row r="374" customFormat="false" ht="15" hidden="false" customHeight="true" outlineLevel="0" collapsed="false">
      <c r="H374" s="29" t="b">
        <f aca="false">IF(회원현황!$A374="",FALSE(),OR(AND(회원현황!$F374&gt;0,회원현황!$F374&lt;=사용안내!$C$18),AND(회원현황!$H374&lt;&gt;"",회원현황!$H374&gt;=0,회원현황!$H374&lt;=사용안내!$C$17)))</f>
        <v>0</v>
      </c>
      <c r="I374" s="7" t="str">
        <f aca="false">IF($H374=FALSE(),"",COUNTIF($H$6:$H374,TRUE()))</f>
        <v/>
      </c>
      <c r="J374" s="7" t="str">
        <f aca="false">IF($I374="","","R"&amp;$I374)</f>
        <v/>
      </c>
    </row>
    <row r="375" customFormat="false" ht="15" hidden="false" customHeight="true" outlineLevel="0" collapsed="false">
      <c r="H375" s="29" t="b">
        <f aca="false">IF(회원현황!$A375="",FALSE(),OR(AND(회원현황!$F375&gt;0,회원현황!$F375&lt;=사용안내!$C$18),AND(회원현황!$H375&lt;&gt;"",회원현황!$H375&gt;=0,회원현황!$H375&lt;=사용안내!$C$17)))</f>
        <v>0</v>
      </c>
      <c r="I375" s="7" t="str">
        <f aca="false">IF($H375=FALSE(),"",COUNTIF($H$6:$H375,TRUE()))</f>
        <v/>
      </c>
      <c r="J375" s="7" t="str">
        <f aca="false">IF($I375="","","R"&amp;$I375)</f>
        <v/>
      </c>
    </row>
    <row r="376" customFormat="false" ht="15" hidden="false" customHeight="true" outlineLevel="0" collapsed="false">
      <c r="H376" s="29" t="b">
        <f aca="false">IF(회원현황!$A376="",FALSE(),OR(AND(회원현황!$F376&gt;0,회원현황!$F376&lt;=사용안내!$C$18),AND(회원현황!$H376&lt;&gt;"",회원현황!$H376&gt;=0,회원현황!$H376&lt;=사용안내!$C$17)))</f>
        <v>0</v>
      </c>
      <c r="I376" s="7" t="str">
        <f aca="false">IF($H376=FALSE(),"",COUNTIF($H$6:$H376,TRUE()))</f>
        <v/>
      </c>
      <c r="J376" s="7" t="str">
        <f aca="false">IF($I376="","","R"&amp;$I376)</f>
        <v/>
      </c>
    </row>
    <row r="377" customFormat="false" ht="15" hidden="false" customHeight="true" outlineLevel="0" collapsed="false">
      <c r="H377" s="29" t="b">
        <f aca="false">IF(회원현황!$A377="",FALSE(),OR(AND(회원현황!$F377&gt;0,회원현황!$F377&lt;=사용안내!$C$18),AND(회원현황!$H377&lt;&gt;"",회원현황!$H377&gt;=0,회원현황!$H377&lt;=사용안내!$C$17)))</f>
        <v>0</v>
      </c>
      <c r="I377" s="7" t="str">
        <f aca="false">IF($H377=FALSE(),"",COUNTIF($H$6:$H377,TRUE()))</f>
        <v/>
      </c>
      <c r="J377" s="7" t="str">
        <f aca="false">IF($I377="","","R"&amp;$I377)</f>
        <v/>
      </c>
    </row>
    <row r="378" customFormat="false" ht="15" hidden="false" customHeight="true" outlineLevel="0" collapsed="false">
      <c r="H378" s="29" t="b">
        <f aca="false">IF(회원현황!$A378="",FALSE(),OR(AND(회원현황!$F378&gt;0,회원현황!$F378&lt;=사용안내!$C$18),AND(회원현황!$H378&lt;&gt;"",회원현황!$H378&gt;=0,회원현황!$H378&lt;=사용안내!$C$17)))</f>
        <v>0</v>
      </c>
      <c r="I378" s="7" t="str">
        <f aca="false">IF($H378=FALSE(),"",COUNTIF($H$6:$H378,TRUE()))</f>
        <v/>
      </c>
      <c r="J378" s="7" t="str">
        <f aca="false">IF($I378="","","R"&amp;$I378)</f>
        <v/>
      </c>
    </row>
    <row r="379" customFormat="false" ht="15" hidden="false" customHeight="true" outlineLevel="0" collapsed="false">
      <c r="H379" s="29" t="b">
        <f aca="false">IF(회원현황!$A379="",FALSE(),OR(AND(회원현황!$F379&gt;0,회원현황!$F379&lt;=사용안내!$C$18),AND(회원현황!$H379&lt;&gt;"",회원현황!$H379&gt;=0,회원현황!$H379&lt;=사용안내!$C$17)))</f>
        <v>0</v>
      </c>
      <c r="I379" s="7" t="str">
        <f aca="false">IF($H379=FALSE(),"",COUNTIF($H$6:$H379,TRUE()))</f>
        <v/>
      </c>
      <c r="J379" s="7" t="str">
        <f aca="false">IF($I379="","","R"&amp;$I379)</f>
        <v/>
      </c>
    </row>
    <row r="380" customFormat="false" ht="15" hidden="false" customHeight="true" outlineLevel="0" collapsed="false">
      <c r="H380" s="29" t="b">
        <f aca="false">IF(회원현황!$A380="",FALSE(),OR(AND(회원현황!$F380&gt;0,회원현황!$F380&lt;=사용안내!$C$18),AND(회원현황!$H380&lt;&gt;"",회원현황!$H380&gt;=0,회원현황!$H380&lt;=사용안내!$C$17)))</f>
        <v>0</v>
      </c>
      <c r="I380" s="7" t="str">
        <f aca="false">IF($H380=FALSE(),"",COUNTIF($H$6:$H380,TRUE()))</f>
        <v/>
      </c>
      <c r="J380" s="7" t="str">
        <f aca="false">IF($I380="","","R"&amp;$I380)</f>
        <v/>
      </c>
    </row>
    <row r="381" customFormat="false" ht="15" hidden="false" customHeight="true" outlineLevel="0" collapsed="false">
      <c r="H381" s="29" t="b">
        <f aca="false">IF(회원현황!$A381="",FALSE(),OR(AND(회원현황!$F381&gt;0,회원현황!$F381&lt;=사용안내!$C$18),AND(회원현황!$H381&lt;&gt;"",회원현황!$H381&gt;=0,회원현황!$H381&lt;=사용안내!$C$17)))</f>
        <v>0</v>
      </c>
      <c r="I381" s="7" t="str">
        <f aca="false">IF($H381=FALSE(),"",COUNTIF($H$6:$H381,TRUE()))</f>
        <v/>
      </c>
      <c r="J381" s="7" t="str">
        <f aca="false">IF($I381="","","R"&amp;$I381)</f>
        <v/>
      </c>
    </row>
    <row r="382" customFormat="false" ht="15" hidden="false" customHeight="true" outlineLevel="0" collapsed="false">
      <c r="H382" s="29" t="b">
        <f aca="false">IF(회원현황!$A382="",FALSE(),OR(AND(회원현황!$F382&gt;0,회원현황!$F382&lt;=사용안내!$C$18),AND(회원현황!$H382&lt;&gt;"",회원현황!$H382&gt;=0,회원현황!$H382&lt;=사용안내!$C$17)))</f>
        <v>0</v>
      </c>
      <c r="I382" s="7" t="str">
        <f aca="false">IF($H382=FALSE(),"",COUNTIF($H$6:$H382,TRUE()))</f>
        <v/>
      </c>
      <c r="J382" s="7" t="str">
        <f aca="false">IF($I382="","","R"&amp;$I382)</f>
        <v/>
      </c>
    </row>
    <row r="383" customFormat="false" ht="15" hidden="false" customHeight="true" outlineLevel="0" collapsed="false">
      <c r="H383" s="29" t="b">
        <f aca="false">IF(회원현황!$A383="",FALSE(),OR(AND(회원현황!$F383&gt;0,회원현황!$F383&lt;=사용안내!$C$18),AND(회원현황!$H383&lt;&gt;"",회원현황!$H383&gt;=0,회원현황!$H383&lt;=사용안내!$C$17)))</f>
        <v>0</v>
      </c>
      <c r="I383" s="7" t="str">
        <f aca="false">IF($H383=FALSE(),"",COUNTIF($H$6:$H383,TRUE()))</f>
        <v/>
      </c>
      <c r="J383" s="7" t="str">
        <f aca="false">IF($I383="","","R"&amp;$I383)</f>
        <v/>
      </c>
    </row>
    <row r="384" customFormat="false" ht="15" hidden="false" customHeight="true" outlineLevel="0" collapsed="false">
      <c r="H384" s="29" t="b">
        <f aca="false">IF(회원현황!$A384="",FALSE(),OR(AND(회원현황!$F384&gt;0,회원현황!$F384&lt;=사용안내!$C$18),AND(회원현황!$H384&lt;&gt;"",회원현황!$H384&gt;=0,회원현황!$H384&lt;=사용안내!$C$17)))</f>
        <v>0</v>
      </c>
      <c r="I384" s="7" t="str">
        <f aca="false">IF($H384=FALSE(),"",COUNTIF($H$6:$H384,TRUE()))</f>
        <v/>
      </c>
      <c r="J384" s="7" t="str">
        <f aca="false">IF($I384="","","R"&amp;$I384)</f>
        <v/>
      </c>
    </row>
    <row r="385" customFormat="false" ht="15" hidden="false" customHeight="true" outlineLevel="0" collapsed="false">
      <c r="H385" s="29" t="b">
        <f aca="false">IF(회원현황!$A385="",FALSE(),OR(AND(회원현황!$F385&gt;0,회원현황!$F385&lt;=사용안내!$C$18),AND(회원현황!$H385&lt;&gt;"",회원현황!$H385&gt;=0,회원현황!$H385&lt;=사용안내!$C$17)))</f>
        <v>0</v>
      </c>
      <c r="I385" s="7" t="str">
        <f aca="false">IF($H385=FALSE(),"",COUNTIF($H$6:$H385,TRUE()))</f>
        <v/>
      </c>
      <c r="J385" s="7" t="str">
        <f aca="false">IF($I385="","","R"&amp;$I385)</f>
        <v/>
      </c>
    </row>
    <row r="386" customFormat="false" ht="15" hidden="false" customHeight="true" outlineLevel="0" collapsed="false">
      <c r="H386" s="29" t="b">
        <f aca="false">IF(회원현황!$A386="",FALSE(),OR(AND(회원현황!$F386&gt;0,회원현황!$F386&lt;=사용안내!$C$18),AND(회원현황!$H386&lt;&gt;"",회원현황!$H386&gt;=0,회원현황!$H386&lt;=사용안내!$C$17)))</f>
        <v>0</v>
      </c>
      <c r="I386" s="7" t="str">
        <f aca="false">IF($H386=FALSE(),"",COUNTIF($H$6:$H386,TRUE()))</f>
        <v/>
      </c>
      <c r="J386" s="7" t="str">
        <f aca="false">IF($I386="","","R"&amp;$I386)</f>
        <v/>
      </c>
    </row>
    <row r="387" customFormat="false" ht="15" hidden="false" customHeight="true" outlineLevel="0" collapsed="false">
      <c r="H387" s="29" t="b">
        <f aca="false">IF(회원현황!$A387="",FALSE(),OR(AND(회원현황!$F387&gt;0,회원현황!$F387&lt;=사용안내!$C$18),AND(회원현황!$H387&lt;&gt;"",회원현황!$H387&gt;=0,회원현황!$H387&lt;=사용안내!$C$17)))</f>
        <v>0</v>
      </c>
      <c r="I387" s="7" t="str">
        <f aca="false">IF($H387=FALSE(),"",COUNTIF($H$6:$H387,TRUE()))</f>
        <v/>
      </c>
      <c r="J387" s="7" t="str">
        <f aca="false">IF($I387="","","R"&amp;$I387)</f>
        <v/>
      </c>
    </row>
    <row r="388" customFormat="false" ht="15" hidden="false" customHeight="true" outlineLevel="0" collapsed="false">
      <c r="H388" s="29" t="b">
        <f aca="false">IF(회원현황!$A388="",FALSE(),OR(AND(회원현황!$F388&gt;0,회원현황!$F388&lt;=사용안내!$C$18),AND(회원현황!$H388&lt;&gt;"",회원현황!$H388&gt;=0,회원현황!$H388&lt;=사용안내!$C$17)))</f>
        <v>0</v>
      </c>
      <c r="I388" s="7" t="str">
        <f aca="false">IF($H388=FALSE(),"",COUNTIF($H$6:$H388,TRUE()))</f>
        <v/>
      </c>
      <c r="J388" s="7" t="str">
        <f aca="false">IF($I388="","","R"&amp;$I388)</f>
        <v/>
      </c>
    </row>
    <row r="389" customFormat="false" ht="15" hidden="false" customHeight="true" outlineLevel="0" collapsed="false">
      <c r="H389" s="29" t="b">
        <f aca="false">IF(회원현황!$A389="",FALSE(),OR(AND(회원현황!$F389&gt;0,회원현황!$F389&lt;=사용안내!$C$18),AND(회원현황!$H389&lt;&gt;"",회원현황!$H389&gt;=0,회원현황!$H389&lt;=사용안내!$C$17)))</f>
        <v>0</v>
      </c>
      <c r="I389" s="7" t="str">
        <f aca="false">IF($H389=FALSE(),"",COUNTIF($H$6:$H389,TRUE()))</f>
        <v/>
      </c>
      <c r="J389" s="7" t="str">
        <f aca="false">IF($I389="","","R"&amp;$I389)</f>
        <v/>
      </c>
    </row>
    <row r="390" customFormat="false" ht="15" hidden="false" customHeight="true" outlineLevel="0" collapsed="false">
      <c r="H390" s="29" t="b">
        <f aca="false">IF(회원현황!$A390="",FALSE(),OR(AND(회원현황!$F390&gt;0,회원현황!$F390&lt;=사용안내!$C$18),AND(회원현황!$H390&lt;&gt;"",회원현황!$H390&gt;=0,회원현황!$H390&lt;=사용안내!$C$17)))</f>
        <v>0</v>
      </c>
      <c r="I390" s="7" t="str">
        <f aca="false">IF($H390=FALSE(),"",COUNTIF($H$6:$H390,TRUE()))</f>
        <v/>
      </c>
      <c r="J390" s="7" t="str">
        <f aca="false">IF($I390="","","R"&amp;$I390)</f>
        <v/>
      </c>
    </row>
    <row r="391" customFormat="false" ht="15" hidden="false" customHeight="true" outlineLevel="0" collapsed="false">
      <c r="H391" s="29" t="b">
        <f aca="false">IF(회원현황!$A391="",FALSE(),OR(AND(회원현황!$F391&gt;0,회원현황!$F391&lt;=사용안내!$C$18),AND(회원현황!$H391&lt;&gt;"",회원현황!$H391&gt;=0,회원현황!$H391&lt;=사용안내!$C$17)))</f>
        <v>0</v>
      </c>
      <c r="I391" s="7" t="str">
        <f aca="false">IF($H391=FALSE(),"",COUNTIF($H$6:$H391,TRUE()))</f>
        <v/>
      </c>
      <c r="J391" s="7" t="str">
        <f aca="false">IF($I391="","","R"&amp;$I391)</f>
        <v/>
      </c>
    </row>
    <row r="392" customFormat="false" ht="15" hidden="false" customHeight="true" outlineLevel="0" collapsed="false">
      <c r="H392" s="29" t="b">
        <f aca="false">IF(회원현황!$A392="",FALSE(),OR(AND(회원현황!$F392&gt;0,회원현황!$F392&lt;=사용안내!$C$18),AND(회원현황!$H392&lt;&gt;"",회원현황!$H392&gt;=0,회원현황!$H392&lt;=사용안내!$C$17)))</f>
        <v>0</v>
      </c>
      <c r="I392" s="7" t="str">
        <f aca="false">IF($H392=FALSE(),"",COUNTIF($H$6:$H392,TRUE()))</f>
        <v/>
      </c>
      <c r="J392" s="7" t="str">
        <f aca="false">IF($I392="","","R"&amp;$I392)</f>
        <v/>
      </c>
    </row>
    <row r="393" customFormat="false" ht="15" hidden="false" customHeight="true" outlineLevel="0" collapsed="false">
      <c r="H393" s="29" t="b">
        <f aca="false">IF(회원현황!$A393="",FALSE(),OR(AND(회원현황!$F393&gt;0,회원현황!$F393&lt;=사용안내!$C$18),AND(회원현황!$H393&lt;&gt;"",회원현황!$H393&gt;=0,회원현황!$H393&lt;=사용안내!$C$17)))</f>
        <v>0</v>
      </c>
      <c r="I393" s="7" t="str">
        <f aca="false">IF($H393=FALSE(),"",COUNTIF($H$6:$H393,TRUE()))</f>
        <v/>
      </c>
      <c r="J393" s="7" t="str">
        <f aca="false">IF($I393="","","R"&amp;$I393)</f>
        <v/>
      </c>
    </row>
    <row r="394" customFormat="false" ht="15" hidden="false" customHeight="true" outlineLevel="0" collapsed="false">
      <c r="H394" s="29" t="b">
        <f aca="false">IF(회원현황!$A394="",FALSE(),OR(AND(회원현황!$F394&gt;0,회원현황!$F394&lt;=사용안내!$C$18),AND(회원현황!$H394&lt;&gt;"",회원현황!$H394&gt;=0,회원현황!$H394&lt;=사용안내!$C$17)))</f>
        <v>0</v>
      </c>
      <c r="I394" s="7" t="str">
        <f aca="false">IF($H394=FALSE(),"",COUNTIF($H$6:$H394,TRUE()))</f>
        <v/>
      </c>
      <c r="J394" s="7" t="str">
        <f aca="false">IF($I394="","","R"&amp;$I394)</f>
        <v/>
      </c>
    </row>
    <row r="395" customFormat="false" ht="15" hidden="false" customHeight="true" outlineLevel="0" collapsed="false">
      <c r="H395" s="29" t="b">
        <f aca="false">IF(회원현황!$A395="",FALSE(),OR(AND(회원현황!$F395&gt;0,회원현황!$F395&lt;=사용안내!$C$18),AND(회원현황!$H395&lt;&gt;"",회원현황!$H395&gt;=0,회원현황!$H395&lt;=사용안내!$C$17)))</f>
        <v>0</v>
      </c>
      <c r="I395" s="7" t="str">
        <f aca="false">IF($H395=FALSE(),"",COUNTIF($H$6:$H395,TRUE()))</f>
        <v/>
      </c>
      <c r="J395" s="7" t="str">
        <f aca="false">IF($I395="","","R"&amp;$I395)</f>
        <v/>
      </c>
    </row>
    <row r="396" customFormat="false" ht="15" hidden="false" customHeight="true" outlineLevel="0" collapsed="false">
      <c r="H396" s="29" t="b">
        <f aca="false">IF(회원현황!$A396="",FALSE(),OR(AND(회원현황!$F396&gt;0,회원현황!$F396&lt;=사용안내!$C$18),AND(회원현황!$H396&lt;&gt;"",회원현황!$H396&gt;=0,회원현황!$H396&lt;=사용안내!$C$17)))</f>
        <v>0</v>
      </c>
      <c r="I396" s="7" t="str">
        <f aca="false">IF($H396=FALSE(),"",COUNTIF($H$6:$H396,TRUE()))</f>
        <v/>
      </c>
      <c r="J396" s="7" t="str">
        <f aca="false">IF($I396="","","R"&amp;$I396)</f>
        <v/>
      </c>
    </row>
    <row r="397" customFormat="false" ht="15" hidden="false" customHeight="true" outlineLevel="0" collapsed="false">
      <c r="H397" s="29" t="b">
        <f aca="false">IF(회원현황!$A397="",FALSE(),OR(AND(회원현황!$F397&gt;0,회원현황!$F397&lt;=사용안내!$C$18),AND(회원현황!$H397&lt;&gt;"",회원현황!$H397&gt;=0,회원현황!$H397&lt;=사용안내!$C$17)))</f>
        <v>0</v>
      </c>
      <c r="I397" s="7" t="str">
        <f aca="false">IF($H397=FALSE(),"",COUNTIF($H$6:$H397,TRUE()))</f>
        <v/>
      </c>
      <c r="J397" s="7" t="str">
        <f aca="false">IF($I397="","","R"&amp;$I397)</f>
        <v/>
      </c>
    </row>
    <row r="398" customFormat="false" ht="15" hidden="false" customHeight="true" outlineLevel="0" collapsed="false">
      <c r="H398" s="29" t="b">
        <f aca="false">IF(회원현황!$A398="",FALSE(),OR(AND(회원현황!$F398&gt;0,회원현황!$F398&lt;=사용안내!$C$18),AND(회원현황!$H398&lt;&gt;"",회원현황!$H398&gt;=0,회원현황!$H398&lt;=사용안내!$C$17)))</f>
        <v>0</v>
      </c>
      <c r="I398" s="7" t="str">
        <f aca="false">IF($H398=FALSE(),"",COUNTIF($H$6:$H398,TRUE()))</f>
        <v/>
      </c>
      <c r="J398" s="7" t="str">
        <f aca="false">IF($I398="","","R"&amp;$I398)</f>
        <v/>
      </c>
    </row>
    <row r="399" customFormat="false" ht="15" hidden="false" customHeight="true" outlineLevel="0" collapsed="false">
      <c r="H399" s="29" t="b">
        <f aca="false">IF(회원현황!$A399="",FALSE(),OR(AND(회원현황!$F399&gt;0,회원현황!$F399&lt;=사용안내!$C$18),AND(회원현황!$H399&lt;&gt;"",회원현황!$H399&gt;=0,회원현황!$H399&lt;=사용안내!$C$17)))</f>
        <v>0</v>
      </c>
      <c r="I399" s="7" t="str">
        <f aca="false">IF($H399=FALSE(),"",COUNTIF($H$6:$H399,TRUE()))</f>
        <v/>
      </c>
      <c r="J399" s="7" t="str">
        <f aca="false">IF($I399="","","R"&amp;$I399)</f>
        <v/>
      </c>
    </row>
    <row r="400" customFormat="false" ht="15" hidden="false" customHeight="true" outlineLevel="0" collapsed="false">
      <c r="H400" s="29" t="b">
        <f aca="false">IF(회원현황!$A400="",FALSE(),OR(AND(회원현황!$F400&gt;0,회원현황!$F400&lt;=사용안내!$C$18),AND(회원현황!$H400&lt;&gt;"",회원현황!$H400&gt;=0,회원현황!$H400&lt;=사용안내!$C$17)))</f>
        <v>0</v>
      </c>
      <c r="I400" s="7" t="str">
        <f aca="false">IF($H400=FALSE(),"",COUNTIF($H$6:$H400,TRUE()))</f>
        <v/>
      </c>
      <c r="J400" s="7" t="str">
        <f aca="false">IF($I400="","","R"&amp;$I400)</f>
        <v/>
      </c>
    </row>
    <row r="401" customFormat="false" ht="15" hidden="false" customHeight="true" outlineLevel="0" collapsed="false">
      <c r="H401" s="29" t="b">
        <f aca="false">IF(회원현황!$A401="",FALSE(),OR(AND(회원현황!$F401&gt;0,회원현황!$F401&lt;=사용안내!$C$18),AND(회원현황!$H401&lt;&gt;"",회원현황!$H401&gt;=0,회원현황!$H401&lt;=사용안내!$C$17)))</f>
        <v>0</v>
      </c>
      <c r="I401" s="7" t="str">
        <f aca="false">IF($H401=FALSE(),"",COUNTIF($H$6:$H401,TRUE()))</f>
        <v/>
      </c>
      <c r="J401" s="7" t="str">
        <f aca="false">IF($I401="","","R"&amp;$I401)</f>
        <v/>
      </c>
    </row>
    <row r="402" customFormat="false" ht="15" hidden="false" customHeight="true" outlineLevel="0" collapsed="false">
      <c r="H402" s="29" t="b">
        <f aca="false">IF(회원현황!$A402="",FALSE(),OR(AND(회원현황!$F402&gt;0,회원현황!$F402&lt;=사용안내!$C$18),AND(회원현황!$H402&lt;&gt;"",회원현황!$H402&gt;=0,회원현황!$H402&lt;=사용안내!$C$17)))</f>
        <v>0</v>
      </c>
      <c r="I402" s="7" t="str">
        <f aca="false">IF($H402=FALSE(),"",COUNTIF($H$6:$H402,TRUE()))</f>
        <v/>
      </c>
      <c r="J402" s="7" t="str">
        <f aca="false">IF($I402="","","R"&amp;$I402)</f>
        <v/>
      </c>
    </row>
    <row r="403" customFormat="false" ht="15" hidden="false" customHeight="true" outlineLevel="0" collapsed="false">
      <c r="H403" s="29" t="b">
        <f aca="false">IF(회원현황!$A403="",FALSE(),OR(AND(회원현황!$F403&gt;0,회원현황!$F403&lt;=사용안내!$C$18),AND(회원현황!$H403&lt;&gt;"",회원현황!$H403&gt;=0,회원현황!$H403&lt;=사용안내!$C$17)))</f>
        <v>0</v>
      </c>
      <c r="I403" s="7" t="str">
        <f aca="false">IF($H403=FALSE(),"",COUNTIF($H$6:$H403,TRUE()))</f>
        <v/>
      </c>
      <c r="J403" s="7" t="str">
        <f aca="false">IF($I403="","","R"&amp;$I403)</f>
        <v/>
      </c>
    </row>
    <row r="404" customFormat="false" ht="15" hidden="false" customHeight="true" outlineLevel="0" collapsed="false">
      <c r="H404" s="29" t="b">
        <f aca="false">IF(회원현황!$A404="",FALSE(),OR(AND(회원현황!$F404&gt;0,회원현황!$F404&lt;=사용안내!$C$18),AND(회원현황!$H404&lt;&gt;"",회원현황!$H404&gt;=0,회원현황!$H404&lt;=사용안내!$C$17)))</f>
        <v>0</v>
      </c>
      <c r="I404" s="7" t="str">
        <f aca="false">IF($H404=FALSE(),"",COUNTIF($H$6:$H404,TRUE()))</f>
        <v/>
      </c>
      <c r="J404" s="7" t="str">
        <f aca="false">IF($I404="","","R"&amp;$I404)</f>
        <v/>
      </c>
    </row>
    <row r="405" customFormat="false" ht="15" hidden="false" customHeight="true" outlineLevel="0" collapsed="false">
      <c r="H405" s="29" t="b">
        <f aca="false">IF(회원현황!$A405="",FALSE(),OR(AND(회원현황!$F405&gt;0,회원현황!$F405&lt;=사용안내!$C$18),AND(회원현황!$H405&lt;&gt;"",회원현황!$H405&gt;=0,회원현황!$H405&lt;=사용안내!$C$17)))</f>
        <v>0</v>
      </c>
      <c r="I405" s="7" t="str">
        <f aca="false">IF($H405=FALSE(),"",COUNTIF($H$6:$H405,TRUE()))</f>
        <v/>
      </c>
      <c r="J405" s="7" t="str">
        <f aca="false">IF($I405="","","R"&amp;$I405)</f>
        <v/>
      </c>
    </row>
    <row r="406" customFormat="false" ht="15" hidden="false" customHeight="true" outlineLevel="0" collapsed="false">
      <c r="H406" s="29" t="b">
        <f aca="false">IF(회원현황!$A406="",FALSE(),OR(AND(회원현황!$F406&gt;0,회원현황!$F406&lt;=사용안내!$C$18),AND(회원현황!$H406&lt;&gt;"",회원현황!$H406&gt;=0,회원현황!$H406&lt;=사용안내!$C$17)))</f>
        <v>0</v>
      </c>
      <c r="I406" s="7" t="str">
        <f aca="false">IF($H406=FALSE(),"",COUNTIF($H$6:$H406,TRUE()))</f>
        <v/>
      </c>
      <c r="J406" s="7" t="str">
        <f aca="false">IF($I406="","","R"&amp;$I406)</f>
        <v/>
      </c>
    </row>
    <row r="407" customFormat="false" ht="15" hidden="false" customHeight="true" outlineLevel="0" collapsed="false">
      <c r="H407" s="29" t="b">
        <f aca="false">IF(회원현황!$A407="",FALSE(),OR(AND(회원현황!$F407&gt;0,회원현황!$F407&lt;=사용안내!$C$18),AND(회원현황!$H407&lt;&gt;"",회원현황!$H407&gt;=0,회원현황!$H407&lt;=사용안내!$C$17)))</f>
        <v>0</v>
      </c>
      <c r="I407" s="7" t="str">
        <f aca="false">IF($H407=FALSE(),"",COUNTIF($H$6:$H407,TRUE()))</f>
        <v/>
      </c>
      <c r="J407" s="7" t="str">
        <f aca="false">IF($I407="","","R"&amp;$I407)</f>
        <v/>
      </c>
    </row>
    <row r="408" customFormat="false" ht="15" hidden="false" customHeight="true" outlineLevel="0" collapsed="false">
      <c r="H408" s="29" t="b">
        <f aca="false">IF(회원현황!$A408="",FALSE(),OR(AND(회원현황!$F408&gt;0,회원현황!$F408&lt;=사용안내!$C$18),AND(회원현황!$H408&lt;&gt;"",회원현황!$H408&gt;=0,회원현황!$H408&lt;=사용안내!$C$17)))</f>
        <v>0</v>
      </c>
      <c r="I408" s="7" t="str">
        <f aca="false">IF($H408=FALSE(),"",COUNTIF($H$6:$H408,TRUE()))</f>
        <v/>
      </c>
      <c r="J408" s="7" t="str">
        <f aca="false">IF($I408="","","R"&amp;$I408)</f>
        <v/>
      </c>
    </row>
    <row r="409" customFormat="false" ht="15" hidden="false" customHeight="true" outlineLevel="0" collapsed="false">
      <c r="H409" s="29" t="b">
        <f aca="false">IF(회원현황!$A409="",FALSE(),OR(AND(회원현황!$F409&gt;0,회원현황!$F409&lt;=사용안내!$C$18),AND(회원현황!$H409&lt;&gt;"",회원현황!$H409&gt;=0,회원현황!$H409&lt;=사용안내!$C$17)))</f>
        <v>0</v>
      </c>
      <c r="I409" s="7" t="str">
        <f aca="false">IF($H409=FALSE(),"",COUNTIF($H$6:$H409,TRUE()))</f>
        <v/>
      </c>
      <c r="J409" s="7" t="str">
        <f aca="false">IF($I409="","","R"&amp;$I409)</f>
        <v/>
      </c>
    </row>
    <row r="410" customFormat="false" ht="15" hidden="false" customHeight="true" outlineLevel="0" collapsed="false">
      <c r="H410" s="29" t="b">
        <f aca="false">IF(회원현황!$A410="",FALSE(),OR(AND(회원현황!$F410&gt;0,회원현황!$F410&lt;=사용안내!$C$18),AND(회원현황!$H410&lt;&gt;"",회원현황!$H410&gt;=0,회원현황!$H410&lt;=사용안내!$C$17)))</f>
        <v>0</v>
      </c>
      <c r="I410" s="7" t="str">
        <f aca="false">IF($H410=FALSE(),"",COUNTIF($H$6:$H410,TRUE()))</f>
        <v/>
      </c>
      <c r="J410" s="7" t="str">
        <f aca="false">IF($I410="","","R"&amp;$I410)</f>
        <v/>
      </c>
    </row>
    <row r="411" customFormat="false" ht="15" hidden="false" customHeight="true" outlineLevel="0" collapsed="false">
      <c r="H411" s="29" t="b">
        <f aca="false">IF(회원현황!$A411="",FALSE(),OR(AND(회원현황!$F411&gt;0,회원현황!$F411&lt;=사용안내!$C$18),AND(회원현황!$H411&lt;&gt;"",회원현황!$H411&gt;=0,회원현황!$H411&lt;=사용안내!$C$17)))</f>
        <v>0</v>
      </c>
      <c r="I411" s="7" t="str">
        <f aca="false">IF($H411=FALSE(),"",COUNTIF($H$6:$H411,TRUE()))</f>
        <v/>
      </c>
      <c r="J411" s="7" t="str">
        <f aca="false">IF($I411="","","R"&amp;$I411)</f>
        <v/>
      </c>
    </row>
    <row r="412" customFormat="false" ht="15" hidden="false" customHeight="true" outlineLevel="0" collapsed="false">
      <c r="H412" s="29" t="b">
        <f aca="false">IF(회원현황!$A412="",FALSE(),OR(AND(회원현황!$F412&gt;0,회원현황!$F412&lt;=사용안내!$C$18),AND(회원현황!$H412&lt;&gt;"",회원현황!$H412&gt;=0,회원현황!$H412&lt;=사용안내!$C$17)))</f>
        <v>0</v>
      </c>
      <c r="I412" s="7" t="str">
        <f aca="false">IF($H412=FALSE(),"",COUNTIF($H$6:$H412,TRUE()))</f>
        <v/>
      </c>
      <c r="J412" s="7" t="str">
        <f aca="false">IF($I412="","","R"&amp;$I412)</f>
        <v/>
      </c>
    </row>
    <row r="413" customFormat="false" ht="15" hidden="false" customHeight="true" outlineLevel="0" collapsed="false">
      <c r="H413" s="29" t="b">
        <f aca="false">IF(회원현황!$A413="",FALSE(),OR(AND(회원현황!$F413&gt;0,회원현황!$F413&lt;=사용안내!$C$18),AND(회원현황!$H413&lt;&gt;"",회원현황!$H413&gt;=0,회원현황!$H413&lt;=사용안내!$C$17)))</f>
        <v>0</v>
      </c>
      <c r="I413" s="7" t="str">
        <f aca="false">IF($H413=FALSE(),"",COUNTIF($H$6:$H413,TRUE()))</f>
        <v/>
      </c>
      <c r="J413" s="7" t="str">
        <f aca="false">IF($I413="","","R"&amp;$I413)</f>
        <v/>
      </c>
    </row>
    <row r="414" customFormat="false" ht="15" hidden="false" customHeight="true" outlineLevel="0" collapsed="false">
      <c r="H414" s="29" t="b">
        <f aca="false">IF(회원현황!$A414="",FALSE(),OR(AND(회원현황!$F414&gt;0,회원현황!$F414&lt;=사용안내!$C$18),AND(회원현황!$H414&lt;&gt;"",회원현황!$H414&gt;=0,회원현황!$H414&lt;=사용안내!$C$17)))</f>
        <v>0</v>
      </c>
      <c r="I414" s="7" t="str">
        <f aca="false">IF($H414=FALSE(),"",COUNTIF($H$6:$H414,TRUE()))</f>
        <v/>
      </c>
      <c r="J414" s="7" t="str">
        <f aca="false">IF($I414="","","R"&amp;$I414)</f>
        <v/>
      </c>
    </row>
    <row r="415" customFormat="false" ht="15" hidden="false" customHeight="true" outlineLevel="0" collapsed="false">
      <c r="H415" s="29" t="b">
        <f aca="false">IF(회원현황!$A415="",FALSE(),OR(AND(회원현황!$F415&gt;0,회원현황!$F415&lt;=사용안내!$C$18),AND(회원현황!$H415&lt;&gt;"",회원현황!$H415&gt;=0,회원현황!$H415&lt;=사용안내!$C$17)))</f>
        <v>0</v>
      </c>
      <c r="I415" s="7" t="str">
        <f aca="false">IF($H415=FALSE(),"",COUNTIF($H$6:$H415,TRUE()))</f>
        <v/>
      </c>
      <c r="J415" s="7" t="str">
        <f aca="false">IF($I415="","","R"&amp;$I415)</f>
        <v/>
      </c>
    </row>
    <row r="416" customFormat="false" ht="15" hidden="false" customHeight="true" outlineLevel="0" collapsed="false">
      <c r="H416" s="29" t="b">
        <f aca="false">IF(회원현황!$A416="",FALSE(),OR(AND(회원현황!$F416&gt;0,회원현황!$F416&lt;=사용안내!$C$18),AND(회원현황!$H416&lt;&gt;"",회원현황!$H416&gt;=0,회원현황!$H416&lt;=사용안내!$C$17)))</f>
        <v>0</v>
      </c>
      <c r="I416" s="7" t="str">
        <f aca="false">IF($H416=FALSE(),"",COUNTIF($H$6:$H416,TRUE()))</f>
        <v/>
      </c>
      <c r="J416" s="7" t="str">
        <f aca="false">IF($I416="","","R"&amp;$I416)</f>
        <v/>
      </c>
    </row>
    <row r="417" customFormat="false" ht="15" hidden="false" customHeight="true" outlineLevel="0" collapsed="false">
      <c r="H417" s="29" t="b">
        <f aca="false">IF(회원현황!$A417="",FALSE(),OR(AND(회원현황!$F417&gt;0,회원현황!$F417&lt;=사용안내!$C$18),AND(회원현황!$H417&lt;&gt;"",회원현황!$H417&gt;=0,회원현황!$H417&lt;=사용안내!$C$17)))</f>
        <v>0</v>
      </c>
      <c r="I417" s="7" t="str">
        <f aca="false">IF($H417=FALSE(),"",COUNTIF($H$6:$H417,TRUE()))</f>
        <v/>
      </c>
      <c r="J417" s="7" t="str">
        <f aca="false">IF($I417="","","R"&amp;$I417)</f>
        <v/>
      </c>
    </row>
    <row r="418" customFormat="false" ht="15" hidden="false" customHeight="true" outlineLevel="0" collapsed="false">
      <c r="H418" s="29" t="b">
        <f aca="false">IF(회원현황!$A418="",FALSE(),OR(AND(회원현황!$F418&gt;0,회원현황!$F418&lt;=사용안내!$C$18),AND(회원현황!$H418&lt;&gt;"",회원현황!$H418&gt;=0,회원현황!$H418&lt;=사용안내!$C$17)))</f>
        <v>0</v>
      </c>
      <c r="I418" s="7" t="str">
        <f aca="false">IF($H418=FALSE(),"",COUNTIF($H$6:$H418,TRUE()))</f>
        <v/>
      </c>
      <c r="J418" s="7" t="str">
        <f aca="false">IF($I418="","","R"&amp;$I418)</f>
        <v/>
      </c>
    </row>
    <row r="419" customFormat="false" ht="15" hidden="false" customHeight="true" outlineLevel="0" collapsed="false">
      <c r="H419" s="29" t="b">
        <f aca="false">IF(회원현황!$A419="",FALSE(),OR(AND(회원현황!$F419&gt;0,회원현황!$F419&lt;=사용안내!$C$18),AND(회원현황!$H419&lt;&gt;"",회원현황!$H419&gt;=0,회원현황!$H419&lt;=사용안내!$C$17)))</f>
        <v>0</v>
      </c>
      <c r="I419" s="7" t="str">
        <f aca="false">IF($H419=FALSE(),"",COUNTIF($H$6:$H419,TRUE()))</f>
        <v/>
      </c>
      <c r="J419" s="7" t="str">
        <f aca="false">IF($I419="","","R"&amp;$I419)</f>
        <v/>
      </c>
    </row>
    <row r="420" customFormat="false" ht="15" hidden="false" customHeight="true" outlineLevel="0" collapsed="false">
      <c r="H420" s="29" t="b">
        <f aca="false">IF(회원현황!$A420="",FALSE(),OR(AND(회원현황!$F420&gt;0,회원현황!$F420&lt;=사용안내!$C$18),AND(회원현황!$H420&lt;&gt;"",회원현황!$H420&gt;=0,회원현황!$H420&lt;=사용안내!$C$17)))</f>
        <v>0</v>
      </c>
      <c r="I420" s="7" t="str">
        <f aca="false">IF($H420=FALSE(),"",COUNTIF($H$6:$H420,TRUE()))</f>
        <v/>
      </c>
      <c r="J420" s="7" t="str">
        <f aca="false">IF($I420="","","R"&amp;$I420)</f>
        <v/>
      </c>
    </row>
    <row r="421" customFormat="false" ht="15" hidden="false" customHeight="true" outlineLevel="0" collapsed="false">
      <c r="H421" s="29" t="b">
        <f aca="false">IF(회원현황!$A421="",FALSE(),OR(AND(회원현황!$F421&gt;0,회원현황!$F421&lt;=사용안내!$C$18),AND(회원현황!$H421&lt;&gt;"",회원현황!$H421&gt;=0,회원현황!$H421&lt;=사용안내!$C$17)))</f>
        <v>0</v>
      </c>
      <c r="I421" s="7" t="str">
        <f aca="false">IF($H421=FALSE(),"",COUNTIF($H$6:$H421,TRUE()))</f>
        <v/>
      </c>
      <c r="J421" s="7" t="str">
        <f aca="false">IF($I421="","","R"&amp;$I421)</f>
        <v/>
      </c>
    </row>
    <row r="422" customFormat="false" ht="15" hidden="false" customHeight="true" outlineLevel="0" collapsed="false">
      <c r="H422" s="29" t="b">
        <f aca="false">IF(회원현황!$A422="",FALSE(),OR(AND(회원현황!$F422&gt;0,회원현황!$F422&lt;=사용안내!$C$18),AND(회원현황!$H422&lt;&gt;"",회원현황!$H422&gt;=0,회원현황!$H422&lt;=사용안내!$C$17)))</f>
        <v>0</v>
      </c>
      <c r="I422" s="7" t="str">
        <f aca="false">IF($H422=FALSE(),"",COUNTIF($H$6:$H422,TRUE()))</f>
        <v/>
      </c>
      <c r="J422" s="7" t="str">
        <f aca="false">IF($I422="","","R"&amp;$I422)</f>
        <v/>
      </c>
    </row>
    <row r="423" customFormat="false" ht="15" hidden="false" customHeight="true" outlineLevel="0" collapsed="false">
      <c r="H423" s="29" t="b">
        <f aca="false">IF(회원현황!$A423="",FALSE(),OR(AND(회원현황!$F423&gt;0,회원현황!$F423&lt;=사용안내!$C$18),AND(회원현황!$H423&lt;&gt;"",회원현황!$H423&gt;=0,회원현황!$H423&lt;=사용안내!$C$17)))</f>
        <v>0</v>
      </c>
      <c r="I423" s="7" t="str">
        <f aca="false">IF($H423=FALSE(),"",COUNTIF($H$6:$H423,TRUE()))</f>
        <v/>
      </c>
      <c r="J423" s="7" t="str">
        <f aca="false">IF($I423="","","R"&amp;$I423)</f>
        <v/>
      </c>
    </row>
    <row r="424" customFormat="false" ht="15" hidden="false" customHeight="true" outlineLevel="0" collapsed="false">
      <c r="H424" s="29" t="b">
        <f aca="false">IF(회원현황!$A424="",FALSE(),OR(AND(회원현황!$F424&gt;0,회원현황!$F424&lt;=사용안내!$C$18),AND(회원현황!$H424&lt;&gt;"",회원현황!$H424&gt;=0,회원현황!$H424&lt;=사용안내!$C$17)))</f>
        <v>0</v>
      </c>
      <c r="I424" s="7" t="str">
        <f aca="false">IF($H424=FALSE(),"",COUNTIF($H$6:$H424,TRUE()))</f>
        <v/>
      </c>
      <c r="J424" s="7" t="str">
        <f aca="false">IF($I424="","","R"&amp;$I424)</f>
        <v/>
      </c>
    </row>
    <row r="425" customFormat="false" ht="15" hidden="false" customHeight="true" outlineLevel="0" collapsed="false">
      <c r="H425" s="29" t="b">
        <f aca="false">IF(회원현황!$A425="",FALSE(),OR(AND(회원현황!$F425&gt;0,회원현황!$F425&lt;=사용안내!$C$18),AND(회원현황!$H425&lt;&gt;"",회원현황!$H425&gt;=0,회원현황!$H425&lt;=사용안내!$C$17)))</f>
        <v>0</v>
      </c>
      <c r="I425" s="7" t="str">
        <f aca="false">IF($H425=FALSE(),"",COUNTIF($H$6:$H425,TRUE()))</f>
        <v/>
      </c>
      <c r="J425" s="7" t="str">
        <f aca="false">IF($I425="","","R"&amp;$I425)</f>
        <v/>
      </c>
    </row>
    <row r="426" customFormat="false" ht="15" hidden="false" customHeight="true" outlineLevel="0" collapsed="false">
      <c r="H426" s="29" t="b">
        <f aca="false">IF(회원현황!$A426="",FALSE(),OR(AND(회원현황!$F426&gt;0,회원현황!$F426&lt;=사용안내!$C$18),AND(회원현황!$H426&lt;&gt;"",회원현황!$H426&gt;=0,회원현황!$H426&lt;=사용안내!$C$17)))</f>
        <v>0</v>
      </c>
      <c r="I426" s="7" t="str">
        <f aca="false">IF($H426=FALSE(),"",COUNTIF($H$6:$H426,TRUE()))</f>
        <v/>
      </c>
      <c r="J426" s="7" t="str">
        <f aca="false">IF($I426="","","R"&amp;$I426)</f>
        <v/>
      </c>
    </row>
    <row r="427" customFormat="false" ht="15" hidden="false" customHeight="true" outlineLevel="0" collapsed="false">
      <c r="H427" s="29" t="b">
        <f aca="false">IF(회원현황!$A427="",FALSE(),OR(AND(회원현황!$F427&gt;0,회원현황!$F427&lt;=사용안내!$C$18),AND(회원현황!$H427&lt;&gt;"",회원현황!$H427&gt;=0,회원현황!$H427&lt;=사용안내!$C$17)))</f>
        <v>0</v>
      </c>
      <c r="I427" s="7" t="str">
        <f aca="false">IF($H427=FALSE(),"",COUNTIF($H$6:$H427,TRUE()))</f>
        <v/>
      </c>
      <c r="J427" s="7" t="str">
        <f aca="false">IF($I427="","","R"&amp;$I427)</f>
        <v/>
      </c>
    </row>
    <row r="428" customFormat="false" ht="15" hidden="false" customHeight="true" outlineLevel="0" collapsed="false">
      <c r="H428" s="29" t="b">
        <f aca="false">IF(회원현황!$A428="",FALSE(),OR(AND(회원현황!$F428&gt;0,회원현황!$F428&lt;=사용안내!$C$18),AND(회원현황!$H428&lt;&gt;"",회원현황!$H428&gt;=0,회원현황!$H428&lt;=사용안내!$C$17)))</f>
        <v>0</v>
      </c>
      <c r="I428" s="7" t="str">
        <f aca="false">IF($H428=FALSE(),"",COUNTIF($H$6:$H428,TRUE()))</f>
        <v/>
      </c>
      <c r="J428" s="7" t="str">
        <f aca="false">IF($I428="","","R"&amp;$I428)</f>
        <v/>
      </c>
    </row>
    <row r="429" customFormat="false" ht="15" hidden="false" customHeight="true" outlineLevel="0" collapsed="false">
      <c r="H429" s="29" t="b">
        <f aca="false">IF(회원현황!$A429="",FALSE(),OR(AND(회원현황!$F429&gt;0,회원현황!$F429&lt;=사용안내!$C$18),AND(회원현황!$H429&lt;&gt;"",회원현황!$H429&gt;=0,회원현황!$H429&lt;=사용안내!$C$17)))</f>
        <v>0</v>
      </c>
      <c r="I429" s="7" t="str">
        <f aca="false">IF($H429=FALSE(),"",COUNTIF($H$6:$H429,TRUE()))</f>
        <v/>
      </c>
      <c r="J429" s="7" t="str">
        <f aca="false">IF($I429="","","R"&amp;$I429)</f>
        <v/>
      </c>
    </row>
    <row r="430" customFormat="false" ht="15" hidden="false" customHeight="true" outlineLevel="0" collapsed="false">
      <c r="H430" s="29" t="b">
        <f aca="false">IF(회원현황!$A430="",FALSE(),OR(AND(회원현황!$F430&gt;0,회원현황!$F430&lt;=사용안내!$C$18),AND(회원현황!$H430&lt;&gt;"",회원현황!$H430&gt;=0,회원현황!$H430&lt;=사용안내!$C$17)))</f>
        <v>0</v>
      </c>
      <c r="I430" s="7" t="str">
        <f aca="false">IF($H430=FALSE(),"",COUNTIF($H$6:$H430,TRUE()))</f>
        <v/>
      </c>
      <c r="J430" s="7" t="str">
        <f aca="false">IF($I430="","","R"&amp;$I430)</f>
        <v/>
      </c>
    </row>
    <row r="431" customFormat="false" ht="15" hidden="false" customHeight="true" outlineLevel="0" collapsed="false">
      <c r="H431" s="29" t="b">
        <f aca="false">IF(회원현황!$A431="",FALSE(),OR(AND(회원현황!$F431&gt;0,회원현황!$F431&lt;=사용안내!$C$18),AND(회원현황!$H431&lt;&gt;"",회원현황!$H431&gt;=0,회원현황!$H431&lt;=사용안내!$C$17)))</f>
        <v>0</v>
      </c>
      <c r="I431" s="7" t="str">
        <f aca="false">IF($H431=FALSE(),"",COUNTIF($H$6:$H431,TRUE()))</f>
        <v/>
      </c>
      <c r="J431" s="7" t="str">
        <f aca="false">IF($I431="","","R"&amp;$I431)</f>
        <v/>
      </c>
    </row>
    <row r="432" customFormat="false" ht="15" hidden="false" customHeight="true" outlineLevel="0" collapsed="false">
      <c r="H432" s="29" t="b">
        <f aca="false">IF(회원현황!$A432="",FALSE(),OR(AND(회원현황!$F432&gt;0,회원현황!$F432&lt;=사용안내!$C$18),AND(회원현황!$H432&lt;&gt;"",회원현황!$H432&gt;=0,회원현황!$H432&lt;=사용안내!$C$17)))</f>
        <v>0</v>
      </c>
      <c r="I432" s="7" t="str">
        <f aca="false">IF($H432=FALSE(),"",COUNTIF($H$6:$H432,TRUE()))</f>
        <v/>
      </c>
      <c r="J432" s="7" t="str">
        <f aca="false">IF($I432="","","R"&amp;$I432)</f>
        <v/>
      </c>
    </row>
    <row r="433" customFormat="false" ht="15" hidden="false" customHeight="true" outlineLevel="0" collapsed="false">
      <c r="H433" s="29" t="b">
        <f aca="false">IF(회원현황!$A433="",FALSE(),OR(AND(회원현황!$F433&gt;0,회원현황!$F433&lt;=사용안내!$C$18),AND(회원현황!$H433&lt;&gt;"",회원현황!$H433&gt;=0,회원현황!$H433&lt;=사용안내!$C$17)))</f>
        <v>0</v>
      </c>
      <c r="I433" s="7" t="str">
        <f aca="false">IF($H433=FALSE(),"",COUNTIF($H$6:$H433,TRUE()))</f>
        <v/>
      </c>
      <c r="J433" s="7" t="str">
        <f aca="false">IF($I433="","","R"&amp;$I433)</f>
        <v/>
      </c>
    </row>
    <row r="434" customFormat="false" ht="15" hidden="false" customHeight="true" outlineLevel="0" collapsed="false">
      <c r="H434" s="29" t="b">
        <f aca="false">IF(회원현황!$A434="",FALSE(),OR(AND(회원현황!$F434&gt;0,회원현황!$F434&lt;=사용안내!$C$18),AND(회원현황!$H434&lt;&gt;"",회원현황!$H434&gt;=0,회원현황!$H434&lt;=사용안내!$C$17)))</f>
        <v>0</v>
      </c>
      <c r="I434" s="7" t="str">
        <f aca="false">IF($H434=FALSE(),"",COUNTIF($H$6:$H434,TRUE()))</f>
        <v/>
      </c>
      <c r="J434" s="7" t="str">
        <f aca="false">IF($I434="","","R"&amp;$I434)</f>
        <v/>
      </c>
    </row>
    <row r="435" customFormat="false" ht="15" hidden="false" customHeight="true" outlineLevel="0" collapsed="false">
      <c r="H435" s="29" t="b">
        <f aca="false">IF(회원현황!$A435="",FALSE(),OR(AND(회원현황!$F435&gt;0,회원현황!$F435&lt;=사용안내!$C$18),AND(회원현황!$H435&lt;&gt;"",회원현황!$H435&gt;=0,회원현황!$H435&lt;=사용안내!$C$17)))</f>
        <v>0</v>
      </c>
      <c r="I435" s="7" t="str">
        <f aca="false">IF($H435=FALSE(),"",COUNTIF($H$6:$H435,TRUE()))</f>
        <v/>
      </c>
      <c r="J435" s="7" t="str">
        <f aca="false">IF($I435="","","R"&amp;$I435)</f>
        <v/>
      </c>
    </row>
    <row r="436" customFormat="false" ht="15" hidden="false" customHeight="true" outlineLevel="0" collapsed="false">
      <c r="H436" s="29" t="b">
        <f aca="false">IF(회원현황!$A436="",FALSE(),OR(AND(회원현황!$F436&gt;0,회원현황!$F436&lt;=사용안내!$C$18),AND(회원현황!$H436&lt;&gt;"",회원현황!$H436&gt;=0,회원현황!$H436&lt;=사용안내!$C$17)))</f>
        <v>0</v>
      </c>
      <c r="I436" s="7" t="str">
        <f aca="false">IF($H436=FALSE(),"",COUNTIF($H$6:$H436,TRUE()))</f>
        <v/>
      </c>
      <c r="J436" s="7" t="str">
        <f aca="false">IF($I436="","","R"&amp;$I436)</f>
        <v/>
      </c>
    </row>
    <row r="437" customFormat="false" ht="15" hidden="false" customHeight="true" outlineLevel="0" collapsed="false">
      <c r="H437" s="29" t="b">
        <f aca="false">IF(회원현황!$A437="",FALSE(),OR(AND(회원현황!$F437&gt;0,회원현황!$F437&lt;=사용안내!$C$18),AND(회원현황!$H437&lt;&gt;"",회원현황!$H437&gt;=0,회원현황!$H437&lt;=사용안내!$C$17)))</f>
        <v>0</v>
      </c>
      <c r="I437" s="7" t="str">
        <f aca="false">IF($H437=FALSE(),"",COUNTIF($H$6:$H437,TRUE()))</f>
        <v/>
      </c>
      <c r="J437" s="7" t="str">
        <f aca="false">IF($I437="","","R"&amp;$I437)</f>
        <v/>
      </c>
    </row>
    <row r="438" customFormat="false" ht="15" hidden="false" customHeight="true" outlineLevel="0" collapsed="false">
      <c r="H438" s="29" t="b">
        <f aca="false">IF(회원현황!$A438="",FALSE(),OR(AND(회원현황!$F438&gt;0,회원현황!$F438&lt;=사용안내!$C$18),AND(회원현황!$H438&lt;&gt;"",회원현황!$H438&gt;=0,회원현황!$H438&lt;=사용안내!$C$17)))</f>
        <v>0</v>
      </c>
      <c r="I438" s="7" t="str">
        <f aca="false">IF($H438=FALSE(),"",COUNTIF($H$6:$H438,TRUE()))</f>
        <v/>
      </c>
      <c r="J438" s="7" t="str">
        <f aca="false">IF($I438="","","R"&amp;$I438)</f>
        <v/>
      </c>
    </row>
    <row r="439" customFormat="false" ht="15" hidden="false" customHeight="true" outlineLevel="0" collapsed="false">
      <c r="H439" s="29" t="b">
        <f aca="false">IF(회원현황!$A439="",FALSE(),OR(AND(회원현황!$F439&gt;0,회원현황!$F439&lt;=사용안내!$C$18),AND(회원현황!$H439&lt;&gt;"",회원현황!$H439&gt;=0,회원현황!$H439&lt;=사용안내!$C$17)))</f>
        <v>0</v>
      </c>
      <c r="I439" s="7" t="str">
        <f aca="false">IF($H439=FALSE(),"",COUNTIF($H$6:$H439,TRUE()))</f>
        <v/>
      </c>
      <c r="J439" s="7" t="str">
        <f aca="false">IF($I439="","","R"&amp;$I439)</f>
        <v/>
      </c>
    </row>
    <row r="440" customFormat="false" ht="15" hidden="false" customHeight="true" outlineLevel="0" collapsed="false">
      <c r="H440" s="29" t="b">
        <f aca="false">IF(회원현황!$A440="",FALSE(),OR(AND(회원현황!$F440&gt;0,회원현황!$F440&lt;=사용안내!$C$18),AND(회원현황!$H440&lt;&gt;"",회원현황!$H440&gt;=0,회원현황!$H440&lt;=사용안내!$C$17)))</f>
        <v>0</v>
      </c>
      <c r="I440" s="7" t="str">
        <f aca="false">IF($H440=FALSE(),"",COUNTIF($H$6:$H440,TRUE()))</f>
        <v/>
      </c>
      <c r="J440" s="7" t="str">
        <f aca="false">IF($I440="","","R"&amp;$I440)</f>
        <v/>
      </c>
    </row>
    <row r="441" customFormat="false" ht="15" hidden="false" customHeight="true" outlineLevel="0" collapsed="false">
      <c r="H441" s="29" t="b">
        <f aca="false">IF(회원현황!$A441="",FALSE(),OR(AND(회원현황!$F441&gt;0,회원현황!$F441&lt;=사용안내!$C$18),AND(회원현황!$H441&lt;&gt;"",회원현황!$H441&gt;=0,회원현황!$H441&lt;=사용안내!$C$17)))</f>
        <v>0</v>
      </c>
      <c r="I441" s="7" t="str">
        <f aca="false">IF($H441=FALSE(),"",COUNTIF($H$6:$H441,TRUE()))</f>
        <v/>
      </c>
      <c r="J441" s="7" t="str">
        <f aca="false">IF($I441="","","R"&amp;$I441)</f>
        <v/>
      </c>
    </row>
    <row r="442" customFormat="false" ht="15" hidden="false" customHeight="true" outlineLevel="0" collapsed="false">
      <c r="H442" s="29" t="b">
        <f aca="false">IF(회원현황!$A442="",FALSE(),OR(AND(회원현황!$F442&gt;0,회원현황!$F442&lt;=사용안내!$C$18),AND(회원현황!$H442&lt;&gt;"",회원현황!$H442&gt;=0,회원현황!$H442&lt;=사용안내!$C$17)))</f>
        <v>0</v>
      </c>
      <c r="I442" s="7" t="str">
        <f aca="false">IF($H442=FALSE(),"",COUNTIF($H$6:$H442,TRUE()))</f>
        <v/>
      </c>
      <c r="J442" s="7" t="str">
        <f aca="false">IF($I442="","","R"&amp;$I442)</f>
        <v/>
      </c>
    </row>
    <row r="443" customFormat="false" ht="15" hidden="false" customHeight="true" outlineLevel="0" collapsed="false">
      <c r="H443" s="29" t="b">
        <f aca="false">IF(회원현황!$A443="",FALSE(),OR(AND(회원현황!$F443&gt;0,회원현황!$F443&lt;=사용안내!$C$18),AND(회원현황!$H443&lt;&gt;"",회원현황!$H443&gt;=0,회원현황!$H443&lt;=사용안내!$C$17)))</f>
        <v>0</v>
      </c>
      <c r="I443" s="7" t="str">
        <f aca="false">IF($H443=FALSE(),"",COUNTIF($H$6:$H443,TRUE()))</f>
        <v/>
      </c>
      <c r="J443" s="7" t="str">
        <f aca="false">IF($I443="","","R"&amp;$I443)</f>
        <v/>
      </c>
    </row>
    <row r="444" customFormat="false" ht="15" hidden="false" customHeight="true" outlineLevel="0" collapsed="false">
      <c r="H444" s="29" t="b">
        <f aca="false">IF(회원현황!$A444="",FALSE(),OR(AND(회원현황!$F444&gt;0,회원현황!$F444&lt;=사용안내!$C$18),AND(회원현황!$H444&lt;&gt;"",회원현황!$H444&gt;=0,회원현황!$H444&lt;=사용안내!$C$17)))</f>
        <v>0</v>
      </c>
      <c r="I444" s="7" t="str">
        <f aca="false">IF($H444=FALSE(),"",COUNTIF($H$6:$H444,TRUE()))</f>
        <v/>
      </c>
      <c r="J444" s="7" t="str">
        <f aca="false">IF($I444="","","R"&amp;$I444)</f>
        <v/>
      </c>
    </row>
    <row r="445" customFormat="false" ht="15" hidden="false" customHeight="true" outlineLevel="0" collapsed="false">
      <c r="H445" s="29" t="b">
        <f aca="false">IF(회원현황!$A445="",FALSE(),OR(AND(회원현황!$F445&gt;0,회원현황!$F445&lt;=사용안내!$C$18),AND(회원현황!$H445&lt;&gt;"",회원현황!$H445&gt;=0,회원현황!$H445&lt;=사용안내!$C$17)))</f>
        <v>0</v>
      </c>
      <c r="I445" s="7" t="str">
        <f aca="false">IF($H445=FALSE(),"",COUNTIF($H$6:$H445,TRUE()))</f>
        <v/>
      </c>
      <c r="J445" s="7" t="str">
        <f aca="false">IF($I445="","","R"&amp;$I445)</f>
        <v/>
      </c>
    </row>
    <row r="446" customFormat="false" ht="15" hidden="false" customHeight="true" outlineLevel="0" collapsed="false">
      <c r="H446" s="29" t="b">
        <f aca="false">IF(회원현황!$A446="",FALSE(),OR(AND(회원현황!$F446&gt;0,회원현황!$F446&lt;=사용안내!$C$18),AND(회원현황!$H446&lt;&gt;"",회원현황!$H446&gt;=0,회원현황!$H446&lt;=사용안내!$C$17)))</f>
        <v>0</v>
      </c>
      <c r="I446" s="7" t="str">
        <f aca="false">IF($H446=FALSE(),"",COUNTIF($H$6:$H446,TRUE()))</f>
        <v/>
      </c>
      <c r="J446" s="7" t="str">
        <f aca="false">IF($I446="","","R"&amp;$I446)</f>
        <v/>
      </c>
    </row>
    <row r="447" customFormat="false" ht="15" hidden="false" customHeight="true" outlineLevel="0" collapsed="false">
      <c r="H447" s="29" t="b">
        <f aca="false">IF(회원현황!$A447="",FALSE(),OR(AND(회원현황!$F447&gt;0,회원현황!$F447&lt;=사용안내!$C$18),AND(회원현황!$H447&lt;&gt;"",회원현황!$H447&gt;=0,회원현황!$H447&lt;=사용안내!$C$17)))</f>
        <v>0</v>
      </c>
      <c r="I447" s="7" t="str">
        <f aca="false">IF($H447=FALSE(),"",COUNTIF($H$6:$H447,TRUE()))</f>
        <v/>
      </c>
      <c r="J447" s="7" t="str">
        <f aca="false">IF($I447="","","R"&amp;$I447)</f>
        <v/>
      </c>
    </row>
    <row r="448" customFormat="false" ht="15" hidden="false" customHeight="true" outlineLevel="0" collapsed="false">
      <c r="H448" s="29" t="b">
        <f aca="false">IF(회원현황!$A448="",FALSE(),OR(AND(회원현황!$F448&gt;0,회원현황!$F448&lt;=사용안내!$C$18),AND(회원현황!$H448&lt;&gt;"",회원현황!$H448&gt;=0,회원현황!$H448&lt;=사용안내!$C$17)))</f>
        <v>0</v>
      </c>
      <c r="I448" s="7" t="str">
        <f aca="false">IF($H448=FALSE(),"",COUNTIF($H$6:$H448,TRUE()))</f>
        <v/>
      </c>
      <c r="J448" s="7" t="str">
        <f aca="false">IF($I448="","","R"&amp;$I448)</f>
        <v/>
      </c>
    </row>
    <row r="449" customFormat="false" ht="15" hidden="false" customHeight="true" outlineLevel="0" collapsed="false">
      <c r="H449" s="29" t="b">
        <f aca="false">IF(회원현황!$A449="",FALSE(),OR(AND(회원현황!$F449&gt;0,회원현황!$F449&lt;=사용안내!$C$18),AND(회원현황!$H449&lt;&gt;"",회원현황!$H449&gt;=0,회원현황!$H449&lt;=사용안내!$C$17)))</f>
        <v>0</v>
      </c>
      <c r="I449" s="7" t="str">
        <f aca="false">IF($H449=FALSE(),"",COUNTIF($H$6:$H449,TRUE()))</f>
        <v/>
      </c>
      <c r="J449" s="7" t="str">
        <f aca="false">IF($I449="","","R"&amp;$I449)</f>
        <v/>
      </c>
    </row>
    <row r="450" customFormat="false" ht="15" hidden="false" customHeight="true" outlineLevel="0" collapsed="false">
      <c r="H450" s="29" t="b">
        <f aca="false">IF(회원현황!$A450="",FALSE(),OR(AND(회원현황!$F450&gt;0,회원현황!$F450&lt;=사용안내!$C$18),AND(회원현황!$H450&lt;&gt;"",회원현황!$H450&gt;=0,회원현황!$H450&lt;=사용안내!$C$17)))</f>
        <v>0</v>
      </c>
      <c r="I450" s="7" t="str">
        <f aca="false">IF($H450=FALSE(),"",COUNTIF($H$6:$H450,TRUE()))</f>
        <v/>
      </c>
      <c r="J450" s="7" t="str">
        <f aca="false">IF($I450="","","R"&amp;$I450)</f>
        <v/>
      </c>
    </row>
    <row r="451" customFormat="false" ht="15" hidden="false" customHeight="true" outlineLevel="0" collapsed="false">
      <c r="H451" s="29" t="b">
        <f aca="false">IF(회원현황!$A451="",FALSE(),OR(AND(회원현황!$F451&gt;0,회원현황!$F451&lt;=사용안내!$C$18),AND(회원현황!$H451&lt;&gt;"",회원현황!$H451&gt;=0,회원현황!$H451&lt;=사용안내!$C$17)))</f>
        <v>0</v>
      </c>
      <c r="I451" s="7" t="str">
        <f aca="false">IF($H451=FALSE(),"",COUNTIF($H$6:$H451,TRUE()))</f>
        <v/>
      </c>
      <c r="J451" s="7" t="str">
        <f aca="false">IF($I451="","","R"&amp;$I451)</f>
        <v/>
      </c>
    </row>
    <row r="452" customFormat="false" ht="15" hidden="false" customHeight="true" outlineLevel="0" collapsed="false">
      <c r="H452" s="29" t="b">
        <f aca="false">IF(회원현황!$A452="",FALSE(),OR(AND(회원현황!$F452&gt;0,회원현황!$F452&lt;=사용안내!$C$18),AND(회원현황!$H452&lt;&gt;"",회원현황!$H452&gt;=0,회원현황!$H452&lt;=사용안내!$C$17)))</f>
        <v>0</v>
      </c>
      <c r="I452" s="7" t="str">
        <f aca="false">IF($H452=FALSE(),"",COUNTIF($H$6:$H452,TRUE()))</f>
        <v/>
      </c>
      <c r="J452" s="7" t="str">
        <f aca="false">IF($I452="","","R"&amp;$I452)</f>
        <v/>
      </c>
    </row>
    <row r="453" customFormat="false" ht="15" hidden="false" customHeight="true" outlineLevel="0" collapsed="false">
      <c r="H453" s="29" t="b">
        <f aca="false">IF(회원현황!$A453="",FALSE(),OR(AND(회원현황!$F453&gt;0,회원현황!$F453&lt;=사용안내!$C$18),AND(회원현황!$H453&lt;&gt;"",회원현황!$H453&gt;=0,회원현황!$H453&lt;=사용안내!$C$17)))</f>
        <v>0</v>
      </c>
      <c r="I453" s="7" t="str">
        <f aca="false">IF($H453=FALSE(),"",COUNTIF($H$6:$H453,TRUE()))</f>
        <v/>
      </c>
      <c r="J453" s="7" t="str">
        <f aca="false">IF($I453="","","R"&amp;$I453)</f>
        <v/>
      </c>
    </row>
    <row r="454" customFormat="false" ht="15" hidden="false" customHeight="true" outlineLevel="0" collapsed="false">
      <c r="H454" s="29" t="b">
        <f aca="false">IF(회원현황!$A454="",FALSE(),OR(AND(회원현황!$F454&gt;0,회원현황!$F454&lt;=사용안내!$C$18),AND(회원현황!$H454&lt;&gt;"",회원현황!$H454&gt;=0,회원현황!$H454&lt;=사용안내!$C$17)))</f>
        <v>0</v>
      </c>
      <c r="I454" s="7" t="str">
        <f aca="false">IF($H454=FALSE(),"",COUNTIF($H$6:$H454,TRUE()))</f>
        <v/>
      </c>
      <c r="J454" s="7" t="str">
        <f aca="false">IF($I454="","","R"&amp;$I454)</f>
        <v/>
      </c>
    </row>
    <row r="455" customFormat="false" ht="15" hidden="false" customHeight="true" outlineLevel="0" collapsed="false">
      <c r="H455" s="29" t="b">
        <f aca="false">IF(회원현황!$A455="",FALSE(),OR(AND(회원현황!$F455&gt;0,회원현황!$F455&lt;=사용안내!$C$18),AND(회원현황!$H455&lt;&gt;"",회원현황!$H455&gt;=0,회원현황!$H455&lt;=사용안내!$C$17)))</f>
        <v>0</v>
      </c>
      <c r="I455" s="7" t="str">
        <f aca="false">IF($H455=FALSE(),"",COUNTIF($H$6:$H455,TRUE()))</f>
        <v/>
      </c>
      <c r="J455" s="7" t="str">
        <f aca="false">IF($I455="","","R"&amp;$I455)</f>
        <v/>
      </c>
    </row>
    <row r="456" customFormat="false" ht="15" hidden="false" customHeight="true" outlineLevel="0" collapsed="false">
      <c r="H456" s="29" t="b">
        <f aca="false">IF(회원현황!$A456="",FALSE(),OR(AND(회원현황!$F456&gt;0,회원현황!$F456&lt;=사용안내!$C$18),AND(회원현황!$H456&lt;&gt;"",회원현황!$H456&gt;=0,회원현황!$H456&lt;=사용안내!$C$17)))</f>
        <v>0</v>
      </c>
      <c r="I456" s="7" t="str">
        <f aca="false">IF($H456=FALSE(),"",COUNTIF($H$6:$H456,TRUE()))</f>
        <v/>
      </c>
      <c r="J456" s="7" t="str">
        <f aca="false">IF($I456="","","R"&amp;$I456)</f>
        <v/>
      </c>
    </row>
    <row r="457" customFormat="false" ht="15" hidden="false" customHeight="true" outlineLevel="0" collapsed="false">
      <c r="H457" s="29" t="b">
        <f aca="false">IF(회원현황!$A457="",FALSE(),OR(AND(회원현황!$F457&gt;0,회원현황!$F457&lt;=사용안내!$C$18),AND(회원현황!$H457&lt;&gt;"",회원현황!$H457&gt;=0,회원현황!$H457&lt;=사용안내!$C$17)))</f>
        <v>0</v>
      </c>
      <c r="I457" s="7" t="str">
        <f aca="false">IF($H457=FALSE(),"",COUNTIF($H$6:$H457,TRUE()))</f>
        <v/>
      </c>
      <c r="J457" s="7" t="str">
        <f aca="false">IF($I457="","","R"&amp;$I457)</f>
        <v/>
      </c>
    </row>
    <row r="458" customFormat="false" ht="15" hidden="false" customHeight="true" outlineLevel="0" collapsed="false">
      <c r="H458" s="29" t="b">
        <f aca="false">IF(회원현황!$A458="",FALSE(),OR(AND(회원현황!$F458&gt;0,회원현황!$F458&lt;=사용안내!$C$18),AND(회원현황!$H458&lt;&gt;"",회원현황!$H458&gt;=0,회원현황!$H458&lt;=사용안내!$C$17)))</f>
        <v>0</v>
      </c>
      <c r="I458" s="7" t="str">
        <f aca="false">IF($H458=FALSE(),"",COUNTIF($H$6:$H458,TRUE()))</f>
        <v/>
      </c>
      <c r="J458" s="7" t="str">
        <f aca="false">IF($I458="","","R"&amp;$I458)</f>
        <v/>
      </c>
    </row>
    <row r="459" customFormat="false" ht="15" hidden="false" customHeight="true" outlineLevel="0" collapsed="false">
      <c r="H459" s="29" t="b">
        <f aca="false">IF(회원현황!$A459="",FALSE(),OR(AND(회원현황!$F459&gt;0,회원현황!$F459&lt;=사용안내!$C$18),AND(회원현황!$H459&lt;&gt;"",회원현황!$H459&gt;=0,회원현황!$H459&lt;=사용안내!$C$17)))</f>
        <v>0</v>
      </c>
      <c r="I459" s="7" t="str">
        <f aca="false">IF($H459=FALSE(),"",COUNTIF($H$6:$H459,TRUE()))</f>
        <v/>
      </c>
      <c r="J459" s="7" t="str">
        <f aca="false">IF($I459="","","R"&amp;$I459)</f>
        <v/>
      </c>
    </row>
    <row r="460" customFormat="false" ht="15" hidden="false" customHeight="true" outlineLevel="0" collapsed="false">
      <c r="H460" s="29" t="b">
        <f aca="false">IF(회원현황!$A460="",FALSE(),OR(AND(회원현황!$F460&gt;0,회원현황!$F460&lt;=사용안내!$C$18),AND(회원현황!$H460&lt;&gt;"",회원현황!$H460&gt;=0,회원현황!$H460&lt;=사용안내!$C$17)))</f>
        <v>0</v>
      </c>
      <c r="I460" s="7" t="str">
        <f aca="false">IF($H460=FALSE(),"",COUNTIF($H$6:$H460,TRUE()))</f>
        <v/>
      </c>
      <c r="J460" s="7" t="str">
        <f aca="false">IF($I460="","","R"&amp;$I460)</f>
        <v/>
      </c>
    </row>
    <row r="461" customFormat="false" ht="15" hidden="false" customHeight="true" outlineLevel="0" collapsed="false">
      <c r="H461" s="29" t="b">
        <f aca="false">IF(회원현황!$A461="",FALSE(),OR(AND(회원현황!$F461&gt;0,회원현황!$F461&lt;=사용안내!$C$18),AND(회원현황!$H461&lt;&gt;"",회원현황!$H461&gt;=0,회원현황!$H461&lt;=사용안내!$C$17)))</f>
        <v>0</v>
      </c>
      <c r="I461" s="7" t="str">
        <f aca="false">IF($H461=FALSE(),"",COUNTIF($H$6:$H461,TRUE()))</f>
        <v/>
      </c>
      <c r="J461" s="7" t="str">
        <f aca="false">IF($I461="","","R"&amp;$I461)</f>
        <v/>
      </c>
    </row>
    <row r="462" customFormat="false" ht="15" hidden="false" customHeight="true" outlineLevel="0" collapsed="false">
      <c r="H462" s="29" t="b">
        <f aca="false">IF(회원현황!$A462="",FALSE(),OR(AND(회원현황!$F462&gt;0,회원현황!$F462&lt;=사용안내!$C$18),AND(회원현황!$H462&lt;&gt;"",회원현황!$H462&gt;=0,회원현황!$H462&lt;=사용안내!$C$17)))</f>
        <v>0</v>
      </c>
      <c r="I462" s="7" t="str">
        <f aca="false">IF($H462=FALSE(),"",COUNTIF($H$6:$H462,TRUE()))</f>
        <v/>
      </c>
      <c r="J462" s="7" t="str">
        <f aca="false">IF($I462="","","R"&amp;$I462)</f>
        <v/>
      </c>
    </row>
    <row r="463" customFormat="false" ht="15" hidden="false" customHeight="true" outlineLevel="0" collapsed="false">
      <c r="H463" s="29" t="b">
        <f aca="false">IF(회원현황!$A463="",FALSE(),OR(AND(회원현황!$F463&gt;0,회원현황!$F463&lt;=사용안내!$C$18),AND(회원현황!$H463&lt;&gt;"",회원현황!$H463&gt;=0,회원현황!$H463&lt;=사용안내!$C$17)))</f>
        <v>0</v>
      </c>
      <c r="I463" s="7" t="str">
        <f aca="false">IF($H463=FALSE(),"",COUNTIF($H$6:$H463,TRUE()))</f>
        <v/>
      </c>
      <c r="J463" s="7" t="str">
        <f aca="false">IF($I463="","","R"&amp;$I463)</f>
        <v/>
      </c>
    </row>
    <row r="464" customFormat="false" ht="15" hidden="false" customHeight="true" outlineLevel="0" collapsed="false">
      <c r="H464" s="29" t="b">
        <f aca="false">IF(회원현황!$A464="",FALSE(),OR(AND(회원현황!$F464&gt;0,회원현황!$F464&lt;=사용안내!$C$18),AND(회원현황!$H464&lt;&gt;"",회원현황!$H464&gt;=0,회원현황!$H464&lt;=사용안내!$C$17)))</f>
        <v>0</v>
      </c>
      <c r="I464" s="7" t="str">
        <f aca="false">IF($H464=FALSE(),"",COUNTIF($H$6:$H464,TRUE()))</f>
        <v/>
      </c>
      <c r="J464" s="7" t="str">
        <f aca="false">IF($I464="","","R"&amp;$I464)</f>
        <v/>
      </c>
    </row>
    <row r="465" customFormat="false" ht="15" hidden="false" customHeight="true" outlineLevel="0" collapsed="false">
      <c r="H465" s="29" t="b">
        <f aca="false">IF(회원현황!$A465="",FALSE(),OR(AND(회원현황!$F465&gt;0,회원현황!$F465&lt;=사용안내!$C$18),AND(회원현황!$H465&lt;&gt;"",회원현황!$H465&gt;=0,회원현황!$H465&lt;=사용안내!$C$17)))</f>
        <v>0</v>
      </c>
      <c r="I465" s="7" t="str">
        <f aca="false">IF($H465=FALSE(),"",COUNTIF($H$6:$H465,TRUE()))</f>
        <v/>
      </c>
      <c r="J465" s="7" t="str">
        <f aca="false">IF($I465="","","R"&amp;$I465)</f>
        <v/>
      </c>
    </row>
    <row r="466" customFormat="false" ht="15" hidden="false" customHeight="true" outlineLevel="0" collapsed="false">
      <c r="H466" s="29" t="b">
        <f aca="false">IF(회원현황!$A466="",FALSE(),OR(AND(회원현황!$F466&gt;0,회원현황!$F466&lt;=사용안내!$C$18),AND(회원현황!$H466&lt;&gt;"",회원현황!$H466&gt;=0,회원현황!$H466&lt;=사용안내!$C$17)))</f>
        <v>0</v>
      </c>
      <c r="I466" s="7" t="str">
        <f aca="false">IF($H466=FALSE(),"",COUNTIF($H$6:$H466,TRUE()))</f>
        <v/>
      </c>
      <c r="J466" s="7" t="str">
        <f aca="false">IF($I466="","","R"&amp;$I466)</f>
        <v/>
      </c>
    </row>
    <row r="467" customFormat="false" ht="15" hidden="false" customHeight="true" outlineLevel="0" collapsed="false">
      <c r="H467" s="29" t="b">
        <f aca="false">IF(회원현황!$A467="",FALSE(),OR(AND(회원현황!$F467&gt;0,회원현황!$F467&lt;=사용안내!$C$18),AND(회원현황!$H467&lt;&gt;"",회원현황!$H467&gt;=0,회원현황!$H467&lt;=사용안내!$C$17)))</f>
        <v>0</v>
      </c>
      <c r="I467" s="7" t="str">
        <f aca="false">IF($H467=FALSE(),"",COUNTIF($H$6:$H467,TRUE()))</f>
        <v/>
      </c>
      <c r="J467" s="7" t="str">
        <f aca="false">IF($I467="","","R"&amp;$I467)</f>
        <v/>
      </c>
    </row>
    <row r="468" customFormat="false" ht="15" hidden="false" customHeight="true" outlineLevel="0" collapsed="false">
      <c r="H468" s="29" t="b">
        <f aca="false">IF(회원현황!$A468="",FALSE(),OR(AND(회원현황!$F468&gt;0,회원현황!$F468&lt;=사용안내!$C$18),AND(회원현황!$H468&lt;&gt;"",회원현황!$H468&gt;=0,회원현황!$H468&lt;=사용안내!$C$17)))</f>
        <v>0</v>
      </c>
      <c r="I468" s="7" t="str">
        <f aca="false">IF($H468=FALSE(),"",COUNTIF($H$6:$H468,TRUE()))</f>
        <v/>
      </c>
      <c r="J468" s="7" t="str">
        <f aca="false">IF($I468="","","R"&amp;$I468)</f>
        <v/>
      </c>
    </row>
    <row r="469" customFormat="false" ht="15" hidden="false" customHeight="true" outlineLevel="0" collapsed="false">
      <c r="H469" s="29" t="b">
        <f aca="false">IF(회원현황!$A469="",FALSE(),OR(AND(회원현황!$F469&gt;0,회원현황!$F469&lt;=사용안내!$C$18),AND(회원현황!$H469&lt;&gt;"",회원현황!$H469&gt;=0,회원현황!$H469&lt;=사용안내!$C$17)))</f>
        <v>0</v>
      </c>
      <c r="I469" s="7" t="str">
        <f aca="false">IF($H469=FALSE(),"",COUNTIF($H$6:$H469,TRUE()))</f>
        <v/>
      </c>
      <c r="J469" s="7" t="str">
        <f aca="false">IF($I469="","","R"&amp;$I469)</f>
        <v/>
      </c>
    </row>
    <row r="470" customFormat="false" ht="15" hidden="false" customHeight="true" outlineLevel="0" collapsed="false">
      <c r="H470" s="29" t="b">
        <f aca="false">IF(회원현황!$A470="",FALSE(),OR(AND(회원현황!$F470&gt;0,회원현황!$F470&lt;=사용안내!$C$18),AND(회원현황!$H470&lt;&gt;"",회원현황!$H470&gt;=0,회원현황!$H470&lt;=사용안내!$C$17)))</f>
        <v>0</v>
      </c>
      <c r="I470" s="7" t="str">
        <f aca="false">IF($H470=FALSE(),"",COUNTIF($H$6:$H470,TRUE()))</f>
        <v/>
      </c>
      <c r="J470" s="7" t="str">
        <f aca="false">IF($I470="","","R"&amp;$I470)</f>
        <v/>
      </c>
    </row>
    <row r="471" customFormat="false" ht="15" hidden="false" customHeight="true" outlineLevel="0" collapsed="false">
      <c r="H471" s="29" t="b">
        <f aca="false">IF(회원현황!$A471="",FALSE(),OR(AND(회원현황!$F471&gt;0,회원현황!$F471&lt;=사용안내!$C$18),AND(회원현황!$H471&lt;&gt;"",회원현황!$H471&gt;=0,회원현황!$H471&lt;=사용안내!$C$17)))</f>
        <v>0</v>
      </c>
      <c r="I471" s="7" t="str">
        <f aca="false">IF($H471=FALSE(),"",COUNTIF($H$6:$H471,TRUE()))</f>
        <v/>
      </c>
      <c r="J471" s="7" t="str">
        <f aca="false">IF($I471="","","R"&amp;$I471)</f>
        <v/>
      </c>
    </row>
    <row r="472" customFormat="false" ht="15" hidden="false" customHeight="true" outlineLevel="0" collapsed="false">
      <c r="H472" s="29" t="b">
        <f aca="false">IF(회원현황!$A472="",FALSE(),OR(AND(회원현황!$F472&gt;0,회원현황!$F472&lt;=사용안내!$C$18),AND(회원현황!$H472&lt;&gt;"",회원현황!$H472&gt;=0,회원현황!$H472&lt;=사용안내!$C$17)))</f>
        <v>0</v>
      </c>
      <c r="I472" s="7" t="str">
        <f aca="false">IF($H472=FALSE(),"",COUNTIF($H$6:$H472,TRUE()))</f>
        <v/>
      </c>
      <c r="J472" s="7" t="str">
        <f aca="false">IF($I472="","","R"&amp;$I472)</f>
        <v/>
      </c>
    </row>
    <row r="473" customFormat="false" ht="15" hidden="false" customHeight="true" outlineLevel="0" collapsed="false">
      <c r="H473" s="29" t="b">
        <f aca="false">IF(회원현황!$A473="",FALSE(),OR(AND(회원현황!$F473&gt;0,회원현황!$F473&lt;=사용안내!$C$18),AND(회원현황!$H473&lt;&gt;"",회원현황!$H473&gt;=0,회원현황!$H473&lt;=사용안내!$C$17)))</f>
        <v>0</v>
      </c>
      <c r="I473" s="7" t="str">
        <f aca="false">IF($H473=FALSE(),"",COUNTIF($H$6:$H473,TRUE()))</f>
        <v/>
      </c>
      <c r="J473" s="7" t="str">
        <f aca="false">IF($I473="","","R"&amp;$I473)</f>
        <v/>
      </c>
    </row>
    <row r="474" customFormat="false" ht="15" hidden="false" customHeight="true" outlineLevel="0" collapsed="false">
      <c r="H474" s="29" t="b">
        <f aca="false">IF(회원현황!$A474="",FALSE(),OR(AND(회원현황!$F474&gt;0,회원현황!$F474&lt;=사용안내!$C$18),AND(회원현황!$H474&lt;&gt;"",회원현황!$H474&gt;=0,회원현황!$H474&lt;=사용안내!$C$17)))</f>
        <v>0</v>
      </c>
      <c r="I474" s="7" t="str">
        <f aca="false">IF($H474=FALSE(),"",COUNTIF($H$6:$H474,TRUE()))</f>
        <v/>
      </c>
      <c r="J474" s="7" t="str">
        <f aca="false">IF($I474="","","R"&amp;$I474)</f>
        <v/>
      </c>
    </row>
    <row r="475" customFormat="false" ht="15" hidden="false" customHeight="true" outlineLevel="0" collapsed="false">
      <c r="H475" s="29" t="b">
        <f aca="false">IF(회원현황!$A475="",FALSE(),OR(AND(회원현황!$F475&gt;0,회원현황!$F475&lt;=사용안내!$C$18),AND(회원현황!$H475&lt;&gt;"",회원현황!$H475&gt;=0,회원현황!$H475&lt;=사용안내!$C$17)))</f>
        <v>0</v>
      </c>
      <c r="I475" s="7" t="str">
        <f aca="false">IF($H475=FALSE(),"",COUNTIF($H$6:$H475,TRUE()))</f>
        <v/>
      </c>
      <c r="J475" s="7" t="str">
        <f aca="false">IF($I475="","","R"&amp;$I475)</f>
        <v/>
      </c>
    </row>
    <row r="476" customFormat="false" ht="15" hidden="false" customHeight="true" outlineLevel="0" collapsed="false">
      <c r="H476" s="29" t="b">
        <f aca="false">IF(회원현황!$A476="",FALSE(),OR(AND(회원현황!$F476&gt;0,회원현황!$F476&lt;=사용안내!$C$18),AND(회원현황!$H476&lt;&gt;"",회원현황!$H476&gt;=0,회원현황!$H476&lt;=사용안내!$C$17)))</f>
        <v>0</v>
      </c>
      <c r="I476" s="7" t="str">
        <f aca="false">IF($H476=FALSE(),"",COUNTIF($H$6:$H476,TRUE()))</f>
        <v/>
      </c>
      <c r="J476" s="7" t="str">
        <f aca="false">IF($I476="","","R"&amp;$I476)</f>
        <v/>
      </c>
    </row>
    <row r="477" customFormat="false" ht="15" hidden="false" customHeight="true" outlineLevel="0" collapsed="false">
      <c r="H477" s="29" t="b">
        <f aca="false">IF(회원현황!$A477="",FALSE(),OR(AND(회원현황!$F477&gt;0,회원현황!$F477&lt;=사용안내!$C$18),AND(회원현황!$H477&lt;&gt;"",회원현황!$H477&gt;=0,회원현황!$H477&lt;=사용안내!$C$17)))</f>
        <v>0</v>
      </c>
      <c r="I477" s="7" t="str">
        <f aca="false">IF($H477=FALSE(),"",COUNTIF($H$6:$H477,TRUE()))</f>
        <v/>
      </c>
      <c r="J477" s="7" t="str">
        <f aca="false">IF($I477="","","R"&amp;$I477)</f>
        <v/>
      </c>
    </row>
    <row r="478" customFormat="false" ht="15" hidden="false" customHeight="true" outlineLevel="0" collapsed="false">
      <c r="H478" s="29" t="b">
        <f aca="false">IF(회원현황!$A478="",FALSE(),OR(AND(회원현황!$F478&gt;0,회원현황!$F478&lt;=사용안내!$C$18),AND(회원현황!$H478&lt;&gt;"",회원현황!$H478&gt;=0,회원현황!$H478&lt;=사용안내!$C$17)))</f>
        <v>0</v>
      </c>
      <c r="I478" s="7" t="str">
        <f aca="false">IF($H478=FALSE(),"",COUNTIF($H$6:$H478,TRUE()))</f>
        <v/>
      </c>
      <c r="J478" s="7" t="str">
        <f aca="false">IF($I478="","","R"&amp;$I478)</f>
        <v/>
      </c>
    </row>
    <row r="479" customFormat="false" ht="15" hidden="false" customHeight="true" outlineLevel="0" collapsed="false">
      <c r="H479" s="29" t="b">
        <f aca="false">IF(회원현황!$A479="",FALSE(),OR(AND(회원현황!$F479&gt;0,회원현황!$F479&lt;=사용안내!$C$18),AND(회원현황!$H479&lt;&gt;"",회원현황!$H479&gt;=0,회원현황!$H479&lt;=사용안내!$C$17)))</f>
        <v>0</v>
      </c>
      <c r="I479" s="7" t="str">
        <f aca="false">IF($H479=FALSE(),"",COUNTIF($H$6:$H479,TRUE()))</f>
        <v/>
      </c>
      <c r="J479" s="7" t="str">
        <f aca="false">IF($I479="","","R"&amp;$I479)</f>
        <v/>
      </c>
    </row>
    <row r="480" customFormat="false" ht="15" hidden="false" customHeight="true" outlineLevel="0" collapsed="false">
      <c r="H480" s="29" t="b">
        <f aca="false">IF(회원현황!$A480="",FALSE(),OR(AND(회원현황!$F480&gt;0,회원현황!$F480&lt;=사용안내!$C$18),AND(회원현황!$H480&lt;&gt;"",회원현황!$H480&gt;=0,회원현황!$H480&lt;=사용안내!$C$17)))</f>
        <v>0</v>
      </c>
      <c r="I480" s="7" t="str">
        <f aca="false">IF($H480=FALSE(),"",COUNTIF($H$6:$H480,TRUE()))</f>
        <v/>
      </c>
      <c r="J480" s="7" t="str">
        <f aca="false">IF($I480="","","R"&amp;$I480)</f>
        <v/>
      </c>
    </row>
    <row r="481" customFormat="false" ht="15" hidden="false" customHeight="true" outlineLevel="0" collapsed="false">
      <c r="H481" s="29" t="b">
        <f aca="false">IF(회원현황!$A481="",FALSE(),OR(AND(회원현황!$F481&gt;0,회원현황!$F481&lt;=사용안내!$C$18),AND(회원현황!$H481&lt;&gt;"",회원현황!$H481&gt;=0,회원현황!$H481&lt;=사용안내!$C$17)))</f>
        <v>0</v>
      </c>
      <c r="I481" s="7" t="str">
        <f aca="false">IF($H481=FALSE(),"",COUNTIF($H$6:$H481,TRUE()))</f>
        <v/>
      </c>
      <c r="J481" s="7" t="str">
        <f aca="false">IF($I481="","","R"&amp;$I481)</f>
        <v/>
      </c>
    </row>
    <row r="482" customFormat="false" ht="15" hidden="false" customHeight="true" outlineLevel="0" collapsed="false">
      <c r="H482" s="29" t="b">
        <f aca="false">IF(회원현황!$A482="",FALSE(),OR(AND(회원현황!$F482&gt;0,회원현황!$F482&lt;=사용안내!$C$18),AND(회원현황!$H482&lt;&gt;"",회원현황!$H482&gt;=0,회원현황!$H482&lt;=사용안내!$C$17)))</f>
        <v>0</v>
      </c>
      <c r="I482" s="7" t="str">
        <f aca="false">IF($H482=FALSE(),"",COUNTIF($H$6:$H482,TRUE()))</f>
        <v/>
      </c>
      <c r="J482" s="7" t="str">
        <f aca="false">IF($I482="","","R"&amp;$I482)</f>
        <v/>
      </c>
    </row>
    <row r="483" customFormat="false" ht="15" hidden="false" customHeight="true" outlineLevel="0" collapsed="false">
      <c r="H483" s="29" t="b">
        <f aca="false">IF(회원현황!$A483="",FALSE(),OR(AND(회원현황!$F483&gt;0,회원현황!$F483&lt;=사용안내!$C$18),AND(회원현황!$H483&lt;&gt;"",회원현황!$H483&gt;=0,회원현황!$H483&lt;=사용안내!$C$17)))</f>
        <v>0</v>
      </c>
      <c r="I483" s="7" t="str">
        <f aca="false">IF($H483=FALSE(),"",COUNTIF($H$6:$H483,TRUE()))</f>
        <v/>
      </c>
      <c r="J483" s="7" t="str">
        <f aca="false">IF($I483="","","R"&amp;$I483)</f>
        <v/>
      </c>
    </row>
    <row r="484" customFormat="false" ht="15" hidden="false" customHeight="true" outlineLevel="0" collapsed="false">
      <c r="H484" s="29" t="b">
        <f aca="false">IF(회원현황!$A484="",FALSE(),OR(AND(회원현황!$F484&gt;0,회원현황!$F484&lt;=사용안내!$C$18),AND(회원현황!$H484&lt;&gt;"",회원현황!$H484&gt;=0,회원현황!$H484&lt;=사용안내!$C$17)))</f>
        <v>0</v>
      </c>
      <c r="I484" s="7" t="str">
        <f aca="false">IF($H484=FALSE(),"",COUNTIF($H$6:$H484,TRUE()))</f>
        <v/>
      </c>
      <c r="J484" s="7" t="str">
        <f aca="false">IF($I484="","","R"&amp;$I484)</f>
        <v/>
      </c>
    </row>
    <row r="485" customFormat="false" ht="15" hidden="false" customHeight="true" outlineLevel="0" collapsed="false">
      <c r="H485" s="29" t="b">
        <f aca="false">IF(회원현황!$A485="",FALSE(),OR(AND(회원현황!$F485&gt;0,회원현황!$F485&lt;=사용안내!$C$18),AND(회원현황!$H485&lt;&gt;"",회원현황!$H485&gt;=0,회원현황!$H485&lt;=사용안내!$C$17)))</f>
        <v>0</v>
      </c>
      <c r="I485" s="7" t="str">
        <f aca="false">IF($H485=FALSE(),"",COUNTIF($H$6:$H485,TRUE()))</f>
        <v/>
      </c>
      <c r="J485" s="7" t="str">
        <f aca="false">IF($I485="","","R"&amp;$I485)</f>
        <v/>
      </c>
    </row>
    <row r="486" customFormat="false" ht="15" hidden="false" customHeight="true" outlineLevel="0" collapsed="false">
      <c r="H486" s="29" t="b">
        <f aca="false">IF(회원현황!$A486="",FALSE(),OR(AND(회원현황!$F486&gt;0,회원현황!$F486&lt;=사용안내!$C$18),AND(회원현황!$H486&lt;&gt;"",회원현황!$H486&gt;=0,회원현황!$H486&lt;=사용안내!$C$17)))</f>
        <v>0</v>
      </c>
      <c r="I486" s="7" t="str">
        <f aca="false">IF($H486=FALSE(),"",COUNTIF($H$6:$H486,TRUE()))</f>
        <v/>
      </c>
      <c r="J486" s="7" t="str">
        <f aca="false">IF($I486="","","R"&amp;$I486)</f>
        <v/>
      </c>
    </row>
    <row r="487" customFormat="false" ht="15" hidden="false" customHeight="true" outlineLevel="0" collapsed="false">
      <c r="H487" s="29" t="b">
        <f aca="false">IF(회원현황!$A487="",FALSE(),OR(AND(회원현황!$F487&gt;0,회원현황!$F487&lt;=사용안내!$C$18),AND(회원현황!$H487&lt;&gt;"",회원현황!$H487&gt;=0,회원현황!$H487&lt;=사용안내!$C$17)))</f>
        <v>0</v>
      </c>
      <c r="I487" s="7" t="str">
        <f aca="false">IF($H487=FALSE(),"",COUNTIF($H$6:$H487,TRUE()))</f>
        <v/>
      </c>
      <c r="J487" s="7" t="str">
        <f aca="false">IF($I487="","","R"&amp;$I487)</f>
        <v/>
      </c>
    </row>
    <row r="488" customFormat="false" ht="15" hidden="false" customHeight="true" outlineLevel="0" collapsed="false">
      <c r="H488" s="29" t="b">
        <f aca="false">IF(회원현황!$A488="",FALSE(),OR(AND(회원현황!$F488&gt;0,회원현황!$F488&lt;=사용안내!$C$18),AND(회원현황!$H488&lt;&gt;"",회원현황!$H488&gt;=0,회원현황!$H488&lt;=사용안내!$C$17)))</f>
        <v>0</v>
      </c>
      <c r="I488" s="7" t="str">
        <f aca="false">IF($H488=FALSE(),"",COUNTIF($H$6:$H488,TRUE()))</f>
        <v/>
      </c>
      <c r="J488" s="7" t="str">
        <f aca="false">IF($I488="","","R"&amp;$I488)</f>
        <v/>
      </c>
    </row>
    <row r="489" customFormat="false" ht="15" hidden="false" customHeight="true" outlineLevel="0" collapsed="false">
      <c r="H489" s="29" t="b">
        <f aca="false">IF(회원현황!$A489="",FALSE(),OR(AND(회원현황!$F489&gt;0,회원현황!$F489&lt;=사용안내!$C$18),AND(회원현황!$H489&lt;&gt;"",회원현황!$H489&gt;=0,회원현황!$H489&lt;=사용안내!$C$17)))</f>
        <v>0</v>
      </c>
      <c r="I489" s="7" t="str">
        <f aca="false">IF($H489=FALSE(),"",COUNTIF($H$6:$H489,TRUE()))</f>
        <v/>
      </c>
      <c r="J489" s="7" t="str">
        <f aca="false">IF($I489="","","R"&amp;$I489)</f>
        <v/>
      </c>
    </row>
    <row r="490" customFormat="false" ht="15" hidden="false" customHeight="true" outlineLevel="0" collapsed="false">
      <c r="H490" s="29" t="b">
        <f aca="false">IF(회원현황!$A490="",FALSE(),OR(AND(회원현황!$F490&gt;0,회원현황!$F490&lt;=사용안내!$C$18),AND(회원현황!$H490&lt;&gt;"",회원현황!$H490&gt;=0,회원현황!$H490&lt;=사용안내!$C$17)))</f>
        <v>0</v>
      </c>
      <c r="I490" s="7" t="str">
        <f aca="false">IF($H490=FALSE(),"",COUNTIF($H$6:$H490,TRUE()))</f>
        <v/>
      </c>
      <c r="J490" s="7" t="str">
        <f aca="false">IF($I490="","","R"&amp;$I490)</f>
        <v/>
      </c>
    </row>
    <row r="491" customFormat="false" ht="15" hidden="false" customHeight="true" outlineLevel="0" collapsed="false">
      <c r="H491" s="29" t="b">
        <f aca="false">IF(회원현황!$A491="",FALSE(),OR(AND(회원현황!$F491&gt;0,회원현황!$F491&lt;=사용안내!$C$18),AND(회원현황!$H491&lt;&gt;"",회원현황!$H491&gt;=0,회원현황!$H491&lt;=사용안내!$C$17)))</f>
        <v>0</v>
      </c>
      <c r="I491" s="7" t="str">
        <f aca="false">IF($H491=FALSE(),"",COUNTIF($H$6:$H491,TRUE()))</f>
        <v/>
      </c>
      <c r="J491" s="7" t="str">
        <f aca="false">IF($I491="","","R"&amp;$I491)</f>
        <v/>
      </c>
    </row>
    <row r="492" customFormat="false" ht="15" hidden="false" customHeight="true" outlineLevel="0" collapsed="false">
      <c r="H492" s="29" t="b">
        <f aca="false">IF(회원현황!$A492="",FALSE(),OR(AND(회원현황!$F492&gt;0,회원현황!$F492&lt;=사용안내!$C$18),AND(회원현황!$H492&lt;&gt;"",회원현황!$H492&gt;=0,회원현황!$H492&lt;=사용안내!$C$17)))</f>
        <v>0</v>
      </c>
      <c r="I492" s="7" t="str">
        <f aca="false">IF($H492=FALSE(),"",COUNTIF($H$6:$H492,TRUE()))</f>
        <v/>
      </c>
      <c r="J492" s="7" t="str">
        <f aca="false">IF($I492="","","R"&amp;$I492)</f>
        <v/>
      </c>
    </row>
    <row r="493" customFormat="false" ht="15" hidden="false" customHeight="true" outlineLevel="0" collapsed="false">
      <c r="H493" s="29" t="b">
        <f aca="false">IF(회원현황!$A493="",FALSE(),OR(AND(회원현황!$F493&gt;0,회원현황!$F493&lt;=사용안내!$C$18),AND(회원현황!$H493&lt;&gt;"",회원현황!$H493&gt;=0,회원현황!$H493&lt;=사용안내!$C$17)))</f>
        <v>0</v>
      </c>
      <c r="I493" s="7" t="str">
        <f aca="false">IF($H493=FALSE(),"",COUNTIF($H$6:$H493,TRUE()))</f>
        <v/>
      </c>
      <c r="J493" s="7" t="str">
        <f aca="false">IF($I493="","","R"&amp;$I493)</f>
        <v/>
      </c>
    </row>
    <row r="494" customFormat="false" ht="15" hidden="false" customHeight="true" outlineLevel="0" collapsed="false">
      <c r="H494" s="29" t="b">
        <f aca="false">IF(회원현황!$A494="",FALSE(),OR(AND(회원현황!$F494&gt;0,회원현황!$F494&lt;=사용안내!$C$18),AND(회원현황!$H494&lt;&gt;"",회원현황!$H494&gt;=0,회원현황!$H494&lt;=사용안내!$C$17)))</f>
        <v>0</v>
      </c>
      <c r="I494" s="7" t="str">
        <f aca="false">IF($H494=FALSE(),"",COUNTIF($H$6:$H494,TRUE()))</f>
        <v/>
      </c>
      <c r="J494" s="7" t="str">
        <f aca="false">IF($I494="","","R"&amp;$I494)</f>
        <v/>
      </c>
    </row>
    <row r="495" customFormat="false" ht="15" hidden="false" customHeight="true" outlineLevel="0" collapsed="false">
      <c r="H495" s="29" t="b">
        <f aca="false">IF(회원현황!$A495="",FALSE(),OR(AND(회원현황!$F495&gt;0,회원현황!$F495&lt;=사용안내!$C$18),AND(회원현황!$H495&lt;&gt;"",회원현황!$H495&gt;=0,회원현황!$H495&lt;=사용안내!$C$17)))</f>
        <v>0</v>
      </c>
      <c r="I495" s="7" t="str">
        <f aca="false">IF($H495=FALSE(),"",COUNTIF($H$6:$H495,TRUE()))</f>
        <v/>
      </c>
      <c r="J495" s="7" t="str">
        <f aca="false">IF($I495="","","R"&amp;$I495)</f>
        <v/>
      </c>
    </row>
    <row r="496" customFormat="false" ht="15" hidden="false" customHeight="true" outlineLevel="0" collapsed="false">
      <c r="H496" s="29" t="b">
        <f aca="false">IF(회원현황!$A496="",FALSE(),OR(AND(회원현황!$F496&gt;0,회원현황!$F496&lt;=사용안내!$C$18),AND(회원현황!$H496&lt;&gt;"",회원현황!$H496&gt;=0,회원현황!$H496&lt;=사용안내!$C$17)))</f>
        <v>0</v>
      </c>
      <c r="I496" s="7" t="str">
        <f aca="false">IF($H496=FALSE(),"",COUNTIF($H$6:$H496,TRUE()))</f>
        <v/>
      </c>
      <c r="J496" s="7" t="str">
        <f aca="false">IF($I496="","","R"&amp;$I496)</f>
        <v/>
      </c>
    </row>
    <row r="497" customFormat="false" ht="15" hidden="false" customHeight="true" outlineLevel="0" collapsed="false">
      <c r="H497" s="29" t="b">
        <f aca="false">IF(회원현황!$A497="",FALSE(),OR(AND(회원현황!$F497&gt;0,회원현황!$F497&lt;=사용안내!$C$18),AND(회원현황!$H497&lt;&gt;"",회원현황!$H497&gt;=0,회원현황!$H497&lt;=사용안내!$C$17)))</f>
        <v>0</v>
      </c>
      <c r="I497" s="7" t="str">
        <f aca="false">IF($H497=FALSE(),"",COUNTIF($H$6:$H497,TRUE()))</f>
        <v/>
      </c>
      <c r="J497" s="7" t="str">
        <f aca="false">IF($I497="","","R"&amp;$I497)</f>
        <v/>
      </c>
    </row>
    <row r="498" customFormat="false" ht="15" hidden="false" customHeight="true" outlineLevel="0" collapsed="false">
      <c r="H498" s="29" t="b">
        <f aca="false">IF(회원현황!$A498="",FALSE(),OR(AND(회원현황!$F498&gt;0,회원현황!$F498&lt;=사용안내!$C$18),AND(회원현황!$H498&lt;&gt;"",회원현황!$H498&gt;=0,회원현황!$H498&lt;=사용안내!$C$17)))</f>
        <v>0</v>
      </c>
      <c r="I498" s="7" t="str">
        <f aca="false">IF($H498=FALSE(),"",COUNTIF($H$6:$H498,TRUE()))</f>
        <v/>
      </c>
      <c r="J498" s="7" t="str">
        <f aca="false">IF($I498="","","R"&amp;$I498)</f>
        <v/>
      </c>
    </row>
    <row r="499" customFormat="false" ht="15" hidden="false" customHeight="true" outlineLevel="0" collapsed="false">
      <c r="H499" s="29" t="b">
        <f aca="false">IF(회원현황!$A499="",FALSE(),OR(AND(회원현황!$F499&gt;0,회원현황!$F499&lt;=사용안내!$C$18),AND(회원현황!$H499&lt;&gt;"",회원현황!$H499&gt;=0,회원현황!$H499&lt;=사용안내!$C$17)))</f>
        <v>0</v>
      </c>
      <c r="I499" s="7" t="str">
        <f aca="false">IF($H499=FALSE(),"",COUNTIF($H$6:$H499,TRUE()))</f>
        <v/>
      </c>
      <c r="J499" s="7" t="str">
        <f aca="false">IF($I499="","","R"&amp;$I499)</f>
        <v/>
      </c>
    </row>
    <row r="500" customFormat="false" ht="15" hidden="false" customHeight="true" outlineLevel="0" collapsed="false">
      <c r="H500" s="29" t="b">
        <f aca="false">IF(회원현황!$A500="",FALSE(),OR(AND(회원현황!$F500&gt;0,회원현황!$F500&lt;=사용안내!$C$18),AND(회원현황!$H500&lt;&gt;"",회원현황!$H500&gt;=0,회원현황!$H500&lt;=사용안내!$C$17)))</f>
        <v>0</v>
      </c>
      <c r="I500" s="7" t="str">
        <f aca="false">IF($H500=FALSE(),"",COUNTIF($H$6:$H500,TRUE()))</f>
        <v/>
      </c>
      <c r="J500" s="7" t="str">
        <f aca="false">IF($I500="","","R"&amp;$I500)</f>
        <v/>
      </c>
    </row>
    <row r="501" customFormat="false" ht="15" hidden="false" customHeight="true" outlineLevel="0" collapsed="false">
      <c r="H501" s="29" t="b">
        <f aca="false">IF(회원현황!$A501="",FALSE(),OR(AND(회원현황!$F501&gt;0,회원현황!$F501&lt;=사용안내!$C$18),AND(회원현황!$H501&lt;&gt;"",회원현황!$H501&gt;=0,회원현황!$H501&lt;=사용안내!$C$17)))</f>
        <v>0</v>
      </c>
      <c r="I501" s="7" t="str">
        <f aca="false">IF($H501=FALSE(),"",COUNTIF($H$6:$H501,TRUE()))</f>
        <v/>
      </c>
      <c r="J501" s="7" t="str">
        <f aca="false">IF($I501="","","R"&amp;$I501)</f>
        <v/>
      </c>
    </row>
    <row r="502" customFormat="false" ht="15" hidden="false" customHeight="true" outlineLevel="0" collapsed="false">
      <c r="H502" s="29" t="b">
        <f aca="false">IF(회원현황!$A502="",FALSE(),OR(AND(회원현황!$F502&gt;0,회원현황!$F502&lt;=사용안내!$C$18),AND(회원현황!$H502&lt;&gt;"",회원현황!$H502&gt;=0,회원현황!$H502&lt;=사용안내!$C$17)))</f>
        <v>0</v>
      </c>
      <c r="I502" s="7" t="str">
        <f aca="false">IF($H502=FALSE(),"",COUNTIF($H$6:$H502,TRUE()))</f>
        <v/>
      </c>
      <c r="J502" s="7" t="str">
        <f aca="false">IF($I502="","","R"&amp;$I502)</f>
        <v/>
      </c>
    </row>
    <row r="503" customFormat="false" ht="15" hidden="false" customHeight="true" outlineLevel="0" collapsed="false">
      <c r="H503" s="29" t="b">
        <f aca="false">IF(회원현황!$A503="",FALSE(),OR(AND(회원현황!$F503&gt;0,회원현황!$F503&lt;=사용안내!$C$18),AND(회원현황!$H503&lt;&gt;"",회원현황!$H503&gt;=0,회원현황!$H503&lt;=사용안내!$C$17)))</f>
        <v>0</v>
      </c>
      <c r="I503" s="7" t="str">
        <f aca="false">IF($H503=FALSE(),"",COUNTIF($H$6:$H503,TRUE()))</f>
        <v/>
      </c>
      <c r="J503" s="7" t="str">
        <f aca="false">IF($I503="","","R"&amp;$I503)</f>
        <v/>
      </c>
    </row>
    <row r="504" customFormat="false" ht="15" hidden="false" customHeight="true" outlineLevel="0" collapsed="false">
      <c r="H504" s="29" t="b">
        <f aca="false">IF(회원현황!$A504="",FALSE(),OR(AND(회원현황!$F504&gt;0,회원현황!$F504&lt;=사용안내!$C$18),AND(회원현황!$H504&lt;&gt;"",회원현황!$H504&gt;=0,회원현황!$H504&lt;=사용안내!$C$17)))</f>
        <v>0</v>
      </c>
      <c r="I504" s="7" t="str">
        <f aca="false">IF($H504=FALSE(),"",COUNTIF($H$6:$H504,TRUE()))</f>
        <v/>
      </c>
      <c r="J504" s="7" t="str">
        <f aca="false">IF($I504="","","R"&amp;$I504)</f>
        <v/>
      </c>
    </row>
    <row r="505" customFormat="false" ht="15" hidden="false" customHeight="true" outlineLevel="0" collapsed="false">
      <c r="H505" s="29" t="b">
        <f aca="false">IF(회원현황!$A505="",FALSE(),OR(AND(회원현황!$F505&gt;0,회원현황!$F505&lt;=사용안내!$C$18),AND(회원현황!$H505&lt;&gt;"",회원현황!$H505&gt;=0,회원현황!$H505&lt;=사용안내!$C$17)))</f>
        <v>0</v>
      </c>
      <c r="I505" s="7" t="str">
        <f aca="false">IF($H505=FALSE(),"",COUNTIF($H$6:$H505,TRUE()))</f>
        <v/>
      </c>
      <c r="J505" s="7" t="str">
        <f aca="false">IF($I505="","","R"&amp;$I505)</f>
        <v/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7"/>
    <col collapsed="false" customWidth="true" hidden="false" outlineLevel="0" max="6" min="4" style="1" width="13"/>
  </cols>
  <sheetData>
    <row r="1" customFormat="false" ht="25.5" hidden="false" customHeight="true" outlineLevel="0" collapsed="false">
      <c r="A1" s="2" t="s">
        <v>91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92</v>
      </c>
      <c r="B3" s="30" t="n">
        <v>2026</v>
      </c>
      <c r="C3" s="7" t="s">
        <v>93</v>
      </c>
    </row>
    <row r="5" customFormat="false" ht="15" hidden="false" customHeight="true" outlineLevel="0" collapsed="false">
      <c r="A5" s="9" t="s">
        <v>94</v>
      </c>
      <c r="B5" s="9" t="s">
        <v>95</v>
      </c>
      <c r="C5" s="9" t="s">
        <v>96</v>
      </c>
      <c r="D5" s="9" t="s">
        <v>97</v>
      </c>
      <c r="E5" s="9" t="s">
        <v>98</v>
      </c>
      <c r="F5" s="9" t="s">
        <v>99</v>
      </c>
    </row>
    <row r="6" customFormat="false" ht="15" hidden="false" customHeight="true" outlineLevel="0" collapsed="false">
      <c r="A6" s="28" t="n">
        <v>1</v>
      </c>
      <c r="B6" s="23" t="n">
        <f aca="false">COUNTIFS(결제내역!$A$3:$A$1002,"&gt;="&amp;DATE($B$3,1,1),결제내역!$A$3:$A$1002,"&lt;="&amp;EOMONTH(DATE($B$3,1,1),0))</f>
        <v>0</v>
      </c>
      <c r="C6" s="23" t="n">
        <f aca="false">SUMIFS(결제내역!$H$3:$H$1002,결제내역!$A$3:$A$1002,"&gt;="&amp;DATE($B$3,1,1),결제내역!$A$3:$A$1002,"&lt;="&amp;EOMONTH(DATE($B$3,1,1),0))</f>
        <v>0</v>
      </c>
      <c r="D6" s="23" t="n">
        <f aca="false">SUMIFS(결제내역!$E$3:$E$1002,결제내역!$A$3:$A$1002,"&gt;="&amp;DATE($B$3,1,1),결제내역!$A$3:$A$1002,"&lt;="&amp;EOMONTH(DATE($B$3,1,1),0))</f>
        <v>0</v>
      </c>
      <c r="E6" s="23" t="n">
        <f aca="false">COUNTIFS(사용내역!$A$3:$A$3002,"&gt;="&amp;DATE($B$3,1,1),사용내역!$A$3:$A$3002,"&lt;="&amp;EOMONTH(DATE($B$3,1,1),0))</f>
        <v>0</v>
      </c>
      <c r="F6" s="23" t="n">
        <f aca="false">SUMIFS(사용내역!$D$3:$D$3002,사용내역!$A$3:$A$3002,"&gt;="&amp;DATE($B$3,1,1),사용내역!$A$3:$A$3002,"&lt;="&amp;EOMONTH(DATE($B$3,1,1),0))</f>
        <v>0</v>
      </c>
    </row>
    <row r="7" customFormat="false" ht="15" hidden="false" customHeight="true" outlineLevel="0" collapsed="false">
      <c r="A7" s="28" t="n">
        <v>2</v>
      </c>
      <c r="B7" s="23" t="n">
        <f aca="false">COUNTIFS(결제내역!$A$3:$A$1002,"&gt;="&amp;DATE($B$3,2,1),결제내역!$A$3:$A$1002,"&lt;="&amp;EOMONTH(DATE($B$3,2,1),0))</f>
        <v>0</v>
      </c>
      <c r="C7" s="23" t="n">
        <f aca="false">SUMIFS(결제내역!$H$3:$H$1002,결제내역!$A$3:$A$1002,"&gt;="&amp;DATE($B$3,2,1),결제내역!$A$3:$A$1002,"&lt;="&amp;EOMONTH(DATE($B$3,2,1),0))</f>
        <v>0</v>
      </c>
      <c r="D7" s="23" t="n">
        <f aca="false">SUMIFS(결제내역!$E$3:$E$1002,결제내역!$A$3:$A$1002,"&gt;="&amp;DATE($B$3,2,1),결제내역!$A$3:$A$1002,"&lt;="&amp;EOMONTH(DATE($B$3,2,1),0))</f>
        <v>0</v>
      </c>
      <c r="E7" s="23" t="n">
        <f aca="false">COUNTIFS(사용내역!$A$3:$A$3002,"&gt;="&amp;DATE($B$3,2,1),사용내역!$A$3:$A$3002,"&lt;="&amp;EOMONTH(DATE($B$3,2,1),0))</f>
        <v>0</v>
      </c>
      <c r="F7" s="23" t="n">
        <f aca="false">SUMIFS(사용내역!$D$3:$D$3002,사용내역!$A$3:$A$3002,"&gt;="&amp;DATE($B$3,2,1),사용내역!$A$3:$A$3002,"&lt;="&amp;EOMONTH(DATE($B$3,2,1),0))</f>
        <v>0</v>
      </c>
    </row>
    <row r="8" customFormat="false" ht="15" hidden="false" customHeight="true" outlineLevel="0" collapsed="false">
      <c r="A8" s="28" t="n">
        <v>3</v>
      </c>
      <c r="B8" s="23" t="n">
        <f aca="false">COUNTIFS(결제내역!$A$3:$A$1002,"&gt;="&amp;DATE($B$3,3,1),결제내역!$A$3:$A$1002,"&lt;="&amp;EOMONTH(DATE($B$3,3,1),0))</f>
        <v>0</v>
      </c>
      <c r="C8" s="23" t="n">
        <f aca="false">SUMIFS(결제내역!$H$3:$H$1002,결제내역!$A$3:$A$1002,"&gt;="&amp;DATE($B$3,3,1),결제내역!$A$3:$A$1002,"&lt;="&amp;EOMONTH(DATE($B$3,3,1),0))</f>
        <v>0</v>
      </c>
      <c r="D8" s="23" t="n">
        <f aca="false">SUMIFS(결제내역!$E$3:$E$1002,결제내역!$A$3:$A$1002,"&gt;="&amp;DATE($B$3,3,1),결제내역!$A$3:$A$1002,"&lt;="&amp;EOMONTH(DATE($B$3,3,1),0))</f>
        <v>0</v>
      </c>
      <c r="E8" s="23" t="n">
        <f aca="false">COUNTIFS(사용내역!$A$3:$A$3002,"&gt;="&amp;DATE($B$3,3,1),사용내역!$A$3:$A$3002,"&lt;="&amp;EOMONTH(DATE($B$3,3,1),0))</f>
        <v>0</v>
      </c>
      <c r="F8" s="23" t="n">
        <f aca="false">SUMIFS(사용내역!$D$3:$D$3002,사용내역!$A$3:$A$3002,"&gt;="&amp;DATE($B$3,3,1),사용내역!$A$3:$A$3002,"&lt;="&amp;EOMONTH(DATE($B$3,3,1),0))</f>
        <v>0</v>
      </c>
    </row>
    <row r="9" customFormat="false" ht="15" hidden="false" customHeight="true" outlineLevel="0" collapsed="false">
      <c r="A9" s="28" t="n">
        <v>4</v>
      </c>
      <c r="B9" s="23" t="n">
        <f aca="false">COUNTIFS(결제내역!$A$3:$A$1002,"&gt;="&amp;DATE($B$3,4,1),결제내역!$A$3:$A$1002,"&lt;="&amp;EOMONTH(DATE($B$3,4,1),0))</f>
        <v>0</v>
      </c>
      <c r="C9" s="23" t="n">
        <f aca="false">SUMIFS(결제내역!$H$3:$H$1002,결제내역!$A$3:$A$1002,"&gt;="&amp;DATE($B$3,4,1),결제내역!$A$3:$A$1002,"&lt;="&amp;EOMONTH(DATE($B$3,4,1),0))</f>
        <v>0</v>
      </c>
      <c r="D9" s="23" t="n">
        <f aca="false">SUMIFS(결제내역!$E$3:$E$1002,결제내역!$A$3:$A$1002,"&gt;="&amp;DATE($B$3,4,1),결제내역!$A$3:$A$1002,"&lt;="&amp;EOMONTH(DATE($B$3,4,1),0))</f>
        <v>0</v>
      </c>
      <c r="E9" s="23" t="n">
        <f aca="false">COUNTIFS(사용내역!$A$3:$A$3002,"&gt;="&amp;DATE($B$3,4,1),사용내역!$A$3:$A$3002,"&lt;="&amp;EOMONTH(DATE($B$3,4,1),0))</f>
        <v>0</v>
      </c>
      <c r="F9" s="23" t="n">
        <f aca="false">SUMIFS(사용내역!$D$3:$D$3002,사용내역!$A$3:$A$3002,"&gt;="&amp;DATE($B$3,4,1),사용내역!$A$3:$A$3002,"&lt;="&amp;EOMONTH(DATE($B$3,4,1),0))</f>
        <v>0</v>
      </c>
    </row>
    <row r="10" customFormat="false" ht="15" hidden="false" customHeight="true" outlineLevel="0" collapsed="false">
      <c r="A10" s="28" t="n">
        <v>5</v>
      </c>
      <c r="B10" s="23" t="n">
        <f aca="false">COUNTIFS(결제내역!$A$3:$A$1002,"&gt;="&amp;DATE($B$3,5,1),결제내역!$A$3:$A$1002,"&lt;="&amp;EOMONTH(DATE($B$3,5,1),0))</f>
        <v>0</v>
      </c>
      <c r="C10" s="23" t="n">
        <f aca="false">SUMIFS(결제내역!$H$3:$H$1002,결제내역!$A$3:$A$1002,"&gt;="&amp;DATE($B$3,5,1),결제내역!$A$3:$A$1002,"&lt;="&amp;EOMONTH(DATE($B$3,5,1),0))</f>
        <v>0</v>
      </c>
      <c r="D10" s="23" t="n">
        <f aca="false">SUMIFS(결제내역!$E$3:$E$1002,결제내역!$A$3:$A$1002,"&gt;="&amp;DATE($B$3,5,1),결제내역!$A$3:$A$1002,"&lt;="&amp;EOMONTH(DATE($B$3,5,1),0))</f>
        <v>0</v>
      </c>
      <c r="E10" s="23" t="n">
        <f aca="false">COUNTIFS(사용내역!$A$3:$A$3002,"&gt;="&amp;DATE($B$3,5,1),사용내역!$A$3:$A$3002,"&lt;="&amp;EOMONTH(DATE($B$3,5,1),0))</f>
        <v>0</v>
      </c>
      <c r="F10" s="23" t="n">
        <f aca="false">SUMIFS(사용내역!$D$3:$D$3002,사용내역!$A$3:$A$3002,"&gt;="&amp;DATE($B$3,5,1),사용내역!$A$3:$A$3002,"&lt;="&amp;EOMONTH(DATE($B$3,5,1),0))</f>
        <v>0</v>
      </c>
    </row>
    <row r="11" customFormat="false" ht="15" hidden="false" customHeight="true" outlineLevel="0" collapsed="false">
      <c r="A11" s="28" t="n">
        <v>6</v>
      </c>
      <c r="B11" s="23" t="n">
        <f aca="false">COUNTIFS(결제내역!$A$3:$A$1002,"&gt;="&amp;DATE($B$3,6,1),결제내역!$A$3:$A$1002,"&lt;="&amp;EOMONTH(DATE($B$3,6,1),0))</f>
        <v>0</v>
      </c>
      <c r="C11" s="23" t="n">
        <f aca="false">SUMIFS(결제내역!$H$3:$H$1002,결제내역!$A$3:$A$1002,"&gt;="&amp;DATE($B$3,6,1),결제내역!$A$3:$A$1002,"&lt;="&amp;EOMONTH(DATE($B$3,6,1),0))</f>
        <v>0</v>
      </c>
      <c r="D11" s="23" t="n">
        <f aca="false">SUMIFS(결제내역!$E$3:$E$1002,결제내역!$A$3:$A$1002,"&gt;="&amp;DATE($B$3,6,1),결제내역!$A$3:$A$1002,"&lt;="&amp;EOMONTH(DATE($B$3,6,1),0))</f>
        <v>0</v>
      </c>
      <c r="E11" s="23" t="n">
        <f aca="false">COUNTIFS(사용내역!$A$3:$A$3002,"&gt;="&amp;DATE($B$3,6,1),사용내역!$A$3:$A$3002,"&lt;="&amp;EOMONTH(DATE($B$3,6,1),0))</f>
        <v>0</v>
      </c>
      <c r="F11" s="23" t="n">
        <f aca="false">SUMIFS(사용내역!$D$3:$D$3002,사용내역!$A$3:$A$3002,"&gt;="&amp;DATE($B$3,6,1),사용내역!$A$3:$A$3002,"&lt;="&amp;EOMONTH(DATE($B$3,6,1),0))</f>
        <v>0</v>
      </c>
    </row>
    <row r="12" customFormat="false" ht="15" hidden="false" customHeight="true" outlineLevel="0" collapsed="false">
      <c r="A12" s="28" t="n">
        <v>7</v>
      </c>
      <c r="B12" s="23" t="n">
        <f aca="false">COUNTIFS(결제내역!$A$3:$A$1002,"&gt;="&amp;DATE($B$3,7,1),결제내역!$A$3:$A$1002,"&lt;="&amp;EOMONTH(DATE($B$3,7,1),0))</f>
        <v>1</v>
      </c>
      <c r="C12" s="23" t="n">
        <f aca="false">SUMIFS(결제내역!$H$3:$H$1002,결제내역!$A$3:$A$1002,"&gt;="&amp;DATE($B$3,7,1),결제내역!$A$3:$A$1002,"&lt;="&amp;EOMONTH(DATE($B$3,7,1),0))</f>
        <v>560000</v>
      </c>
      <c r="D12" s="23" t="n">
        <f aca="false">SUMIFS(결제내역!$E$3:$E$1002,결제내역!$A$3:$A$1002,"&gt;="&amp;DATE($B$3,7,1),결제내역!$A$3:$A$1002,"&lt;="&amp;EOMONTH(DATE($B$3,7,1),0))</f>
        <v>20</v>
      </c>
      <c r="E12" s="23" t="n">
        <f aca="false">COUNTIFS(사용내역!$A$3:$A$3002,"&gt;="&amp;DATE($B$3,7,1),사용내역!$A$3:$A$3002,"&lt;="&amp;EOMONTH(DATE($B$3,7,1),0))</f>
        <v>2</v>
      </c>
      <c r="F12" s="23" t="n">
        <f aca="false">SUMIFS(사용내역!$D$3:$D$3002,사용내역!$A$3:$A$3002,"&gt;="&amp;DATE($B$3,7,1),사용내역!$A$3:$A$3002,"&lt;="&amp;EOMONTH(DATE($B$3,7,1),0))</f>
        <v>2</v>
      </c>
    </row>
    <row r="13" customFormat="false" ht="15" hidden="false" customHeight="true" outlineLevel="0" collapsed="false">
      <c r="A13" s="28" t="n">
        <v>8</v>
      </c>
      <c r="B13" s="23" t="n">
        <f aca="false">COUNTIFS(결제내역!$A$3:$A$1002,"&gt;="&amp;DATE($B$3,8,1),결제내역!$A$3:$A$1002,"&lt;="&amp;EOMONTH(DATE($B$3,8,1),0))</f>
        <v>2</v>
      </c>
      <c r="C13" s="23" t="n">
        <f aca="false">SUMIFS(결제내역!$H$3:$H$1002,결제내역!$A$3:$A$1002,"&gt;="&amp;DATE($B$3,8,1),결제내역!$A$3:$A$1002,"&lt;="&amp;EOMONTH(DATE($B$3,8,1),0))</f>
        <v>1080000</v>
      </c>
      <c r="D13" s="23" t="n">
        <f aca="false">SUMIFS(결제내역!$E$3:$E$1002,결제내역!$A$3:$A$1002,"&gt;="&amp;DATE($B$3,8,1),결제내역!$A$3:$A$1002,"&lt;="&amp;EOMONTH(DATE($B$3,8,1),0))</f>
        <v>40</v>
      </c>
      <c r="E13" s="23" t="n">
        <f aca="false">COUNTIFS(사용내역!$A$3:$A$3002,"&gt;="&amp;DATE($B$3,8,1),사용내역!$A$3:$A$3002,"&lt;="&amp;EOMONTH(DATE($B$3,8,1),0))</f>
        <v>3</v>
      </c>
      <c r="F13" s="23" t="n">
        <f aca="false">SUMIFS(사용내역!$D$3:$D$3002,사용내역!$A$3:$A$3002,"&gt;="&amp;DATE($B$3,8,1),사용내역!$A$3:$A$3002,"&lt;="&amp;EOMONTH(DATE($B$3,8,1),0))</f>
        <v>4</v>
      </c>
    </row>
    <row r="14" customFormat="false" ht="15" hidden="false" customHeight="true" outlineLevel="0" collapsed="false">
      <c r="A14" s="28" t="n">
        <v>9</v>
      </c>
      <c r="B14" s="23" t="n">
        <f aca="false">COUNTIFS(결제내역!$A$3:$A$1002,"&gt;="&amp;DATE($B$3,9,1),결제내역!$A$3:$A$1002,"&lt;="&amp;EOMONTH(DATE($B$3,9,1),0))</f>
        <v>1</v>
      </c>
      <c r="C14" s="23" t="n">
        <f aca="false">SUMIFS(결제내역!$H$3:$H$1002,결제내역!$A$3:$A$1002,"&gt;="&amp;DATE($B$3,9,1),결제내역!$A$3:$A$1002,"&lt;="&amp;EOMONTH(DATE($B$3,9,1),0))</f>
        <v>35000</v>
      </c>
      <c r="D14" s="23" t="n">
        <f aca="false">SUMIFS(결제내역!$E$3:$E$1002,결제내역!$A$3:$A$1002,"&gt;="&amp;DATE($B$3,9,1),결제내역!$A$3:$A$1002,"&lt;="&amp;EOMONTH(DATE($B$3,9,1),0))</f>
        <v>1</v>
      </c>
      <c r="E14" s="23" t="n">
        <f aca="false">COUNTIFS(사용내역!$A$3:$A$3002,"&gt;="&amp;DATE($B$3,9,1),사용내역!$A$3:$A$3002,"&lt;="&amp;EOMONTH(DATE($B$3,9,1),0))</f>
        <v>7</v>
      </c>
      <c r="F14" s="23" t="n">
        <f aca="false">SUMIFS(사용내역!$D$3:$D$3002,사용내역!$A$3:$A$3002,"&gt;="&amp;DATE($B$3,9,1),사용내역!$A$3:$A$3002,"&lt;="&amp;EOMONTH(DATE($B$3,9,1),0))</f>
        <v>7</v>
      </c>
    </row>
    <row r="15" customFormat="false" ht="15" hidden="false" customHeight="true" outlineLevel="0" collapsed="false">
      <c r="A15" s="28" t="n">
        <v>10</v>
      </c>
      <c r="B15" s="23" t="n">
        <f aca="false">COUNTIFS(결제내역!$A$3:$A$1002,"&gt;="&amp;DATE($B$3,10,1),결제내역!$A$3:$A$1002,"&lt;="&amp;EOMONTH(DATE($B$3,10,1),0))</f>
        <v>0</v>
      </c>
      <c r="C15" s="23" t="n">
        <f aca="false">SUMIFS(결제내역!$H$3:$H$1002,결제내역!$A$3:$A$1002,"&gt;="&amp;DATE($B$3,10,1),결제내역!$A$3:$A$1002,"&lt;="&amp;EOMONTH(DATE($B$3,10,1),0))</f>
        <v>0</v>
      </c>
      <c r="D15" s="23" t="n">
        <f aca="false">SUMIFS(결제내역!$E$3:$E$1002,결제내역!$A$3:$A$1002,"&gt;="&amp;DATE($B$3,10,1),결제내역!$A$3:$A$1002,"&lt;="&amp;EOMONTH(DATE($B$3,10,1),0))</f>
        <v>0</v>
      </c>
      <c r="E15" s="23" t="n">
        <f aca="false">COUNTIFS(사용내역!$A$3:$A$3002,"&gt;="&amp;DATE($B$3,10,1),사용내역!$A$3:$A$3002,"&lt;="&amp;EOMONTH(DATE($B$3,10,1),0))</f>
        <v>0</v>
      </c>
      <c r="F15" s="23" t="n">
        <f aca="false">SUMIFS(사용내역!$D$3:$D$3002,사용내역!$A$3:$A$3002,"&gt;="&amp;DATE($B$3,10,1),사용내역!$A$3:$A$3002,"&lt;="&amp;EOMONTH(DATE($B$3,10,1),0))</f>
        <v>0</v>
      </c>
    </row>
    <row r="16" customFormat="false" ht="15" hidden="false" customHeight="true" outlineLevel="0" collapsed="false">
      <c r="A16" s="28" t="n">
        <v>11</v>
      </c>
      <c r="B16" s="23" t="n">
        <f aca="false">COUNTIFS(결제내역!$A$3:$A$1002,"&gt;="&amp;DATE($B$3,11,1),결제내역!$A$3:$A$1002,"&lt;="&amp;EOMONTH(DATE($B$3,11,1),0))</f>
        <v>0</v>
      </c>
      <c r="C16" s="23" t="n">
        <f aca="false">SUMIFS(결제내역!$H$3:$H$1002,결제내역!$A$3:$A$1002,"&gt;="&amp;DATE($B$3,11,1),결제내역!$A$3:$A$1002,"&lt;="&amp;EOMONTH(DATE($B$3,11,1),0))</f>
        <v>0</v>
      </c>
      <c r="D16" s="23" t="n">
        <f aca="false">SUMIFS(결제내역!$E$3:$E$1002,결제내역!$A$3:$A$1002,"&gt;="&amp;DATE($B$3,11,1),결제내역!$A$3:$A$1002,"&lt;="&amp;EOMONTH(DATE($B$3,11,1),0))</f>
        <v>0</v>
      </c>
      <c r="E16" s="23" t="n">
        <f aca="false">COUNTIFS(사용내역!$A$3:$A$3002,"&gt;="&amp;DATE($B$3,11,1),사용내역!$A$3:$A$3002,"&lt;="&amp;EOMONTH(DATE($B$3,11,1),0))</f>
        <v>0</v>
      </c>
      <c r="F16" s="23" t="n">
        <f aca="false">SUMIFS(사용내역!$D$3:$D$3002,사용내역!$A$3:$A$3002,"&gt;="&amp;DATE($B$3,11,1),사용내역!$A$3:$A$3002,"&lt;="&amp;EOMONTH(DATE($B$3,11,1),0))</f>
        <v>0</v>
      </c>
    </row>
    <row r="17" customFormat="false" ht="15" hidden="false" customHeight="true" outlineLevel="0" collapsed="false">
      <c r="A17" s="28" t="n">
        <v>12</v>
      </c>
      <c r="B17" s="23" t="n">
        <f aca="false">COUNTIFS(결제내역!$A$3:$A$1002,"&gt;="&amp;DATE($B$3,12,1),결제내역!$A$3:$A$1002,"&lt;="&amp;EOMONTH(DATE($B$3,12,1),0))</f>
        <v>0</v>
      </c>
      <c r="C17" s="23" t="n">
        <f aca="false">SUMIFS(결제내역!$H$3:$H$1002,결제내역!$A$3:$A$1002,"&gt;="&amp;DATE($B$3,12,1),결제내역!$A$3:$A$1002,"&lt;="&amp;EOMONTH(DATE($B$3,12,1),0))</f>
        <v>0</v>
      </c>
      <c r="D17" s="23" t="n">
        <f aca="false">SUMIFS(결제내역!$E$3:$E$1002,결제내역!$A$3:$A$1002,"&gt;="&amp;DATE($B$3,12,1),결제내역!$A$3:$A$1002,"&lt;="&amp;EOMONTH(DATE($B$3,12,1),0))</f>
        <v>0</v>
      </c>
      <c r="E17" s="23" t="n">
        <f aca="false">COUNTIFS(사용내역!$A$3:$A$3002,"&gt;="&amp;DATE($B$3,12,1),사용내역!$A$3:$A$3002,"&lt;="&amp;EOMONTH(DATE($B$3,12,1),0))</f>
        <v>0</v>
      </c>
      <c r="F17" s="23" t="n">
        <f aca="false">SUMIFS(사용내역!$D$3:$D$3002,사용내역!$A$3:$A$3002,"&gt;="&amp;DATE($B$3,12,1),사용내역!$A$3:$A$3002,"&lt;="&amp;EOMONTH(DATE($B$3,12,1),0))</f>
        <v>0</v>
      </c>
    </row>
    <row r="18" customFormat="false" ht="15" hidden="false" customHeight="true" outlineLevel="0" collapsed="false">
      <c r="A18" s="31" t="s">
        <v>80</v>
      </c>
      <c r="B18" s="32" t="n">
        <f aca="false">SUM(B6:B17)</f>
        <v>4</v>
      </c>
      <c r="C18" s="32" t="n">
        <f aca="false">SUM(C6:C17)</f>
        <v>1675000</v>
      </c>
      <c r="D18" s="32" t="n">
        <f aca="false">SUM(D6:D17)</f>
        <v>61</v>
      </c>
      <c r="E18" s="32" t="n">
        <f aca="false">SUM(E6:E17)</f>
        <v>12</v>
      </c>
      <c r="F18" s="32" t="n">
        <f aca="false">SUM(F6:F17)</f>
        <v>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2026-09-14T08:36:32Z</dcterms:created>
  <dc:creator>openpyxl</dc:creator>
  <dc:description/>
  <dc:language>en-US</dc:language>
  <cp:lastModifiedBy/>
  <dcterms:modified xsi:type="dcterms:W3CDTF">2026-09-14T08:58:16Z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