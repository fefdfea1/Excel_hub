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기초정보" sheetId="2" state="visible" r:id="rId4"/>
    <sheet name="거래처목록" sheetId="3" state="visible" r:id="rId5"/>
    <sheet name="품목마스터" sheetId="4" state="visible" r:id="rId6"/>
    <sheet name="출고현황" sheetId="5" state="visible" r:id="rId7"/>
    <sheet name="거래명세서" sheetId="6" state="visible" r:id="rId8"/>
    <sheet name="출고증" sheetId="7" state="visible" r:id="rId9"/>
    <sheet name="AS요청서" sheetId="8" state="visible" r:id="rId10"/>
  </sheets>
  <definedNames>
    <definedName function="false" hidden="false" localSheetId="7" name="_xlnm.Print_Area" vbProcedure="false">AS요청서!$A$1:$G$31</definedName>
    <definedName function="false" hidden="false" localSheetId="5" name="_xlnm.Print_Area" vbProcedure="false">거래명세서!$A$1:$G$34</definedName>
    <definedName function="false" hidden="false" localSheetId="6" name="_xlnm.Print_Area" vbProcedure="false">출고증!$A$1:$G$34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<sst xmlns="http://schemas.openxmlformats.org/spreadsheetml/2006/main" count="141" uniqueCount="89">
  <si>
    <t xml:space="preserve">거래처 서류 일괄생성 (거래명세서 · 출고증 · AS요청서)</t>
  </si>
  <si>
    <t xml:space="preserve">핵심</t>
  </si>
  <si>
    <t xml:space="preserve">출고 건을 [출고현황]에 한 번만 입력하면 거래명세서·출고증·AS요청서가 자동으로 만들어집니다.</t>
  </si>
  <si>
    <t xml:space="preserve">입력 규칙</t>
  </si>
  <si>
    <t xml:space="preserve">파란색 글씨 칸만 입력하세요. 검은색은 자동 계산입니다.</t>
  </si>
  <si>
    <t xml:space="preserve">① 기초정보</t>
  </si>
  <si>
    <t xml:space="preserve">우리 회사 정보와 부가세율을 등록합니다.</t>
  </si>
  <si>
    <t xml:space="preserve">② 거래처목록</t>
  </si>
  <si>
    <t xml:space="preserve">거래처명·사업자번호·주소·담당자를 등록합니다.</t>
  </si>
  <si>
    <t xml:space="preserve">③ 품목마스터</t>
  </si>
  <si>
    <t xml:space="preserve">품목명·규격·단위·기본단가를 등록해두면 입력이 빨라집니다.</t>
  </si>
  <si>
    <t xml:space="preserve">④ 출고현황</t>
  </si>
  <si>
    <t xml:space="preserve">출고할 때마다 한 줄씩. 같은 출고번호를 쓰면 한 건으로 묶입니다.</t>
  </si>
  <si>
    <r>
      <rPr>
        <sz val="10"/>
        <rFont val="맑은 고딕"/>
        <family val="0"/>
        <charset val="1"/>
      </rPr>
      <t xml:space="preserve">AS</t>
    </r>
    <r>
      <rPr>
        <sz val="10"/>
        <rFont val="Noto Sans CJK SC"/>
        <family val="2"/>
      </rPr>
      <t xml:space="preserve">여부에 </t>
    </r>
    <r>
      <rPr>
        <sz val="10"/>
        <rFont val="맑은 고딕"/>
        <family val="0"/>
        <charset val="1"/>
      </rPr>
      <t xml:space="preserve">'Y'</t>
    </r>
    <r>
      <rPr>
        <sz val="10"/>
        <rFont val="Noto Sans CJK SC"/>
        <family val="2"/>
      </rPr>
      <t xml:space="preserve">를 넣으면 그 항목만 </t>
    </r>
    <r>
      <rPr>
        <sz val="10"/>
        <rFont val="맑은 고딕"/>
        <family val="0"/>
        <charset val="1"/>
      </rPr>
      <t xml:space="preserve">AS</t>
    </r>
    <r>
      <rPr>
        <sz val="10"/>
        <rFont val="Noto Sans CJK SC"/>
        <family val="2"/>
      </rPr>
      <t xml:space="preserve">요청서에 나타납니다</t>
    </r>
    <r>
      <rPr>
        <sz val="10"/>
        <rFont val="맑은 고딕"/>
        <family val="0"/>
        <charset val="1"/>
      </rPr>
      <t xml:space="preserve">.</t>
    </r>
  </si>
  <si>
    <t xml:space="preserve">⑤ 거래명세서 / 출고증 / AS요청서</t>
  </si>
  <si>
    <t xml:space="preserve">출고번호만 고르면 해당 건이 자동으로 채워집니다.</t>
  </si>
  <si>
    <t xml:space="preserve">출고번호 규칙</t>
  </si>
  <si>
    <t xml:space="preserve">예: 2026-0001 처럼 자유롭게 쓰되, 한 건의 출고에는 같은 번호를 쓰세요.</t>
  </si>
  <si>
    <t xml:space="preserve">※ 서식 한 장당 최대 항목 수는 18개입니다.</t>
  </si>
  <si>
    <t xml:space="preserve">기초정보  (파란색 칸에 입력)</t>
  </si>
  <si>
    <t xml:space="preserve">상호</t>
  </si>
  <si>
    <t xml:space="preserve">○○산업</t>
  </si>
  <si>
    <t xml:space="preserve">사업자등록번호</t>
  </si>
  <si>
    <t xml:space="preserve">000-00-00000</t>
  </si>
  <si>
    <t xml:space="preserve">대표자</t>
  </si>
  <si>
    <t xml:space="preserve">홍길동</t>
  </si>
  <si>
    <t xml:space="preserve">주소</t>
  </si>
  <si>
    <t xml:space="preserve">경기도 ○○시 ○○로 00</t>
  </si>
  <si>
    <t xml:space="preserve">전화</t>
  </si>
  <si>
    <t xml:space="preserve">031-000-0000</t>
  </si>
  <si>
    <t xml:space="preserve">팩스</t>
  </si>
  <si>
    <t xml:space="preserve">031-000-0001</t>
  </si>
  <si>
    <t xml:space="preserve">담당자</t>
  </si>
  <si>
    <t xml:space="preserve">김담당</t>
  </si>
  <si>
    <t xml:space="preserve">부가세율</t>
  </si>
  <si>
    <t xml:space="preserve">※ 예시값입니다. 실제 회사 정보로 바꿔주세요.</t>
  </si>
  <si>
    <t xml:space="preserve">거래처목록</t>
  </si>
  <si>
    <t xml:space="preserve">거래처명</t>
  </si>
  <si>
    <t xml:space="preserve">사업자번호</t>
  </si>
  <si>
    <t xml:space="preserve">연락처</t>
  </si>
  <si>
    <t xml:space="preserve">○○전자</t>
  </si>
  <si>
    <t xml:space="preserve">111-11-11111</t>
  </si>
  <si>
    <t xml:space="preserve">이대표</t>
  </si>
  <si>
    <t xml:space="preserve">서울시 ○○구</t>
  </si>
  <si>
    <t xml:space="preserve">박과장</t>
  </si>
  <si>
    <t xml:space="preserve">010-0000-0000</t>
  </si>
  <si>
    <t xml:space="preserve">품목마스터</t>
  </si>
  <si>
    <t xml:space="preserve">품목명</t>
  </si>
  <si>
    <t xml:space="preserve">규격</t>
  </si>
  <si>
    <t xml:space="preserve">단위</t>
  </si>
  <si>
    <t xml:space="preserve">기본단가</t>
  </si>
  <si>
    <t xml:space="preserve">비고</t>
  </si>
  <si>
    <t xml:space="preserve">제어반 ASSY</t>
  </si>
  <si>
    <t xml:space="preserve">CP-200</t>
  </si>
  <si>
    <t xml:space="preserve">EA</t>
  </si>
  <si>
    <t xml:space="preserve">센서 모듈</t>
  </si>
  <si>
    <t xml:space="preserve">SM-15</t>
  </si>
  <si>
    <t xml:space="preserve">케이블 하네스</t>
  </si>
  <si>
    <t xml:space="preserve">2M</t>
  </si>
  <si>
    <t xml:space="preserve">SET</t>
  </si>
  <si>
    <t xml:space="preserve">출고현황  (출고번호·출고일·거래처·품목·수량만 입력 / 나머지 자동)</t>
  </si>
  <si>
    <t xml:space="preserve">출고번호</t>
  </si>
  <si>
    <t xml:space="preserve">출고일</t>
  </si>
  <si>
    <t xml:space="preserve">규격(자동)</t>
  </si>
  <si>
    <t xml:space="preserve">단위(자동)</t>
  </si>
  <si>
    <t xml:space="preserve">단가</t>
  </si>
  <si>
    <t xml:space="preserve">수량</t>
  </si>
  <si>
    <t xml:space="preserve">공급가액(자동)</t>
  </si>
  <si>
    <r>
      <rPr>
        <b val="true"/>
        <sz val="10"/>
        <color rgb="FFFFFFFF"/>
        <rFont val="맑은 고딕"/>
        <family val="0"/>
        <charset val="1"/>
      </rPr>
      <t xml:space="preserve">AS</t>
    </r>
    <r>
      <rPr>
        <b val="true"/>
        <sz val="10"/>
        <color rgb="FFFFFFFF"/>
        <rFont val="Noto Sans CJK SC"/>
        <family val="2"/>
      </rPr>
      <t xml:space="preserve">여부</t>
    </r>
    <r>
      <rPr>
        <b val="true"/>
        <sz val="10"/>
        <color rgb="FFFFFFFF"/>
        <rFont val="맑은 고딕"/>
        <family val="0"/>
        <charset val="1"/>
      </rPr>
      <t xml:space="preserve">(Y)</t>
    </r>
  </si>
  <si>
    <r>
      <rPr>
        <b val="true"/>
        <sz val="10"/>
        <color rgb="FFFFFFFF"/>
        <rFont val="맑은 고딕"/>
        <family val="0"/>
        <charset val="1"/>
      </rPr>
      <t xml:space="preserve">AS</t>
    </r>
    <r>
      <rPr>
        <b val="true"/>
        <sz val="10"/>
        <color rgb="FFFFFFFF"/>
        <rFont val="Noto Sans CJK SC"/>
        <family val="2"/>
      </rPr>
      <t xml:space="preserve">사유</t>
    </r>
  </si>
  <si>
    <t xml:space="preserve">순번(자동)</t>
  </si>
  <si>
    <t xml:space="preserve">조회키(자동)</t>
  </si>
  <si>
    <r>
      <rPr>
        <b val="true"/>
        <sz val="10"/>
        <color rgb="FFFFFFFF"/>
        <rFont val="맑은 고딕"/>
        <family val="0"/>
        <charset val="1"/>
      </rPr>
      <t xml:space="preserve">AS</t>
    </r>
    <r>
      <rPr>
        <b val="true"/>
        <sz val="10"/>
        <color rgb="FFFFFFFF"/>
        <rFont val="Noto Sans CJK SC"/>
        <family val="2"/>
      </rPr>
      <t xml:space="preserve">키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</si>
  <si>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거 래 명 세 서</t>
  </si>
  <si>
    <t xml:space="preserve">2026-0001</t>
  </si>
  <si>
    <t xml:space="preserve">※ 위의 [출고번호]만 바꾸면 아래 내용이 전부 자동으로 바뀝니다.</t>
  </si>
  <si>
    <t xml:space="preserve">거래처</t>
  </si>
  <si>
    <t xml:space="preserve">No</t>
  </si>
  <si>
    <t xml:space="preserve">품 목</t>
  </si>
  <si>
    <t xml:space="preserve">규 격</t>
  </si>
  <si>
    <t xml:space="preserve">공급가액</t>
  </si>
  <si>
    <t xml:space="preserve">공 급 가 액</t>
  </si>
  <si>
    <t xml:space="preserve">부 가 세</t>
  </si>
  <si>
    <t xml:space="preserve">합 계 금 액</t>
  </si>
  <si>
    <t xml:space="preserve">※ 항목이 18개를 넘으면 표시되지 않습니다.</t>
  </si>
  <si>
    <t xml:space="preserve">출  고  증</t>
  </si>
  <si>
    <t xml:space="preserve">금액</t>
  </si>
  <si>
    <r>
      <rPr>
        <b val="true"/>
        <sz val="20"/>
        <rFont val="맑은 고딕"/>
        <family val="0"/>
        <charset val="1"/>
      </rPr>
      <t xml:space="preserve">A S  </t>
    </r>
    <r>
      <rPr>
        <b val="true"/>
        <sz val="20"/>
        <rFont val="Noto Sans CJK SC"/>
        <family val="2"/>
      </rPr>
      <t xml:space="preserve">요 청 서</t>
    </r>
  </si>
  <si>
    <r>
      <rPr>
        <b val="true"/>
        <sz val="10"/>
        <color rgb="FFFFFFFF"/>
        <rFont val="맑은 고딕"/>
        <family val="0"/>
        <charset val="1"/>
      </rPr>
      <t xml:space="preserve">AS </t>
    </r>
    <r>
      <rPr>
        <b val="true"/>
        <sz val="10"/>
        <color rgb="FFFFFFFF"/>
        <rFont val="Noto Sans CJK SC"/>
        <family val="2"/>
      </rPr>
      <t xml:space="preserve">사유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</si>
</sst>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yyyy\-mm\-dd"/>
    <numFmt numFmtId="168" formatCode="#,##0.##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0"/>
      <charset val="1"/>
    </font>
    <font>
      <sz val="10"/>
      <name val="Noto Sans CJK SC"/>
      <family val="2"/>
    </font>
    <font>
      <sz val="9"/>
      <color rgb="FF808080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20"/>
      <name val="Noto Sans CJK SC"/>
      <family val="2"/>
      <charset val="1"/>
    </font>
    <font>
      <b val="true"/>
      <sz val="11"/>
      <name val="맑은 고딕"/>
      <family val="0"/>
      <charset val="1"/>
    </font>
    <font>
      <b val="true"/>
      <sz val="11"/>
      <name val="Noto Sans CJK SC"/>
      <family val="2"/>
      <charset val="1"/>
    </font>
    <font>
      <b val="true"/>
      <sz val="20"/>
      <name val="맑은 고딕"/>
      <family val="0"/>
      <charset val="1"/>
    </font>
    <font>
      <b val="true"/>
      <sz val="2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2F2F2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/>
      <c r="C10" s="5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5" customFormat="false" ht="15" hidden="false" customHeight="true" outlineLevel="0" collapsed="false">
      <c r="B15" s="6" t="s">
        <v>18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44"/>
  </cols>
  <sheetData>
    <row r="2" customFormat="false" ht="25.5" hidden="false" customHeight="true" outlineLevel="0" collapsed="false">
      <c r="B2" s="2" t="s">
        <v>19</v>
      </c>
      <c r="C2" s="2"/>
    </row>
    <row r="4" customFormat="false" ht="15" hidden="false" customHeight="true" outlineLevel="0" collapsed="false">
      <c r="B4" s="3" t="s">
        <v>20</v>
      </c>
      <c r="C4" s="7" t="s">
        <v>21</v>
      </c>
    </row>
    <row r="5" customFormat="false" ht="15" hidden="false" customHeight="true" outlineLevel="0" collapsed="false">
      <c r="B5" s="3" t="s">
        <v>22</v>
      </c>
      <c r="C5" s="8" t="s">
        <v>23</v>
      </c>
    </row>
    <row r="6" customFormat="false" ht="15" hidden="false" customHeight="true" outlineLevel="0" collapsed="false">
      <c r="B6" s="3" t="s">
        <v>24</v>
      </c>
      <c r="C6" s="7" t="s">
        <v>25</v>
      </c>
    </row>
    <row r="7" customFormat="false" ht="15" hidden="false" customHeight="true" outlineLevel="0" collapsed="false">
      <c r="B7" s="3" t="s">
        <v>26</v>
      </c>
      <c r="C7" s="7" t="s">
        <v>27</v>
      </c>
    </row>
    <row r="8" customFormat="false" ht="15" hidden="false" customHeight="true" outlineLevel="0" collapsed="false">
      <c r="B8" s="3" t="s">
        <v>28</v>
      </c>
      <c r="C8" s="8" t="s">
        <v>29</v>
      </c>
    </row>
    <row r="9" customFormat="false" ht="15" hidden="false" customHeight="true" outlineLevel="0" collapsed="false">
      <c r="B9" s="3" t="s">
        <v>30</v>
      </c>
      <c r="C9" s="8" t="s">
        <v>31</v>
      </c>
    </row>
    <row r="10" customFormat="false" ht="15" hidden="false" customHeight="true" outlineLevel="0" collapsed="false">
      <c r="B10" s="3" t="s">
        <v>32</v>
      </c>
      <c r="C10" s="7" t="s">
        <v>33</v>
      </c>
    </row>
    <row r="11" customFormat="false" ht="15" hidden="false" customHeight="true" outlineLevel="0" collapsed="false">
      <c r="B11" s="3" t="s">
        <v>34</v>
      </c>
      <c r="C11" s="9" t="n">
        <v>0.1</v>
      </c>
    </row>
    <row r="13" customFormat="false" ht="15" hidden="false" customHeight="true" outlineLevel="0" collapsed="false">
      <c r="B13" s="6" t="s">
        <v>35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34"/>
    <col collapsed="false" customWidth="true" hidden="false" outlineLevel="0" max="5" min="5" style="1" width="12"/>
    <col collapsed="false" customWidth="true" hidden="false" outlineLevel="0" max="6" min="6" style="1" width="16"/>
  </cols>
  <sheetData>
    <row r="1" customFormat="false" ht="25.5" hidden="false" customHeight="true" outlineLevel="0" collapsed="false">
      <c r="A1" s="2" t="s">
        <v>36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0" t="s">
        <v>37</v>
      </c>
      <c r="B2" s="10" t="s">
        <v>38</v>
      </c>
      <c r="C2" s="10" t="s">
        <v>24</v>
      </c>
      <c r="D2" s="10" t="s">
        <v>26</v>
      </c>
      <c r="E2" s="10" t="s">
        <v>32</v>
      </c>
      <c r="F2" s="10" t="s">
        <v>39</v>
      </c>
    </row>
    <row r="3" customFormat="false" ht="15" hidden="false" customHeight="true" outlineLevel="0" collapsed="false">
      <c r="A3" s="11" t="s">
        <v>40</v>
      </c>
      <c r="B3" s="12" t="s">
        <v>41</v>
      </c>
      <c r="C3" s="11" t="s">
        <v>42</v>
      </c>
      <c r="D3" s="11" t="s">
        <v>43</v>
      </c>
      <c r="E3" s="11" t="s">
        <v>44</v>
      </c>
      <c r="F3" s="12" t="s">
        <v>45</v>
      </c>
    </row>
    <row r="4" customFormat="false" ht="15" hidden="false" customHeight="true" outlineLevel="0" collapsed="false">
      <c r="A4" s="11"/>
      <c r="B4" s="11"/>
      <c r="C4" s="11"/>
      <c r="D4" s="11"/>
      <c r="E4" s="11"/>
      <c r="F4" s="11"/>
    </row>
    <row r="5" customFormat="false" ht="15" hidden="false" customHeight="true" outlineLevel="0" collapsed="false">
      <c r="A5" s="11"/>
      <c r="B5" s="11"/>
      <c r="C5" s="11"/>
      <c r="D5" s="11"/>
      <c r="E5" s="11"/>
      <c r="F5" s="11"/>
    </row>
    <row r="6" customFormat="false" ht="15" hidden="false" customHeight="true" outlineLevel="0" collapsed="false">
      <c r="A6" s="11"/>
      <c r="B6" s="11"/>
      <c r="C6" s="11"/>
      <c r="D6" s="11"/>
      <c r="E6" s="11"/>
      <c r="F6" s="11"/>
    </row>
    <row r="7" customFormat="false" ht="15" hidden="false" customHeight="true" outlineLevel="0" collapsed="false">
      <c r="A7" s="11"/>
      <c r="B7" s="11"/>
      <c r="C7" s="11"/>
      <c r="D7" s="11"/>
      <c r="E7" s="11"/>
      <c r="F7" s="11"/>
    </row>
    <row r="8" customFormat="false" ht="15" hidden="false" customHeight="true" outlineLevel="0" collapsed="false">
      <c r="A8" s="11"/>
      <c r="B8" s="11"/>
      <c r="C8" s="11"/>
      <c r="D8" s="11"/>
      <c r="E8" s="11"/>
      <c r="F8" s="11"/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</row>
    <row r="43" customFormat="false" ht="15" hidden="false" customHeight="true" outlineLevel="0" collapsed="false">
      <c r="A43" s="11"/>
      <c r="B43" s="11"/>
      <c r="C43" s="11"/>
      <c r="D43" s="11"/>
      <c r="E43" s="11"/>
      <c r="F43" s="11"/>
    </row>
    <row r="44" customFormat="false" ht="15" hidden="false" customHeight="true" outlineLevel="0" collapsed="false">
      <c r="A44" s="11"/>
      <c r="B44" s="11"/>
      <c r="C44" s="11"/>
      <c r="D44" s="11"/>
      <c r="E44" s="11"/>
      <c r="F44" s="11"/>
    </row>
    <row r="45" customFormat="false" ht="15" hidden="false" customHeight="true" outlineLevel="0" collapsed="false">
      <c r="A45" s="11"/>
      <c r="B45" s="11"/>
      <c r="C45" s="11"/>
      <c r="D45" s="11"/>
      <c r="E45" s="11"/>
      <c r="F45" s="11"/>
    </row>
    <row r="46" customFormat="false" ht="15" hidden="false" customHeight="true" outlineLevel="0" collapsed="false">
      <c r="A46" s="11"/>
      <c r="B46" s="11"/>
      <c r="C46" s="11"/>
      <c r="D46" s="11"/>
      <c r="E46" s="11"/>
      <c r="F46" s="11"/>
    </row>
    <row r="47" customFormat="false" ht="15" hidden="false" customHeight="true" outlineLevel="0" collapsed="false">
      <c r="A47" s="11"/>
      <c r="B47" s="11"/>
      <c r="C47" s="11"/>
      <c r="D47" s="11"/>
      <c r="E47" s="11"/>
      <c r="F47" s="11"/>
    </row>
    <row r="48" customFormat="false" ht="15" hidden="false" customHeight="true" outlineLevel="0" collapsed="false">
      <c r="A48" s="11"/>
      <c r="B48" s="11"/>
      <c r="C48" s="11"/>
      <c r="D48" s="11"/>
      <c r="E48" s="11"/>
      <c r="F48" s="11"/>
    </row>
    <row r="49" customFormat="false" ht="15" hidden="false" customHeight="true" outlineLevel="0" collapsed="false">
      <c r="A49" s="11"/>
      <c r="B49" s="11"/>
      <c r="C49" s="11"/>
      <c r="D49" s="11"/>
      <c r="E49" s="11"/>
      <c r="F49" s="11"/>
    </row>
    <row r="50" customFormat="false" ht="15" hidden="false" customHeight="true" outlineLevel="0" collapsed="false">
      <c r="A50" s="11"/>
      <c r="B50" s="11"/>
      <c r="C50" s="11"/>
      <c r="D50" s="11"/>
      <c r="E50" s="11"/>
      <c r="F50" s="11"/>
    </row>
    <row r="51" customFormat="false" ht="15" hidden="false" customHeight="true" outlineLevel="0" collapsed="false">
      <c r="A51" s="11"/>
      <c r="B51" s="11"/>
      <c r="C51" s="11"/>
      <c r="D51" s="11"/>
      <c r="E51" s="11"/>
      <c r="F51" s="11"/>
    </row>
    <row r="52" customFormat="false" ht="15" hidden="false" customHeight="true" outlineLevel="0" collapsed="false">
      <c r="A52" s="11"/>
      <c r="B52" s="11"/>
      <c r="C52" s="11"/>
      <c r="D52" s="11"/>
      <c r="E52" s="11"/>
      <c r="F52" s="11"/>
    </row>
    <row r="53" customFormat="false" ht="15" hidden="false" customHeight="true" outlineLevel="0" collapsed="false">
      <c r="A53" s="11"/>
      <c r="B53" s="11"/>
      <c r="C53" s="11"/>
      <c r="D53" s="11"/>
      <c r="E53" s="11"/>
      <c r="F53" s="11"/>
    </row>
    <row r="54" customFormat="false" ht="15" hidden="false" customHeight="true" outlineLevel="0" collapsed="false">
      <c r="A54" s="11"/>
      <c r="B54" s="11"/>
      <c r="C54" s="11"/>
      <c r="D54" s="11"/>
      <c r="E54" s="11"/>
      <c r="F54" s="11"/>
    </row>
    <row r="55" customFormat="false" ht="15" hidden="false" customHeight="true" outlineLevel="0" collapsed="false">
      <c r="A55" s="11"/>
      <c r="B55" s="11"/>
      <c r="C55" s="11"/>
      <c r="D55" s="11"/>
      <c r="E55" s="11"/>
      <c r="F55" s="11"/>
    </row>
    <row r="56" customFormat="false" ht="15" hidden="false" customHeight="true" outlineLevel="0" collapsed="false">
      <c r="A56" s="11"/>
      <c r="B56" s="11"/>
      <c r="C56" s="11"/>
      <c r="D56" s="11"/>
      <c r="E56" s="11"/>
      <c r="F56" s="11"/>
    </row>
    <row r="57" customFormat="false" ht="15" hidden="false" customHeight="true" outlineLevel="0" collapsed="false">
      <c r="A57" s="11"/>
      <c r="B57" s="11"/>
      <c r="C57" s="11"/>
      <c r="D57" s="11"/>
      <c r="E57" s="11"/>
      <c r="F57" s="11"/>
    </row>
    <row r="58" customFormat="false" ht="15" hidden="false" customHeight="true" outlineLevel="0" collapsed="false">
      <c r="A58" s="11"/>
      <c r="B58" s="11"/>
      <c r="C58" s="11"/>
      <c r="D58" s="11"/>
      <c r="E58" s="11"/>
      <c r="F58" s="11"/>
    </row>
    <row r="59" customFormat="false" ht="15" hidden="false" customHeight="true" outlineLevel="0" collapsed="false">
      <c r="A59" s="11"/>
      <c r="B59" s="11"/>
      <c r="C59" s="11"/>
      <c r="D59" s="11"/>
      <c r="E59" s="11"/>
      <c r="F59" s="11"/>
    </row>
    <row r="60" customFormat="false" ht="15" hidden="false" customHeight="true" outlineLevel="0" collapsed="false">
      <c r="A60" s="11"/>
      <c r="B60" s="11"/>
      <c r="C60" s="11"/>
      <c r="D60" s="11"/>
      <c r="E60" s="11"/>
      <c r="F60" s="11"/>
    </row>
    <row r="61" customFormat="false" ht="15" hidden="false" customHeight="true" outlineLevel="0" collapsed="false">
      <c r="A61" s="11"/>
      <c r="B61" s="11"/>
      <c r="C61" s="11"/>
      <c r="D61" s="11"/>
      <c r="E61" s="11"/>
      <c r="F61" s="11"/>
    </row>
    <row r="62" customFormat="false" ht="15" hidden="false" customHeight="true" outlineLevel="0" collapsed="false">
      <c r="A62" s="11"/>
      <c r="B62" s="11"/>
      <c r="C62" s="11"/>
      <c r="D62" s="11"/>
      <c r="E62" s="11"/>
      <c r="F62" s="11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22"/>
  </cols>
  <sheetData>
    <row r="1" customFormat="false" ht="25.5" hidden="false" customHeight="true" outlineLevel="0" collapsed="false">
      <c r="A1" s="2" t="s">
        <v>46</v>
      </c>
      <c r="B1" s="2"/>
      <c r="C1" s="2"/>
      <c r="D1" s="2"/>
      <c r="E1" s="2"/>
    </row>
    <row r="2" customFormat="false" ht="15" hidden="false" customHeight="true" outlineLevel="0" collapsed="false">
      <c r="A2" s="10" t="s">
        <v>47</v>
      </c>
      <c r="B2" s="10" t="s">
        <v>48</v>
      </c>
      <c r="C2" s="10" t="s">
        <v>49</v>
      </c>
      <c r="D2" s="10" t="s">
        <v>50</v>
      </c>
      <c r="E2" s="10" t="s">
        <v>51</v>
      </c>
    </row>
    <row r="3" customFormat="false" ht="15" hidden="false" customHeight="true" outlineLevel="0" collapsed="false">
      <c r="A3" s="11" t="s">
        <v>52</v>
      </c>
      <c r="B3" s="12" t="s">
        <v>53</v>
      </c>
      <c r="C3" s="12" t="s">
        <v>54</v>
      </c>
      <c r="D3" s="13" t="n">
        <v>320000</v>
      </c>
      <c r="E3" s="11"/>
    </row>
    <row r="4" customFormat="false" ht="15" hidden="false" customHeight="true" outlineLevel="0" collapsed="false">
      <c r="A4" s="11" t="s">
        <v>55</v>
      </c>
      <c r="B4" s="12" t="s">
        <v>56</v>
      </c>
      <c r="C4" s="12" t="s">
        <v>54</v>
      </c>
      <c r="D4" s="13" t="n">
        <v>45000</v>
      </c>
      <c r="E4" s="11"/>
    </row>
    <row r="5" customFormat="false" ht="15" hidden="false" customHeight="true" outlineLevel="0" collapsed="false">
      <c r="A5" s="11" t="s">
        <v>57</v>
      </c>
      <c r="B5" s="12" t="s">
        <v>58</v>
      </c>
      <c r="C5" s="12" t="s">
        <v>59</v>
      </c>
      <c r="D5" s="13" t="n">
        <v>28000</v>
      </c>
      <c r="E5" s="11"/>
    </row>
    <row r="6" customFormat="false" ht="15" hidden="false" customHeight="true" outlineLevel="0" collapsed="false">
      <c r="A6" s="11"/>
      <c r="B6" s="11"/>
      <c r="C6" s="11"/>
      <c r="D6" s="13"/>
      <c r="E6" s="11"/>
    </row>
    <row r="7" customFormat="false" ht="15" hidden="false" customHeight="true" outlineLevel="0" collapsed="false">
      <c r="A7" s="11"/>
      <c r="B7" s="11"/>
      <c r="C7" s="11"/>
      <c r="D7" s="13"/>
      <c r="E7" s="11"/>
    </row>
    <row r="8" customFormat="false" ht="15" hidden="false" customHeight="true" outlineLevel="0" collapsed="false">
      <c r="A8" s="11"/>
      <c r="B8" s="11"/>
      <c r="C8" s="11"/>
      <c r="D8" s="13"/>
      <c r="E8" s="11"/>
    </row>
    <row r="9" customFormat="false" ht="15" hidden="false" customHeight="true" outlineLevel="0" collapsed="false">
      <c r="A9" s="11"/>
      <c r="B9" s="11"/>
      <c r="C9" s="11"/>
      <c r="D9" s="13"/>
      <c r="E9" s="11"/>
    </row>
    <row r="10" customFormat="false" ht="15" hidden="false" customHeight="true" outlineLevel="0" collapsed="false">
      <c r="A10" s="11"/>
      <c r="B10" s="11"/>
      <c r="C10" s="11"/>
      <c r="D10" s="13"/>
      <c r="E10" s="11"/>
    </row>
    <row r="11" customFormat="false" ht="15" hidden="false" customHeight="true" outlineLevel="0" collapsed="false">
      <c r="A11" s="11"/>
      <c r="B11" s="11"/>
      <c r="C11" s="11"/>
      <c r="D11" s="13"/>
      <c r="E11" s="11"/>
    </row>
    <row r="12" customFormat="false" ht="15" hidden="false" customHeight="true" outlineLevel="0" collapsed="false">
      <c r="A12" s="11"/>
      <c r="B12" s="11"/>
      <c r="C12" s="11"/>
      <c r="D12" s="13"/>
      <c r="E12" s="11"/>
    </row>
    <row r="13" customFormat="false" ht="15" hidden="false" customHeight="true" outlineLevel="0" collapsed="false">
      <c r="A13" s="11"/>
      <c r="B13" s="11"/>
      <c r="C13" s="11"/>
      <c r="D13" s="13"/>
      <c r="E13" s="11"/>
    </row>
    <row r="14" customFormat="false" ht="15" hidden="false" customHeight="true" outlineLevel="0" collapsed="false">
      <c r="A14" s="11"/>
      <c r="B14" s="11"/>
      <c r="C14" s="11"/>
      <c r="D14" s="13"/>
      <c r="E14" s="11"/>
    </row>
    <row r="15" customFormat="false" ht="15" hidden="false" customHeight="true" outlineLevel="0" collapsed="false">
      <c r="A15" s="11"/>
      <c r="B15" s="11"/>
      <c r="C15" s="11"/>
      <c r="D15" s="13"/>
      <c r="E15" s="11"/>
    </row>
    <row r="16" customFormat="false" ht="15" hidden="false" customHeight="true" outlineLevel="0" collapsed="false">
      <c r="A16" s="11"/>
      <c r="B16" s="11"/>
      <c r="C16" s="11"/>
      <c r="D16" s="13"/>
      <c r="E16" s="11"/>
    </row>
    <row r="17" customFormat="false" ht="15" hidden="false" customHeight="true" outlineLevel="0" collapsed="false">
      <c r="A17" s="11"/>
      <c r="B17" s="11"/>
      <c r="C17" s="11"/>
      <c r="D17" s="13"/>
      <c r="E17" s="11"/>
    </row>
    <row r="18" customFormat="false" ht="15" hidden="false" customHeight="true" outlineLevel="0" collapsed="false">
      <c r="A18" s="11"/>
      <c r="B18" s="11"/>
      <c r="C18" s="11"/>
      <c r="D18" s="13"/>
      <c r="E18" s="11"/>
    </row>
    <row r="19" customFormat="false" ht="15" hidden="false" customHeight="true" outlineLevel="0" collapsed="false">
      <c r="A19" s="11"/>
      <c r="B19" s="11"/>
      <c r="C19" s="11"/>
      <c r="D19" s="13"/>
      <c r="E19" s="11"/>
    </row>
    <row r="20" customFormat="false" ht="15" hidden="false" customHeight="true" outlineLevel="0" collapsed="false">
      <c r="A20" s="11"/>
      <c r="B20" s="11"/>
      <c r="C20" s="11"/>
      <c r="D20" s="13"/>
      <c r="E20" s="11"/>
    </row>
    <row r="21" customFormat="false" ht="15" hidden="false" customHeight="true" outlineLevel="0" collapsed="false">
      <c r="A21" s="11"/>
      <c r="B21" s="11"/>
      <c r="C21" s="11"/>
      <c r="D21" s="13"/>
      <c r="E21" s="11"/>
    </row>
    <row r="22" customFormat="false" ht="15" hidden="false" customHeight="true" outlineLevel="0" collapsed="false">
      <c r="A22" s="11"/>
      <c r="B22" s="11"/>
      <c r="C22" s="11"/>
      <c r="D22" s="13"/>
      <c r="E22" s="11"/>
    </row>
    <row r="23" customFormat="false" ht="15" hidden="false" customHeight="true" outlineLevel="0" collapsed="false">
      <c r="A23" s="11"/>
      <c r="B23" s="11"/>
      <c r="C23" s="11"/>
      <c r="D23" s="13"/>
      <c r="E23" s="11"/>
    </row>
    <row r="24" customFormat="false" ht="15" hidden="false" customHeight="true" outlineLevel="0" collapsed="false">
      <c r="A24" s="11"/>
      <c r="B24" s="11"/>
      <c r="C24" s="11"/>
      <c r="D24" s="13"/>
      <c r="E24" s="11"/>
    </row>
    <row r="25" customFormat="false" ht="15" hidden="false" customHeight="true" outlineLevel="0" collapsed="false">
      <c r="A25" s="11"/>
      <c r="B25" s="11"/>
      <c r="C25" s="11"/>
      <c r="D25" s="13"/>
      <c r="E25" s="11"/>
    </row>
    <row r="26" customFormat="false" ht="15" hidden="false" customHeight="true" outlineLevel="0" collapsed="false">
      <c r="A26" s="11"/>
      <c r="B26" s="11"/>
      <c r="C26" s="11"/>
      <c r="D26" s="13"/>
      <c r="E26" s="11"/>
    </row>
    <row r="27" customFormat="false" ht="15" hidden="false" customHeight="true" outlineLevel="0" collapsed="false">
      <c r="A27" s="11"/>
      <c r="B27" s="11"/>
      <c r="C27" s="11"/>
      <c r="D27" s="13"/>
      <c r="E27" s="11"/>
    </row>
    <row r="28" customFormat="false" ht="15" hidden="false" customHeight="true" outlineLevel="0" collapsed="false">
      <c r="A28" s="11"/>
      <c r="B28" s="11"/>
      <c r="C28" s="11"/>
      <c r="D28" s="13"/>
      <c r="E28" s="11"/>
    </row>
    <row r="29" customFormat="false" ht="15" hidden="false" customHeight="true" outlineLevel="0" collapsed="false">
      <c r="A29" s="11"/>
      <c r="B29" s="11"/>
      <c r="C29" s="11"/>
      <c r="D29" s="13"/>
      <c r="E29" s="11"/>
    </row>
    <row r="30" customFormat="false" ht="15" hidden="false" customHeight="true" outlineLevel="0" collapsed="false">
      <c r="A30" s="11"/>
      <c r="B30" s="11"/>
      <c r="C30" s="11"/>
      <c r="D30" s="13"/>
      <c r="E30" s="11"/>
    </row>
    <row r="31" customFormat="false" ht="15" hidden="false" customHeight="true" outlineLevel="0" collapsed="false">
      <c r="A31" s="11"/>
      <c r="B31" s="11"/>
      <c r="C31" s="11"/>
      <c r="D31" s="13"/>
      <c r="E31" s="11"/>
    </row>
    <row r="32" customFormat="false" ht="15" hidden="false" customHeight="true" outlineLevel="0" collapsed="false">
      <c r="A32" s="11"/>
      <c r="B32" s="11"/>
      <c r="C32" s="11"/>
      <c r="D32" s="13"/>
      <c r="E32" s="11"/>
    </row>
    <row r="33" customFormat="false" ht="15" hidden="false" customHeight="true" outlineLevel="0" collapsed="false">
      <c r="A33" s="11"/>
      <c r="B33" s="11"/>
      <c r="C33" s="11"/>
      <c r="D33" s="13"/>
      <c r="E33" s="11"/>
    </row>
    <row r="34" customFormat="false" ht="15" hidden="false" customHeight="true" outlineLevel="0" collapsed="false">
      <c r="A34" s="11"/>
      <c r="B34" s="11"/>
      <c r="C34" s="11"/>
      <c r="D34" s="13"/>
      <c r="E34" s="11"/>
    </row>
    <row r="35" customFormat="false" ht="15" hidden="false" customHeight="true" outlineLevel="0" collapsed="false">
      <c r="A35" s="11"/>
      <c r="B35" s="11"/>
      <c r="C35" s="11"/>
      <c r="D35" s="13"/>
      <c r="E35" s="11"/>
    </row>
    <row r="36" customFormat="false" ht="15" hidden="false" customHeight="true" outlineLevel="0" collapsed="false">
      <c r="A36" s="11"/>
      <c r="B36" s="11"/>
      <c r="C36" s="11"/>
      <c r="D36" s="13"/>
      <c r="E36" s="11"/>
    </row>
    <row r="37" customFormat="false" ht="15" hidden="false" customHeight="true" outlineLevel="0" collapsed="false">
      <c r="A37" s="11"/>
      <c r="B37" s="11"/>
      <c r="C37" s="11"/>
      <c r="D37" s="13"/>
      <c r="E37" s="11"/>
    </row>
    <row r="38" customFormat="false" ht="15" hidden="false" customHeight="true" outlineLevel="0" collapsed="false">
      <c r="A38" s="11"/>
      <c r="B38" s="11"/>
      <c r="C38" s="11"/>
      <c r="D38" s="13"/>
      <c r="E38" s="11"/>
    </row>
    <row r="39" customFormat="false" ht="15" hidden="false" customHeight="true" outlineLevel="0" collapsed="false">
      <c r="A39" s="11"/>
      <c r="B39" s="11"/>
      <c r="C39" s="11"/>
      <c r="D39" s="13"/>
      <c r="E39" s="11"/>
    </row>
    <row r="40" customFormat="false" ht="15" hidden="false" customHeight="true" outlineLevel="0" collapsed="false">
      <c r="A40" s="11"/>
      <c r="B40" s="11"/>
      <c r="C40" s="11"/>
      <c r="D40" s="13"/>
      <c r="E40" s="11"/>
    </row>
    <row r="41" customFormat="false" ht="15" hidden="false" customHeight="true" outlineLevel="0" collapsed="false">
      <c r="A41" s="11"/>
      <c r="B41" s="11"/>
      <c r="C41" s="11"/>
      <c r="D41" s="13"/>
      <c r="E41" s="11"/>
    </row>
    <row r="42" customFormat="false" ht="15" hidden="false" customHeight="true" outlineLevel="0" collapsed="false">
      <c r="A42" s="11"/>
      <c r="B42" s="11"/>
      <c r="C42" s="11"/>
      <c r="D42" s="13"/>
      <c r="E42" s="11"/>
    </row>
    <row r="43" customFormat="false" ht="15" hidden="false" customHeight="true" outlineLevel="0" collapsed="false">
      <c r="A43" s="11"/>
      <c r="B43" s="11"/>
      <c r="C43" s="11"/>
      <c r="D43" s="13"/>
      <c r="E43" s="11"/>
    </row>
    <row r="44" customFormat="false" ht="15" hidden="false" customHeight="true" outlineLevel="0" collapsed="false">
      <c r="A44" s="11"/>
      <c r="B44" s="11"/>
      <c r="C44" s="11"/>
      <c r="D44" s="13"/>
      <c r="E44" s="11"/>
    </row>
    <row r="45" customFormat="false" ht="15" hidden="false" customHeight="true" outlineLevel="0" collapsed="false">
      <c r="A45" s="11"/>
      <c r="B45" s="11"/>
      <c r="C45" s="11"/>
      <c r="D45" s="13"/>
      <c r="E45" s="11"/>
    </row>
    <row r="46" customFormat="false" ht="15" hidden="false" customHeight="true" outlineLevel="0" collapsed="false">
      <c r="A46" s="11"/>
      <c r="B46" s="11"/>
      <c r="C46" s="11"/>
      <c r="D46" s="13"/>
      <c r="E46" s="11"/>
    </row>
    <row r="47" customFormat="false" ht="15" hidden="false" customHeight="true" outlineLevel="0" collapsed="false">
      <c r="A47" s="11"/>
      <c r="B47" s="11"/>
      <c r="C47" s="11"/>
      <c r="D47" s="13"/>
      <c r="E47" s="11"/>
    </row>
    <row r="48" customFormat="false" ht="15" hidden="false" customHeight="true" outlineLevel="0" collapsed="false">
      <c r="A48" s="11"/>
      <c r="B48" s="11"/>
      <c r="C48" s="11"/>
      <c r="D48" s="13"/>
      <c r="E48" s="11"/>
    </row>
    <row r="49" customFormat="false" ht="15" hidden="false" customHeight="true" outlineLevel="0" collapsed="false">
      <c r="A49" s="11"/>
      <c r="B49" s="11"/>
      <c r="C49" s="11"/>
      <c r="D49" s="13"/>
      <c r="E49" s="11"/>
    </row>
    <row r="50" customFormat="false" ht="15" hidden="false" customHeight="true" outlineLevel="0" collapsed="false">
      <c r="A50" s="11"/>
      <c r="B50" s="11"/>
      <c r="C50" s="11"/>
      <c r="D50" s="13"/>
      <c r="E50" s="11"/>
    </row>
    <row r="51" customFormat="false" ht="15" hidden="false" customHeight="true" outlineLevel="0" collapsed="false">
      <c r="A51" s="11"/>
      <c r="B51" s="11"/>
      <c r="C51" s="11"/>
      <c r="D51" s="13"/>
      <c r="E51" s="11"/>
    </row>
    <row r="52" customFormat="false" ht="15" hidden="false" customHeight="true" outlineLevel="0" collapsed="false">
      <c r="A52" s="11"/>
      <c r="B52" s="11"/>
      <c r="C52" s="11"/>
      <c r="D52" s="13"/>
      <c r="E52" s="11"/>
    </row>
    <row r="53" customFormat="false" ht="15" hidden="false" customHeight="true" outlineLevel="0" collapsed="false">
      <c r="A53" s="11"/>
      <c r="B53" s="11"/>
      <c r="C53" s="11"/>
      <c r="D53" s="13"/>
      <c r="E53" s="11"/>
    </row>
    <row r="54" customFormat="false" ht="15" hidden="false" customHeight="true" outlineLevel="0" collapsed="false">
      <c r="A54" s="11"/>
      <c r="B54" s="11"/>
      <c r="C54" s="11"/>
      <c r="D54" s="13"/>
      <c r="E54" s="11"/>
    </row>
    <row r="55" customFormat="false" ht="15" hidden="false" customHeight="true" outlineLevel="0" collapsed="false">
      <c r="A55" s="11"/>
      <c r="B55" s="11"/>
      <c r="C55" s="11"/>
      <c r="D55" s="13"/>
      <c r="E55" s="11"/>
    </row>
    <row r="56" customFormat="false" ht="15" hidden="false" customHeight="true" outlineLevel="0" collapsed="false">
      <c r="A56" s="11"/>
      <c r="B56" s="11"/>
      <c r="C56" s="11"/>
      <c r="D56" s="13"/>
      <c r="E56" s="11"/>
    </row>
    <row r="57" customFormat="false" ht="15" hidden="false" customHeight="true" outlineLevel="0" collapsed="false">
      <c r="A57" s="11"/>
      <c r="B57" s="11"/>
      <c r="C57" s="11"/>
      <c r="D57" s="13"/>
      <c r="E57" s="11"/>
    </row>
    <row r="58" customFormat="false" ht="15" hidden="false" customHeight="true" outlineLevel="0" collapsed="false">
      <c r="A58" s="11"/>
      <c r="B58" s="11"/>
      <c r="C58" s="11"/>
      <c r="D58" s="13"/>
      <c r="E58" s="11"/>
    </row>
    <row r="59" customFormat="false" ht="15" hidden="false" customHeight="true" outlineLevel="0" collapsed="false">
      <c r="A59" s="11"/>
      <c r="B59" s="11"/>
      <c r="C59" s="11"/>
      <c r="D59" s="13"/>
      <c r="E59" s="11"/>
    </row>
    <row r="60" customFormat="false" ht="15" hidden="false" customHeight="true" outlineLevel="0" collapsed="false">
      <c r="A60" s="11"/>
      <c r="B60" s="11"/>
      <c r="C60" s="11"/>
      <c r="D60" s="13"/>
      <c r="E60" s="11"/>
    </row>
    <row r="61" customFormat="false" ht="15" hidden="false" customHeight="true" outlineLevel="0" collapsed="false">
      <c r="A61" s="11"/>
      <c r="B61" s="11"/>
      <c r="C61" s="11"/>
      <c r="D61" s="13"/>
      <c r="E61" s="11"/>
    </row>
    <row r="62" customFormat="false" ht="15" hidden="false" customHeight="true" outlineLevel="0" collapsed="false">
      <c r="A62" s="11"/>
      <c r="B62" s="11"/>
      <c r="C62" s="11"/>
      <c r="D62" s="13"/>
      <c r="E62" s="11"/>
    </row>
    <row r="63" customFormat="false" ht="15" hidden="false" customHeight="true" outlineLevel="0" collapsed="false">
      <c r="A63" s="11"/>
      <c r="B63" s="11"/>
      <c r="C63" s="11"/>
      <c r="D63" s="13"/>
      <c r="E63" s="11"/>
    </row>
    <row r="64" customFormat="false" ht="15" hidden="false" customHeight="true" outlineLevel="0" collapsed="false">
      <c r="A64" s="11"/>
      <c r="B64" s="11"/>
      <c r="C64" s="11"/>
      <c r="D64" s="13"/>
      <c r="E64" s="11"/>
    </row>
    <row r="65" customFormat="false" ht="15" hidden="false" customHeight="true" outlineLevel="0" collapsed="false">
      <c r="A65" s="11"/>
      <c r="B65" s="11"/>
      <c r="C65" s="11"/>
      <c r="D65" s="13"/>
      <c r="E65" s="11"/>
    </row>
    <row r="66" customFormat="false" ht="15" hidden="false" customHeight="true" outlineLevel="0" collapsed="false">
      <c r="A66" s="11"/>
      <c r="B66" s="11"/>
      <c r="C66" s="11"/>
      <c r="D66" s="13"/>
      <c r="E66" s="11"/>
    </row>
    <row r="67" customFormat="false" ht="15" hidden="false" customHeight="true" outlineLevel="0" collapsed="false">
      <c r="A67" s="11"/>
      <c r="B67" s="11"/>
      <c r="C67" s="11"/>
      <c r="D67" s="13"/>
      <c r="E67" s="11"/>
    </row>
    <row r="68" customFormat="false" ht="15" hidden="false" customHeight="true" outlineLevel="0" collapsed="false">
      <c r="A68" s="11"/>
      <c r="B68" s="11"/>
      <c r="C68" s="11"/>
      <c r="D68" s="13"/>
      <c r="E68" s="11"/>
    </row>
    <row r="69" customFormat="false" ht="15" hidden="false" customHeight="true" outlineLevel="0" collapsed="false">
      <c r="A69" s="11"/>
      <c r="B69" s="11"/>
      <c r="C69" s="11"/>
      <c r="D69" s="13"/>
      <c r="E69" s="11"/>
    </row>
    <row r="70" customFormat="false" ht="15" hidden="false" customHeight="true" outlineLevel="0" collapsed="false">
      <c r="A70" s="11"/>
      <c r="B70" s="11"/>
      <c r="C70" s="11"/>
      <c r="D70" s="13"/>
      <c r="E70" s="11"/>
    </row>
    <row r="71" customFormat="false" ht="15" hidden="false" customHeight="true" outlineLevel="0" collapsed="false">
      <c r="A71" s="11"/>
      <c r="B71" s="11"/>
      <c r="C71" s="11"/>
      <c r="D71" s="13"/>
      <c r="E71" s="11"/>
    </row>
    <row r="72" customFormat="false" ht="15" hidden="false" customHeight="true" outlineLevel="0" collapsed="false">
      <c r="A72" s="11"/>
      <c r="B72" s="11"/>
      <c r="C72" s="11"/>
      <c r="D72" s="13"/>
      <c r="E72" s="11"/>
    </row>
    <row r="73" customFormat="false" ht="15" hidden="false" customHeight="true" outlineLevel="0" collapsed="false">
      <c r="A73" s="11"/>
      <c r="B73" s="11"/>
      <c r="C73" s="11"/>
      <c r="D73" s="13"/>
      <c r="E73" s="11"/>
    </row>
    <row r="74" customFormat="false" ht="15" hidden="false" customHeight="true" outlineLevel="0" collapsed="false">
      <c r="A74" s="11"/>
      <c r="B74" s="11"/>
      <c r="C74" s="11"/>
      <c r="D74" s="13"/>
      <c r="E74" s="11"/>
    </row>
    <row r="75" customFormat="false" ht="15" hidden="false" customHeight="true" outlineLevel="0" collapsed="false">
      <c r="A75" s="11"/>
      <c r="B75" s="11"/>
      <c r="C75" s="11"/>
      <c r="D75" s="13"/>
      <c r="E75" s="11"/>
    </row>
    <row r="76" customFormat="false" ht="15" hidden="false" customHeight="true" outlineLevel="0" collapsed="false">
      <c r="A76" s="11"/>
      <c r="B76" s="11"/>
      <c r="C76" s="11"/>
      <c r="D76" s="13"/>
      <c r="E76" s="11"/>
    </row>
    <row r="77" customFormat="false" ht="15" hidden="false" customHeight="true" outlineLevel="0" collapsed="false">
      <c r="A77" s="11"/>
      <c r="B77" s="11"/>
      <c r="C77" s="11"/>
      <c r="D77" s="13"/>
      <c r="E77" s="11"/>
    </row>
    <row r="78" customFormat="false" ht="15" hidden="false" customHeight="true" outlineLevel="0" collapsed="false">
      <c r="A78" s="11"/>
      <c r="B78" s="11"/>
      <c r="C78" s="11"/>
      <c r="D78" s="13"/>
      <c r="E78" s="11"/>
    </row>
    <row r="79" customFormat="false" ht="15" hidden="false" customHeight="true" outlineLevel="0" collapsed="false">
      <c r="A79" s="11"/>
      <c r="B79" s="11"/>
      <c r="C79" s="11"/>
      <c r="D79" s="13"/>
      <c r="E79" s="11"/>
    </row>
    <row r="80" customFormat="false" ht="15" hidden="false" customHeight="true" outlineLevel="0" collapsed="false">
      <c r="A80" s="11"/>
      <c r="B80" s="11"/>
      <c r="C80" s="11"/>
      <c r="D80" s="13"/>
      <c r="E80" s="11"/>
    </row>
    <row r="81" customFormat="false" ht="15" hidden="false" customHeight="true" outlineLevel="0" collapsed="false">
      <c r="A81" s="11"/>
      <c r="B81" s="11"/>
      <c r="C81" s="11"/>
      <c r="D81" s="13"/>
      <c r="E81" s="11"/>
    </row>
    <row r="82" customFormat="false" ht="15" hidden="false" customHeight="true" outlineLevel="0" collapsed="false">
      <c r="A82" s="11"/>
      <c r="B82" s="11"/>
      <c r="C82" s="11"/>
      <c r="D82" s="13"/>
      <c r="E82" s="11"/>
    </row>
    <row r="83" customFormat="false" ht="15" hidden="false" customHeight="true" outlineLevel="0" collapsed="false">
      <c r="A83" s="11"/>
      <c r="B83" s="11"/>
      <c r="C83" s="11"/>
      <c r="D83" s="13"/>
      <c r="E83" s="11"/>
    </row>
    <row r="84" customFormat="false" ht="15" hidden="false" customHeight="true" outlineLevel="0" collapsed="false">
      <c r="A84" s="11"/>
      <c r="B84" s="11"/>
      <c r="C84" s="11"/>
      <c r="D84" s="13"/>
      <c r="E84" s="11"/>
    </row>
    <row r="85" customFormat="false" ht="15" hidden="false" customHeight="true" outlineLevel="0" collapsed="false">
      <c r="A85" s="11"/>
      <c r="B85" s="11"/>
      <c r="C85" s="11"/>
      <c r="D85" s="13"/>
      <c r="E85" s="11"/>
    </row>
    <row r="86" customFormat="false" ht="15" hidden="false" customHeight="true" outlineLevel="0" collapsed="false">
      <c r="A86" s="11"/>
      <c r="B86" s="11"/>
      <c r="C86" s="11"/>
      <c r="D86" s="13"/>
      <c r="E86" s="11"/>
    </row>
    <row r="87" customFormat="false" ht="15" hidden="false" customHeight="true" outlineLevel="0" collapsed="false">
      <c r="A87" s="11"/>
      <c r="B87" s="11"/>
      <c r="C87" s="11"/>
      <c r="D87" s="13"/>
      <c r="E87" s="11"/>
    </row>
    <row r="88" customFormat="false" ht="15" hidden="false" customHeight="true" outlineLevel="0" collapsed="false">
      <c r="A88" s="11"/>
      <c r="B88" s="11"/>
      <c r="C88" s="11"/>
      <c r="D88" s="13"/>
      <c r="E88" s="11"/>
    </row>
    <row r="89" customFormat="false" ht="15" hidden="false" customHeight="true" outlineLevel="0" collapsed="false">
      <c r="A89" s="11"/>
      <c r="B89" s="11"/>
      <c r="C89" s="11"/>
      <c r="D89" s="13"/>
      <c r="E89" s="11"/>
    </row>
    <row r="90" customFormat="false" ht="15" hidden="false" customHeight="true" outlineLevel="0" collapsed="false">
      <c r="A90" s="11"/>
      <c r="B90" s="11"/>
      <c r="C90" s="11"/>
      <c r="D90" s="13"/>
      <c r="E90" s="11"/>
    </row>
    <row r="91" customFormat="false" ht="15" hidden="false" customHeight="true" outlineLevel="0" collapsed="false">
      <c r="A91" s="11"/>
      <c r="B91" s="11"/>
      <c r="C91" s="11"/>
      <c r="D91" s="13"/>
      <c r="E91" s="11"/>
    </row>
    <row r="92" customFormat="false" ht="15" hidden="false" customHeight="true" outlineLevel="0" collapsed="false">
      <c r="A92" s="11"/>
      <c r="B92" s="11"/>
      <c r="C92" s="11"/>
      <c r="D92" s="13"/>
      <c r="E92" s="11"/>
    </row>
    <row r="93" customFormat="false" ht="15" hidden="false" customHeight="true" outlineLevel="0" collapsed="false">
      <c r="A93" s="11"/>
      <c r="B93" s="11"/>
      <c r="C93" s="11"/>
      <c r="D93" s="13"/>
      <c r="E93" s="11"/>
    </row>
    <row r="94" customFormat="false" ht="15" hidden="false" customHeight="true" outlineLevel="0" collapsed="false">
      <c r="A94" s="11"/>
      <c r="B94" s="11"/>
      <c r="C94" s="11"/>
      <c r="D94" s="13"/>
      <c r="E94" s="11"/>
    </row>
    <row r="95" customFormat="false" ht="15" hidden="false" customHeight="true" outlineLevel="0" collapsed="false">
      <c r="A95" s="11"/>
      <c r="B95" s="11"/>
      <c r="C95" s="11"/>
      <c r="D95" s="13"/>
      <c r="E95" s="11"/>
    </row>
    <row r="96" customFormat="false" ht="15" hidden="false" customHeight="true" outlineLevel="0" collapsed="false">
      <c r="A96" s="11"/>
      <c r="B96" s="11"/>
      <c r="C96" s="11"/>
      <c r="D96" s="13"/>
      <c r="E96" s="11"/>
    </row>
    <row r="97" customFormat="false" ht="15" hidden="false" customHeight="true" outlineLevel="0" collapsed="false">
      <c r="A97" s="11"/>
      <c r="B97" s="11"/>
      <c r="C97" s="11"/>
      <c r="D97" s="13"/>
      <c r="E97" s="11"/>
    </row>
    <row r="98" customFormat="false" ht="15" hidden="false" customHeight="true" outlineLevel="0" collapsed="false">
      <c r="A98" s="11"/>
      <c r="B98" s="11"/>
      <c r="C98" s="11"/>
      <c r="D98" s="13"/>
      <c r="E98" s="11"/>
    </row>
    <row r="99" customFormat="false" ht="15" hidden="false" customHeight="true" outlineLevel="0" collapsed="false">
      <c r="A99" s="11"/>
      <c r="B99" s="11"/>
      <c r="C99" s="11"/>
      <c r="D99" s="13"/>
      <c r="E99" s="11"/>
    </row>
    <row r="100" customFormat="false" ht="15" hidden="false" customHeight="true" outlineLevel="0" collapsed="false">
      <c r="A100" s="11"/>
      <c r="B100" s="11"/>
      <c r="C100" s="11"/>
      <c r="D100" s="13"/>
      <c r="E100" s="11"/>
    </row>
    <row r="101" customFormat="false" ht="15" hidden="false" customHeight="true" outlineLevel="0" collapsed="false">
      <c r="A101" s="11"/>
      <c r="B101" s="11"/>
      <c r="C101" s="11"/>
      <c r="D101" s="13"/>
      <c r="E101" s="11"/>
    </row>
    <row r="102" customFormat="false" ht="15" hidden="false" customHeight="true" outlineLevel="0" collapsed="false">
      <c r="A102" s="11"/>
      <c r="B102" s="11"/>
      <c r="C102" s="11"/>
      <c r="D102" s="13"/>
      <c r="E102" s="11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4" min="3" style="1" width="22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24"/>
    <col collapsed="false" customWidth="true" hidden="false" outlineLevel="0" max="12" min="12" style="1" width="12"/>
    <col collapsed="false" customWidth="true" hidden="false" outlineLevel="0" max="14" min="13" style="1" width="20"/>
  </cols>
  <sheetData>
    <row r="1" customFormat="false" ht="25.5" hidden="false" customHeight="true" outlineLevel="0" collapsed="false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10" t="s">
        <v>61</v>
      </c>
      <c r="B2" s="10" t="s">
        <v>62</v>
      </c>
      <c r="C2" s="10" t="s">
        <v>37</v>
      </c>
      <c r="D2" s="10" t="s">
        <v>47</v>
      </c>
      <c r="E2" s="14" t="s">
        <v>63</v>
      </c>
      <c r="F2" s="14" t="s">
        <v>64</v>
      </c>
      <c r="G2" s="10" t="s">
        <v>65</v>
      </c>
      <c r="H2" s="10" t="s">
        <v>66</v>
      </c>
      <c r="I2" s="14" t="s">
        <v>67</v>
      </c>
      <c r="J2" s="15" t="s">
        <v>68</v>
      </c>
      <c r="K2" s="15" t="s">
        <v>69</v>
      </c>
      <c r="L2" s="14" t="s">
        <v>70</v>
      </c>
      <c r="M2" s="14" t="s">
        <v>71</v>
      </c>
      <c r="N2" s="16" t="s">
        <v>72</v>
      </c>
    </row>
    <row r="3" customFormat="false" ht="15" hidden="false" customHeight="true" outlineLevel="0" collapsed="false">
      <c r="A3" s="11"/>
      <c r="B3" s="17"/>
      <c r="C3" s="12"/>
      <c r="D3" s="12"/>
      <c r="E3" s="18" t="str">
        <f aca="false">IF($D3="","",IFERROR(INDEX(품목마스터!$B$3:$B$102,MATCH($D3,품목마스터!$A$3:$A$102,0)),""))</f>
        <v/>
      </c>
      <c r="F3" s="18" t="str">
        <f aca="false">IF($D3="","",IFERROR(INDEX(품목마스터!$C$3:$C$102,MATCH($D3,품목마스터!$A$3:$A$102,0)),""))</f>
        <v/>
      </c>
      <c r="G3" s="13" t="str">
        <f aca="false">IF($D3="","",IFERROR(INDEX(품목마스터!$D$3:$D$102,MATCH($D3,품목마스터!$A$3:$A$102,0)),0))</f>
        <v/>
      </c>
      <c r="H3" s="11"/>
      <c r="I3" s="19" t="str">
        <f aca="false">IF(OR($G3="",$H3=""),"",ROUND($G3*$H3,0))</f>
        <v/>
      </c>
      <c r="J3" s="12"/>
      <c r="K3" s="11"/>
      <c r="L3" s="18" t="str">
        <f aca="false">IF($A3="","",COUNTIFS($A$3:$A3,$A3))</f>
        <v/>
      </c>
      <c r="M3" s="18" t="str">
        <f aca="false">IF($A3="","",$A3&amp;"|"&amp;$L3)</f>
        <v/>
      </c>
      <c r="N3" s="18" t="str">
        <f aca="false">IF(OR($A3="",UPPER($J3)&lt;&gt;"Y"),"",$A3&amp;"#"&amp;COUNTIFS($A$3:$A3,$A3,$J$3:$J3,"Y"))</f>
        <v/>
      </c>
    </row>
    <row r="4" customFormat="false" ht="15" hidden="false" customHeight="true" outlineLevel="0" collapsed="false">
      <c r="A4" s="11"/>
      <c r="B4" s="17"/>
      <c r="C4" s="12"/>
      <c r="D4" s="12"/>
      <c r="E4" s="18" t="str">
        <f aca="false">IF($D4="","",IFERROR(INDEX(품목마스터!$B$3:$B$102,MATCH($D4,품목마스터!$A$3:$A$102,0)),""))</f>
        <v/>
      </c>
      <c r="F4" s="18" t="str">
        <f aca="false">IF($D4="","",IFERROR(INDEX(품목마스터!$C$3:$C$102,MATCH($D4,품목마스터!$A$3:$A$102,0)),""))</f>
        <v/>
      </c>
      <c r="G4" s="13" t="str">
        <f aca="false">IF($D4="","",IFERROR(INDEX(품목마스터!$D$3:$D$102,MATCH($D4,품목마스터!$A$3:$A$102,0)),0))</f>
        <v/>
      </c>
      <c r="H4" s="11"/>
      <c r="I4" s="19" t="str">
        <f aca="false">IF(OR($G4="",$H4=""),"",ROUND($G4*$H4,0))</f>
        <v/>
      </c>
      <c r="J4" s="12"/>
      <c r="K4" s="11"/>
      <c r="L4" s="18" t="str">
        <f aca="false">IF($A4="","",COUNTIFS($A$3:$A4,$A4))</f>
        <v/>
      </c>
      <c r="M4" s="18" t="str">
        <f aca="false">IF($A4="","",$A4&amp;"|"&amp;$L4)</f>
        <v/>
      </c>
      <c r="N4" s="18" t="str">
        <f aca="false">IF(OR($A4="",UPPER($J4)&lt;&gt;"Y"),"",$A4&amp;"#"&amp;COUNTIFS($A$3:$A4,$A4,$J$3:$J4,"Y"))</f>
        <v/>
      </c>
    </row>
    <row r="5" customFormat="false" ht="15" hidden="false" customHeight="true" outlineLevel="0" collapsed="false">
      <c r="A5" s="11"/>
      <c r="B5" s="17"/>
      <c r="C5" s="12"/>
      <c r="D5" s="12"/>
      <c r="E5" s="18" t="str">
        <f aca="false">IF($D5="","",IFERROR(INDEX(품목마스터!$B$3:$B$102,MATCH($D5,품목마스터!$A$3:$A$102,0)),""))</f>
        <v/>
      </c>
      <c r="F5" s="18" t="str">
        <f aca="false">IF($D5="","",IFERROR(INDEX(품목마스터!$C$3:$C$102,MATCH($D5,품목마스터!$A$3:$A$102,0)),""))</f>
        <v/>
      </c>
      <c r="G5" s="13" t="str">
        <f aca="false">IF($D5="","",IFERROR(INDEX(품목마스터!$D$3:$D$102,MATCH($D5,품목마스터!$A$3:$A$102,0)),0))</f>
        <v/>
      </c>
      <c r="H5" s="11"/>
      <c r="I5" s="19" t="str">
        <f aca="false">IF(OR($G5="",$H5=""),"",ROUND($G5*$H5,0))</f>
        <v/>
      </c>
      <c r="J5" s="12"/>
      <c r="K5" s="11"/>
      <c r="L5" s="18" t="str">
        <f aca="false">IF($A5="","",COUNTIFS($A$3:$A5,$A5))</f>
        <v/>
      </c>
      <c r="M5" s="18" t="str">
        <f aca="false">IF($A5="","",$A5&amp;"|"&amp;$L5)</f>
        <v/>
      </c>
      <c r="N5" s="18" t="str">
        <f aca="false">IF(OR($A5="",UPPER($J5)&lt;&gt;"Y"),"",$A5&amp;"#"&amp;COUNTIFS($A$3:$A5,$A5,$J$3:$J5,"Y"))</f>
        <v/>
      </c>
    </row>
    <row r="6" customFormat="false" ht="15" hidden="false" customHeight="true" outlineLevel="0" collapsed="false">
      <c r="A6" s="11"/>
      <c r="B6" s="17"/>
      <c r="C6" s="12"/>
      <c r="D6" s="12"/>
      <c r="E6" s="18" t="str">
        <f aca="false">IF($D6="","",IFERROR(INDEX(품목마스터!$B$3:$B$102,MATCH($D6,품목마스터!$A$3:$A$102,0)),""))</f>
        <v/>
      </c>
      <c r="F6" s="18" t="str">
        <f aca="false">IF($D6="","",IFERROR(INDEX(품목마스터!$C$3:$C$102,MATCH($D6,품목마스터!$A$3:$A$102,0)),""))</f>
        <v/>
      </c>
      <c r="G6" s="13" t="str">
        <f aca="false">IF($D6="","",IFERROR(INDEX(품목마스터!$D$3:$D$102,MATCH($D6,품목마스터!$A$3:$A$102,0)),0))</f>
        <v/>
      </c>
      <c r="H6" s="11"/>
      <c r="I6" s="19" t="str">
        <f aca="false">IF(OR($G6="",$H6=""),"",ROUND($G6*$H6,0))</f>
        <v/>
      </c>
      <c r="J6" s="12"/>
      <c r="K6" s="11"/>
      <c r="L6" s="18" t="str">
        <f aca="false">IF($A6="","",COUNTIFS($A$3:$A6,$A6))</f>
        <v/>
      </c>
      <c r="M6" s="18" t="str">
        <f aca="false">IF($A6="","",$A6&amp;"|"&amp;$L6)</f>
        <v/>
      </c>
      <c r="N6" s="18" t="str">
        <f aca="false">IF(OR($A6="",UPPER($J6)&lt;&gt;"Y"),"",$A6&amp;"#"&amp;COUNTIFS($A$3:$A6,$A6,$J$3:$J6,"Y"))</f>
        <v/>
      </c>
    </row>
    <row r="7" customFormat="false" ht="15" hidden="false" customHeight="true" outlineLevel="0" collapsed="false">
      <c r="A7" s="11"/>
      <c r="B7" s="17"/>
      <c r="C7" s="12"/>
      <c r="D7" s="12"/>
      <c r="E7" s="18" t="str">
        <f aca="false">IF($D7="","",IFERROR(INDEX(품목마스터!$B$3:$B$102,MATCH($D7,품목마스터!$A$3:$A$102,0)),""))</f>
        <v/>
      </c>
      <c r="F7" s="18" t="str">
        <f aca="false">IF($D7="","",IFERROR(INDEX(품목마스터!$C$3:$C$102,MATCH($D7,품목마스터!$A$3:$A$102,0)),""))</f>
        <v/>
      </c>
      <c r="G7" s="13" t="str">
        <f aca="false">IF($D7="","",IFERROR(INDEX(품목마스터!$D$3:$D$102,MATCH($D7,품목마스터!$A$3:$A$102,0)),0))</f>
        <v/>
      </c>
      <c r="H7" s="11"/>
      <c r="I7" s="19" t="str">
        <f aca="false">IF(OR($G7="",$H7=""),"",ROUND($G7*$H7,0))</f>
        <v/>
      </c>
      <c r="J7" s="12"/>
      <c r="K7" s="11"/>
      <c r="L7" s="18" t="str">
        <f aca="false">IF($A7="","",COUNTIFS($A$3:$A7,$A7))</f>
        <v/>
      </c>
      <c r="M7" s="18" t="str">
        <f aca="false">IF($A7="","",$A7&amp;"|"&amp;$L7)</f>
        <v/>
      </c>
      <c r="N7" s="18" t="str">
        <f aca="false">IF(OR($A7="",UPPER($J7)&lt;&gt;"Y"),"",$A7&amp;"#"&amp;COUNTIFS($A$3:$A7,$A7,$J$3:$J7,"Y"))</f>
        <v/>
      </c>
    </row>
    <row r="8" customFormat="false" ht="15" hidden="false" customHeight="true" outlineLevel="0" collapsed="false">
      <c r="A8" s="11"/>
      <c r="B8" s="17"/>
      <c r="C8" s="12"/>
      <c r="D8" s="12"/>
      <c r="E8" s="18" t="str">
        <f aca="false">IF($D8="","",IFERROR(INDEX(품목마스터!$B$3:$B$102,MATCH($D8,품목마스터!$A$3:$A$102,0)),""))</f>
        <v/>
      </c>
      <c r="F8" s="18" t="str">
        <f aca="false">IF($D8="","",IFERROR(INDEX(품목마스터!$C$3:$C$102,MATCH($D8,품목마스터!$A$3:$A$102,0)),""))</f>
        <v/>
      </c>
      <c r="G8" s="13" t="str">
        <f aca="false">IF($D8="","",IFERROR(INDEX(품목마스터!$D$3:$D$102,MATCH($D8,품목마스터!$A$3:$A$102,0)),0))</f>
        <v/>
      </c>
      <c r="H8" s="11"/>
      <c r="I8" s="19" t="str">
        <f aca="false">IF(OR($G8="",$H8=""),"",ROUND($G8*$H8,0))</f>
        <v/>
      </c>
      <c r="J8" s="12"/>
      <c r="K8" s="11"/>
      <c r="L8" s="18" t="str">
        <f aca="false">IF($A8="","",COUNTIFS($A$3:$A8,$A8))</f>
        <v/>
      </c>
      <c r="M8" s="18" t="str">
        <f aca="false">IF($A8="","",$A8&amp;"|"&amp;$L8)</f>
        <v/>
      </c>
      <c r="N8" s="18" t="str">
        <f aca="false">IF(OR($A8="",UPPER($J8)&lt;&gt;"Y"),"",$A8&amp;"#"&amp;COUNTIFS($A$3:$A8,$A8,$J$3:$J8,"Y"))</f>
        <v/>
      </c>
    </row>
    <row r="9" customFormat="false" ht="15" hidden="false" customHeight="true" outlineLevel="0" collapsed="false">
      <c r="A9" s="11"/>
      <c r="B9" s="17"/>
      <c r="C9" s="12"/>
      <c r="D9" s="12"/>
      <c r="E9" s="18" t="str">
        <f aca="false">IF($D9="","",IFERROR(INDEX(품목마스터!$B$3:$B$102,MATCH($D9,품목마스터!$A$3:$A$102,0)),""))</f>
        <v/>
      </c>
      <c r="F9" s="18" t="str">
        <f aca="false">IF($D9="","",IFERROR(INDEX(품목마스터!$C$3:$C$102,MATCH($D9,품목마스터!$A$3:$A$102,0)),""))</f>
        <v/>
      </c>
      <c r="G9" s="13" t="str">
        <f aca="false">IF($D9="","",IFERROR(INDEX(품목마스터!$D$3:$D$102,MATCH($D9,품목마스터!$A$3:$A$102,0)),0))</f>
        <v/>
      </c>
      <c r="H9" s="11"/>
      <c r="I9" s="19" t="str">
        <f aca="false">IF(OR($G9="",$H9=""),"",ROUND($G9*$H9,0))</f>
        <v/>
      </c>
      <c r="J9" s="12"/>
      <c r="K9" s="11"/>
      <c r="L9" s="18" t="str">
        <f aca="false">IF($A9="","",COUNTIFS($A$3:$A9,$A9))</f>
        <v/>
      </c>
      <c r="M9" s="18" t="str">
        <f aca="false">IF($A9="","",$A9&amp;"|"&amp;$L9)</f>
        <v/>
      </c>
      <c r="N9" s="18" t="str">
        <f aca="false">IF(OR($A9="",UPPER($J9)&lt;&gt;"Y"),"",$A9&amp;"#"&amp;COUNTIFS($A$3:$A9,$A9,$J$3:$J9,"Y"))</f>
        <v/>
      </c>
    </row>
    <row r="10" customFormat="false" ht="15" hidden="false" customHeight="true" outlineLevel="0" collapsed="false">
      <c r="A10" s="11"/>
      <c r="B10" s="17"/>
      <c r="C10" s="12"/>
      <c r="D10" s="12"/>
      <c r="E10" s="18" t="str">
        <f aca="false">IF($D10="","",IFERROR(INDEX(품목마스터!$B$3:$B$102,MATCH($D10,품목마스터!$A$3:$A$102,0)),""))</f>
        <v/>
      </c>
      <c r="F10" s="18" t="str">
        <f aca="false">IF($D10="","",IFERROR(INDEX(품목마스터!$C$3:$C$102,MATCH($D10,품목마스터!$A$3:$A$102,0)),""))</f>
        <v/>
      </c>
      <c r="G10" s="13" t="str">
        <f aca="false">IF($D10="","",IFERROR(INDEX(품목마스터!$D$3:$D$102,MATCH($D10,품목마스터!$A$3:$A$102,0)),0))</f>
        <v/>
      </c>
      <c r="H10" s="11"/>
      <c r="I10" s="19" t="str">
        <f aca="false">IF(OR($G10="",$H10=""),"",ROUND($G10*$H10,0))</f>
        <v/>
      </c>
      <c r="J10" s="12"/>
      <c r="K10" s="11"/>
      <c r="L10" s="18" t="str">
        <f aca="false">IF($A10="","",COUNTIFS($A$3:$A10,$A10))</f>
        <v/>
      </c>
      <c r="M10" s="18" t="str">
        <f aca="false">IF($A10="","",$A10&amp;"|"&amp;$L10)</f>
        <v/>
      </c>
      <c r="N10" s="18" t="str">
        <f aca="false">IF(OR($A10="",UPPER($J10)&lt;&gt;"Y"),"",$A10&amp;"#"&amp;COUNTIFS($A$3:$A10,$A10,$J$3:$J10,"Y"))</f>
        <v/>
      </c>
    </row>
    <row r="11" customFormat="false" ht="15" hidden="false" customHeight="true" outlineLevel="0" collapsed="false">
      <c r="A11" s="11"/>
      <c r="B11" s="17"/>
      <c r="C11" s="12"/>
      <c r="D11" s="12"/>
      <c r="E11" s="18" t="str">
        <f aca="false">IF($D11="","",IFERROR(INDEX(품목마스터!$B$3:$B$102,MATCH($D11,품목마스터!$A$3:$A$102,0)),""))</f>
        <v/>
      </c>
      <c r="F11" s="18" t="str">
        <f aca="false">IF($D11="","",IFERROR(INDEX(품목마스터!$C$3:$C$102,MATCH($D11,품목마스터!$A$3:$A$102,0)),""))</f>
        <v/>
      </c>
      <c r="G11" s="13" t="str">
        <f aca="false">IF($D11="","",IFERROR(INDEX(품목마스터!$D$3:$D$102,MATCH($D11,품목마스터!$A$3:$A$102,0)),0))</f>
        <v/>
      </c>
      <c r="H11" s="11"/>
      <c r="I11" s="19" t="str">
        <f aca="false">IF(OR($G11="",$H11=""),"",ROUND($G11*$H11,0))</f>
        <v/>
      </c>
      <c r="J11" s="12"/>
      <c r="K11" s="11"/>
      <c r="L11" s="18" t="str">
        <f aca="false">IF($A11="","",COUNTIFS($A$3:$A11,$A11))</f>
        <v/>
      </c>
      <c r="M11" s="18" t="str">
        <f aca="false">IF($A11="","",$A11&amp;"|"&amp;$L11)</f>
        <v/>
      </c>
      <c r="N11" s="18" t="str">
        <f aca="false">IF(OR($A11="",UPPER($J11)&lt;&gt;"Y"),"",$A11&amp;"#"&amp;COUNTIFS($A$3:$A11,$A11,$J$3:$J11,"Y"))</f>
        <v/>
      </c>
    </row>
    <row r="12" customFormat="false" ht="15" hidden="false" customHeight="true" outlineLevel="0" collapsed="false">
      <c r="A12" s="11"/>
      <c r="B12" s="17"/>
      <c r="C12" s="12"/>
      <c r="D12" s="12"/>
      <c r="E12" s="18" t="str">
        <f aca="false">IF($D12="","",IFERROR(INDEX(품목마스터!$B$3:$B$102,MATCH($D12,품목마스터!$A$3:$A$102,0)),""))</f>
        <v/>
      </c>
      <c r="F12" s="18" t="str">
        <f aca="false">IF($D12="","",IFERROR(INDEX(품목마스터!$C$3:$C$102,MATCH($D12,품목마스터!$A$3:$A$102,0)),""))</f>
        <v/>
      </c>
      <c r="G12" s="13" t="str">
        <f aca="false">IF($D12="","",IFERROR(INDEX(품목마스터!$D$3:$D$102,MATCH($D12,품목마스터!$A$3:$A$102,0)),0))</f>
        <v/>
      </c>
      <c r="H12" s="11"/>
      <c r="I12" s="19" t="str">
        <f aca="false">IF(OR($G12="",$H12=""),"",ROUND($G12*$H12,0))</f>
        <v/>
      </c>
      <c r="J12" s="12"/>
      <c r="K12" s="11"/>
      <c r="L12" s="18" t="str">
        <f aca="false">IF($A12="","",COUNTIFS($A$3:$A12,$A12))</f>
        <v/>
      </c>
      <c r="M12" s="18" t="str">
        <f aca="false">IF($A12="","",$A12&amp;"|"&amp;$L12)</f>
        <v/>
      </c>
      <c r="N12" s="18" t="str">
        <f aca="false">IF(OR($A12="",UPPER($J12)&lt;&gt;"Y"),"",$A12&amp;"#"&amp;COUNTIFS($A$3:$A12,$A12,$J$3:$J12,"Y"))</f>
        <v/>
      </c>
    </row>
    <row r="13" customFormat="false" ht="15" hidden="false" customHeight="true" outlineLevel="0" collapsed="false">
      <c r="A13" s="11"/>
      <c r="B13" s="17"/>
      <c r="C13" s="12"/>
      <c r="D13" s="12"/>
      <c r="E13" s="18" t="str">
        <f aca="false">IF($D13="","",IFERROR(INDEX(품목마스터!$B$3:$B$102,MATCH($D13,품목마스터!$A$3:$A$102,0)),""))</f>
        <v/>
      </c>
      <c r="F13" s="18" t="str">
        <f aca="false">IF($D13="","",IFERROR(INDEX(품목마스터!$C$3:$C$102,MATCH($D13,품목마스터!$A$3:$A$102,0)),""))</f>
        <v/>
      </c>
      <c r="G13" s="13" t="str">
        <f aca="false">IF($D13="","",IFERROR(INDEX(품목마스터!$D$3:$D$102,MATCH($D13,품목마스터!$A$3:$A$102,0)),0))</f>
        <v/>
      </c>
      <c r="H13" s="11"/>
      <c r="I13" s="19" t="str">
        <f aca="false">IF(OR($G13="",$H13=""),"",ROUND($G13*$H13,0))</f>
        <v/>
      </c>
      <c r="J13" s="12"/>
      <c r="K13" s="11"/>
      <c r="L13" s="18" t="str">
        <f aca="false">IF($A13="","",COUNTIFS($A$3:$A13,$A13))</f>
        <v/>
      </c>
      <c r="M13" s="18" t="str">
        <f aca="false">IF($A13="","",$A13&amp;"|"&amp;$L13)</f>
        <v/>
      </c>
      <c r="N13" s="18" t="str">
        <f aca="false">IF(OR($A13="",UPPER($J13)&lt;&gt;"Y"),"",$A13&amp;"#"&amp;COUNTIFS($A$3:$A13,$A13,$J$3:$J13,"Y"))</f>
        <v/>
      </c>
    </row>
    <row r="14" customFormat="false" ht="15" hidden="false" customHeight="true" outlineLevel="0" collapsed="false">
      <c r="A14" s="11"/>
      <c r="B14" s="17"/>
      <c r="C14" s="12"/>
      <c r="D14" s="12"/>
      <c r="E14" s="18" t="str">
        <f aca="false">IF($D14="","",IFERROR(INDEX(품목마스터!$B$3:$B$102,MATCH($D14,품목마스터!$A$3:$A$102,0)),""))</f>
        <v/>
      </c>
      <c r="F14" s="18" t="str">
        <f aca="false">IF($D14="","",IFERROR(INDEX(품목마스터!$C$3:$C$102,MATCH($D14,품목마스터!$A$3:$A$102,0)),""))</f>
        <v/>
      </c>
      <c r="G14" s="13" t="str">
        <f aca="false">IF($D14="","",IFERROR(INDEX(품목마스터!$D$3:$D$102,MATCH($D14,품목마스터!$A$3:$A$102,0)),0))</f>
        <v/>
      </c>
      <c r="H14" s="11"/>
      <c r="I14" s="19" t="str">
        <f aca="false">IF(OR($G14="",$H14=""),"",ROUND($G14*$H14,0))</f>
        <v/>
      </c>
      <c r="J14" s="12"/>
      <c r="K14" s="11"/>
      <c r="L14" s="18" t="str">
        <f aca="false">IF($A14="","",COUNTIFS($A$3:$A14,$A14))</f>
        <v/>
      </c>
      <c r="M14" s="18" t="str">
        <f aca="false">IF($A14="","",$A14&amp;"|"&amp;$L14)</f>
        <v/>
      </c>
      <c r="N14" s="18" t="str">
        <f aca="false">IF(OR($A14="",UPPER($J14)&lt;&gt;"Y"),"",$A14&amp;"#"&amp;COUNTIFS($A$3:$A14,$A14,$J$3:$J14,"Y"))</f>
        <v/>
      </c>
    </row>
    <row r="15" customFormat="false" ht="15" hidden="false" customHeight="true" outlineLevel="0" collapsed="false">
      <c r="A15" s="11"/>
      <c r="B15" s="17"/>
      <c r="C15" s="12"/>
      <c r="D15" s="12"/>
      <c r="E15" s="18" t="str">
        <f aca="false">IF($D15="","",IFERROR(INDEX(품목마스터!$B$3:$B$102,MATCH($D15,품목마스터!$A$3:$A$102,0)),""))</f>
        <v/>
      </c>
      <c r="F15" s="18" t="str">
        <f aca="false">IF($D15="","",IFERROR(INDEX(품목마스터!$C$3:$C$102,MATCH($D15,품목마스터!$A$3:$A$102,0)),""))</f>
        <v/>
      </c>
      <c r="G15" s="13" t="str">
        <f aca="false">IF($D15="","",IFERROR(INDEX(품목마스터!$D$3:$D$102,MATCH($D15,품목마스터!$A$3:$A$102,0)),0))</f>
        <v/>
      </c>
      <c r="H15" s="11"/>
      <c r="I15" s="19" t="str">
        <f aca="false">IF(OR($G15="",$H15=""),"",ROUND($G15*$H15,0))</f>
        <v/>
      </c>
      <c r="J15" s="12"/>
      <c r="K15" s="11"/>
      <c r="L15" s="18" t="str">
        <f aca="false">IF($A15="","",COUNTIFS($A$3:$A15,$A15))</f>
        <v/>
      </c>
      <c r="M15" s="18" t="str">
        <f aca="false">IF($A15="","",$A15&amp;"|"&amp;$L15)</f>
        <v/>
      </c>
      <c r="N15" s="18" t="str">
        <f aca="false">IF(OR($A15="",UPPER($J15)&lt;&gt;"Y"),"",$A15&amp;"#"&amp;COUNTIFS($A$3:$A15,$A15,$J$3:$J15,"Y"))</f>
        <v/>
      </c>
    </row>
    <row r="16" customFormat="false" ht="15" hidden="false" customHeight="true" outlineLevel="0" collapsed="false">
      <c r="A16" s="11"/>
      <c r="B16" s="17"/>
      <c r="C16" s="12"/>
      <c r="D16" s="12"/>
      <c r="E16" s="18" t="str">
        <f aca="false">IF($D16="","",IFERROR(INDEX(품목마스터!$B$3:$B$102,MATCH($D16,품목마스터!$A$3:$A$102,0)),""))</f>
        <v/>
      </c>
      <c r="F16" s="18" t="str">
        <f aca="false">IF($D16="","",IFERROR(INDEX(품목마스터!$C$3:$C$102,MATCH($D16,품목마스터!$A$3:$A$102,0)),""))</f>
        <v/>
      </c>
      <c r="G16" s="13" t="str">
        <f aca="false">IF($D16="","",IFERROR(INDEX(품목마스터!$D$3:$D$102,MATCH($D16,품목마스터!$A$3:$A$102,0)),0))</f>
        <v/>
      </c>
      <c r="H16" s="11"/>
      <c r="I16" s="19" t="str">
        <f aca="false">IF(OR($G16="",$H16=""),"",ROUND($G16*$H16,0))</f>
        <v/>
      </c>
      <c r="J16" s="12"/>
      <c r="K16" s="11"/>
      <c r="L16" s="18" t="str">
        <f aca="false">IF($A16="","",COUNTIFS($A$3:$A16,$A16))</f>
        <v/>
      </c>
      <c r="M16" s="18" t="str">
        <f aca="false">IF($A16="","",$A16&amp;"|"&amp;$L16)</f>
        <v/>
      </c>
      <c r="N16" s="18" t="str">
        <f aca="false">IF(OR($A16="",UPPER($J16)&lt;&gt;"Y"),"",$A16&amp;"#"&amp;COUNTIFS($A$3:$A16,$A16,$J$3:$J16,"Y"))</f>
        <v/>
      </c>
    </row>
    <row r="17" customFormat="false" ht="15" hidden="false" customHeight="true" outlineLevel="0" collapsed="false">
      <c r="A17" s="11"/>
      <c r="B17" s="17"/>
      <c r="C17" s="12"/>
      <c r="D17" s="12"/>
      <c r="E17" s="18" t="str">
        <f aca="false">IF($D17="","",IFERROR(INDEX(품목마스터!$B$3:$B$102,MATCH($D17,품목마스터!$A$3:$A$102,0)),""))</f>
        <v/>
      </c>
      <c r="F17" s="18" t="str">
        <f aca="false">IF($D17="","",IFERROR(INDEX(품목마스터!$C$3:$C$102,MATCH($D17,품목마스터!$A$3:$A$102,0)),""))</f>
        <v/>
      </c>
      <c r="G17" s="13" t="str">
        <f aca="false">IF($D17="","",IFERROR(INDEX(품목마스터!$D$3:$D$102,MATCH($D17,품목마스터!$A$3:$A$102,0)),0))</f>
        <v/>
      </c>
      <c r="H17" s="11"/>
      <c r="I17" s="19" t="str">
        <f aca="false">IF(OR($G17="",$H17=""),"",ROUND($G17*$H17,0))</f>
        <v/>
      </c>
      <c r="J17" s="12"/>
      <c r="K17" s="11"/>
      <c r="L17" s="18" t="str">
        <f aca="false">IF($A17="","",COUNTIFS($A$3:$A17,$A17))</f>
        <v/>
      </c>
      <c r="M17" s="18" t="str">
        <f aca="false">IF($A17="","",$A17&amp;"|"&amp;$L17)</f>
        <v/>
      </c>
      <c r="N17" s="18" t="str">
        <f aca="false">IF(OR($A17="",UPPER($J17)&lt;&gt;"Y"),"",$A17&amp;"#"&amp;COUNTIFS($A$3:$A17,$A17,$J$3:$J17,"Y"))</f>
        <v/>
      </c>
    </row>
    <row r="18" customFormat="false" ht="15" hidden="false" customHeight="true" outlineLevel="0" collapsed="false">
      <c r="A18" s="11"/>
      <c r="B18" s="17"/>
      <c r="C18" s="12"/>
      <c r="D18" s="12"/>
      <c r="E18" s="18" t="str">
        <f aca="false">IF($D18="","",IFERROR(INDEX(품목마스터!$B$3:$B$102,MATCH($D18,품목마스터!$A$3:$A$102,0)),""))</f>
        <v/>
      </c>
      <c r="F18" s="18" t="str">
        <f aca="false">IF($D18="","",IFERROR(INDEX(품목마스터!$C$3:$C$102,MATCH($D18,품목마스터!$A$3:$A$102,0)),""))</f>
        <v/>
      </c>
      <c r="G18" s="13" t="str">
        <f aca="false">IF($D18="","",IFERROR(INDEX(품목마스터!$D$3:$D$102,MATCH($D18,품목마스터!$A$3:$A$102,0)),0))</f>
        <v/>
      </c>
      <c r="H18" s="11"/>
      <c r="I18" s="19" t="str">
        <f aca="false">IF(OR($G18="",$H18=""),"",ROUND($G18*$H18,0))</f>
        <v/>
      </c>
      <c r="J18" s="12"/>
      <c r="K18" s="11"/>
      <c r="L18" s="18" t="str">
        <f aca="false">IF($A18="","",COUNTIFS($A$3:$A18,$A18))</f>
        <v/>
      </c>
      <c r="M18" s="18" t="str">
        <f aca="false">IF($A18="","",$A18&amp;"|"&amp;$L18)</f>
        <v/>
      </c>
      <c r="N18" s="18" t="str">
        <f aca="false">IF(OR($A18="",UPPER($J18)&lt;&gt;"Y"),"",$A18&amp;"#"&amp;COUNTIFS($A$3:$A18,$A18,$J$3:$J18,"Y"))</f>
        <v/>
      </c>
    </row>
    <row r="19" customFormat="false" ht="15" hidden="false" customHeight="true" outlineLevel="0" collapsed="false">
      <c r="A19" s="11"/>
      <c r="B19" s="17"/>
      <c r="C19" s="12"/>
      <c r="D19" s="12"/>
      <c r="E19" s="18" t="str">
        <f aca="false">IF($D19="","",IFERROR(INDEX(품목마스터!$B$3:$B$102,MATCH($D19,품목마스터!$A$3:$A$102,0)),""))</f>
        <v/>
      </c>
      <c r="F19" s="18" t="str">
        <f aca="false">IF($D19="","",IFERROR(INDEX(품목마스터!$C$3:$C$102,MATCH($D19,품목마스터!$A$3:$A$102,0)),""))</f>
        <v/>
      </c>
      <c r="G19" s="13" t="str">
        <f aca="false">IF($D19="","",IFERROR(INDEX(품목마스터!$D$3:$D$102,MATCH($D19,품목마스터!$A$3:$A$102,0)),0))</f>
        <v/>
      </c>
      <c r="H19" s="11"/>
      <c r="I19" s="19" t="str">
        <f aca="false">IF(OR($G19="",$H19=""),"",ROUND($G19*$H19,0))</f>
        <v/>
      </c>
      <c r="J19" s="12"/>
      <c r="K19" s="11"/>
      <c r="L19" s="18" t="str">
        <f aca="false">IF($A19="","",COUNTIFS($A$3:$A19,$A19))</f>
        <v/>
      </c>
      <c r="M19" s="18" t="str">
        <f aca="false">IF($A19="","",$A19&amp;"|"&amp;$L19)</f>
        <v/>
      </c>
      <c r="N19" s="18" t="str">
        <f aca="false">IF(OR($A19="",UPPER($J19)&lt;&gt;"Y"),"",$A19&amp;"#"&amp;COUNTIFS($A$3:$A19,$A19,$J$3:$J19,"Y"))</f>
        <v/>
      </c>
    </row>
    <row r="20" customFormat="false" ht="15" hidden="false" customHeight="true" outlineLevel="0" collapsed="false">
      <c r="A20" s="11"/>
      <c r="B20" s="17"/>
      <c r="C20" s="12"/>
      <c r="D20" s="12"/>
      <c r="E20" s="18" t="str">
        <f aca="false">IF($D20="","",IFERROR(INDEX(품목마스터!$B$3:$B$102,MATCH($D20,품목마스터!$A$3:$A$102,0)),""))</f>
        <v/>
      </c>
      <c r="F20" s="18" t="str">
        <f aca="false">IF($D20="","",IFERROR(INDEX(품목마스터!$C$3:$C$102,MATCH($D20,품목마스터!$A$3:$A$102,0)),""))</f>
        <v/>
      </c>
      <c r="G20" s="13" t="str">
        <f aca="false">IF($D20="","",IFERROR(INDEX(품목마스터!$D$3:$D$102,MATCH($D20,품목마스터!$A$3:$A$102,0)),0))</f>
        <v/>
      </c>
      <c r="H20" s="11"/>
      <c r="I20" s="19" t="str">
        <f aca="false">IF(OR($G20="",$H20=""),"",ROUND($G20*$H20,0))</f>
        <v/>
      </c>
      <c r="J20" s="12"/>
      <c r="K20" s="11"/>
      <c r="L20" s="18" t="str">
        <f aca="false">IF($A20="","",COUNTIFS($A$3:$A20,$A20))</f>
        <v/>
      </c>
      <c r="M20" s="18" t="str">
        <f aca="false">IF($A20="","",$A20&amp;"|"&amp;$L20)</f>
        <v/>
      </c>
      <c r="N20" s="18" t="str">
        <f aca="false">IF(OR($A20="",UPPER($J20)&lt;&gt;"Y"),"",$A20&amp;"#"&amp;COUNTIFS($A$3:$A20,$A20,$J$3:$J20,"Y"))</f>
        <v/>
      </c>
    </row>
    <row r="21" customFormat="false" ht="15" hidden="false" customHeight="true" outlineLevel="0" collapsed="false">
      <c r="A21" s="11"/>
      <c r="B21" s="17"/>
      <c r="C21" s="12"/>
      <c r="D21" s="12"/>
      <c r="E21" s="18" t="str">
        <f aca="false">IF($D21="","",IFERROR(INDEX(품목마스터!$B$3:$B$102,MATCH($D21,품목마스터!$A$3:$A$102,0)),""))</f>
        <v/>
      </c>
      <c r="F21" s="18" t="str">
        <f aca="false">IF($D21="","",IFERROR(INDEX(품목마스터!$C$3:$C$102,MATCH($D21,품목마스터!$A$3:$A$102,0)),""))</f>
        <v/>
      </c>
      <c r="G21" s="13" t="str">
        <f aca="false">IF($D21="","",IFERROR(INDEX(품목마스터!$D$3:$D$102,MATCH($D21,품목마스터!$A$3:$A$102,0)),0))</f>
        <v/>
      </c>
      <c r="H21" s="11"/>
      <c r="I21" s="19" t="str">
        <f aca="false">IF(OR($G21="",$H21=""),"",ROUND($G21*$H21,0))</f>
        <v/>
      </c>
      <c r="J21" s="12"/>
      <c r="K21" s="11"/>
      <c r="L21" s="18" t="str">
        <f aca="false">IF($A21="","",COUNTIFS($A$3:$A21,$A21))</f>
        <v/>
      </c>
      <c r="M21" s="18" t="str">
        <f aca="false">IF($A21="","",$A21&amp;"|"&amp;$L21)</f>
        <v/>
      </c>
      <c r="N21" s="18" t="str">
        <f aca="false">IF(OR($A21="",UPPER($J21)&lt;&gt;"Y"),"",$A21&amp;"#"&amp;COUNTIFS($A$3:$A21,$A21,$J$3:$J21,"Y"))</f>
        <v/>
      </c>
    </row>
    <row r="22" customFormat="false" ht="15" hidden="false" customHeight="true" outlineLevel="0" collapsed="false">
      <c r="A22" s="11"/>
      <c r="B22" s="17"/>
      <c r="C22" s="12"/>
      <c r="D22" s="12"/>
      <c r="E22" s="18" t="str">
        <f aca="false">IF($D22="","",IFERROR(INDEX(품목마스터!$B$3:$B$102,MATCH($D22,품목마스터!$A$3:$A$102,0)),""))</f>
        <v/>
      </c>
      <c r="F22" s="18" t="str">
        <f aca="false">IF($D22="","",IFERROR(INDEX(품목마스터!$C$3:$C$102,MATCH($D22,품목마스터!$A$3:$A$102,0)),""))</f>
        <v/>
      </c>
      <c r="G22" s="13" t="str">
        <f aca="false">IF($D22="","",IFERROR(INDEX(품목마스터!$D$3:$D$102,MATCH($D22,품목마스터!$A$3:$A$102,0)),0))</f>
        <v/>
      </c>
      <c r="H22" s="11"/>
      <c r="I22" s="19" t="str">
        <f aca="false">IF(OR($G22="",$H22=""),"",ROUND($G22*$H22,0))</f>
        <v/>
      </c>
      <c r="J22" s="12"/>
      <c r="K22" s="11"/>
      <c r="L22" s="18" t="str">
        <f aca="false">IF($A22="","",COUNTIFS($A$3:$A22,$A22))</f>
        <v/>
      </c>
      <c r="M22" s="18" t="str">
        <f aca="false">IF($A22="","",$A22&amp;"|"&amp;$L22)</f>
        <v/>
      </c>
      <c r="N22" s="18" t="str">
        <f aca="false">IF(OR($A22="",UPPER($J22)&lt;&gt;"Y"),"",$A22&amp;"#"&amp;COUNTIFS($A$3:$A22,$A22,$J$3:$J22,"Y"))</f>
        <v/>
      </c>
    </row>
    <row r="23" customFormat="false" ht="15" hidden="false" customHeight="true" outlineLevel="0" collapsed="false">
      <c r="A23" s="11"/>
      <c r="B23" s="17"/>
      <c r="C23" s="12"/>
      <c r="D23" s="12"/>
      <c r="E23" s="18" t="str">
        <f aca="false">IF($D23="","",IFERROR(INDEX(품목마스터!$B$3:$B$102,MATCH($D23,품목마스터!$A$3:$A$102,0)),""))</f>
        <v/>
      </c>
      <c r="F23" s="18" t="str">
        <f aca="false">IF($D23="","",IFERROR(INDEX(품목마스터!$C$3:$C$102,MATCH($D23,품목마스터!$A$3:$A$102,0)),""))</f>
        <v/>
      </c>
      <c r="G23" s="13" t="str">
        <f aca="false">IF($D23="","",IFERROR(INDEX(품목마스터!$D$3:$D$102,MATCH($D23,품목마스터!$A$3:$A$102,0)),0))</f>
        <v/>
      </c>
      <c r="H23" s="11"/>
      <c r="I23" s="19" t="str">
        <f aca="false">IF(OR($G23="",$H23=""),"",ROUND($G23*$H23,0))</f>
        <v/>
      </c>
      <c r="J23" s="12"/>
      <c r="K23" s="11"/>
      <c r="L23" s="18" t="str">
        <f aca="false">IF($A23="","",COUNTIFS($A$3:$A23,$A23))</f>
        <v/>
      </c>
      <c r="M23" s="18" t="str">
        <f aca="false">IF($A23="","",$A23&amp;"|"&amp;$L23)</f>
        <v/>
      </c>
      <c r="N23" s="18" t="str">
        <f aca="false">IF(OR($A23="",UPPER($J23)&lt;&gt;"Y"),"",$A23&amp;"#"&amp;COUNTIFS($A$3:$A23,$A23,$J$3:$J23,"Y"))</f>
        <v/>
      </c>
    </row>
    <row r="24" customFormat="false" ht="15" hidden="false" customHeight="true" outlineLevel="0" collapsed="false">
      <c r="A24" s="11"/>
      <c r="B24" s="17"/>
      <c r="C24" s="12"/>
      <c r="D24" s="12"/>
      <c r="E24" s="18" t="str">
        <f aca="false">IF($D24="","",IFERROR(INDEX(품목마스터!$B$3:$B$102,MATCH($D24,품목마스터!$A$3:$A$102,0)),""))</f>
        <v/>
      </c>
      <c r="F24" s="18" t="str">
        <f aca="false">IF($D24="","",IFERROR(INDEX(품목마스터!$C$3:$C$102,MATCH($D24,품목마스터!$A$3:$A$102,0)),""))</f>
        <v/>
      </c>
      <c r="G24" s="13" t="str">
        <f aca="false">IF($D24="","",IFERROR(INDEX(품목마스터!$D$3:$D$102,MATCH($D24,품목마스터!$A$3:$A$102,0)),0))</f>
        <v/>
      </c>
      <c r="H24" s="11"/>
      <c r="I24" s="19" t="str">
        <f aca="false">IF(OR($G24="",$H24=""),"",ROUND($G24*$H24,0))</f>
        <v/>
      </c>
      <c r="J24" s="12"/>
      <c r="K24" s="11"/>
      <c r="L24" s="18" t="str">
        <f aca="false">IF($A24="","",COUNTIFS($A$3:$A24,$A24))</f>
        <v/>
      </c>
      <c r="M24" s="18" t="str">
        <f aca="false">IF($A24="","",$A24&amp;"|"&amp;$L24)</f>
        <v/>
      </c>
      <c r="N24" s="18" t="str">
        <f aca="false">IF(OR($A24="",UPPER($J24)&lt;&gt;"Y"),"",$A24&amp;"#"&amp;COUNTIFS($A$3:$A24,$A24,$J$3:$J24,"Y"))</f>
        <v/>
      </c>
    </row>
    <row r="25" customFormat="false" ht="15" hidden="false" customHeight="true" outlineLevel="0" collapsed="false">
      <c r="A25" s="11"/>
      <c r="B25" s="17"/>
      <c r="C25" s="12"/>
      <c r="D25" s="12"/>
      <c r="E25" s="18" t="str">
        <f aca="false">IF($D25="","",IFERROR(INDEX(품목마스터!$B$3:$B$102,MATCH($D25,품목마스터!$A$3:$A$102,0)),""))</f>
        <v/>
      </c>
      <c r="F25" s="18" t="str">
        <f aca="false">IF($D25="","",IFERROR(INDEX(품목마스터!$C$3:$C$102,MATCH($D25,품목마스터!$A$3:$A$102,0)),""))</f>
        <v/>
      </c>
      <c r="G25" s="13" t="str">
        <f aca="false">IF($D25="","",IFERROR(INDEX(품목마스터!$D$3:$D$102,MATCH($D25,품목마스터!$A$3:$A$102,0)),0))</f>
        <v/>
      </c>
      <c r="H25" s="11"/>
      <c r="I25" s="19" t="str">
        <f aca="false">IF(OR($G25="",$H25=""),"",ROUND($G25*$H25,0))</f>
        <v/>
      </c>
      <c r="J25" s="12"/>
      <c r="K25" s="11"/>
      <c r="L25" s="18" t="str">
        <f aca="false">IF($A25="","",COUNTIFS($A$3:$A25,$A25))</f>
        <v/>
      </c>
      <c r="M25" s="18" t="str">
        <f aca="false">IF($A25="","",$A25&amp;"|"&amp;$L25)</f>
        <v/>
      </c>
      <c r="N25" s="18" t="str">
        <f aca="false">IF(OR($A25="",UPPER($J25)&lt;&gt;"Y"),"",$A25&amp;"#"&amp;COUNTIFS($A$3:$A25,$A25,$J$3:$J25,"Y"))</f>
        <v/>
      </c>
    </row>
    <row r="26" customFormat="false" ht="15" hidden="false" customHeight="true" outlineLevel="0" collapsed="false">
      <c r="A26" s="11"/>
      <c r="B26" s="17"/>
      <c r="C26" s="12"/>
      <c r="D26" s="12"/>
      <c r="E26" s="18" t="str">
        <f aca="false">IF($D26="","",IFERROR(INDEX(품목마스터!$B$3:$B$102,MATCH($D26,품목마스터!$A$3:$A$102,0)),""))</f>
        <v/>
      </c>
      <c r="F26" s="18" t="str">
        <f aca="false">IF($D26="","",IFERROR(INDEX(품목마스터!$C$3:$C$102,MATCH($D26,품목마스터!$A$3:$A$102,0)),""))</f>
        <v/>
      </c>
      <c r="G26" s="13" t="str">
        <f aca="false">IF($D26="","",IFERROR(INDEX(품목마스터!$D$3:$D$102,MATCH($D26,품목마스터!$A$3:$A$102,0)),0))</f>
        <v/>
      </c>
      <c r="H26" s="11"/>
      <c r="I26" s="19" t="str">
        <f aca="false">IF(OR($G26="",$H26=""),"",ROUND($G26*$H26,0))</f>
        <v/>
      </c>
      <c r="J26" s="12"/>
      <c r="K26" s="11"/>
      <c r="L26" s="18" t="str">
        <f aca="false">IF($A26="","",COUNTIFS($A$3:$A26,$A26))</f>
        <v/>
      </c>
      <c r="M26" s="18" t="str">
        <f aca="false">IF($A26="","",$A26&amp;"|"&amp;$L26)</f>
        <v/>
      </c>
      <c r="N26" s="18" t="str">
        <f aca="false">IF(OR($A26="",UPPER($J26)&lt;&gt;"Y"),"",$A26&amp;"#"&amp;COUNTIFS($A$3:$A26,$A26,$J$3:$J26,"Y"))</f>
        <v/>
      </c>
    </row>
    <row r="27" customFormat="false" ht="15" hidden="false" customHeight="true" outlineLevel="0" collapsed="false">
      <c r="A27" s="11"/>
      <c r="B27" s="17"/>
      <c r="C27" s="12"/>
      <c r="D27" s="12"/>
      <c r="E27" s="18" t="str">
        <f aca="false">IF($D27="","",IFERROR(INDEX(품목마스터!$B$3:$B$102,MATCH($D27,품목마스터!$A$3:$A$102,0)),""))</f>
        <v/>
      </c>
      <c r="F27" s="18" t="str">
        <f aca="false">IF($D27="","",IFERROR(INDEX(품목마스터!$C$3:$C$102,MATCH($D27,품목마스터!$A$3:$A$102,0)),""))</f>
        <v/>
      </c>
      <c r="G27" s="13" t="str">
        <f aca="false">IF($D27="","",IFERROR(INDEX(품목마스터!$D$3:$D$102,MATCH($D27,품목마스터!$A$3:$A$102,0)),0))</f>
        <v/>
      </c>
      <c r="H27" s="11"/>
      <c r="I27" s="19" t="str">
        <f aca="false">IF(OR($G27="",$H27=""),"",ROUND($G27*$H27,0))</f>
        <v/>
      </c>
      <c r="J27" s="12"/>
      <c r="K27" s="11"/>
      <c r="L27" s="18" t="str">
        <f aca="false">IF($A27="","",COUNTIFS($A$3:$A27,$A27))</f>
        <v/>
      </c>
      <c r="M27" s="18" t="str">
        <f aca="false">IF($A27="","",$A27&amp;"|"&amp;$L27)</f>
        <v/>
      </c>
      <c r="N27" s="18" t="str">
        <f aca="false">IF(OR($A27="",UPPER($J27)&lt;&gt;"Y"),"",$A27&amp;"#"&amp;COUNTIFS($A$3:$A27,$A27,$J$3:$J27,"Y"))</f>
        <v/>
      </c>
    </row>
    <row r="28" customFormat="false" ht="15" hidden="false" customHeight="true" outlineLevel="0" collapsed="false">
      <c r="A28" s="11"/>
      <c r="B28" s="17"/>
      <c r="C28" s="12"/>
      <c r="D28" s="12"/>
      <c r="E28" s="18" t="str">
        <f aca="false">IF($D28="","",IFERROR(INDEX(품목마스터!$B$3:$B$102,MATCH($D28,품목마스터!$A$3:$A$102,0)),""))</f>
        <v/>
      </c>
      <c r="F28" s="18" t="str">
        <f aca="false">IF($D28="","",IFERROR(INDEX(품목마스터!$C$3:$C$102,MATCH($D28,품목마스터!$A$3:$A$102,0)),""))</f>
        <v/>
      </c>
      <c r="G28" s="13" t="str">
        <f aca="false">IF($D28="","",IFERROR(INDEX(품목마스터!$D$3:$D$102,MATCH($D28,품목마스터!$A$3:$A$102,0)),0))</f>
        <v/>
      </c>
      <c r="H28" s="11"/>
      <c r="I28" s="19" t="str">
        <f aca="false">IF(OR($G28="",$H28=""),"",ROUND($G28*$H28,0))</f>
        <v/>
      </c>
      <c r="J28" s="12"/>
      <c r="K28" s="11"/>
      <c r="L28" s="18" t="str">
        <f aca="false">IF($A28="","",COUNTIFS($A$3:$A28,$A28))</f>
        <v/>
      </c>
      <c r="M28" s="18" t="str">
        <f aca="false">IF($A28="","",$A28&amp;"|"&amp;$L28)</f>
        <v/>
      </c>
      <c r="N28" s="18" t="str">
        <f aca="false">IF(OR($A28="",UPPER($J28)&lt;&gt;"Y"),"",$A28&amp;"#"&amp;COUNTIFS($A$3:$A28,$A28,$J$3:$J28,"Y"))</f>
        <v/>
      </c>
    </row>
    <row r="29" customFormat="false" ht="15" hidden="false" customHeight="true" outlineLevel="0" collapsed="false">
      <c r="A29" s="11"/>
      <c r="B29" s="17"/>
      <c r="C29" s="12"/>
      <c r="D29" s="12"/>
      <c r="E29" s="18" t="str">
        <f aca="false">IF($D29="","",IFERROR(INDEX(품목마스터!$B$3:$B$102,MATCH($D29,품목마스터!$A$3:$A$102,0)),""))</f>
        <v/>
      </c>
      <c r="F29" s="18" t="str">
        <f aca="false">IF($D29="","",IFERROR(INDEX(품목마스터!$C$3:$C$102,MATCH($D29,품목마스터!$A$3:$A$102,0)),""))</f>
        <v/>
      </c>
      <c r="G29" s="13" t="str">
        <f aca="false">IF($D29="","",IFERROR(INDEX(품목마스터!$D$3:$D$102,MATCH($D29,품목마스터!$A$3:$A$102,0)),0))</f>
        <v/>
      </c>
      <c r="H29" s="11"/>
      <c r="I29" s="19" t="str">
        <f aca="false">IF(OR($G29="",$H29=""),"",ROUND($G29*$H29,0))</f>
        <v/>
      </c>
      <c r="J29" s="12"/>
      <c r="K29" s="11"/>
      <c r="L29" s="18" t="str">
        <f aca="false">IF($A29="","",COUNTIFS($A$3:$A29,$A29))</f>
        <v/>
      </c>
      <c r="M29" s="18" t="str">
        <f aca="false">IF($A29="","",$A29&amp;"|"&amp;$L29)</f>
        <v/>
      </c>
      <c r="N29" s="18" t="str">
        <f aca="false">IF(OR($A29="",UPPER($J29)&lt;&gt;"Y"),"",$A29&amp;"#"&amp;COUNTIFS($A$3:$A29,$A29,$J$3:$J29,"Y"))</f>
        <v/>
      </c>
    </row>
    <row r="30" customFormat="false" ht="15" hidden="false" customHeight="true" outlineLevel="0" collapsed="false">
      <c r="A30" s="11"/>
      <c r="B30" s="17"/>
      <c r="C30" s="12"/>
      <c r="D30" s="12"/>
      <c r="E30" s="18" t="str">
        <f aca="false">IF($D30="","",IFERROR(INDEX(품목마스터!$B$3:$B$102,MATCH($D30,품목마스터!$A$3:$A$102,0)),""))</f>
        <v/>
      </c>
      <c r="F30" s="18" t="str">
        <f aca="false">IF($D30="","",IFERROR(INDEX(품목마스터!$C$3:$C$102,MATCH($D30,품목마스터!$A$3:$A$102,0)),""))</f>
        <v/>
      </c>
      <c r="G30" s="13" t="str">
        <f aca="false">IF($D30="","",IFERROR(INDEX(품목마스터!$D$3:$D$102,MATCH($D30,품목마스터!$A$3:$A$102,0)),0))</f>
        <v/>
      </c>
      <c r="H30" s="11"/>
      <c r="I30" s="19" t="str">
        <f aca="false">IF(OR($G30="",$H30=""),"",ROUND($G30*$H30,0))</f>
        <v/>
      </c>
      <c r="J30" s="12"/>
      <c r="K30" s="11"/>
      <c r="L30" s="18" t="str">
        <f aca="false">IF($A30="","",COUNTIFS($A$3:$A30,$A30))</f>
        <v/>
      </c>
      <c r="M30" s="18" t="str">
        <f aca="false">IF($A30="","",$A30&amp;"|"&amp;$L30)</f>
        <v/>
      </c>
      <c r="N30" s="18" t="str">
        <f aca="false">IF(OR($A30="",UPPER($J30)&lt;&gt;"Y"),"",$A30&amp;"#"&amp;COUNTIFS($A$3:$A30,$A30,$J$3:$J30,"Y"))</f>
        <v/>
      </c>
    </row>
    <row r="31" customFormat="false" ht="15" hidden="false" customHeight="true" outlineLevel="0" collapsed="false">
      <c r="A31" s="11"/>
      <c r="B31" s="17"/>
      <c r="C31" s="12"/>
      <c r="D31" s="12"/>
      <c r="E31" s="18" t="str">
        <f aca="false">IF($D31="","",IFERROR(INDEX(품목마스터!$B$3:$B$102,MATCH($D31,품목마스터!$A$3:$A$102,0)),""))</f>
        <v/>
      </c>
      <c r="F31" s="18" t="str">
        <f aca="false">IF($D31="","",IFERROR(INDEX(품목마스터!$C$3:$C$102,MATCH($D31,품목마스터!$A$3:$A$102,0)),""))</f>
        <v/>
      </c>
      <c r="G31" s="13" t="str">
        <f aca="false">IF($D31="","",IFERROR(INDEX(품목마스터!$D$3:$D$102,MATCH($D31,품목마스터!$A$3:$A$102,0)),0))</f>
        <v/>
      </c>
      <c r="H31" s="11"/>
      <c r="I31" s="19" t="str">
        <f aca="false">IF(OR($G31="",$H31=""),"",ROUND($G31*$H31,0))</f>
        <v/>
      </c>
      <c r="J31" s="12"/>
      <c r="K31" s="11"/>
      <c r="L31" s="18" t="str">
        <f aca="false">IF($A31="","",COUNTIFS($A$3:$A31,$A31))</f>
        <v/>
      </c>
      <c r="M31" s="18" t="str">
        <f aca="false">IF($A31="","",$A31&amp;"|"&amp;$L31)</f>
        <v/>
      </c>
      <c r="N31" s="18" t="str">
        <f aca="false">IF(OR($A31="",UPPER($J31)&lt;&gt;"Y"),"",$A31&amp;"#"&amp;COUNTIFS($A$3:$A31,$A31,$J$3:$J31,"Y"))</f>
        <v/>
      </c>
    </row>
    <row r="32" customFormat="false" ht="15" hidden="false" customHeight="true" outlineLevel="0" collapsed="false">
      <c r="A32" s="11"/>
      <c r="B32" s="17"/>
      <c r="C32" s="12"/>
      <c r="D32" s="12"/>
      <c r="E32" s="18" t="str">
        <f aca="false">IF($D32="","",IFERROR(INDEX(품목마스터!$B$3:$B$102,MATCH($D32,품목마스터!$A$3:$A$102,0)),""))</f>
        <v/>
      </c>
      <c r="F32" s="18" t="str">
        <f aca="false">IF($D32="","",IFERROR(INDEX(품목마스터!$C$3:$C$102,MATCH($D32,품목마스터!$A$3:$A$102,0)),""))</f>
        <v/>
      </c>
      <c r="G32" s="13" t="str">
        <f aca="false">IF($D32="","",IFERROR(INDEX(품목마스터!$D$3:$D$102,MATCH($D32,품목마스터!$A$3:$A$102,0)),0))</f>
        <v/>
      </c>
      <c r="H32" s="11"/>
      <c r="I32" s="19" t="str">
        <f aca="false">IF(OR($G32="",$H32=""),"",ROUND($G32*$H32,0))</f>
        <v/>
      </c>
      <c r="J32" s="12"/>
      <c r="K32" s="11"/>
      <c r="L32" s="18" t="str">
        <f aca="false">IF($A32="","",COUNTIFS($A$3:$A32,$A32))</f>
        <v/>
      </c>
      <c r="M32" s="18" t="str">
        <f aca="false">IF($A32="","",$A32&amp;"|"&amp;$L32)</f>
        <v/>
      </c>
      <c r="N32" s="18" t="str">
        <f aca="false">IF(OR($A32="",UPPER($J32)&lt;&gt;"Y"),"",$A32&amp;"#"&amp;COUNTIFS($A$3:$A32,$A32,$J$3:$J32,"Y"))</f>
        <v/>
      </c>
    </row>
    <row r="33" customFormat="false" ht="15" hidden="false" customHeight="true" outlineLevel="0" collapsed="false">
      <c r="A33" s="11"/>
      <c r="B33" s="17"/>
      <c r="C33" s="12"/>
      <c r="D33" s="12"/>
      <c r="E33" s="18" t="str">
        <f aca="false">IF($D33="","",IFERROR(INDEX(품목마스터!$B$3:$B$102,MATCH($D33,품목마스터!$A$3:$A$102,0)),""))</f>
        <v/>
      </c>
      <c r="F33" s="18" t="str">
        <f aca="false">IF($D33="","",IFERROR(INDEX(품목마스터!$C$3:$C$102,MATCH($D33,품목마스터!$A$3:$A$102,0)),""))</f>
        <v/>
      </c>
      <c r="G33" s="13" t="str">
        <f aca="false">IF($D33="","",IFERROR(INDEX(품목마스터!$D$3:$D$102,MATCH($D33,품목마스터!$A$3:$A$102,0)),0))</f>
        <v/>
      </c>
      <c r="H33" s="11"/>
      <c r="I33" s="19" t="str">
        <f aca="false">IF(OR($G33="",$H33=""),"",ROUND($G33*$H33,0))</f>
        <v/>
      </c>
      <c r="J33" s="12"/>
      <c r="K33" s="11"/>
      <c r="L33" s="18" t="str">
        <f aca="false">IF($A33="","",COUNTIFS($A$3:$A33,$A33))</f>
        <v/>
      </c>
      <c r="M33" s="18" t="str">
        <f aca="false">IF($A33="","",$A33&amp;"|"&amp;$L33)</f>
        <v/>
      </c>
      <c r="N33" s="18" t="str">
        <f aca="false">IF(OR($A33="",UPPER($J33)&lt;&gt;"Y"),"",$A33&amp;"#"&amp;COUNTIFS($A$3:$A33,$A33,$J$3:$J33,"Y"))</f>
        <v/>
      </c>
    </row>
    <row r="34" customFormat="false" ht="15" hidden="false" customHeight="true" outlineLevel="0" collapsed="false">
      <c r="A34" s="11"/>
      <c r="B34" s="17"/>
      <c r="C34" s="12"/>
      <c r="D34" s="12"/>
      <c r="E34" s="18" t="str">
        <f aca="false">IF($D34="","",IFERROR(INDEX(품목마스터!$B$3:$B$102,MATCH($D34,품목마스터!$A$3:$A$102,0)),""))</f>
        <v/>
      </c>
      <c r="F34" s="18" t="str">
        <f aca="false">IF($D34="","",IFERROR(INDEX(품목마스터!$C$3:$C$102,MATCH($D34,품목마스터!$A$3:$A$102,0)),""))</f>
        <v/>
      </c>
      <c r="G34" s="13" t="str">
        <f aca="false">IF($D34="","",IFERROR(INDEX(품목마스터!$D$3:$D$102,MATCH($D34,품목마스터!$A$3:$A$102,0)),0))</f>
        <v/>
      </c>
      <c r="H34" s="11"/>
      <c r="I34" s="19" t="str">
        <f aca="false">IF(OR($G34="",$H34=""),"",ROUND($G34*$H34,0))</f>
        <v/>
      </c>
      <c r="J34" s="12"/>
      <c r="K34" s="11"/>
      <c r="L34" s="18" t="str">
        <f aca="false">IF($A34="","",COUNTIFS($A$3:$A34,$A34))</f>
        <v/>
      </c>
      <c r="M34" s="18" t="str">
        <f aca="false">IF($A34="","",$A34&amp;"|"&amp;$L34)</f>
        <v/>
      </c>
      <c r="N34" s="18" t="str">
        <f aca="false">IF(OR($A34="",UPPER($J34)&lt;&gt;"Y"),"",$A34&amp;"#"&amp;COUNTIFS($A$3:$A34,$A34,$J$3:$J34,"Y"))</f>
        <v/>
      </c>
    </row>
    <row r="35" customFormat="false" ht="15" hidden="false" customHeight="true" outlineLevel="0" collapsed="false">
      <c r="A35" s="11"/>
      <c r="B35" s="17"/>
      <c r="C35" s="12"/>
      <c r="D35" s="12"/>
      <c r="E35" s="18" t="str">
        <f aca="false">IF($D35="","",IFERROR(INDEX(품목마스터!$B$3:$B$102,MATCH($D35,품목마스터!$A$3:$A$102,0)),""))</f>
        <v/>
      </c>
      <c r="F35" s="18" t="str">
        <f aca="false">IF($D35="","",IFERROR(INDEX(품목마스터!$C$3:$C$102,MATCH($D35,품목마스터!$A$3:$A$102,0)),""))</f>
        <v/>
      </c>
      <c r="G35" s="13" t="str">
        <f aca="false">IF($D35="","",IFERROR(INDEX(품목마스터!$D$3:$D$102,MATCH($D35,품목마스터!$A$3:$A$102,0)),0))</f>
        <v/>
      </c>
      <c r="H35" s="11"/>
      <c r="I35" s="19" t="str">
        <f aca="false">IF(OR($G35="",$H35=""),"",ROUND($G35*$H35,0))</f>
        <v/>
      </c>
      <c r="J35" s="12"/>
      <c r="K35" s="11"/>
      <c r="L35" s="18" t="str">
        <f aca="false">IF($A35="","",COUNTIFS($A$3:$A35,$A35))</f>
        <v/>
      </c>
      <c r="M35" s="18" t="str">
        <f aca="false">IF($A35="","",$A35&amp;"|"&amp;$L35)</f>
        <v/>
      </c>
      <c r="N35" s="18" t="str">
        <f aca="false">IF(OR($A35="",UPPER($J35)&lt;&gt;"Y"),"",$A35&amp;"#"&amp;COUNTIFS($A$3:$A35,$A35,$J$3:$J35,"Y"))</f>
        <v/>
      </c>
    </row>
    <row r="36" customFormat="false" ht="15" hidden="false" customHeight="true" outlineLevel="0" collapsed="false">
      <c r="A36" s="11"/>
      <c r="B36" s="17"/>
      <c r="C36" s="12"/>
      <c r="D36" s="12"/>
      <c r="E36" s="18" t="str">
        <f aca="false">IF($D36="","",IFERROR(INDEX(품목마스터!$B$3:$B$102,MATCH($D36,품목마스터!$A$3:$A$102,0)),""))</f>
        <v/>
      </c>
      <c r="F36" s="18" t="str">
        <f aca="false">IF($D36="","",IFERROR(INDEX(품목마스터!$C$3:$C$102,MATCH($D36,품목마스터!$A$3:$A$102,0)),""))</f>
        <v/>
      </c>
      <c r="G36" s="13" t="str">
        <f aca="false">IF($D36="","",IFERROR(INDEX(품목마스터!$D$3:$D$102,MATCH($D36,품목마스터!$A$3:$A$102,0)),0))</f>
        <v/>
      </c>
      <c r="H36" s="11"/>
      <c r="I36" s="19" t="str">
        <f aca="false">IF(OR($G36="",$H36=""),"",ROUND($G36*$H36,0))</f>
        <v/>
      </c>
      <c r="J36" s="12"/>
      <c r="K36" s="11"/>
      <c r="L36" s="18" t="str">
        <f aca="false">IF($A36="","",COUNTIFS($A$3:$A36,$A36))</f>
        <v/>
      </c>
      <c r="M36" s="18" t="str">
        <f aca="false">IF($A36="","",$A36&amp;"|"&amp;$L36)</f>
        <v/>
      </c>
      <c r="N36" s="18" t="str">
        <f aca="false">IF(OR($A36="",UPPER($J36)&lt;&gt;"Y"),"",$A36&amp;"#"&amp;COUNTIFS($A$3:$A36,$A36,$J$3:$J36,"Y"))</f>
        <v/>
      </c>
    </row>
    <row r="37" customFormat="false" ht="15" hidden="false" customHeight="true" outlineLevel="0" collapsed="false">
      <c r="A37" s="11"/>
      <c r="B37" s="17"/>
      <c r="C37" s="12"/>
      <c r="D37" s="12"/>
      <c r="E37" s="18" t="str">
        <f aca="false">IF($D37="","",IFERROR(INDEX(품목마스터!$B$3:$B$102,MATCH($D37,품목마스터!$A$3:$A$102,0)),""))</f>
        <v/>
      </c>
      <c r="F37" s="18" t="str">
        <f aca="false">IF($D37="","",IFERROR(INDEX(품목마스터!$C$3:$C$102,MATCH($D37,품목마스터!$A$3:$A$102,0)),""))</f>
        <v/>
      </c>
      <c r="G37" s="13" t="str">
        <f aca="false">IF($D37="","",IFERROR(INDEX(품목마스터!$D$3:$D$102,MATCH($D37,품목마스터!$A$3:$A$102,0)),0))</f>
        <v/>
      </c>
      <c r="H37" s="11"/>
      <c r="I37" s="19" t="str">
        <f aca="false">IF(OR($G37="",$H37=""),"",ROUND($G37*$H37,0))</f>
        <v/>
      </c>
      <c r="J37" s="12"/>
      <c r="K37" s="11"/>
      <c r="L37" s="18" t="str">
        <f aca="false">IF($A37="","",COUNTIFS($A$3:$A37,$A37))</f>
        <v/>
      </c>
      <c r="M37" s="18" t="str">
        <f aca="false">IF($A37="","",$A37&amp;"|"&amp;$L37)</f>
        <v/>
      </c>
      <c r="N37" s="18" t="str">
        <f aca="false">IF(OR($A37="",UPPER($J37)&lt;&gt;"Y"),"",$A37&amp;"#"&amp;COUNTIFS($A$3:$A37,$A37,$J$3:$J37,"Y"))</f>
        <v/>
      </c>
    </row>
    <row r="38" customFormat="false" ht="15" hidden="false" customHeight="true" outlineLevel="0" collapsed="false">
      <c r="A38" s="11"/>
      <c r="B38" s="17"/>
      <c r="C38" s="12"/>
      <c r="D38" s="12"/>
      <c r="E38" s="18" t="str">
        <f aca="false">IF($D38="","",IFERROR(INDEX(품목마스터!$B$3:$B$102,MATCH($D38,품목마스터!$A$3:$A$102,0)),""))</f>
        <v/>
      </c>
      <c r="F38" s="18" t="str">
        <f aca="false">IF($D38="","",IFERROR(INDEX(품목마스터!$C$3:$C$102,MATCH($D38,품목마스터!$A$3:$A$102,0)),""))</f>
        <v/>
      </c>
      <c r="G38" s="13" t="str">
        <f aca="false">IF($D38="","",IFERROR(INDEX(품목마스터!$D$3:$D$102,MATCH($D38,품목마스터!$A$3:$A$102,0)),0))</f>
        <v/>
      </c>
      <c r="H38" s="11"/>
      <c r="I38" s="19" t="str">
        <f aca="false">IF(OR($G38="",$H38=""),"",ROUND($G38*$H38,0))</f>
        <v/>
      </c>
      <c r="J38" s="12"/>
      <c r="K38" s="11"/>
      <c r="L38" s="18" t="str">
        <f aca="false">IF($A38="","",COUNTIFS($A$3:$A38,$A38))</f>
        <v/>
      </c>
      <c r="M38" s="18" t="str">
        <f aca="false">IF($A38="","",$A38&amp;"|"&amp;$L38)</f>
        <v/>
      </c>
      <c r="N38" s="18" t="str">
        <f aca="false">IF(OR($A38="",UPPER($J38)&lt;&gt;"Y"),"",$A38&amp;"#"&amp;COUNTIFS($A$3:$A38,$A38,$J$3:$J38,"Y"))</f>
        <v/>
      </c>
    </row>
    <row r="39" customFormat="false" ht="15" hidden="false" customHeight="true" outlineLevel="0" collapsed="false">
      <c r="A39" s="11"/>
      <c r="B39" s="17"/>
      <c r="C39" s="12"/>
      <c r="D39" s="12"/>
      <c r="E39" s="18" t="str">
        <f aca="false">IF($D39="","",IFERROR(INDEX(품목마스터!$B$3:$B$102,MATCH($D39,품목마스터!$A$3:$A$102,0)),""))</f>
        <v/>
      </c>
      <c r="F39" s="18" t="str">
        <f aca="false">IF($D39="","",IFERROR(INDEX(품목마스터!$C$3:$C$102,MATCH($D39,품목마스터!$A$3:$A$102,0)),""))</f>
        <v/>
      </c>
      <c r="G39" s="13" t="str">
        <f aca="false">IF($D39="","",IFERROR(INDEX(품목마스터!$D$3:$D$102,MATCH($D39,품목마스터!$A$3:$A$102,0)),0))</f>
        <v/>
      </c>
      <c r="H39" s="11"/>
      <c r="I39" s="19" t="str">
        <f aca="false">IF(OR($G39="",$H39=""),"",ROUND($G39*$H39,0))</f>
        <v/>
      </c>
      <c r="J39" s="12"/>
      <c r="K39" s="11"/>
      <c r="L39" s="18" t="str">
        <f aca="false">IF($A39="","",COUNTIFS($A$3:$A39,$A39))</f>
        <v/>
      </c>
      <c r="M39" s="18" t="str">
        <f aca="false">IF($A39="","",$A39&amp;"|"&amp;$L39)</f>
        <v/>
      </c>
      <c r="N39" s="18" t="str">
        <f aca="false">IF(OR($A39="",UPPER($J39)&lt;&gt;"Y"),"",$A39&amp;"#"&amp;COUNTIFS($A$3:$A39,$A39,$J$3:$J39,"Y"))</f>
        <v/>
      </c>
    </row>
    <row r="40" customFormat="false" ht="15" hidden="false" customHeight="true" outlineLevel="0" collapsed="false">
      <c r="A40" s="11"/>
      <c r="B40" s="17"/>
      <c r="C40" s="12"/>
      <c r="D40" s="12"/>
      <c r="E40" s="18" t="str">
        <f aca="false">IF($D40="","",IFERROR(INDEX(품목마스터!$B$3:$B$102,MATCH($D40,품목마스터!$A$3:$A$102,0)),""))</f>
        <v/>
      </c>
      <c r="F40" s="18" t="str">
        <f aca="false">IF($D40="","",IFERROR(INDEX(품목마스터!$C$3:$C$102,MATCH($D40,품목마스터!$A$3:$A$102,0)),""))</f>
        <v/>
      </c>
      <c r="G40" s="13" t="str">
        <f aca="false">IF($D40="","",IFERROR(INDEX(품목마스터!$D$3:$D$102,MATCH($D40,품목마스터!$A$3:$A$102,0)),0))</f>
        <v/>
      </c>
      <c r="H40" s="11"/>
      <c r="I40" s="19" t="str">
        <f aca="false">IF(OR($G40="",$H40=""),"",ROUND($G40*$H40,0))</f>
        <v/>
      </c>
      <c r="J40" s="12"/>
      <c r="K40" s="11"/>
      <c r="L40" s="18" t="str">
        <f aca="false">IF($A40="","",COUNTIFS($A$3:$A40,$A40))</f>
        <v/>
      </c>
      <c r="M40" s="18" t="str">
        <f aca="false">IF($A40="","",$A40&amp;"|"&amp;$L40)</f>
        <v/>
      </c>
      <c r="N40" s="18" t="str">
        <f aca="false">IF(OR($A40="",UPPER($J40)&lt;&gt;"Y"),"",$A40&amp;"#"&amp;COUNTIFS($A$3:$A40,$A40,$J$3:$J40,"Y"))</f>
        <v/>
      </c>
    </row>
    <row r="41" customFormat="false" ht="15" hidden="false" customHeight="true" outlineLevel="0" collapsed="false">
      <c r="A41" s="11"/>
      <c r="B41" s="17"/>
      <c r="C41" s="12"/>
      <c r="D41" s="12"/>
      <c r="E41" s="18" t="str">
        <f aca="false">IF($D41="","",IFERROR(INDEX(품목마스터!$B$3:$B$102,MATCH($D41,품목마스터!$A$3:$A$102,0)),""))</f>
        <v/>
      </c>
      <c r="F41" s="18" t="str">
        <f aca="false">IF($D41="","",IFERROR(INDEX(품목마스터!$C$3:$C$102,MATCH($D41,품목마스터!$A$3:$A$102,0)),""))</f>
        <v/>
      </c>
      <c r="G41" s="13" t="str">
        <f aca="false">IF($D41="","",IFERROR(INDEX(품목마스터!$D$3:$D$102,MATCH($D41,품목마스터!$A$3:$A$102,0)),0))</f>
        <v/>
      </c>
      <c r="H41" s="11"/>
      <c r="I41" s="19" t="str">
        <f aca="false">IF(OR($G41="",$H41=""),"",ROUND($G41*$H41,0))</f>
        <v/>
      </c>
      <c r="J41" s="12"/>
      <c r="K41" s="11"/>
      <c r="L41" s="18" t="str">
        <f aca="false">IF($A41="","",COUNTIFS($A$3:$A41,$A41))</f>
        <v/>
      </c>
      <c r="M41" s="18" t="str">
        <f aca="false">IF($A41="","",$A41&amp;"|"&amp;$L41)</f>
        <v/>
      </c>
      <c r="N41" s="18" t="str">
        <f aca="false">IF(OR($A41="",UPPER($J41)&lt;&gt;"Y"),"",$A41&amp;"#"&amp;COUNTIFS($A$3:$A41,$A41,$J$3:$J41,"Y"))</f>
        <v/>
      </c>
    </row>
    <row r="42" customFormat="false" ht="15" hidden="false" customHeight="true" outlineLevel="0" collapsed="false">
      <c r="A42" s="11"/>
      <c r="B42" s="17"/>
      <c r="C42" s="12"/>
      <c r="D42" s="12"/>
      <c r="E42" s="18" t="str">
        <f aca="false">IF($D42="","",IFERROR(INDEX(품목마스터!$B$3:$B$102,MATCH($D42,품목마스터!$A$3:$A$102,0)),""))</f>
        <v/>
      </c>
      <c r="F42" s="18" t="str">
        <f aca="false">IF($D42="","",IFERROR(INDEX(품목마스터!$C$3:$C$102,MATCH($D42,품목마스터!$A$3:$A$102,0)),""))</f>
        <v/>
      </c>
      <c r="G42" s="13" t="str">
        <f aca="false">IF($D42="","",IFERROR(INDEX(품목마스터!$D$3:$D$102,MATCH($D42,품목마스터!$A$3:$A$102,0)),0))</f>
        <v/>
      </c>
      <c r="H42" s="11"/>
      <c r="I42" s="19" t="str">
        <f aca="false">IF(OR($G42="",$H42=""),"",ROUND($G42*$H42,0))</f>
        <v/>
      </c>
      <c r="J42" s="12"/>
      <c r="K42" s="11"/>
      <c r="L42" s="18" t="str">
        <f aca="false">IF($A42="","",COUNTIFS($A$3:$A42,$A42))</f>
        <v/>
      </c>
      <c r="M42" s="18" t="str">
        <f aca="false">IF($A42="","",$A42&amp;"|"&amp;$L42)</f>
        <v/>
      </c>
      <c r="N42" s="18" t="str">
        <f aca="false">IF(OR($A42="",UPPER($J42)&lt;&gt;"Y"),"",$A42&amp;"#"&amp;COUNTIFS($A$3:$A42,$A42,$J$3:$J42,"Y"))</f>
        <v/>
      </c>
    </row>
    <row r="43" customFormat="false" ht="15" hidden="false" customHeight="true" outlineLevel="0" collapsed="false">
      <c r="A43" s="11"/>
      <c r="B43" s="17"/>
      <c r="C43" s="12"/>
      <c r="D43" s="12"/>
      <c r="E43" s="18" t="str">
        <f aca="false">IF($D43="","",IFERROR(INDEX(품목마스터!$B$3:$B$102,MATCH($D43,품목마스터!$A$3:$A$102,0)),""))</f>
        <v/>
      </c>
      <c r="F43" s="18" t="str">
        <f aca="false">IF($D43="","",IFERROR(INDEX(품목마스터!$C$3:$C$102,MATCH($D43,품목마스터!$A$3:$A$102,0)),""))</f>
        <v/>
      </c>
      <c r="G43" s="13" t="str">
        <f aca="false">IF($D43="","",IFERROR(INDEX(품목마스터!$D$3:$D$102,MATCH($D43,품목마스터!$A$3:$A$102,0)),0))</f>
        <v/>
      </c>
      <c r="H43" s="11"/>
      <c r="I43" s="19" t="str">
        <f aca="false">IF(OR($G43="",$H43=""),"",ROUND($G43*$H43,0))</f>
        <v/>
      </c>
      <c r="J43" s="12"/>
      <c r="K43" s="11"/>
      <c r="L43" s="18" t="str">
        <f aca="false">IF($A43="","",COUNTIFS($A$3:$A43,$A43))</f>
        <v/>
      </c>
      <c r="M43" s="18" t="str">
        <f aca="false">IF($A43="","",$A43&amp;"|"&amp;$L43)</f>
        <v/>
      </c>
      <c r="N43" s="18" t="str">
        <f aca="false">IF(OR($A43="",UPPER($J43)&lt;&gt;"Y"),"",$A43&amp;"#"&amp;COUNTIFS($A$3:$A43,$A43,$J$3:$J43,"Y"))</f>
        <v/>
      </c>
    </row>
    <row r="44" customFormat="false" ht="15" hidden="false" customHeight="true" outlineLevel="0" collapsed="false">
      <c r="A44" s="11"/>
      <c r="B44" s="17"/>
      <c r="C44" s="12"/>
      <c r="D44" s="12"/>
      <c r="E44" s="18" t="str">
        <f aca="false">IF($D44="","",IFERROR(INDEX(품목마스터!$B$3:$B$102,MATCH($D44,품목마스터!$A$3:$A$102,0)),""))</f>
        <v/>
      </c>
      <c r="F44" s="18" t="str">
        <f aca="false">IF($D44="","",IFERROR(INDEX(품목마스터!$C$3:$C$102,MATCH($D44,품목마스터!$A$3:$A$102,0)),""))</f>
        <v/>
      </c>
      <c r="G44" s="13" t="str">
        <f aca="false">IF($D44="","",IFERROR(INDEX(품목마스터!$D$3:$D$102,MATCH($D44,품목마스터!$A$3:$A$102,0)),0))</f>
        <v/>
      </c>
      <c r="H44" s="11"/>
      <c r="I44" s="19" t="str">
        <f aca="false">IF(OR($G44="",$H44=""),"",ROUND($G44*$H44,0))</f>
        <v/>
      </c>
      <c r="J44" s="12"/>
      <c r="K44" s="11"/>
      <c r="L44" s="18" t="str">
        <f aca="false">IF($A44="","",COUNTIFS($A$3:$A44,$A44))</f>
        <v/>
      </c>
      <c r="M44" s="18" t="str">
        <f aca="false">IF($A44="","",$A44&amp;"|"&amp;$L44)</f>
        <v/>
      </c>
      <c r="N44" s="18" t="str">
        <f aca="false">IF(OR($A44="",UPPER($J44)&lt;&gt;"Y"),"",$A44&amp;"#"&amp;COUNTIFS($A$3:$A44,$A44,$J$3:$J44,"Y"))</f>
        <v/>
      </c>
    </row>
    <row r="45" customFormat="false" ht="15" hidden="false" customHeight="true" outlineLevel="0" collapsed="false">
      <c r="A45" s="11"/>
      <c r="B45" s="17"/>
      <c r="C45" s="12"/>
      <c r="D45" s="12"/>
      <c r="E45" s="18" t="str">
        <f aca="false">IF($D45="","",IFERROR(INDEX(품목마스터!$B$3:$B$102,MATCH($D45,품목마스터!$A$3:$A$102,0)),""))</f>
        <v/>
      </c>
      <c r="F45" s="18" t="str">
        <f aca="false">IF($D45="","",IFERROR(INDEX(품목마스터!$C$3:$C$102,MATCH($D45,품목마스터!$A$3:$A$102,0)),""))</f>
        <v/>
      </c>
      <c r="G45" s="13" t="str">
        <f aca="false">IF($D45="","",IFERROR(INDEX(품목마스터!$D$3:$D$102,MATCH($D45,품목마스터!$A$3:$A$102,0)),0))</f>
        <v/>
      </c>
      <c r="H45" s="11"/>
      <c r="I45" s="19" t="str">
        <f aca="false">IF(OR($G45="",$H45=""),"",ROUND($G45*$H45,0))</f>
        <v/>
      </c>
      <c r="J45" s="12"/>
      <c r="K45" s="11"/>
      <c r="L45" s="18" t="str">
        <f aca="false">IF($A45="","",COUNTIFS($A$3:$A45,$A45))</f>
        <v/>
      </c>
      <c r="M45" s="18" t="str">
        <f aca="false">IF($A45="","",$A45&amp;"|"&amp;$L45)</f>
        <v/>
      </c>
      <c r="N45" s="18" t="str">
        <f aca="false">IF(OR($A45="",UPPER($J45)&lt;&gt;"Y"),"",$A45&amp;"#"&amp;COUNTIFS($A$3:$A45,$A45,$J$3:$J45,"Y"))</f>
        <v/>
      </c>
    </row>
    <row r="46" customFormat="false" ht="15" hidden="false" customHeight="true" outlineLevel="0" collapsed="false">
      <c r="A46" s="11"/>
      <c r="B46" s="17"/>
      <c r="C46" s="12"/>
      <c r="D46" s="12"/>
      <c r="E46" s="18" t="str">
        <f aca="false">IF($D46="","",IFERROR(INDEX(품목마스터!$B$3:$B$102,MATCH($D46,품목마스터!$A$3:$A$102,0)),""))</f>
        <v/>
      </c>
      <c r="F46" s="18" t="str">
        <f aca="false">IF($D46="","",IFERROR(INDEX(품목마스터!$C$3:$C$102,MATCH($D46,품목마스터!$A$3:$A$102,0)),""))</f>
        <v/>
      </c>
      <c r="G46" s="13" t="str">
        <f aca="false">IF($D46="","",IFERROR(INDEX(품목마스터!$D$3:$D$102,MATCH($D46,품목마스터!$A$3:$A$102,0)),0))</f>
        <v/>
      </c>
      <c r="H46" s="11"/>
      <c r="I46" s="19" t="str">
        <f aca="false">IF(OR($G46="",$H46=""),"",ROUND($G46*$H46,0))</f>
        <v/>
      </c>
      <c r="J46" s="12"/>
      <c r="K46" s="11"/>
      <c r="L46" s="18" t="str">
        <f aca="false">IF($A46="","",COUNTIFS($A$3:$A46,$A46))</f>
        <v/>
      </c>
      <c r="M46" s="18" t="str">
        <f aca="false">IF($A46="","",$A46&amp;"|"&amp;$L46)</f>
        <v/>
      </c>
      <c r="N46" s="18" t="str">
        <f aca="false">IF(OR($A46="",UPPER($J46)&lt;&gt;"Y"),"",$A46&amp;"#"&amp;COUNTIFS($A$3:$A46,$A46,$J$3:$J46,"Y"))</f>
        <v/>
      </c>
    </row>
    <row r="47" customFormat="false" ht="15" hidden="false" customHeight="true" outlineLevel="0" collapsed="false">
      <c r="A47" s="11"/>
      <c r="B47" s="17"/>
      <c r="C47" s="12"/>
      <c r="D47" s="12"/>
      <c r="E47" s="18" t="str">
        <f aca="false">IF($D47="","",IFERROR(INDEX(품목마스터!$B$3:$B$102,MATCH($D47,품목마스터!$A$3:$A$102,0)),""))</f>
        <v/>
      </c>
      <c r="F47" s="18" t="str">
        <f aca="false">IF($D47="","",IFERROR(INDEX(품목마스터!$C$3:$C$102,MATCH($D47,품목마스터!$A$3:$A$102,0)),""))</f>
        <v/>
      </c>
      <c r="G47" s="13" t="str">
        <f aca="false">IF($D47="","",IFERROR(INDEX(품목마스터!$D$3:$D$102,MATCH($D47,품목마스터!$A$3:$A$102,0)),0))</f>
        <v/>
      </c>
      <c r="H47" s="11"/>
      <c r="I47" s="19" t="str">
        <f aca="false">IF(OR($G47="",$H47=""),"",ROUND($G47*$H47,0))</f>
        <v/>
      </c>
      <c r="J47" s="12"/>
      <c r="K47" s="11"/>
      <c r="L47" s="18" t="str">
        <f aca="false">IF($A47="","",COUNTIFS($A$3:$A47,$A47))</f>
        <v/>
      </c>
      <c r="M47" s="18" t="str">
        <f aca="false">IF($A47="","",$A47&amp;"|"&amp;$L47)</f>
        <v/>
      </c>
      <c r="N47" s="18" t="str">
        <f aca="false">IF(OR($A47="",UPPER($J47)&lt;&gt;"Y"),"",$A47&amp;"#"&amp;COUNTIFS($A$3:$A47,$A47,$J$3:$J47,"Y"))</f>
        <v/>
      </c>
    </row>
    <row r="48" customFormat="false" ht="15" hidden="false" customHeight="true" outlineLevel="0" collapsed="false">
      <c r="A48" s="11"/>
      <c r="B48" s="17"/>
      <c r="C48" s="12"/>
      <c r="D48" s="12"/>
      <c r="E48" s="18" t="str">
        <f aca="false">IF($D48="","",IFERROR(INDEX(품목마스터!$B$3:$B$102,MATCH($D48,품목마스터!$A$3:$A$102,0)),""))</f>
        <v/>
      </c>
      <c r="F48" s="18" t="str">
        <f aca="false">IF($D48="","",IFERROR(INDEX(품목마스터!$C$3:$C$102,MATCH($D48,품목마스터!$A$3:$A$102,0)),""))</f>
        <v/>
      </c>
      <c r="G48" s="13" t="str">
        <f aca="false">IF($D48="","",IFERROR(INDEX(품목마스터!$D$3:$D$102,MATCH($D48,품목마스터!$A$3:$A$102,0)),0))</f>
        <v/>
      </c>
      <c r="H48" s="11"/>
      <c r="I48" s="19" t="str">
        <f aca="false">IF(OR($G48="",$H48=""),"",ROUND($G48*$H48,0))</f>
        <v/>
      </c>
      <c r="J48" s="12"/>
      <c r="K48" s="11"/>
      <c r="L48" s="18" t="str">
        <f aca="false">IF($A48="","",COUNTIFS($A$3:$A48,$A48))</f>
        <v/>
      </c>
      <c r="M48" s="18" t="str">
        <f aca="false">IF($A48="","",$A48&amp;"|"&amp;$L48)</f>
        <v/>
      </c>
      <c r="N48" s="18" t="str">
        <f aca="false">IF(OR($A48="",UPPER($J48)&lt;&gt;"Y"),"",$A48&amp;"#"&amp;COUNTIFS($A$3:$A48,$A48,$J$3:$J48,"Y"))</f>
        <v/>
      </c>
    </row>
    <row r="49" customFormat="false" ht="15" hidden="false" customHeight="true" outlineLevel="0" collapsed="false">
      <c r="A49" s="11"/>
      <c r="B49" s="17"/>
      <c r="C49" s="12"/>
      <c r="D49" s="12"/>
      <c r="E49" s="18" t="str">
        <f aca="false">IF($D49="","",IFERROR(INDEX(품목마스터!$B$3:$B$102,MATCH($D49,품목마스터!$A$3:$A$102,0)),""))</f>
        <v/>
      </c>
      <c r="F49" s="18" t="str">
        <f aca="false">IF($D49="","",IFERROR(INDEX(품목마스터!$C$3:$C$102,MATCH($D49,품목마스터!$A$3:$A$102,0)),""))</f>
        <v/>
      </c>
      <c r="G49" s="13" t="str">
        <f aca="false">IF($D49="","",IFERROR(INDEX(품목마스터!$D$3:$D$102,MATCH($D49,품목마스터!$A$3:$A$102,0)),0))</f>
        <v/>
      </c>
      <c r="H49" s="11"/>
      <c r="I49" s="19" t="str">
        <f aca="false">IF(OR($G49="",$H49=""),"",ROUND($G49*$H49,0))</f>
        <v/>
      </c>
      <c r="J49" s="12"/>
      <c r="K49" s="11"/>
      <c r="L49" s="18" t="str">
        <f aca="false">IF($A49="","",COUNTIFS($A$3:$A49,$A49))</f>
        <v/>
      </c>
      <c r="M49" s="18" t="str">
        <f aca="false">IF($A49="","",$A49&amp;"|"&amp;$L49)</f>
        <v/>
      </c>
      <c r="N49" s="18" t="str">
        <f aca="false">IF(OR($A49="",UPPER($J49)&lt;&gt;"Y"),"",$A49&amp;"#"&amp;COUNTIFS($A$3:$A49,$A49,$J$3:$J49,"Y"))</f>
        <v/>
      </c>
    </row>
    <row r="50" customFormat="false" ht="15" hidden="false" customHeight="true" outlineLevel="0" collapsed="false">
      <c r="A50" s="11"/>
      <c r="B50" s="17"/>
      <c r="C50" s="12"/>
      <c r="D50" s="12"/>
      <c r="E50" s="18" t="str">
        <f aca="false">IF($D50="","",IFERROR(INDEX(품목마스터!$B$3:$B$102,MATCH($D50,품목마스터!$A$3:$A$102,0)),""))</f>
        <v/>
      </c>
      <c r="F50" s="18" t="str">
        <f aca="false">IF($D50="","",IFERROR(INDEX(품목마스터!$C$3:$C$102,MATCH($D50,품목마스터!$A$3:$A$102,0)),""))</f>
        <v/>
      </c>
      <c r="G50" s="13" t="str">
        <f aca="false">IF($D50="","",IFERROR(INDEX(품목마스터!$D$3:$D$102,MATCH($D50,품목마스터!$A$3:$A$102,0)),0))</f>
        <v/>
      </c>
      <c r="H50" s="11"/>
      <c r="I50" s="19" t="str">
        <f aca="false">IF(OR($G50="",$H50=""),"",ROUND($G50*$H50,0))</f>
        <v/>
      </c>
      <c r="J50" s="12"/>
      <c r="K50" s="11"/>
      <c r="L50" s="18" t="str">
        <f aca="false">IF($A50="","",COUNTIFS($A$3:$A50,$A50))</f>
        <v/>
      </c>
      <c r="M50" s="18" t="str">
        <f aca="false">IF($A50="","",$A50&amp;"|"&amp;$L50)</f>
        <v/>
      </c>
      <c r="N50" s="18" t="str">
        <f aca="false">IF(OR($A50="",UPPER($J50)&lt;&gt;"Y"),"",$A50&amp;"#"&amp;COUNTIFS($A$3:$A50,$A50,$J$3:$J50,"Y"))</f>
        <v/>
      </c>
    </row>
    <row r="51" customFormat="false" ht="15" hidden="false" customHeight="true" outlineLevel="0" collapsed="false">
      <c r="A51" s="11"/>
      <c r="B51" s="17"/>
      <c r="C51" s="12"/>
      <c r="D51" s="12"/>
      <c r="E51" s="18" t="str">
        <f aca="false">IF($D51="","",IFERROR(INDEX(품목마스터!$B$3:$B$102,MATCH($D51,품목마스터!$A$3:$A$102,0)),""))</f>
        <v/>
      </c>
      <c r="F51" s="18" t="str">
        <f aca="false">IF($D51="","",IFERROR(INDEX(품목마스터!$C$3:$C$102,MATCH($D51,품목마스터!$A$3:$A$102,0)),""))</f>
        <v/>
      </c>
      <c r="G51" s="13" t="str">
        <f aca="false">IF($D51="","",IFERROR(INDEX(품목마스터!$D$3:$D$102,MATCH($D51,품목마스터!$A$3:$A$102,0)),0))</f>
        <v/>
      </c>
      <c r="H51" s="11"/>
      <c r="I51" s="19" t="str">
        <f aca="false">IF(OR($G51="",$H51=""),"",ROUND($G51*$H51,0))</f>
        <v/>
      </c>
      <c r="J51" s="12"/>
      <c r="K51" s="11"/>
      <c r="L51" s="18" t="str">
        <f aca="false">IF($A51="","",COUNTIFS($A$3:$A51,$A51))</f>
        <v/>
      </c>
      <c r="M51" s="18" t="str">
        <f aca="false">IF($A51="","",$A51&amp;"|"&amp;$L51)</f>
        <v/>
      </c>
      <c r="N51" s="18" t="str">
        <f aca="false">IF(OR($A51="",UPPER($J51)&lt;&gt;"Y"),"",$A51&amp;"#"&amp;COUNTIFS($A$3:$A51,$A51,$J$3:$J51,"Y"))</f>
        <v/>
      </c>
    </row>
    <row r="52" customFormat="false" ht="15" hidden="false" customHeight="true" outlineLevel="0" collapsed="false">
      <c r="A52" s="11"/>
      <c r="B52" s="17"/>
      <c r="C52" s="12"/>
      <c r="D52" s="12"/>
      <c r="E52" s="18" t="str">
        <f aca="false">IF($D52="","",IFERROR(INDEX(품목마스터!$B$3:$B$102,MATCH($D52,품목마스터!$A$3:$A$102,0)),""))</f>
        <v/>
      </c>
      <c r="F52" s="18" t="str">
        <f aca="false">IF($D52="","",IFERROR(INDEX(품목마스터!$C$3:$C$102,MATCH($D52,품목마스터!$A$3:$A$102,0)),""))</f>
        <v/>
      </c>
      <c r="G52" s="13" t="str">
        <f aca="false">IF($D52="","",IFERROR(INDEX(품목마스터!$D$3:$D$102,MATCH($D52,품목마스터!$A$3:$A$102,0)),0))</f>
        <v/>
      </c>
      <c r="H52" s="11"/>
      <c r="I52" s="19" t="str">
        <f aca="false">IF(OR($G52="",$H52=""),"",ROUND($G52*$H52,0))</f>
        <v/>
      </c>
      <c r="J52" s="12"/>
      <c r="K52" s="11"/>
      <c r="L52" s="18" t="str">
        <f aca="false">IF($A52="","",COUNTIFS($A$3:$A52,$A52))</f>
        <v/>
      </c>
      <c r="M52" s="18" t="str">
        <f aca="false">IF($A52="","",$A52&amp;"|"&amp;$L52)</f>
        <v/>
      </c>
      <c r="N52" s="18" t="str">
        <f aca="false">IF(OR($A52="",UPPER($J52)&lt;&gt;"Y"),"",$A52&amp;"#"&amp;COUNTIFS($A$3:$A52,$A52,$J$3:$J52,"Y"))</f>
        <v/>
      </c>
    </row>
    <row r="53" customFormat="false" ht="15" hidden="false" customHeight="true" outlineLevel="0" collapsed="false">
      <c r="A53" s="11"/>
      <c r="B53" s="17"/>
      <c r="C53" s="12"/>
      <c r="D53" s="12"/>
      <c r="E53" s="18" t="str">
        <f aca="false">IF($D53="","",IFERROR(INDEX(품목마스터!$B$3:$B$102,MATCH($D53,품목마스터!$A$3:$A$102,0)),""))</f>
        <v/>
      </c>
      <c r="F53" s="18" t="str">
        <f aca="false">IF($D53="","",IFERROR(INDEX(품목마스터!$C$3:$C$102,MATCH($D53,품목마스터!$A$3:$A$102,0)),""))</f>
        <v/>
      </c>
      <c r="G53" s="13" t="str">
        <f aca="false">IF($D53="","",IFERROR(INDEX(품목마스터!$D$3:$D$102,MATCH($D53,품목마스터!$A$3:$A$102,0)),0))</f>
        <v/>
      </c>
      <c r="H53" s="11"/>
      <c r="I53" s="19" t="str">
        <f aca="false">IF(OR($G53="",$H53=""),"",ROUND($G53*$H53,0))</f>
        <v/>
      </c>
      <c r="J53" s="12"/>
      <c r="K53" s="11"/>
      <c r="L53" s="18" t="str">
        <f aca="false">IF($A53="","",COUNTIFS($A$3:$A53,$A53))</f>
        <v/>
      </c>
      <c r="M53" s="18" t="str">
        <f aca="false">IF($A53="","",$A53&amp;"|"&amp;$L53)</f>
        <v/>
      </c>
      <c r="N53" s="18" t="str">
        <f aca="false">IF(OR($A53="",UPPER($J53)&lt;&gt;"Y"),"",$A53&amp;"#"&amp;COUNTIFS($A$3:$A53,$A53,$J$3:$J53,"Y"))</f>
        <v/>
      </c>
    </row>
    <row r="54" customFormat="false" ht="15" hidden="false" customHeight="true" outlineLevel="0" collapsed="false">
      <c r="A54" s="11"/>
      <c r="B54" s="17"/>
      <c r="C54" s="12"/>
      <c r="D54" s="12"/>
      <c r="E54" s="18" t="str">
        <f aca="false">IF($D54="","",IFERROR(INDEX(품목마스터!$B$3:$B$102,MATCH($D54,품목마스터!$A$3:$A$102,0)),""))</f>
        <v/>
      </c>
      <c r="F54" s="18" t="str">
        <f aca="false">IF($D54="","",IFERROR(INDEX(품목마스터!$C$3:$C$102,MATCH($D54,품목마스터!$A$3:$A$102,0)),""))</f>
        <v/>
      </c>
      <c r="G54" s="13" t="str">
        <f aca="false">IF($D54="","",IFERROR(INDEX(품목마스터!$D$3:$D$102,MATCH($D54,품목마스터!$A$3:$A$102,0)),0))</f>
        <v/>
      </c>
      <c r="H54" s="11"/>
      <c r="I54" s="19" t="str">
        <f aca="false">IF(OR($G54="",$H54=""),"",ROUND($G54*$H54,0))</f>
        <v/>
      </c>
      <c r="J54" s="12"/>
      <c r="K54" s="11"/>
      <c r="L54" s="18" t="str">
        <f aca="false">IF($A54="","",COUNTIFS($A$3:$A54,$A54))</f>
        <v/>
      </c>
      <c r="M54" s="18" t="str">
        <f aca="false">IF($A54="","",$A54&amp;"|"&amp;$L54)</f>
        <v/>
      </c>
      <c r="N54" s="18" t="str">
        <f aca="false">IF(OR($A54="",UPPER($J54)&lt;&gt;"Y"),"",$A54&amp;"#"&amp;COUNTIFS($A$3:$A54,$A54,$J$3:$J54,"Y"))</f>
        <v/>
      </c>
    </row>
    <row r="55" customFormat="false" ht="15" hidden="false" customHeight="true" outlineLevel="0" collapsed="false">
      <c r="A55" s="11"/>
      <c r="B55" s="17"/>
      <c r="C55" s="12"/>
      <c r="D55" s="12"/>
      <c r="E55" s="18" t="str">
        <f aca="false">IF($D55="","",IFERROR(INDEX(품목마스터!$B$3:$B$102,MATCH($D55,품목마스터!$A$3:$A$102,0)),""))</f>
        <v/>
      </c>
      <c r="F55" s="18" t="str">
        <f aca="false">IF($D55="","",IFERROR(INDEX(품목마스터!$C$3:$C$102,MATCH($D55,품목마스터!$A$3:$A$102,0)),""))</f>
        <v/>
      </c>
      <c r="G55" s="13" t="str">
        <f aca="false">IF($D55="","",IFERROR(INDEX(품목마스터!$D$3:$D$102,MATCH($D55,품목마스터!$A$3:$A$102,0)),0))</f>
        <v/>
      </c>
      <c r="H55" s="11"/>
      <c r="I55" s="19" t="str">
        <f aca="false">IF(OR($G55="",$H55=""),"",ROUND($G55*$H55,0))</f>
        <v/>
      </c>
      <c r="J55" s="12"/>
      <c r="K55" s="11"/>
      <c r="L55" s="18" t="str">
        <f aca="false">IF($A55="","",COUNTIFS($A$3:$A55,$A55))</f>
        <v/>
      </c>
      <c r="M55" s="18" t="str">
        <f aca="false">IF($A55="","",$A55&amp;"|"&amp;$L55)</f>
        <v/>
      </c>
      <c r="N55" s="18" t="str">
        <f aca="false">IF(OR($A55="",UPPER($J55)&lt;&gt;"Y"),"",$A55&amp;"#"&amp;COUNTIFS($A$3:$A55,$A55,$J$3:$J55,"Y"))</f>
        <v/>
      </c>
    </row>
    <row r="56" customFormat="false" ht="15" hidden="false" customHeight="true" outlineLevel="0" collapsed="false">
      <c r="A56" s="11"/>
      <c r="B56" s="17"/>
      <c r="C56" s="12"/>
      <c r="D56" s="12"/>
      <c r="E56" s="18" t="str">
        <f aca="false">IF($D56="","",IFERROR(INDEX(품목마스터!$B$3:$B$102,MATCH($D56,품목마스터!$A$3:$A$102,0)),""))</f>
        <v/>
      </c>
      <c r="F56" s="18" t="str">
        <f aca="false">IF($D56="","",IFERROR(INDEX(품목마스터!$C$3:$C$102,MATCH($D56,품목마스터!$A$3:$A$102,0)),""))</f>
        <v/>
      </c>
      <c r="G56" s="13" t="str">
        <f aca="false">IF($D56="","",IFERROR(INDEX(품목마스터!$D$3:$D$102,MATCH($D56,품목마스터!$A$3:$A$102,0)),0))</f>
        <v/>
      </c>
      <c r="H56" s="11"/>
      <c r="I56" s="19" t="str">
        <f aca="false">IF(OR($G56="",$H56=""),"",ROUND($G56*$H56,0))</f>
        <v/>
      </c>
      <c r="J56" s="12"/>
      <c r="K56" s="11"/>
      <c r="L56" s="18" t="str">
        <f aca="false">IF($A56="","",COUNTIFS($A$3:$A56,$A56))</f>
        <v/>
      </c>
      <c r="M56" s="18" t="str">
        <f aca="false">IF($A56="","",$A56&amp;"|"&amp;$L56)</f>
        <v/>
      </c>
      <c r="N56" s="18" t="str">
        <f aca="false">IF(OR($A56="",UPPER($J56)&lt;&gt;"Y"),"",$A56&amp;"#"&amp;COUNTIFS($A$3:$A56,$A56,$J$3:$J56,"Y"))</f>
        <v/>
      </c>
    </row>
    <row r="57" customFormat="false" ht="15" hidden="false" customHeight="true" outlineLevel="0" collapsed="false">
      <c r="A57" s="11"/>
      <c r="B57" s="17"/>
      <c r="C57" s="12"/>
      <c r="D57" s="12"/>
      <c r="E57" s="18" t="str">
        <f aca="false">IF($D57="","",IFERROR(INDEX(품목마스터!$B$3:$B$102,MATCH($D57,품목마스터!$A$3:$A$102,0)),""))</f>
        <v/>
      </c>
      <c r="F57" s="18" t="str">
        <f aca="false">IF($D57="","",IFERROR(INDEX(품목마스터!$C$3:$C$102,MATCH($D57,품목마스터!$A$3:$A$102,0)),""))</f>
        <v/>
      </c>
      <c r="G57" s="13" t="str">
        <f aca="false">IF($D57="","",IFERROR(INDEX(품목마스터!$D$3:$D$102,MATCH($D57,품목마스터!$A$3:$A$102,0)),0))</f>
        <v/>
      </c>
      <c r="H57" s="11"/>
      <c r="I57" s="19" t="str">
        <f aca="false">IF(OR($G57="",$H57=""),"",ROUND($G57*$H57,0))</f>
        <v/>
      </c>
      <c r="J57" s="12"/>
      <c r="K57" s="11"/>
      <c r="L57" s="18" t="str">
        <f aca="false">IF($A57="","",COUNTIFS($A$3:$A57,$A57))</f>
        <v/>
      </c>
      <c r="M57" s="18" t="str">
        <f aca="false">IF($A57="","",$A57&amp;"|"&amp;$L57)</f>
        <v/>
      </c>
      <c r="N57" s="18" t="str">
        <f aca="false">IF(OR($A57="",UPPER($J57)&lt;&gt;"Y"),"",$A57&amp;"#"&amp;COUNTIFS($A$3:$A57,$A57,$J$3:$J57,"Y"))</f>
        <v/>
      </c>
    </row>
    <row r="58" customFormat="false" ht="15" hidden="false" customHeight="true" outlineLevel="0" collapsed="false">
      <c r="A58" s="11"/>
      <c r="B58" s="17"/>
      <c r="C58" s="12"/>
      <c r="D58" s="12"/>
      <c r="E58" s="18" t="str">
        <f aca="false">IF($D58="","",IFERROR(INDEX(품목마스터!$B$3:$B$102,MATCH($D58,품목마스터!$A$3:$A$102,0)),""))</f>
        <v/>
      </c>
      <c r="F58" s="18" t="str">
        <f aca="false">IF($D58="","",IFERROR(INDEX(품목마스터!$C$3:$C$102,MATCH($D58,품목마스터!$A$3:$A$102,0)),""))</f>
        <v/>
      </c>
      <c r="G58" s="13" t="str">
        <f aca="false">IF($D58="","",IFERROR(INDEX(품목마스터!$D$3:$D$102,MATCH($D58,품목마스터!$A$3:$A$102,0)),0))</f>
        <v/>
      </c>
      <c r="H58" s="11"/>
      <c r="I58" s="19" t="str">
        <f aca="false">IF(OR($G58="",$H58=""),"",ROUND($G58*$H58,0))</f>
        <v/>
      </c>
      <c r="J58" s="12"/>
      <c r="K58" s="11"/>
      <c r="L58" s="18" t="str">
        <f aca="false">IF($A58="","",COUNTIFS($A$3:$A58,$A58))</f>
        <v/>
      </c>
      <c r="M58" s="18" t="str">
        <f aca="false">IF($A58="","",$A58&amp;"|"&amp;$L58)</f>
        <v/>
      </c>
      <c r="N58" s="18" t="str">
        <f aca="false">IF(OR($A58="",UPPER($J58)&lt;&gt;"Y"),"",$A58&amp;"#"&amp;COUNTIFS($A$3:$A58,$A58,$J$3:$J58,"Y"))</f>
        <v/>
      </c>
    </row>
    <row r="59" customFormat="false" ht="15" hidden="false" customHeight="true" outlineLevel="0" collapsed="false">
      <c r="A59" s="11"/>
      <c r="B59" s="17"/>
      <c r="C59" s="12"/>
      <c r="D59" s="12"/>
      <c r="E59" s="18" t="str">
        <f aca="false">IF($D59="","",IFERROR(INDEX(품목마스터!$B$3:$B$102,MATCH($D59,품목마스터!$A$3:$A$102,0)),""))</f>
        <v/>
      </c>
      <c r="F59" s="18" t="str">
        <f aca="false">IF($D59="","",IFERROR(INDEX(품목마스터!$C$3:$C$102,MATCH($D59,품목마스터!$A$3:$A$102,0)),""))</f>
        <v/>
      </c>
      <c r="G59" s="13" t="str">
        <f aca="false">IF($D59="","",IFERROR(INDEX(품목마스터!$D$3:$D$102,MATCH($D59,품목마스터!$A$3:$A$102,0)),0))</f>
        <v/>
      </c>
      <c r="H59" s="11"/>
      <c r="I59" s="19" t="str">
        <f aca="false">IF(OR($G59="",$H59=""),"",ROUND($G59*$H59,0))</f>
        <v/>
      </c>
      <c r="J59" s="12"/>
      <c r="K59" s="11"/>
      <c r="L59" s="18" t="str">
        <f aca="false">IF($A59="","",COUNTIFS($A$3:$A59,$A59))</f>
        <v/>
      </c>
      <c r="M59" s="18" t="str">
        <f aca="false">IF($A59="","",$A59&amp;"|"&amp;$L59)</f>
        <v/>
      </c>
      <c r="N59" s="18" t="str">
        <f aca="false">IF(OR($A59="",UPPER($J59)&lt;&gt;"Y"),"",$A59&amp;"#"&amp;COUNTIFS($A$3:$A59,$A59,$J$3:$J59,"Y"))</f>
        <v/>
      </c>
    </row>
    <row r="60" customFormat="false" ht="15" hidden="false" customHeight="true" outlineLevel="0" collapsed="false">
      <c r="A60" s="11"/>
      <c r="B60" s="17"/>
      <c r="C60" s="12"/>
      <c r="D60" s="12"/>
      <c r="E60" s="18" t="str">
        <f aca="false">IF($D60="","",IFERROR(INDEX(품목마스터!$B$3:$B$102,MATCH($D60,품목마스터!$A$3:$A$102,0)),""))</f>
        <v/>
      </c>
      <c r="F60" s="18" t="str">
        <f aca="false">IF($D60="","",IFERROR(INDEX(품목마스터!$C$3:$C$102,MATCH($D60,품목마스터!$A$3:$A$102,0)),""))</f>
        <v/>
      </c>
      <c r="G60" s="13" t="str">
        <f aca="false">IF($D60="","",IFERROR(INDEX(품목마스터!$D$3:$D$102,MATCH($D60,품목마스터!$A$3:$A$102,0)),0))</f>
        <v/>
      </c>
      <c r="H60" s="11"/>
      <c r="I60" s="19" t="str">
        <f aca="false">IF(OR($G60="",$H60=""),"",ROUND($G60*$H60,0))</f>
        <v/>
      </c>
      <c r="J60" s="12"/>
      <c r="K60" s="11"/>
      <c r="L60" s="18" t="str">
        <f aca="false">IF($A60="","",COUNTIFS($A$3:$A60,$A60))</f>
        <v/>
      </c>
      <c r="M60" s="18" t="str">
        <f aca="false">IF($A60="","",$A60&amp;"|"&amp;$L60)</f>
        <v/>
      </c>
      <c r="N60" s="18" t="str">
        <f aca="false">IF(OR($A60="",UPPER($J60)&lt;&gt;"Y"),"",$A60&amp;"#"&amp;COUNTIFS($A$3:$A60,$A60,$J$3:$J60,"Y"))</f>
        <v/>
      </c>
    </row>
    <row r="61" customFormat="false" ht="15" hidden="false" customHeight="true" outlineLevel="0" collapsed="false">
      <c r="A61" s="11"/>
      <c r="B61" s="17"/>
      <c r="C61" s="12"/>
      <c r="D61" s="12"/>
      <c r="E61" s="18" t="str">
        <f aca="false">IF($D61="","",IFERROR(INDEX(품목마스터!$B$3:$B$102,MATCH($D61,품목마스터!$A$3:$A$102,0)),""))</f>
        <v/>
      </c>
      <c r="F61" s="18" t="str">
        <f aca="false">IF($D61="","",IFERROR(INDEX(품목마스터!$C$3:$C$102,MATCH($D61,품목마스터!$A$3:$A$102,0)),""))</f>
        <v/>
      </c>
      <c r="G61" s="13" t="str">
        <f aca="false">IF($D61="","",IFERROR(INDEX(품목마스터!$D$3:$D$102,MATCH($D61,품목마스터!$A$3:$A$102,0)),0))</f>
        <v/>
      </c>
      <c r="H61" s="11"/>
      <c r="I61" s="19" t="str">
        <f aca="false">IF(OR($G61="",$H61=""),"",ROUND($G61*$H61,0))</f>
        <v/>
      </c>
      <c r="J61" s="12"/>
      <c r="K61" s="11"/>
      <c r="L61" s="18" t="str">
        <f aca="false">IF($A61="","",COUNTIFS($A$3:$A61,$A61))</f>
        <v/>
      </c>
      <c r="M61" s="18" t="str">
        <f aca="false">IF($A61="","",$A61&amp;"|"&amp;$L61)</f>
        <v/>
      </c>
      <c r="N61" s="18" t="str">
        <f aca="false">IF(OR($A61="",UPPER($J61)&lt;&gt;"Y"),"",$A61&amp;"#"&amp;COUNTIFS($A$3:$A61,$A61,$J$3:$J61,"Y"))</f>
        <v/>
      </c>
    </row>
    <row r="62" customFormat="false" ht="15" hidden="false" customHeight="true" outlineLevel="0" collapsed="false">
      <c r="A62" s="11"/>
      <c r="B62" s="17"/>
      <c r="C62" s="12"/>
      <c r="D62" s="12"/>
      <c r="E62" s="18" t="str">
        <f aca="false">IF($D62="","",IFERROR(INDEX(품목마스터!$B$3:$B$102,MATCH($D62,품목마스터!$A$3:$A$102,0)),""))</f>
        <v/>
      </c>
      <c r="F62" s="18" t="str">
        <f aca="false">IF($D62="","",IFERROR(INDEX(품목마스터!$C$3:$C$102,MATCH($D62,품목마스터!$A$3:$A$102,0)),""))</f>
        <v/>
      </c>
      <c r="G62" s="13" t="str">
        <f aca="false">IF($D62="","",IFERROR(INDEX(품목마스터!$D$3:$D$102,MATCH($D62,품목마스터!$A$3:$A$102,0)),0))</f>
        <v/>
      </c>
      <c r="H62" s="11"/>
      <c r="I62" s="19" t="str">
        <f aca="false">IF(OR($G62="",$H62=""),"",ROUND($G62*$H62,0))</f>
        <v/>
      </c>
      <c r="J62" s="12"/>
      <c r="K62" s="11"/>
      <c r="L62" s="18" t="str">
        <f aca="false">IF($A62="","",COUNTIFS($A$3:$A62,$A62))</f>
        <v/>
      </c>
      <c r="M62" s="18" t="str">
        <f aca="false">IF($A62="","",$A62&amp;"|"&amp;$L62)</f>
        <v/>
      </c>
      <c r="N62" s="18" t="str">
        <f aca="false">IF(OR($A62="",UPPER($J62)&lt;&gt;"Y"),"",$A62&amp;"#"&amp;COUNTIFS($A$3:$A62,$A62,$J$3:$J62,"Y"))</f>
        <v/>
      </c>
    </row>
    <row r="63" customFormat="false" ht="15" hidden="false" customHeight="true" outlineLevel="0" collapsed="false">
      <c r="A63" s="11"/>
      <c r="B63" s="17"/>
      <c r="C63" s="12"/>
      <c r="D63" s="12"/>
      <c r="E63" s="18" t="str">
        <f aca="false">IF($D63="","",IFERROR(INDEX(품목마스터!$B$3:$B$102,MATCH($D63,품목마스터!$A$3:$A$102,0)),""))</f>
        <v/>
      </c>
      <c r="F63" s="18" t="str">
        <f aca="false">IF($D63="","",IFERROR(INDEX(품목마스터!$C$3:$C$102,MATCH($D63,품목마스터!$A$3:$A$102,0)),""))</f>
        <v/>
      </c>
      <c r="G63" s="13" t="str">
        <f aca="false">IF($D63="","",IFERROR(INDEX(품목마스터!$D$3:$D$102,MATCH($D63,품목마스터!$A$3:$A$102,0)),0))</f>
        <v/>
      </c>
      <c r="H63" s="11"/>
      <c r="I63" s="19" t="str">
        <f aca="false">IF(OR($G63="",$H63=""),"",ROUND($G63*$H63,0))</f>
        <v/>
      </c>
      <c r="J63" s="12"/>
      <c r="K63" s="11"/>
      <c r="L63" s="18" t="str">
        <f aca="false">IF($A63="","",COUNTIFS($A$3:$A63,$A63))</f>
        <v/>
      </c>
      <c r="M63" s="18" t="str">
        <f aca="false">IF($A63="","",$A63&amp;"|"&amp;$L63)</f>
        <v/>
      </c>
      <c r="N63" s="18" t="str">
        <f aca="false">IF(OR($A63="",UPPER($J63)&lt;&gt;"Y"),"",$A63&amp;"#"&amp;COUNTIFS($A$3:$A63,$A63,$J$3:$J63,"Y"))</f>
        <v/>
      </c>
    </row>
    <row r="64" customFormat="false" ht="15" hidden="false" customHeight="true" outlineLevel="0" collapsed="false">
      <c r="A64" s="11"/>
      <c r="B64" s="17"/>
      <c r="C64" s="12"/>
      <c r="D64" s="12"/>
      <c r="E64" s="18" t="str">
        <f aca="false">IF($D64="","",IFERROR(INDEX(품목마스터!$B$3:$B$102,MATCH($D64,품목마스터!$A$3:$A$102,0)),""))</f>
        <v/>
      </c>
      <c r="F64" s="18" t="str">
        <f aca="false">IF($D64="","",IFERROR(INDEX(품목마스터!$C$3:$C$102,MATCH($D64,품목마스터!$A$3:$A$102,0)),""))</f>
        <v/>
      </c>
      <c r="G64" s="13" t="str">
        <f aca="false">IF($D64="","",IFERROR(INDEX(품목마스터!$D$3:$D$102,MATCH($D64,품목마스터!$A$3:$A$102,0)),0))</f>
        <v/>
      </c>
      <c r="H64" s="11"/>
      <c r="I64" s="19" t="str">
        <f aca="false">IF(OR($G64="",$H64=""),"",ROUND($G64*$H64,0))</f>
        <v/>
      </c>
      <c r="J64" s="12"/>
      <c r="K64" s="11"/>
      <c r="L64" s="18" t="str">
        <f aca="false">IF($A64="","",COUNTIFS($A$3:$A64,$A64))</f>
        <v/>
      </c>
      <c r="M64" s="18" t="str">
        <f aca="false">IF($A64="","",$A64&amp;"|"&amp;$L64)</f>
        <v/>
      </c>
      <c r="N64" s="18" t="str">
        <f aca="false">IF(OR($A64="",UPPER($J64)&lt;&gt;"Y"),"",$A64&amp;"#"&amp;COUNTIFS($A$3:$A64,$A64,$J$3:$J64,"Y"))</f>
        <v/>
      </c>
    </row>
    <row r="65" customFormat="false" ht="15" hidden="false" customHeight="true" outlineLevel="0" collapsed="false">
      <c r="A65" s="11"/>
      <c r="B65" s="17"/>
      <c r="C65" s="12"/>
      <c r="D65" s="12"/>
      <c r="E65" s="18" t="str">
        <f aca="false">IF($D65="","",IFERROR(INDEX(품목마스터!$B$3:$B$102,MATCH($D65,품목마스터!$A$3:$A$102,0)),""))</f>
        <v/>
      </c>
      <c r="F65" s="18" t="str">
        <f aca="false">IF($D65="","",IFERROR(INDEX(품목마스터!$C$3:$C$102,MATCH($D65,품목마스터!$A$3:$A$102,0)),""))</f>
        <v/>
      </c>
      <c r="G65" s="13" t="str">
        <f aca="false">IF($D65="","",IFERROR(INDEX(품목마스터!$D$3:$D$102,MATCH($D65,품목마스터!$A$3:$A$102,0)),0))</f>
        <v/>
      </c>
      <c r="H65" s="11"/>
      <c r="I65" s="19" t="str">
        <f aca="false">IF(OR($G65="",$H65=""),"",ROUND($G65*$H65,0))</f>
        <v/>
      </c>
      <c r="J65" s="12"/>
      <c r="K65" s="11"/>
      <c r="L65" s="18" t="str">
        <f aca="false">IF($A65="","",COUNTIFS($A$3:$A65,$A65))</f>
        <v/>
      </c>
      <c r="M65" s="18" t="str">
        <f aca="false">IF($A65="","",$A65&amp;"|"&amp;$L65)</f>
        <v/>
      </c>
      <c r="N65" s="18" t="str">
        <f aca="false">IF(OR($A65="",UPPER($J65)&lt;&gt;"Y"),"",$A65&amp;"#"&amp;COUNTIFS($A$3:$A65,$A65,$J$3:$J65,"Y"))</f>
        <v/>
      </c>
    </row>
    <row r="66" customFormat="false" ht="15" hidden="false" customHeight="true" outlineLevel="0" collapsed="false">
      <c r="A66" s="11"/>
      <c r="B66" s="17"/>
      <c r="C66" s="12"/>
      <c r="D66" s="12"/>
      <c r="E66" s="18" t="str">
        <f aca="false">IF($D66="","",IFERROR(INDEX(품목마스터!$B$3:$B$102,MATCH($D66,품목마스터!$A$3:$A$102,0)),""))</f>
        <v/>
      </c>
      <c r="F66" s="18" t="str">
        <f aca="false">IF($D66="","",IFERROR(INDEX(품목마스터!$C$3:$C$102,MATCH($D66,품목마스터!$A$3:$A$102,0)),""))</f>
        <v/>
      </c>
      <c r="G66" s="13" t="str">
        <f aca="false">IF($D66="","",IFERROR(INDEX(품목마스터!$D$3:$D$102,MATCH($D66,품목마스터!$A$3:$A$102,0)),0))</f>
        <v/>
      </c>
      <c r="H66" s="11"/>
      <c r="I66" s="19" t="str">
        <f aca="false">IF(OR($G66="",$H66=""),"",ROUND($G66*$H66,0))</f>
        <v/>
      </c>
      <c r="J66" s="12"/>
      <c r="K66" s="11"/>
      <c r="L66" s="18" t="str">
        <f aca="false">IF($A66="","",COUNTIFS($A$3:$A66,$A66))</f>
        <v/>
      </c>
      <c r="M66" s="18" t="str">
        <f aca="false">IF($A66="","",$A66&amp;"|"&amp;$L66)</f>
        <v/>
      </c>
      <c r="N66" s="18" t="str">
        <f aca="false">IF(OR($A66="",UPPER($J66)&lt;&gt;"Y"),"",$A66&amp;"#"&amp;COUNTIFS($A$3:$A66,$A66,$J$3:$J66,"Y"))</f>
        <v/>
      </c>
    </row>
    <row r="67" customFormat="false" ht="15" hidden="false" customHeight="true" outlineLevel="0" collapsed="false">
      <c r="A67" s="11"/>
      <c r="B67" s="17"/>
      <c r="C67" s="12"/>
      <c r="D67" s="12"/>
      <c r="E67" s="18" t="str">
        <f aca="false">IF($D67="","",IFERROR(INDEX(품목마스터!$B$3:$B$102,MATCH($D67,품목마스터!$A$3:$A$102,0)),""))</f>
        <v/>
      </c>
      <c r="F67" s="18" t="str">
        <f aca="false">IF($D67="","",IFERROR(INDEX(품목마스터!$C$3:$C$102,MATCH($D67,품목마스터!$A$3:$A$102,0)),""))</f>
        <v/>
      </c>
      <c r="G67" s="13" t="str">
        <f aca="false">IF($D67="","",IFERROR(INDEX(품목마스터!$D$3:$D$102,MATCH($D67,품목마스터!$A$3:$A$102,0)),0))</f>
        <v/>
      </c>
      <c r="H67" s="11"/>
      <c r="I67" s="19" t="str">
        <f aca="false">IF(OR($G67="",$H67=""),"",ROUND($G67*$H67,0))</f>
        <v/>
      </c>
      <c r="J67" s="12"/>
      <c r="K67" s="11"/>
      <c r="L67" s="18" t="str">
        <f aca="false">IF($A67="","",COUNTIFS($A$3:$A67,$A67))</f>
        <v/>
      </c>
      <c r="M67" s="18" t="str">
        <f aca="false">IF($A67="","",$A67&amp;"|"&amp;$L67)</f>
        <v/>
      </c>
      <c r="N67" s="18" t="str">
        <f aca="false">IF(OR($A67="",UPPER($J67)&lt;&gt;"Y"),"",$A67&amp;"#"&amp;COUNTIFS($A$3:$A67,$A67,$J$3:$J67,"Y"))</f>
        <v/>
      </c>
    </row>
    <row r="68" customFormat="false" ht="15" hidden="false" customHeight="true" outlineLevel="0" collapsed="false">
      <c r="A68" s="11"/>
      <c r="B68" s="17"/>
      <c r="C68" s="12"/>
      <c r="D68" s="12"/>
      <c r="E68" s="18" t="str">
        <f aca="false">IF($D68="","",IFERROR(INDEX(품목마스터!$B$3:$B$102,MATCH($D68,품목마스터!$A$3:$A$102,0)),""))</f>
        <v/>
      </c>
      <c r="F68" s="18" t="str">
        <f aca="false">IF($D68="","",IFERROR(INDEX(품목마스터!$C$3:$C$102,MATCH($D68,품목마스터!$A$3:$A$102,0)),""))</f>
        <v/>
      </c>
      <c r="G68" s="13" t="str">
        <f aca="false">IF($D68="","",IFERROR(INDEX(품목마스터!$D$3:$D$102,MATCH($D68,품목마스터!$A$3:$A$102,0)),0))</f>
        <v/>
      </c>
      <c r="H68" s="11"/>
      <c r="I68" s="19" t="str">
        <f aca="false">IF(OR($G68="",$H68=""),"",ROUND($G68*$H68,0))</f>
        <v/>
      </c>
      <c r="J68" s="12"/>
      <c r="K68" s="11"/>
      <c r="L68" s="18" t="str">
        <f aca="false">IF($A68="","",COUNTIFS($A$3:$A68,$A68))</f>
        <v/>
      </c>
      <c r="M68" s="18" t="str">
        <f aca="false">IF($A68="","",$A68&amp;"|"&amp;$L68)</f>
        <v/>
      </c>
      <c r="N68" s="18" t="str">
        <f aca="false">IF(OR($A68="",UPPER($J68)&lt;&gt;"Y"),"",$A68&amp;"#"&amp;COUNTIFS($A$3:$A68,$A68,$J$3:$J68,"Y"))</f>
        <v/>
      </c>
    </row>
    <row r="69" customFormat="false" ht="15" hidden="false" customHeight="true" outlineLevel="0" collapsed="false">
      <c r="A69" s="11"/>
      <c r="B69" s="17"/>
      <c r="C69" s="12"/>
      <c r="D69" s="12"/>
      <c r="E69" s="18" t="str">
        <f aca="false">IF($D69="","",IFERROR(INDEX(품목마스터!$B$3:$B$102,MATCH($D69,품목마스터!$A$3:$A$102,0)),""))</f>
        <v/>
      </c>
      <c r="F69" s="18" t="str">
        <f aca="false">IF($D69="","",IFERROR(INDEX(품목마스터!$C$3:$C$102,MATCH($D69,품목마스터!$A$3:$A$102,0)),""))</f>
        <v/>
      </c>
      <c r="G69" s="13" t="str">
        <f aca="false">IF($D69="","",IFERROR(INDEX(품목마스터!$D$3:$D$102,MATCH($D69,품목마스터!$A$3:$A$102,0)),0))</f>
        <v/>
      </c>
      <c r="H69" s="11"/>
      <c r="I69" s="19" t="str">
        <f aca="false">IF(OR($G69="",$H69=""),"",ROUND($G69*$H69,0))</f>
        <v/>
      </c>
      <c r="J69" s="12"/>
      <c r="K69" s="11"/>
      <c r="L69" s="18" t="str">
        <f aca="false">IF($A69="","",COUNTIFS($A$3:$A69,$A69))</f>
        <v/>
      </c>
      <c r="M69" s="18" t="str">
        <f aca="false">IF($A69="","",$A69&amp;"|"&amp;$L69)</f>
        <v/>
      </c>
      <c r="N69" s="18" t="str">
        <f aca="false">IF(OR($A69="",UPPER($J69)&lt;&gt;"Y"),"",$A69&amp;"#"&amp;COUNTIFS($A$3:$A69,$A69,$J$3:$J69,"Y"))</f>
        <v/>
      </c>
    </row>
    <row r="70" customFormat="false" ht="15" hidden="false" customHeight="true" outlineLevel="0" collapsed="false">
      <c r="A70" s="11"/>
      <c r="B70" s="17"/>
      <c r="C70" s="12"/>
      <c r="D70" s="12"/>
      <c r="E70" s="18" t="str">
        <f aca="false">IF($D70="","",IFERROR(INDEX(품목마스터!$B$3:$B$102,MATCH($D70,품목마스터!$A$3:$A$102,0)),""))</f>
        <v/>
      </c>
      <c r="F70" s="18" t="str">
        <f aca="false">IF($D70="","",IFERROR(INDEX(품목마스터!$C$3:$C$102,MATCH($D70,품목마스터!$A$3:$A$102,0)),""))</f>
        <v/>
      </c>
      <c r="G70" s="13" t="str">
        <f aca="false">IF($D70="","",IFERROR(INDEX(품목마스터!$D$3:$D$102,MATCH($D70,품목마스터!$A$3:$A$102,0)),0))</f>
        <v/>
      </c>
      <c r="H70" s="11"/>
      <c r="I70" s="19" t="str">
        <f aca="false">IF(OR($G70="",$H70=""),"",ROUND($G70*$H70,0))</f>
        <v/>
      </c>
      <c r="J70" s="12"/>
      <c r="K70" s="11"/>
      <c r="L70" s="18" t="str">
        <f aca="false">IF($A70="","",COUNTIFS($A$3:$A70,$A70))</f>
        <v/>
      </c>
      <c r="M70" s="18" t="str">
        <f aca="false">IF($A70="","",$A70&amp;"|"&amp;$L70)</f>
        <v/>
      </c>
      <c r="N70" s="18" t="str">
        <f aca="false">IF(OR($A70="",UPPER($J70)&lt;&gt;"Y"),"",$A70&amp;"#"&amp;COUNTIFS($A$3:$A70,$A70,$J$3:$J70,"Y"))</f>
        <v/>
      </c>
    </row>
    <row r="71" customFormat="false" ht="15" hidden="false" customHeight="true" outlineLevel="0" collapsed="false">
      <c r="A71" s="11"/>
      <c r="B71" s="17"/>
      <c r="C71" s="12"/>
      <c r="D71" s="12"/>
      <c r="E71" s="18" t="str">
        <f aca="false">IF($D71="","",IFERROR(INDEX(품목마스터!$B$3:$B$102,MATCH($D71,품목마스터!$A$3:$A$102,0)),""))</f>
        <v/>
      </c>
      <c r="F71" s="18" t="str">
        <f aca="false">IF($D71="","",IFERROR(INDEX(품목마스터!$C$3:$C$102,MATCH($D71,품목마스터!$A$3:$A$102,0)),""))</f>
        <v/>
      </c>
      <c r="G71" s="13" t="str">
        <f aca="false">IF($D71="","",IFERROR(INDEX(품목마스터!$D$3:$D$102,MATCH($D71,품목마스터!$A$3:$A$102,0)),0))</f>
        <v/>
      </c>
      <c r="H71" s="11"/>
      <c r="I71" s="19" t="str">
        <f aca="false">IF(OR($G71="",$H71=""),"",ROUND($G71*$H71,0))</f>
        <v/>
      </c>
      <c r="J71" s="12"/>
      <c r="K71" s="11"/>
      <c r="L71" s="18" t="str">
        <f aca="false">IF($A71="","",COUNTIFS($A$3:$A71,$A71))</f>
        <v/>
      </c>
      <c r="M71" s="18" t="str">
        <f aca="false">IF($A71="","",$A71&amp;"|"&amp;$L71)</f>
        <v/>
      </c>
      <c r="N71" s="18" t="str">
        <f aca="false">IF(OR($A71="",UPPER($J71)&lt;&gt;"Y"),"",$A71&amp;"#"&amp;COUNTIFS($A$3:$A71,$A71,$J$3:$J71,"Y"))</f>
        <v/>
      </c>
    </row>
    <row r="72" customFormat="false" ht="15" hidden="false" customHeight="true" outlineLevel="0" collapsed="false">
      <c r="A72" s="11"/>
      <c r="B72" s="17"/>
      <c r="C72" s="12"/>
      <c r="D72" s="12"/>
      <c r="E72" s="18" t="str">
        <f aca="false">IF($D72="","",IFERROR(INDEX(품목마스터!$B$3:$B$102,MATCH($D72,품목마스터!$A$3:$A$102,0)),""))</f>
        <v/>
      </c>
      <c r="F72" s="18" t="str">
        <f aca="false">IF($D72="","",IFERROR(INDEX(품목마스터!$C$3:$C$102,MATCH($D72,품목마스터!$A$3:$A$102,0)),""))</f>
        <v/>
      </c>
      <c r="G72" s="13" t="str">
        <f aca="false">IF($D72="","",IFERROR(INDEX(품목마스터!$D$3:$D$102,MATCH($D72,품목마스터!$A$3:$A$102,0)),0))</f>
        <v/>
      </c>
      <c r="H72" s="11"/>
      <c r="I72" s="19" t="str">
        <f aca="false">IF(OR($G72="",$H72=""),"",ROUND($G72*$H72,0))</f>
        <v/>
      </c>
      <c r="J72" s="12"/>
      <c r="K72" s="11"/>
      <c r="L72" s="18" t="str">
        <f aca="false">IF($A72="","",COUNTIFS($A$3:$A72,$A72))</f>
        <v/>
      </c>
      <c r="M72" s="18" t="str">
        <f aca="false">IF($A72="","",$A72&amp;"|"&amp;$L72)</f>
        <v/>
      </c>
      <c r="N72" s="18" t="str">
        <f aca="false">IF(OR($A72="",UPPER($J72)&lt;&gt;"Y"),"",$A72&amp;"#"&amp;COUNTIFS($A$3:$A72,$A72,$J$3:$J72,"Y"))</f>
        <v/>
      </c>
    </row>
    <row r="73" customFormat="false" ht="15" hidden="false" customHeight="true" outlineLevel="0" collapsed="false">
      <c r="A73" s="11"/>
      <c r="B73" s="17"/>
      <c r="C73" s="12"/>
      <c r="D73" s="12"/>
      <c r="E73" s="18" t="str">
        <f aca="false">IF($D73="","",IFERROR(INDEX(품목마스터!$B$3:$B$102,MATCH($D73,품목마스터!$A$3:$A$102,0)),""))</f>
        <v/>
      </c>
      <c r="F73" s="18" t="str">
        <f aca="false">IF($D73="","",IFERROR(INDEX(품목마스터!$C$3:$C$102,MATCH($D73,품목마스터!$A$3:$A$102,0)),""))</f>
        <v/>
      </c>
      <c r="G73" s="13" t="str">
        <f aca="false">IF($D73="","",IFERROR(INDEX(품목마스터!$D$3:$D$102,MATCH($D73,품목마스터!$A$3:$A$102,0)),0))</f>
        <v/>
      </c>
      <c r="H73" s="11"/>
      <c r="I73" s="19" t="str">
        <f aca="false">IF(OR($G73="",$H73=""),"",ROUND($G73*$H73,0))</f>
        <v/>
      </c>
      <c r="J73" s="12"/>
      <c r="K73" s="11"/>
      <c r="L73" s="18" t="str">
        <f aca="false">IF($A73="","",COUNTIFS($A$3:$A73,$A73))</f>
        <v/>
      </c>
      <c r="M73" s="18" t="str">
        <f aca="false">IF($A73="","",$A73&amp;"|"&amp;$L73)</f>
        <v/>
      </c>
      <c r="N73" s="18" t="str">
        <f aca="false">IF(OR($A73="",UPPER($J73)&lt;&gt;"Y"),"",$A73&amp;"#"&amp;COUNTIFS($A$3:$A73,$A73,$J$3:$J73,"Y"))</f>
        <v/>
      </c>
    </row>
    <row r="74" customFormat="false" ht="15" hidden="false" customHeight="true" outlineLevel="0" collapsed="false">
      <c r="A74" s="11"/>
      <c r="B74" s="17"/>
      <c r="C74" s="12"/>
      <c r="D74" s="12"/>
      <c r="E74" s="18" t="str">
        <f aca="false">IF($D74="","",IFERROR(INDEX(품목마스터!$B$3:$B$102,MATCH($D74,품목마스터!$A$3:$A$102,0)),""))</f>
        <v/>
      </c>
      <c r="F74" s="18" t="str">
        <f aca="false">IF($D74="","",IFERROR(INDEX(품목마스터!$C$3:$C$102,MATCH($D74,품목마스터!$A$3:$A$102,0)),""))</f>
        <v/>
      </c>
      <c r="G74" s="13" t="str">
        <f aca="false">IF($D74="","",IFERROR(INDEX(품목마스터!$D$3:$D$102,MATCH($D74,품목마스터!$A$3:$A$102,0)),0))</f>
        <v/>
      </c>
      <c r="H74" s="11"/>
      <c r="I74" s="19" t="str">
        <f aca="false">IF(OR($G74="",$H74=""),"",ROUND($G74*$H74,0))</f>
        <v/>
      </c>
      <c r="J74" s="12"/>
      <c r="K74" s="11"/>
      <c r="L74" s="18" t="str">
        <f aca="false">IF($A74="","",COUNTIFS($A$3:$A74,$A74))</f>
        <v/>
      </c>
      <c r="M74" s="18" t="str">
        <f aca="false">IF($A74="","",$A74&amp;"|"&amp;$L74)</f>
        <v/>
      </c>
      <c r="N74" s="18" t="str">
        <f aca="false">IF(OR($A74="",UPPER($J74)&lt;&gt;"Y"),"",$A74&amp;"#"&amp;COUNTIFS($A$3:$A74,$A74,$J$3:$J74,"Y"))</f>
        <v/>
      </c>
    </row>
    <row r="75" customFormat="false" ht="15" hidden="false" customHeight="true" outlineLevel="0" collapsed="false">
      <c r="A75" s="11"/>
      <c r="B75" s="17"/>
      <c r="C75" s="12"/>
      <c r="D75" s="12"/>
      <c r="E75" s="18" t="str">
        <f aca="false">IF($D75="","",IFERROR(INDEX(품목마스터!$B$3:$B$102,MATCH($D75,품목마스터!$A$3:$A$102,0)),""))</f>
        <v/>
      </c>
      <c r="F75" s="18" t="str">
        <f aca="false">IF($D75="","",IFERROR(INDEX(품목마스터!$C$3:$C$102,MATCH($D75,품목마스터!$A$3:$A$102,0)),""))</f>
        <v/>
      </c>
      <c r="G75" s="13" t="str">
        <f aca="false">IF($D75="","",IFERROR(INDEX(품목마스터!$D$3:$D$102,MATCH($D75,품목마스터!$A$3:$A$102,0)),0))</f>
        <v/>
      </c>
      <c r="H75" s="11"/>
      <c r="I75" s="19" t="str">
        <f aca="false">IF(OR($G75="",$H75=""),"",ROUND($G75*$H75,0))</f>
        <v/>
      </c>
      <c r="J75" s="12"/>
      <c r="K75" s="11"/>
      <c r="L75" s="18" t="str">
        <f aca="false">IF($A75="","",COUNTIFS($A$3:$A75,$A75))</f>
        <v/>
      </c>
      <c r="M75" s="18" t="str">
        <f aca="false">IF($A75="","",$A75&amp;"|"&amp;$L75)</f>
        <v/>
      </c>
      <c r="N75" s="18" t="str">
        <f aca="false">IF(OR($A75="",UPPER($J75)&lt;&gt;"Y"),"",$A75&amp;"#"&amp;COUNTIFS($A$3:$A75,$A75,$J$3:$J75,"Y"))</f>
        <v/>
      </c>
    </row>
    <row r="76" customFormat="false" ht="15" hidden="false" customHeight="true" outlineLevel="0" collapsed="false">
      <c r="A76" s="11"/>
      <c r="B76" s="17"/>
      <c r="C76" s="12"/>
      <c r="D76" s="12"/>
      <c r="E76" s="18" t="str">
        <f aca="false">IF($D76="","",IFERROR(INDEX(품목마스터!$B$3:$B$102,MATCH($D76,품목마스터!$A$3:$A$102,0)),""))</f>
        <v/>
      </c>
      <c r="F76" s="18" t="str">
        <f aca="false">IF($D76="","",IFERROR(INDEX(품목마스터!$C$3:$C$102,MATCH($D76,품목마스터!$A$3:$A$102,0)),""))</f>
        <v/>
      </c>
      <c r="G76" s="13" t="str">
        <f aca="false">IF($D76="","",IFERROR(INDEX(품목마스터!$D$3:$D$102,MATCH($D76,품목마스터!$A$3:$A$102,0)),0))</f>
        <v/>
      </c>
      <c r="H76" s="11"/>
      <c r="I76" s="19" t="str">
        <f aca="false">IF(OR($G76="",$H76=""),"",ROUND($G76*$H76,0))</f>
        <v/>
      </c>
      <c r="J76" s="12"/>
      <c r="K76" s="11"/>
      <c r="L76" s="18" t="str">
        <f aca="false">IF($A76="","",COUNTIFS($A$3:$A76,$A76))</f>
        <v/>
      </c>
      <c r="M76" s="18" t="str">
        <f aca="false">IF($A76="","",$A76&amp;"|"&amp;$L76)</f>
        <v/>
      </c>
      <c r="N76" s="18" t="str">
        <f aca="false">IF(OR($A76="",UPPER($J76)&lt;&gt;"Y"),"",$A76&amp;"#"&amp;COUNTIFS($A$3:$A76,$A76,$J$3:$J76,"Y"))</f>
        <v/>
      </c>
    </row>
    <row r="77" customFormat="false" ht="15" hidden="false" customHeight="true" outlineLevel="0" collapsed="false">
      <c r="A77" s="11"/>
      <c r="B77" s="17"/>
      <c r="C77" s="12"/>
      <c r="D77" s="12"/>
      <c r="E77" s="18" t="str">
        <f aca="false">IF($D77="","",IFERROR(INDEX(품목마스터!$B$3:$B$102,MATCH($D77,품목마스터!$A$3:$A$102,0)),""))</f>
        <v/>
      </c>
      <c r="F77" s="18" t="str">
        <f aca="false">IF($D77="","",IFERROR(INDEX(품목마스터!$C$3:$C$102,MATCH($D77,품목마스터!$A$3:$A$102,0)),""))</f>
        <v/>
      </c>
      <c r="G77" s="13" t="str">
        <f aca="false">IF($D77="","",IFERROR(INDEX(품목마스터!$D$3:$D$102,MATCH($D77,품목마스터!$A$3:$A$102,0)),0))</f>
        <v/>
      </c>
      <c r="H77" s="11"/>
      <c r="I77" s="19" t="str">
        <f aca="false">IF(OR($G77="",$H77=""),"",ROUND($G77*$H77,0))</f>
        <v/>
      </c>
      <c r="J77" s="12"/>
      <c r="K77" s="11"/>
      <c r="L77" s="18" t="str">
        <f aca="false">IF($A77="","",COUNTIFS($A$3:$A77,$A77))</f>
        <v/>
      </c>
      <c r="M77" s="18" t="str">
        <f aca="false">IF($A77="","",$A77&amp;"|"&amp;$L77)</f>
        <v/>
      </c>
      <c r="N77" s="18" t="str">
        <f aca="false">IF(OR($A77="",UPPER($J77)&lt;&gt;"Y"),"",$A77&amp;"#"&amp;COUNTIFS($A$3:$A77,$A77,$J$3:$J77,"Y"))</f>
        <v/>
      </c>
    </row>
    <row r="78" customFormat="false" ht="15" hidden="false" customHeight="true" outlineLevel="0" collapsed="false">
      <c r="A78" s="11"/>
      <c r="B78" s="17"/>
      <c r="C78" s="12"/>
      <c r="D78" s="12"/>
      <c r="E78" s="18" t="str">
        <f aca="false">IF($D78="","",IFERROR(INDEX(품목마스터!$B$3:$B$102,MATCH($D78,품목마스터!$A$3:$A$102,0)),""))</f>
        <v/>
      </c>
      <c r="F78" s="18" t="str">
        <f aca="false">IF($D78="","",IFERROR(INDEX(품목마스터!$C$3:$C$102,MATCH($D78,품목마스터!$A$3:$A$102,0)),""))</f>
        <v/>
      </c>
      <c r="G78" s="13" t="str">
        <f aca="false">IF($D78="","",IFERROR(INDEX(품목마스터!$D$3:$D$102,MATCH($D78,품목마스터!$A$3:$A$102,0)),0))</f>
        <v/>
      </c>
      <c r="H78" s="11"/>
      <c r="I78" s="19" t="str">
        <f aca="false">IF(OR($G78="",$H78=""),"",ROUND($G78*$H78,0))</f>
        <v/>
      </c>
      <c r="J78" s="12"/>
      <c r="K78" s="11"/>
      <c r="L78" s="18" t="str">
        <f aca="false">IF($A78="","",COUNTIFS($A$3:$A78,$A78))</f>
        <v/>
      </c>
      <c r="M78" s="18" t="str">
        <f aca="false">IF($A78="","",$A78&amp;"|"&amp;$L78)</f>
        <v/>
      </c>
      <c r="N78" s="18" t="str">
        <f aca="false">IF(OR($A78="",UPPER($J78)&lt;&gt;"Y"),"",$A78&amp;"#"&amp;COUNTIFS($A$3:$A78,$A78,$J$3:$J78,"Y"))</f>
        <v/>
      </c>
    </row>
    <row r="79" customFormat="false" ht="15" hidden="false" customHeight="true" outlineLevel="0" collapsed="false">
      <c r="A79" s="11"/>
      <c r="B79" s="17"/>
      <c r="C79" s="12"/>
      <c r="D79" s="12"/>
      <c r="E79" s="18" t="str">
        <f aca="false">IF($D79="","",IFERROR(INDEX(품목마스터!$B$3:$B$102,MATCH($D79,품목마스터!$A$3:$A$102,0)),""))</f>
        <v/>
      </c>
      <c r="F79" s="18" t="str">
        <f aca="false">IF($D79="","",IFERROR(INDEX(품목마스터!$C$3:$C$102,MATCH($D79,품목마스터!$A$3:$A$102,0)),""))</f>
        <v/>
      </c>
      <c r="G79" s="13" t="str">
        <f aca="false">IF($D79="","",IFERROR(INDEX(품목마스터!$D$3:$D$102,MATCH($D79,품목마스터!$A$3:$A$102,0)),0))</f>
        <v/>
      </c>
      <c r="H79" s="11"/>
      <c r="I79" s="19" t="str">
        <f aca="false">IF(OR($G79="",$H79=""),"",ROUND($G79*$H79,0))</f>
        <v/>
      </c>
      <c r="J79" s="12"/>
      <c r="K79" s="11"/>
      <c r="L79" s="18" t="str">
        <f aca="false">IF($A79="","",COUNTIFS($A$3:$A79,$A79))</f>
        <v/>
      </c>
      <c r="M79" s="18" t="str">
        <f aca="false">IF($A79="","",$A79&amp;"|"&amp;$L79)</f>
        <v/>
      </c>
      <c r="N79" s="18" t="str">
        <f aca="false">IF(OR($A79="",UPPER($J79)&lt;&gt;"Y"),"",$A79&amp;"#"&amp;COUNTIFS($A$3:$A79,$A79,$J$3:$J79,"Y"))</f>
        <v/>
      </c>
    </row>
    <row r="80" customFormat="false" ht="15" hidden="false" customHeight="true" outlineLevel="0" collapsed="false">
      <c r="A80" s="11"/>
      <c r="B80" s="17"/>
      <c r="C80" s="12"/>
      <c r="D80" s="12"/>
      <c r="E80" s="18" t="str">
        <f aca="false">IF($D80="","",IFERROR(INDEX(품목마스터!$B$3:$B$102,MATCH($D80,품목마스터!$A$3:$A$102,0)),""))</f>
        <v/>
      </c>
      <c r="F80" s="18" t="str">
        <f aca="false">IF($D80="","",IFERROR(INDEX(품목마스터!$C$3:$C$102,MATCH($D80,품목마스터!$A$3:$A$102,0)),""))</f>
        <v/>
      </c>
      <c r="G80" s="13" t="str">
        <f aca="false">IF($D80="","",IFERROR(INDEX(품목마스터!$D$3:$D$102,MATCH($D80,품목마스터!$A$3:$A$102,0)),0))</f>
        <v/>
      </c>
      <c r="H80" s="11"/>
      <c r="I80" s="19" t="str">
        <f aca="false">IF(OR($G80="",$H80=""),"",ROUND($G80*$H80,0))</f>
        <v/>
      </c>
      <c r="J80" s="12"/>
      <c r="K80" s="11"/>
      <c r="L80" s="18" t="str">
        <f aca="false">IF($A80="","",COUNTIFS($A$3:$A80,$A80))</f>
        <v/>
      </c>
      <c r="M80" s="18" t="str">
        <f aca="false">IF($A80="","",$A80&amp;"|"&amp;$L80)</f>
        <v/>
      </c>
      <c r="N80" s="18" t="str">
        <f aca="false">IF(OR($A80="",UPPER($J80)&lt;&gt;"Y"),"",$A80&amp;"#"&amp;COUNTIFS($A$3:$A80,$A80,$J$3:$J80,"Y"))</f>
        <v/>
      </c>
    </row>
    <row r="81" customFormat="false" ht="15" hidden="false" customHeight="true" outlineLevel="0" collapsed="false">
      <c r="A81" s="11"/>
      <c r="B81" s="17"/>
      <c r="C81" s="12"/>
      <c r="D81" s="12"/>
      <c r="E81" s="18" t="str">
        <f aca="false">IF($D81="","",IFERROR(INDEX(품목마스터!$B$3:$B$102,MATCH($D81,품목마스터!$A$3:$A$102,0)),""))</f>
        <v/>
      </c>
      <c r="F81" s="18" t="str">
        <f aca="false">IF($D81="","",IFERROR(INDEX(품목마스터!$C$3:$C$102,MATCH($D81,품목마스터!$A$3:$A$102,0)),""))</f>
        <v/>
      </c>
      <c r="G81" s="13" t="str">
        <f aca="false">IF($D81="","",IFERROR(INDEX(품목마스터!$D$3:$D$102,MATCH($D81,품목마스터!$A$3:$A$102,0)),0))</f>
        <v/>
      </c>
      <c r="H81" s="11"/>
      <c r="I81" s="19" t="str">
        <f aca="false">IF(OR($G81="",$H81=""),"",ROUND($G81*$H81,0))</f>
        <v/>
      </c>
      <c r="J81" s="12"/>
      <c r="K81" s="11"/>
      <c r="L81" s="18" t="str">
        <f aca="false">IF($A81="","",COUNTIFS($A$3:$A81,$A81))</f>
        <v/>
      </c>
      <c r="M81" s="18" t="str">
        <f aca="false">IF($A81="","",$A81&amp;"|"&amp;$L81)</f>
        <v/>
      </c>
      <c r="N81" s="18" t="str">
        <f aca="false">IF(OR($A81="",UPPER($J81)&lt;&gt;"Y"),"",$A81&amp;"#"&amp;COUNTIFS($A$3:$A81,$A81,$J$3:$J81,"Y"))</f>
        <v/>
      </c>
    </row>
    <row r="82" customFormat="false" ht="15" hidden="false" customHeight="true" outlineLevel="0" collapsed="false">
      <c r="A82" s="11"/>
      <c r="B82" s="17"/>
      <c r="C82" s="12"/>
      <c r="D82" s="12"/>
      <c r="E82" s="18" t="str">
        <f aca="false">IF($D82="","",IFERROR(INDEX(품목마스터!$B$3:$B$102,MATCH($D82,품목마스터!$A$3:$A$102,0)),""))</f>
        <v/>
      </c>
      <c r="F82" s="18" t="str">
        <f aca="false">IF($D82="","",IFERROR(INDEX(품목마스터!$C$3:$C$102,MATCH($D82,품목마스터!$A$3:$A$102,0)),""))</f>
        <v/>
      </c>
      <c r="G82" s="13" t="str">
        <f aca="false">IF($D82="","",IFERROR(INDEX(품목마스터!$D$3:$D$102,MATCH($D82,품목마스터!$A$3:$A$102,0)),0))</f>
        <v/>
      </c>
      <c r="H82" s="11"/>
      <c r="I82" s="19" t="str">
        <f aca="false">IF(OR($G82="",$H82=""),"",ROUND($G82*$H82,0))</f>
        <v/>
      </c>
      <c r="J82" s="12"/>
      <c r="K82" s="11"/>
      <c r="L82" s="18" t="str">
        <f aca="false">IF($A82="","",COUNTIFS($A$3:$A82,$A82))</f>
        <v/>
      </c>
      <c r="M82" s="18" t="str">
        <f aca="false">IF($A82="","",$A82&amp;"|"&amp;$L82)</f>
        <v/>
      </c>
      <c r="N82" s="18" t="str">
        <f aca="false">IF(OR($A82="",UPPER($J82)&lt;&gt;"Y"),"",$A82&amp;"#"&amp;COUNTIFS($A$3:$A82,$A82,$J$3:$J82,"Y"))</f>
        <v/>
      </c>
    </row>
    <row r="83" customFormat="false" ht="15" hidden="false" customHeight="true" outlineLevel="0" collapsed="false">
      <c r="A83" s="11"/>
      <c r="B83" s="17"/>
      <c r="C83" s="12"/>
      <c r="D83" s="12"/>
      <c r="E83" s="18" t="str">
        <f aca="false">IF($D83="","",IFERROR(INDEX(품목마스터!$B$3:$B$102,MATCH($D83,품목마스터!$A$3:$A$102,0)),""))</f>
        <v/>
      </c>
      <c r="F83" s="18" t="str">
        <f aca="false">IF($D83="","",IFERROR(INDEX(품목마스터!$C$3:$C$102,MATCH($D83,품목마스터!$A$3:$A$102,0)),""))</f>
        <v/>
      </c>
      <c r="G83" s="13" t="str">
        <f aca="false">IF($D83="","",IFERROR(INDEX(품목마스터!$D$3:$D$102,MATCH($D83,품목마스터!$A$3:$A$102,0)),0))</f>
        <v/>
      </c>
      <c r="H83" s="11"/>
      <c r="I83" s="19" t="str">
        <f aca="false">IF(OR($G83="",$H83=""),"",ROUND($G83*$H83,0))</f>
        <v/>
      </c>
      <c r="J83" s="12"/>
      <c r="K83" s="11"/>
      <c r="L83" s="18" t="str">
        <f aca="false">IF($A83="","",COUNTIFS($A$3:$A83,$A83))</f>
        <v/>
      </c>
      <c r="M83" s="18" t="str">
        <f aca="false">IF($A83="","",$A83&amp;"|"&amp;$L83)</f>
        <v/>
      </c>
      <c r="N83" s="18" t="str">
        <f aca="false">IF(OR($A83="",UPPER($J83)&lt;&gt;"Y"),"",$A83&amp;"#"&amp;COUNTIFS($A$3:$A83,$A83,$J$3:$J83,"Y"))</f>
        <v/>
      </c>
    </row>
    <row r="84" customFormat="false" ht="15" hidden="false" customHeight="true" outlineLevel="0" collapsed="false">
      <c r="A84" s="11"/>
      <c r="B84" s="17"/>
      <c r="C84" s="12"/>
      <c r="D84" s="12"/>
      <c r="E84" s="18" t="str">
        <f aca="false">IF($D84="","",IFERROR(INDEX(품목마스터!$B$3:$B$102,MATCH($D84,품목마스터!$A$3:$A$102,0)),""))</f>
        <v/>
      </c>
      <c r="F84" s="18" t="str">
        <f aca="false">IF($D84="","",IFERROR(INDEX(품목마스터!$C$3:$C$102,MATCH($D84,품목마스터!$A$3:$A$102,0)),""))</f>
        <v/>
      </c>
      <c r="G84" s="13" t="str">
        <f aca="false">IF($D84="","",IFERROR(INDEX(품목마스터!$D$3:$D$102,MATCH($D84,품목마스터!$A$3:$A$102,0)),0))</f>
        <v/>
      </c>
      <c r="H84" s="11"/>
      <c r="I84" s="19" t="str">
        <f aca="false">IF(OR($G84="",$H84=""),"",ROUND($G84*$H84,0))</f>
        <v/>
      </c>
      <c r="J84" s="12"/>
      <c r="K84" s="11"/>
      <c r="L84" s="18" t="str">
        <f aca="false">IF($A84="","",COUNTIFS($A$3:$A84,$A84))</f>
        <v/>
      </c>
      <c r="M84" s="18" t="str">
        <f aca="false">IF($A84="","",$A84&amp;"|"&amp;$L84)</f>
        <v/>
      </c>
      <c r="N84" s="18" t="str">
        <f aca="false">IF(OR($A84="",UPPER($J84)&lt;&gt;"Y"),"",$A84&amp;"#"&amp;COUNTIFS($A$3:$A84,$A84,$J$3:$J84,"Y"))</f>
        <v/>
      </c>
    </row>
    <row r="85" customFormat="false" ht="15" hidden="false" customHeight="true" outlineLevel="0" collapsed="false">
      <c r="A85" s="11"/>
      <c r="B85" s="17"/>
      <c r="C85" s="12"/>
      <c r="D85" s="12"/>
      <c r="E85" s="18" t="str">
        <f aca="false">IF($D85="","",IFERROR(INDEX(품목마스터!$B$3:$B$102,MATCH($D85,품목마스터!$A$3:$A$102,0)),""))</f>
        <v/>
      </c>
      <c r="F85" s="18" t="str">
        <f aca="false">IF($D85="","",IFERROR(INDEX(품목마스터!$C$3:$C$102,MATCH($D85,품목마스터!$A$3:$A$102,0)),""))</f>
        <v/>
      </c>
      <c r="G85" s="13" t="str">
        <f aca="false">IF($D85="","",IFERROR(INDEX(품목마스터!$D$3:$D$102,MATCH($D85,품목마스터!$A$3:$A$102,0)),0))</f>
        <v/>
      </c>
      <c r="H85" s="11"/>
      <c r="I85" s="19" t="str">
        <f aca="false">IF(OR($G85="",$H85=""),"",ROUND($G85*$H85,0))</f>
        <v/>
      </c>
      <c r="J85" s="12"/>
      <c r="K85" s="11"/>
      <c r="L85" s="18" t="str">
        <f aca="false">IF($A85="","",COUNTIFS($A$3:$A85,$A85))</f>
        <v/>
      </c>
      <c r="M85" s="18" t="str">
        <f aca="false">IF($A85="","",$A85&amp;"|"&amp;$L85)</f>
        <v/>
      </c>
      <c r="N85" s="18" t="str">
        <f aca="false">IF(OR($A85="",UPPER($J85)&lt;&gt;"Y"),"",$A85&amp;"#"&amp;COUNTIFS($A$3:$A85,$A85,$J$3:$J85,"Y"))</f>
        <v/>
      </c>
    </row>
    <row r="86" customFormat="false" ht="15" hidden="false" customHeight="true" outlineLevel="0" collapsed="false">
      <c r="A86" s="11"/>
      <c r="B86" s="17"/>
      <c r="C86" s="12"/>
      <c r="D86" s="12"/>
      <c r="E86" s="18" t="str">
        <f aca="false">IF($D86="","",IFERROR(INDEX(품목마스터!$B$3:$B$102,MATCH($D86,품목마스터!$A$3:$A$102,0)),""))</f>
        <v/>
      </c>
      <c r="F86" s="18" t="str">
        <f aca="false">IF($D86="","",IFERROR(INDEX(품목마스터!$C$3:$C$102,MATCH($D86,품목마스터!$A$3:$A$102,0)),""))</f>
        <v/>
      </c>
      <c r="G86" s="13" t="str">
        <f aca="false">IF($D86="","",IFERROR(INDEX(품목마스터!$D$3:$D$102,MATCH($D86,품목마스터!$A$3:$A$102,0)),0))</f>
        <v/>
      </c>
      <c r="H86" s="11"/>
      <c r="I86" s="19" t="str">
        <f aca="false">IF(OR($G86="",$H86=""),"",ROUND($G86*$H86,0))</f>
        <v/>
      </c>
      <c r="J86" s="12"/>
      <c r="K86" s="11"/>
      <c r="L86" s="18" t="str">
        <f aca="false">IF($A86="","",COUNTIFS($A$3:$A86,$A86))</f>
        <v/>
      </c>
      <c r="M86" s="18" t="str">
        <f aca="false">IF($A86="","",$A86&amp;"|"&amp;$L86)</f>
        <v/>
      </c>
      <c r="N86" s="18" t="str">
        <f aca="false">IF(OR($A86="",UPPER($J86)&lt;&gt;"Y"),"",$A86&amp;"#"&amp;COUNTIFS($A$3:$A86,$A86,$J$3:$J86,"Y"))</f>
        <v/>
      </c>
    </row>
    <row r="87" customFormat="false" ht="15" hidden="false" customHeight="true" outlineLevel="0" collapsed="false">
      <c r="A87" s="11"/>
      <c r="B87" s="17"/>
      <c r="C87" s="12"/>
      <c r="D87" s="12"/>
      <c r="E87" s="18" t="str">
        <f aca="false">IF($D87="","",IFERROR(INDEX(품목마스터!$B$3:$B$102,MATCH($D87,품목마스터!$A$3:$A$102,0)),""))</f>
        <v/>
      </c>
      <c r="F87" s="18" t="str">
        <f aca="false">IF($D87="","",IFERROR(INDEX(품목마스터!$C$3:$C$102,MATCH($D87,품목마스터!$A$3:$A$102,0)),""))</f>
        <v/>
      </c>
      <c r="G87" s="13" t="str">
        <f aca="false">IF($D87="","",IFERROR(INDEX(품목마스터!$D$3:$D$102,MATCH($D87,품목마스터!$A$3:$A$102,0)),0))</f>
        <v/>
      </c>
      <c r="H87" s="11"/>
      <c r="I87" s="19" t="str">
        <f aca="false">IF(OR($G87="",$H87=""),"",ROUND($G87*$H87,0))</f>
        <v/>
      </c>
      <c r="J87" s="12"/>
      <c r="K87" s="11"/>
      <c r="L87" s="18" t="str">
        <f aca="false">IF($A87="","",COUNTIFS($A$3:$A87,$A87))</f>
        <v/>
      </c>
      <c r="M87" s="18" t="str">
        <f aca="false">IF($A87="","",$A87&amp;"|"&amp;$L87)</f>
        <v/>
      </c>
      <c r="N87" s="18" t="str">
        <f aca="false">IF(OR($A87="",UPPER($J87)&lt;&gt;"Y"),"",$A87&amp;"#"&amp;COUNTIFS($A$3:$A87,$A87,$J$3:$J87,"Y"))</f>
        <v/>
      </c>
    </row>
    <row r="88" customFormat="false" ht="15" hidden="false" customHeight="true" outlineLevel="0" collapsed="false">
      <c r="A88" s="11"/>
      <c r="B88" s="17"/>
      <c r="C88" s="12"/>
      <c r="D88" s="12"/>
      <c r="E88" s="18" t="str">
        <f aca="false">IF($D88="","",IFERROR(INDEX(품목마스터!$B$3:$B$102,MATCH($D88,품목마스터!$A$3:$A$102,0)),""))</f>
        <v/>
      </c>
      <c r="F88" s="18" t="str">
        <f aca="false">IF($D88="","",IFERROR(INDEX(품목마스터!$C$3:$C$102,MATCH($D88,품목마스터!$A$3:$A$102,0)),""))</f>
        <v/>
      </c>
      <c r="G88" s="13" t="str">
        <f aca="false">IF($D88="","",IFERROR(INDEX(품목마스터!$D$3:$D$102,MATCH($D88,품목마스터!$A$3:$A$102,0)),0))</f>
        <v/>
      </c>
      <c r="H88" s="11"/>
      <c r="I88" s="19" t="str">
        <f aca="false">IF(OR($G88="",$H88=""),"",ROUND($G88*$H88,0))</f>
        <v/>
      </c>
      <c r="J88" s="12"/>
      <c r="K88" s="11"/>
      <c r="L88" s="18" t="str">
        <f aca="false">IF($A88="","",COUNTIFS($A$3:$A88,$A88))</f>
        <v/>
      </c>
      <c r="M88" s="18" t="str">
        <f aca="false">IF($A88="","",$A88&amp;"|"&amp;$L88)</f>
        <v/>
      </c>
      <c r="N88" s="18" t="str">
        <f aca="false">IF(OR($A88="",UPPER($J88)&lt;&gt;"Y"),"",$A88&amp;"#"&amp;COUNTIFS($A$3:$A88,$A88,$J$3:$J88,"Y"))</f>
        <v/>
      </c>
    </row>
    <row r="89" customFormat="false" ht="15" hidden="false" customHeight="true" outlineLevel="0" collapsed="false">
      <c r="A89" s="11"/>
      <c r="B89" s="17"/>
      <c r="C89" s="12"/>
      <c r="D89" s="12"/>
      <c r="E89" s="18" t="str">
        <f aca="false">IF($D89="","",IFERROR(INDEX(품목마스터!$B$3:$B$102,MATCH($D89,품목마스터!$A$3:$A$102,0)),""))</f>
        <v/>
      </c>
      <c r="F89" s="18" t="str">
        <f aca="false">IF($D89="","",IFERROR(INDEX(품목마스터!$C$3:$C$102,MATCH($D89,품목마스터!$A$3:$A$102,0)),""))</f>
        <v/>
      </c>
      <c r="G89" s="13" t="str">
        <f aca="false">IF($D89="","",IFERROR(INDEX(품목마스터!$D$3:$D$102,MATCH($D89,품목마스터!$A$3:$A$102,0)),0))</f>
        <v/>
      </c>
      <c r="H89" s="11"/>
      <c r="I89" s="19" t="str">
        <f aca="false">IF(OR($G89="",$H89=""),"",ROUND($G89*$H89,0))</f>
        <v/>
      </c>
      <c r="J89" s="12"/>
      <c r="K89" s="11"/>
      <c r="L89" s="18" t="str">
        <f aca="false">IF($A89="","",COUNTIFS($A$3:$A89,$A89))</f>
        <v/>
      </c>
      <c r="M89" s="18" t="str">
        <f aca="false">IF($A89="","",$A89&amp;"|"&amp;$L89)</f>
        <v/>
      </c>
      <c r="N89" s="18" t="str">
        <f aca="false">IF(OR($A89="",UPPER($J89)&lt;&gt;"Y"),"",$A89&amp;"#"&amp;COUNTIFS($A$3:$A89,$A89,$J$3:$J89,"Y"))</f>
        <v/>
      </c>
    </row>
    <row r="90" customFormat="false" ht="15" hidden="false" customHeight="true" outlineLevel="0" collapsed="false">
      <c r="A90" s="11"/>
      <c r="B90" s="17"/>
      <c r="C90" s="12"/>
      <c r="D90" s="12"/>
      <c r="E90" s="18" t="str">
        <f aca="false">IF($D90="","",IFERROR(INDEX(품목마스터!$B$3:$B$102,MATCH($D90,품목마스터!$A$3:$A$102,0)),""))</f>
        <v/>
      </c>
      <c r="F90" s="18" t="str">
        <f aca="false">IF($D90="","",IFERROR(INDEX(품목마스터!$C$3:$C$102,MATCH($D90,품목마스터!$A$3:$A$102,0)),""))</f>
        <v/>
      </c>
      <c r="G90" s="13" t="str">
        <f aca="false">IF($D90="","",IFERROR(INDEX(품목마스터!$D$3:$D$102,MATCH($D90,품목마스터!$A$3:$A$102,0)),0))</f>
        <v/>
      </c>
      <c r="H90" s="11"/>
      <c r="I90" s="19" t="str">
        <f aca="false">IF(OR($G90="",$H90=""),"",ROUND($G90*$H90,0))</f>
        <v/>
      </c>
      <c r="J90" s="12"/>
      <c r="K90" s="11"/>
      <c r="L90" s="18" t="str">
        <f aca="false">IF($A90="","",COUNTIFS($A$3:$A90,$A90))</f>
        <v/>
      </c>
      <c r="M90" s="18" t="str">
        <f aca="false">IF($A90="","",$A90&amp;"|"&amp;$L90)</f>
        <v/>
      </c>
      <c r="N90" s="18" t="str">
        <f aca="false">IF(OR($A90="",UPPER($J90)&lt;&gt;"Y"),"",$A90&amp;"#"&amp;COUNTIFS($A$3:$A90,$A90,$J$3:$J90,"Y"))</f>
        <v/>
      </c>
    </row>
    <row r="91" customFormat="false" ht="15" hidden="false" customHeight="true" outlineLevel="0" collapsed="false">
      <c r="A91" s="11"/>
      <c r="B91" s="17"/>
      <c r="C91" s="12"/>
      <c r="D91" s="12"/>
      <c r="E91" s="18" t="str">
        <f aca="false">IF($D91="","",IFERROR(INDEX(품목마스터!$B$3:$B$102,MATCH($D91,품목마스터!$A$3:$A$102,0)),""))</f>
        <v/>
      </c>
      <c r="F91" s="18" t="str">
        <f aca="false">IF($D91="","",IFERROR(INDEX(품목마스터!$C$3:$C$102,MATCH($D91,품목마스터!$A$3:$A$102,0)),""))</f>
        <v/>
      </c>
      <c r="G91" s="13" t="str">
        <f aca="false">IF($D91="","",IFERROR(INDEX(품목마스터!$D$3:$D$102,MATCH($D91,품목마스터!$A$3:$A$102,0)),0))</f>
        <v/>
      </c>
      <c r="H91" s="11"/>
      <c r="I91" s="19" t="str">
        <f aca="false">IF(OR($G91="",$H91=""),"",ROUND($G91*$H91,0))</f>
        <v/>
      </c>
      <c r="J91" s="12"/>
      <c r="K91" s="11"/>
      <c r="L91" s="18" t="str">
        <f aca="false">IF($A91="","",COUNTIFS($A$3:$A91,$A91))</f>
        <v/>
      </c>
      <c r="M91" s="18" t="str">
        <f aca="false">IF($A91="","",$A91&amp;"|"&amp;$L91)</f>
        <v/>
      </c>
      <c r="N91" s="18" t="str">
        <f aca="false">IF(OR($A91="",UPPER($J91)&lt;&gt;"Y"),"",$A91&amp;"#"&amp;COUNTIFS($A$3:$A91,$A91,$J$3:$J91,"Y"))</f>
        <v/>
      </c>
    </row>
    <row r="92" customFormat="false" ht="15" hidden="false" customHeight="true" outlineLevel="0" collapsed="false">
      <c r="A92" s="11"/>
      <c r="B92" s="17"/>
      <c r="C92" s="12"/>
      <c r="D92" s="12"/>
      <c r="E92" s="18" t="str">
        <f aca="false">IF($D92="","",IFERROR(INDEX(품목마스터!$B$3:$B$102,MATCH($D92,품목마스터!$A$3:$A$102,0)),""))</f>
        <v/>
      </c>
      <c r="F92" s="18" t="str">
        <f aca="false">IF($D92="","",IFERROR(INDEX(품목마스터!$C$3:$C$102,MATCH($D92,품목마스터!$A$3:$A$102,0)),""))</f>
        <v/>
      </c>
      <c r="G92" s="13" t="str">
        <f aca="false">IF($D92="","",IFERROR(INDEX(품목마스터!$D$3:$D$102,MATCH($D92,품목마스터!$A$3:$A$102,0)),0))</f>
        <v/>
      </c>
      <c r="H92" s="11"/>
      <c r="I92" s="19" t="str">
        <f aca="false">IF(OR($G92="",$H92=""),"",ROUND($G92*$H92,0))</f>
        <v/>
      </c>
      <c r="J92" s="12"/>
      <c r="K92" s="11"/>
      <c r="L92" s="18" t="str">
        <f aca="false">IF($A92="","",COUNTIFS($A$3:$A92,$A92))</f>
        <v/>
      </c>
      <c r="M92" s="18" t="str">
        <f aca="false">IF($A92="","",$A92&amp;"|"&amp;$L92)</f>
        <v/>
      </c>
      <c r="N92" s="18" t="str">
        <f aca="false">IF(OR($A92="",UPPER($J92)&lt;&gt;"Y"),"",$A92&amp;"#"&amp;COUNTIFS($A$3:$A92,$A92,$J$3:$J92,"Y"))</f>
        <v/>
      </c>
    </row>
    <row r="93" customFormat="false" ht="15" hidden="false" customHeight="true" outlineLevel="0" collapsed="false">
      <c r="A93" s="11"/>
      <c r="B93" s="17"/>
      <c r="C93" s="12"/>
      <c r="D93" s="12"/>
      <c r="E93" s="18" t="str">
        <f aca="false">IF($D93="","",IFERROR(INDEX(품목마스터!$B$3:$B$102,MATCH($D93,품목마스터!$A$3:$A$102,0)),""))</f>
        <v/>
      </c>
      <c r="F93" s="18" t="str">
        <f aca="false">IF($D93="","",IFERROR(INDEX(품목마스터!$C$3:$C$102,MATCH($D93,품목마스터!$A$3:$A$102,0)),""))</f>
        <v/>
      </c>
      <c r="G93" s="13" t="str">
        <f aca="false">IF($D93="","",IFERROR(INDEX(품목마스터!$D$3:$D$102,MATCH($D93,품목마스터!$A$3:$A$102,0)),0))</f>
        <v/>
      </c>
      <c r="H93" s="11"/>
      <c r="I93" s="19" t="str">
        <f aca="false">IF(OR($G93="",$H93=""),"",ROUND($G93*$H93,0))</f>
        <v/>
      </c>
      <c r="J93" s="12"/>
      <c r="K93" s="11"/>
      <c r="L93" s="18" t="str">
        <f aca="false">IF($A93="","",COUNTIFS($A$3:$A93,$A93))</f>
        <v/>
      </c>
      <c r="M93" s="18" t="str">
        <f aca="false">IF($A93="","",$A93&amp;"|"&amp;$L93)</f>
        <v/>
      </c>
      <c r="N93" s="18" t="str">
        <f aca="false">IF(OR($A93="",UPPER($J93)&lt;&gt;"Y"),"",$A93&amp;"#"&amp;COUNTIFS($A$3:$A93,$A93,$J$3:$J93,"Y"))</f>
        <v/>
      </c>
    </row>
    <row r="94" customFormat="false" ht="15" hidden="false" customHeight="true" outlineLevel="0" collapsed="false">
      <c r="A94" s="11"/>
      <c r="B94" s="17"/>
      <c r="C94" s="12"/>
      <c r="D94" s="12"/>
      <c r="E94" s="18" t="str">
        <f aca="false">IF($D94="","",IFERROR(INDEX(품목마스터!$B$3:$B$102,MATCH($D94,품목마스터!$A$3:$A$102,0)),""))</f>
        <v/>
      </c>
      <c r="F94" s="18" t="str">
        <f aca="false">IF($D94="","",IFERROR(INDEX(품목마스터!$C$3:$C$102,MATCH($D94,품목마스터!$A$3:$A$102,0)),""))</f>
        <v/>
      </c>
      <c r="G94" s="13" t="str">
        <f aca="false">IF($D94="","",IFERROR(INDEX(품목마스터!$D$3:$D$102,MATCH($D94,품목마스터!$A$3:$A$102,0)),0))</f>
        <v/>
      </c>
      <c r="H94" s="11"/>
      <c r="I94" s="19" t="str">
        <f aca="false">IF(OR($G94="",$H94=""),"",ROUND($G94*$H94,0))</f>
        <v/>
      </c>
      <c r="J94" s="12"/>
      <c r="K94" s="11"/>
      <c r="L94" s="18" t="str">
        <f aca="false">IF($A94="","",COUNTIFS($A$3:$A94,$A94))</f>
        <v/>
      </c>
      <c r="M94" s="18" t="str">
        <f aca="false">IF($A94="","",$A94&amp;"|"&amp;$L94)</f>
        <v/>
      </c>
      <c r="N94" s="18" t="str">
        <f aca="false">IF(OR($A94="",UPPER($J94)&lt;&gt;"Y"),"",$A94&amp;"#"&amp;COUNTIFS($A$3:$A94,$A94,$J$3:$J94,"Y"))</f>
        <v/>
      </c>
    </row>
    <row r="95" customFormat="false" ht="15" hidden="false" customHeight="true" outlineLevel="0" collapsed="false">
      <c r="A95" s="11"/>
      <c r="B95" s="17"/>
      <c r="C95" s="12"/>
      <c r="D95" s="12"/>
      <c r="E95" s="18" t="str">
        <f aca="false">IF($D95="","",IFERROR(INDEX(품목마스터!$B$3:$B$102,MATCH($D95,품목마스터!$A$3:$A$102,0)),""))</f>
        <v/>
      </c>
      <c r="F95" s="18" t="str">
        <f aca="false">IF($D95="","",IFERROR(INDEX(품목마스터!$C$3:$C$102,MATCH($D95,품목마스터!$A$3:$A$102,0)),""))</f>
        <v/>
      </c>
      <c r="G95" s="13" t="str">
        <f aca="false">IF($D95="","",IFERROR(INDEX(품목마스터!$D$3:$D$102,MATCH($D95,품목마스터!$A$3:$A$102,0)),0))</f>
        <v/>
      </c>
      <c r="H95" s="11"/>
      <c r="I95" s="19" t="str">
        <f aca="false">IF(OR($G95="",$H95=""),"",ROUND($G95*$H95,0))</f>
        <v/>
      </c>
      <c r="J95" s="12"/>
      <c r="K95" s="11"/>
      <c r="L95" s="18" t="str">
        <f aca="false">IF($A95="","",COUNTIFS($A$3:$A95,$A95))</f>
        <v/>
      </c>
      <c r="M95" s="18" t="str">
        <f aca="false">IF($A95="","",$A95&amp;"|"&amp;$L95)</f>
        <v/>
      </c>
      <c r="N95" s="18" t="str">
        <f aca="false">IF(OR($A95="",UPPER($J95)&lt;&gt;"Y"),"",$A95&amp;"#"&amp;COUNTIFS($A$3:$A95,$A95,$J$3:$J95,"Y"))</f>
        <v/>
      </c>
    </row>
    <row r="96" customFormat="false" ht="15" hidden="false" customHeight="true" outlineLevel="0" collapsed="false">
      <c r="A96" s="11"/>
      <c r="B96" s="17"/>
      <c r="C96" s="12"/>
      <c r="D96" s="12"/>
      <c r="E96" s="18" t="str">
        <f aca="false">IF($D96="","",IFERROR(INDEX(품목마스터!$B$3:$B$102,MATCH($D96,품목마스터!$A$3:$A$102,0)),""))</f>
        <v/>
      </c>
      <c r="F96" s="18" t="str">
        <f aca="false">IF($D96="","",IFERROR(INDEX(품목마스터!$C$3:$C$102,MATCH($D96,품목마스터!$A$3:$A$102,0)),""))</f>
        <v/>
      </c>
      <c r="G96" s="13" t="str">
        <f aca="false">IF($D96="","",IFERROR(INDEX(품목마스터!$D$3:$D$102,MATCH($D96,품목마스터!$A$3:$A$102,0)),0))</f>
        <v/>
      </c>
      <c r="H96" s="11"/>
      <c r="I96" s="19" t="str">
        <f aca="false">IF(OR($G96="",$H96=""),"",ROUND($G96*$H96,0))</f>
        <v/>
      </c>
      <c r="J96" s="12"/>
      <c r="K96" s="11"/>
      <c r="L96" s="18" t="str">
        <f aca="false">IF($A96="","",COUNTIFS($A$3:$A96,$A96))</f>
        <v/>
      </c>
      <c r="M96" s="18" t="str">
        <f aca="false">IF($A96="","",$A96&amp;"|"&amp;$L96)</f>
        <v/>
      </c>
      <c r="N96" s="18" t="str">
        <f aca="false">IF(OR($A96="",UPPER($J96)&lt;&gt;"Y"),"",$A96&amp;"#"&amp;COUNTIFS($A$3:$A96,$A96,$J$3:$J96,"Y"))</f>
        <v/>
      </c>
    </row>
    <row r="97" customFormat="false" ht="15" hidden="false" customHeight="true" outlineLevel="0" collapsed="false">
      <c r="A97" s="11"/>
      <c r="B97" s="17"/>
      <c r="C97" s="12"/>
      <c r="D97" s="12"/>
      <c r="E97" s="18" t="str">
        <f aca="false">IF($D97="","",IFERROR(INDEX(품목마스터!$B$3:$B$102,MATCH($D97,품목마스터!$A$3:$A$102,0)),""))</f>
        <v/>
      </c>
      <c r="F97" s="18" t="str">
        <f aca="false">IF($D97="","",IFERROR(INDEX(품목마스터!$C$3:$C$102,MATCH($D97,품목마스터!$A$3:$A$102,0)),""))</f>
        <v/>
      </c>
      <c r="G97" s="13" t="str">
        <f aca="false">IF($D97="","",IFERROR(INDEX(품목마스터!$D$3:$D$102,MATCH($D97,품목마스터!$A$3:$A$102,0)),0))</f>
        <v/>
      </c>
      <c r="H97" s="11"/>
      <c r="I97" s="19" t="str">
        <f aca="false">IF(OR($G97="",$H97=""),"",ROUND($G97*$H97,0))</f>
        <v/>
      </c>
      <c r="J97" s="12"/>
      <c r="K97" s="11"/>
      <c r="L97" s="18" t="str">
        <f aca="false">IF($A97="","",COUNTIFS($A$3:$A97,$A97))</f>
        <v/>
      </c>
      <c r="M97" s="18" t="str">
        <f aca="false">IF($A97="","",$A97&amp;"|"&amp;$L97)</f>
        <v/>
      </c>
      <c r="N97" s="18" t="str">
        <f aca="false">IF(OR($A97="",UPPER($J97)&lt;&gt;"Y"),"",$A97&amp;"#"&amp;COUNTIFS($A$3:$A97,$A97,$J$3:$J97,"Y"))</f>
        <v/>
      </c>
    </row>
    <row r="98" customFormat="false" ht="15" hidden="false" customHeight="true" outlineLevel="0" collapsed="false">
      <c r="A98" s="11"/>
      <c r="B98" s="17"/>
      <c r="C98" s="12"/>
      <c r="D98" s="12"/>
      <c r="E98" s="18" t="str">
        <f aca="false">IF($D98="","",IFERROR(INDEX(품목마스터!$B$3:$B$102,MATCH($D98,품목마스터!$A$3:$A$102,0)),""))</f>
        <v/>
      </c>
      <c r="F98" s="18" t="str">
        <f aca="false">IF($D98="","",IFERROR(INDEX(품목마스터!$C$3:$C$102,MATCH($D98,품목마스터!$A$3:$A$102,0)),""))</f>
        <v/>
      </c>
      <c r="G98" s="13" t="str">
        <f aca="false">IF($D98="","",IFERROR(INDEX(품목마스터!$D$3:$D$102,MATCH($D98,품목마스터!$A$3:$A$102,0)),0))</f>
        <v/>
      </c>
      <c r="H98" s="11"/>
      <c r="I98" s="19" t="str">
        <f aca="false">IF(OR($G98="",$H98=""),"",ROUND($G98*$H98,0))</f>
        <v/>
      </c>
      <c r="J98" s="12"/>
      <c r="K98" s="11"/>
      <c r="L98" s="18" t="str">
        <f aca="false">IF($A98="","",COUNTIFS($A$3:$A98,$A98))</f>
        <v/>
      </c>
      <c r="M98" s="18" t="str">
        <f aca="false">IF($A98="","",$A98&amp;"|"&amp;$L98)</f>
        <v/>
      </c>
      <c r="N98" s="18" t="str">
        <f aca="false">IF(OR($A98="",UPPER($J98)&lt;&gt;"Y"),"",$A98&amp;"#"&amp;COUNTIFS($A$3:$A98,$A98,$J$3:$J98,"Y"))</f>
        <v/>
      </c>
    </row>
    <row r="99" customFormat="false" ht="15" hidden="false" customHeight="true" outlineLevel="0" collapsed="false">
      <c r="A99" s="11"/>
      <c r="B99" s="17"/>
      <c r="C99" s="12"/>
      <c r="D99" s="12"/>
      <c r="E99" s="18" t="str">
        <f aca="false">IF($D99="","",IFERROR(INDEX(품목마스터!$B$3:$B$102,MATCH($D99,품목마스터!$A$3:$A$102,0)),""))</f>
        <v/>
      </c>
      <c r="F99" s="18" t="str">
        <f aca="false">IF($D99="","",IFERROR(INDEX(품목마스터!$C$3:$C$102,MATCH($D99,품목마스터!$A$3:$A$102,0)),""))</f>
        <v/>
      </c>
      <c r="G99" s="13" t="str">
        <f aca="false">IF($D99="","",IFERROR(INDEX(품목마스터!$D$3:$D$102,MATCH($D99,품목마스터!$A$3:$A$102,0)),0))</f>
        <v/>
      </c>
      <c r="H99" s="11"/>
      <c r="I99" s="19" t="str">
        <f aca="false">IF(OR($G99="",$H99=""),"",ROUND($G99*$H99,0))</f>
        <v/>
      </c>
      <c r="J99" s="12"/>
      <c r="K99" s="11"/>
      <c r="L99" s="18" t="str">
        <f aca="false">IF($A99="","",COUNTIFS($A$3:$A99,$A99))</f>
        <v/>
      </c>
      <c r="M99" s="18" t="str">
        <f aca="false">IF($A99="","",$A99&amp;"|"&amp;$L99)</f>
        <v/>
      </c>
      <c r="N99" s="18" t="str">
        <f aca="false">IF(OR($A99="",UPPER($J99)&lt;&gt;"Y"),"",$A99&amp;"#"&amp;COUNTIFS($A$3:$A99,$A99,$J$3:$J99,"Y"))</f>
        <v/>
      </c>
    </row>
    <row r="100" customFormat="false" ht="15" hidden="false" customHeight="true" outlineLevel="0" collapsed="false">
      <c r="A100" s="11"/>
      <c r="B100" s="17"/>
      <c r="C100" s="12"/>
      <c r="D100" s="12"/>
      <c r="E100" s="18" t="str">
        <f aca="false">IF($D100="","",IFERROR(INDEX(품목마스터!$B$3:$B$102,MATCH($D100,품목마스터!$A$3:$A$102,0)),""))</f>
        <v/>
      </c>
      <c r="F100" s="18" t="str">
        <f aca="false">IF($D100="","",IFERROR(INDEX(품목마스터!$C$3:$C$102,MATCH($D100,품목마스터!$A$3:$A$102,0)),""))</f>
        <v/>
      </c>
      <c r="G100" s="13" t="str">
        <f aca="false">IF($D100="","",IFERROR(INDEX(품목마스터!$D$3:$D$102,MATCH($D100,품목마스터!$A$3:$A$102,0)),0))</f>
        <v/>
      </c>
      <c r="H100" s="11"/>
      <c r="I100" s="19" t="str">
        <f aca="false">IF(OR($G100="",$H100=""),"",ROUND($G100*$H100,0))</f>
        <v/>
      </c>
      <c r="J100" s="12"/>
      <c r="K100" s="11"/>
      <c r="L100" s="18" t="str">
        <f aca="false">IF($A100="","",COUNTIFS($A$3:$A100,$A100))</f>
        <v/>
      </c>
      <c r="M100" s="18" t="str">
        <f aca="false">IF($A100="","",$A100&amp;"|"&amp;$L100)</f>
        <v/>
      </c>
      <c r="N100" s="18" t="str">
        <f aca="false">IF(OR($A100="",UPPER($J100)&lt;&gt;"Y"),"",$A100&amp;"#"&amp;COUNTIFS($A$3:$A100,$A100,$J$3:$J100,"Y"))</f>
        <v/>
      </c>
    </row>
    <row r="101" customFormat="false" ht="15" hidden="false" customHeight="true" outlineLevel="0" collapsed="false">
      <c r="A101" s="11"/>
      <c r="B101" s="17"/>
      <c r="C101" s="12"/>
      <c r="D101" s="12"/>
      <c r="E101" s="18" t="str">
        <f aca="false">IF($D101="","",IFERROR(INDEX(품목마스터!$B$3:$B$102,MATCH($D101,품목마스터!$A$3:$A$102,0)),""))</f>
        <v/>
      </c>
      <c r="F101" s="18" t="str">
        <f aca="false">IF($D101="","",IFERROR(INDEX(품목마스터!$C$3:$C$102,MATCH($D101,품목마스터!$A$3:$A$102,0)),""))</f>
        <v/>
      </c>
      <c r="G101" s="13" t="str">
        <f aca="false">IF($D101="","",IFERROR(INDEX(품목마스터!$D$3:$D$102,MATCH($D101,품목마스터!$A$3:$A$102,0)),0))</f>
        <v/>
      </c>
      <c r="H101" s="11"/>
      <c r="I101" s="19" t="str">
        <f aca="false">IF(OR($G101="",$H101=""),"",ROUND($G101*$H101,0))</f>
        <v/>
      </c>
      <c r="J101" s="12"/>
      <c r="K101" s="11"/>
      <c r="L101" s="18" t="str">
        <f aca="false">IF($A101="","",COUNTIFS($A$3:$A101,$A101))</f>
        <v/>
      </c>
      <c r="M101" s="18" t="str">
        <f aca="false">IF($A101="","",$A101&amp;"|"&amp;$L101)</f>
        <v/>
      </c>
      <c r="N101" s="18" t="str">
        <f aca="false">IF(OR($A101="",UPPER($J101)&lt;&gt;"Y"),"",$A101&amp;"#"&amp;COUNTIFS($A$3:$A101,$A101,$J$3:$J101,"Y"))</f>
        <v/>
      </c>
    </row>
    <row r="102" customFormat="false" ht="15" hidden="false" customHeight="true" outlineLevel="0" collapsed="false">
      <c r="A102" s="11"/>
      <c r="B102" s="17"/>
      <c r="C102" s="12"/>
      <c r="D102" s="12"/>
      <c r="E102" s="18" t="str">
        <f aca="false">IF($D102="","",IFERROR(INDEX(품목마스터!$B$3:$B$102,MATCH($D102,품목마스터!$A$3:$A$102,0)),""))</f>
        <v/>
      </c>
      <c r="F102" s="18" t="str">
        <f aca="false">IF($D102="","",IFERROR(INDEX(품목마스터!$C$3:$C$102,MATCH($D102,품목마스터!$A$3:$A$102,0)),""))</f>
        <v/>
      </c>
      <c r="G102" s="13" t="str">
        <f aca="false">IF($D102="","",IFERROR(INDEX(품목마스터!$D$3:$D$102,MATCH($D102,품목마스터!$A$3:$A$102,0)),0))</f>
        <v/>
      </c>
      <c r="H102" s="11"/>
      <c r="I102" s="19" t="str">
        <f aca="false">IF(OR($G102="",$H102=""),"",ROUND($G102*$H102,0))</f>
        <v/>
      </c>
      <c r="J102" s="12"/>
      <c r="K102" s="11"/>
      <c r="L102" s="18" t="str">
        <f aca="false">IF($A102="","",COUNTIFS($A$3:$A102,$A102))</f>
        <v/>
      </c>
      <c r="M102" s="18" t="str">
        <f aca="false">IF($A102="","",$A102&amp;"|"&amp;$L102)</f>
        <v/>
      </c>
      <c r="N102" s="18" t="str">
        <f aca="false">IF(OR($A102="",UPPER($J102)&lt;&gt;"Y"),"",$A102&amp;"#"&amp;COUNTIFS($A$3:$A102,$A102,$J$3:$J102,"Y"))</f>
        <v/>
      </c>
    </row>
    <row r="103" customFormat="false" ht="15" hidden="false" customHeight="true" outlineLevel="0" collapsed="false">
      <c r="A103" s="11"/>
      <c r="B103" s="17"/>
      <c r="C103" s="12"/>
      <c r="D103" s="12"/>
      <c r="E103" s="18" t="str">
        <f aca="false">IF($D103="","",IFERROR(INDEX(품목마스터!$B$3:$B$102,MATCH($D103,품목마스터!$A$3:$A$102,0)),""))</f>
        <v/>
      </c>
      <c r="F103" s="18" t="str">
        <f aca="false">IF($D103="","",IFERROR(INDEX(품목마스터!$C$3:$C$102,MATCH($D103,품목마스터!$A$3:$A$102,0)),""))</f>
        <v/>
      </c>
      <c r="G103" s="13" t="str">
        <f aca="false">IF($D103="","",IFERROR(INDEX(품목마스터!$D$3:$D$102,MATCH($D103,품목마스터!$A$3:$A$102,0)),0))</f>
        <v/>
      </c>
      <c r="H103" s="11"/>
      <c r="I103" s="19" t="str">
        <f aca="false">IF(OR($G103="",$H103=""),"",ROUND($G103*$H103,0))</f>
        <v/>
      </c>
      <c r="J103" s="12"/>
      <c r="K103" s="11"/>
      <c r="L103" s="18" t="str">
        <f aca="false">IF($A103="","",COUNTIFS($A$3:$A103,$A103))</f>
        <v/>
      </c>
      <c r="M103" s="18" t="str">
        <f aca="false">IF($A103="","",$A103&amp;"|"&amp;$L103)</f>
        <v/>
      </c>
      <c r="N103" s="18" t="str">
        <f aca="false">IF(OR($A103="",UPPER($J103)&lt;&gt;"Y"),"",$A103&amp;"#"&amp;COUNTIFS($A$3:$A103,$A103,$J$3:$J103,"Y"))</f>
        <v/>
      </c>
    </row>
    <row r="104" customFormat="false" ht="15" hidden="false" customHeight="true" outlineLevel="0" collapsed="false">
      <c r="A104" s="11"/>
      <c r="B104" s="17"/>
      <c r="C104" s="12"/>
      <c r="D104" s="12"/>
      <c r="E104" s="18" t="str">
        <f aca="false">IF($D104="","",IFERROR(INDEX(품목마스터!$B$3:$B$102,MATCH($D104,품목마스터!$A$3:$A$102,0)),""))</f>
        <v/>
      </c>
      <c r="F104" s="18" t="str">
        <f aca="false">IF($D104="","",IFERROR(INDEX(품목마스터!$C$3:$C$102,MATCH($D104,품목마스터!$A$3:$A$102,0)),""))</f>
        <v/>
      </c>
      <c r="G104" s="13" t="str">
        <f aca="false">IF($D104="","",IFERROR(INDEX(품목마스터!$D$3:$D$102,MATCH($D104,품목마스터!$A$3:$A$102,0)),0))</f>
        <v/>
      </c>
      <c r="H104" s="11"/>
      <c r="I104" s="19" t="str">
        <f aca="false">IF(OR($G104="",$H104=""),"",ROUND($G104*$H104,0))</f>
        <v/>
      </c>
      <c r="J104" s="12"/>
      <c r="K104" s="11"/>
      <c r="L104" s="18" t="str">
        <f aca="false">IF($A104="","",COUNTIFS($A$3:$A104,$A104))</f>
        <v/>
      </c>
      <c r="M104" s="18" t="str">
        <f aca="false">IF($A104="","",$A104&amp;"|"&amp;$L104)</f>
        <v/>
      </c>
      <c r="N104" s="18" t="str">
        <f aca="false">IF(OR($A104="",UPPER($J104)&lt;&gt;"Y"),"",$A104&amp;"#"&amp;COUNTIFS($A$3:$A104,$A104,$J$3:$J104,"Y"))</f>
        <v/>
      </c>
    </row>
    <row r="105" customFormat="false" ht="15" hidden="false" customHeight="true" outlineLevel="0" collapsed="false">
      <c r="A105" s="11"/>
      <c r="B105" s="17"/>
      <c r="C105" s="12"/>
      <c r="D105" s="12"/>
      <c r="E105" s="18" t="str">
        <f aca="false">IF($D105="","",IFERROR(INDEX(품목마스터!$B$3:$B$102,MATCH($D105,품목마스터!$A$3:$A$102,0)),""))</f>
        <v/>
      </c>
      <c r="F105" s="18" t="str">
        <f aca="false">IF($D105="","",IFERROR(INDEX(품목마스터!$C$3:$C$102,MATCH($D105,품목마스터!$A$3:$A$102,0)),""))</f>
        <v/>
      </c>
      <c r="G105" s="13" t="str">
        <f aca="false">IF($D105="","",IFERROR(INDEX(품목마스터!$D$3:$D$102,MATCH($D105,품목마스터!$A$3:$A$102,0)),0))</f>
        <v/>
      </c>
      <c r="H105" s="11"/>
      <c r="I105" s="19" t="str">
        <f aca="false">IF(OR($G105="",$H105=""),"",ROUND($G105*$H105,0))</f>
        <v/>
      </c>
      <c r="J105" s="12"/>
      <c r="K105" s="11"/>
      <c r="L105" s="18" t="str">
        <f aca="false">IF($A105="","",COUNTIFS($A$3:$A105,$A105))</f>
        <v/>
      </c>
      <c r="M105" s="18" t="str">
        <f aca="false">IF($A105="","",$A105&amp;"|"&amp;$L105)</f>
        <v/>
      </c>
      <c r="N105" s="18" t="str">
        <f aca="false">IF(OR($A105="",UPPER($J105)&lt;&gt;"Y"),"",$A105&amp;"#"&amp;COUNTIFS($A$3:$A105,$A105,$J$3:$J105,"Y"))</f>
        <v/>
      </c>
    </row>
    <row r="106" customFormat="false" ht="15" hidden="false" customHeight="true" outlineLevel="0" collapsed="false">
      <c r="A106" s="11"/>
      <c r="B106" s="17"/>
      <c r="C106" s="12"/>
      <c r="D106" s="12"/>
      <c r="E106" s="18" t="str">
        <f aca="false">IF($D106="","",IFERROR(INDEX(품목마스터!$B$3:$B$102,MATCH($D106,품목마스터!$A$3:$A$102,0)),""))</f>
        <v/>
      </c>
      <c r="F106" s="18" t="str">
        <f aca="false">IF($D106="","",IFERROR(INDEX(품목마스터!$C$3:$C$102,MATCH($D106,품목마스터!$A$3:$A$102,0)),""))</f>
        <v/>
      </c>
      <c r="G106" s="13" t="str">
        <f aca="false">IF($D106="","",IFERROR(INDEX(품목마스터!$D$3:$D$102,MATCH($D106,품목마스터!$A$3:$A$102,0)),0))</f>
        <v/>
      </c>
      <c r="H106" s="11"/>
      <c r="I106" s="19" t="str">
        <f aca="false">IF(OR($G106="",$H106=""),"",ROUND($G106*$H106,0))</f>
        <v/>
      </c>
      <c r="J106" s="12"/>
      <c r="K106" s="11"/>
      <c r="L106" s="18" t="str">
        <f aca="false">IF($A106="","",COUNTIFS($A$3:$A106,$A106))</f>
        <v/>
      </c>
      <c r="M106" s="18" t="str">
        <f aca="false">IF($A106="","",$A106&amp;"|"&amp;$L106)</f>
        <v/>
      </c>
      <c r="N106" s="18" t="str">
        <f aca="false">IF(OR($A106="",UPPER($J106)&lt;&gt;"Y"),"",$A106&amp;"#"&amp;COUNTIFS($A$3:$A106,$A106,$J$3:$J106,"Y"))</f>
        <v/>
      </c>
    </row>
    <row r="107" customFormat="false" ht="15" hidden="false" customHeight="true" outlineLevel="0" collapsed="false">
      <c r="A107" s="11"/>
      <c r="B107" s="17"/>
      <c r="C107" s="12"/>
      <c r="D107" s="12"/>
      <c r="E107" s="18" t="str">
        <f aca="false">IF($D107="","",IFERROR(INDEX(품목마스터!$B$3:$B$102,MATCH($D107,품목마스터!$A$3:$A$102,0)),""))</f>
        <v/>
      </c>
      <c r="F107" s="18" t="str">
        <f aca="false">IF($D107="","",IFERROR(INDEX(품목마스터!$C$3:$C$102,MATCH($D107,품목마스터!$A$3:$A$102,0)),""))</f>
        <v/>
      </c>
      <c r="G107" s="13" t="str">
        <f aca="false">IF($D107="","",IFERROR(INDEX(품목마스터!$D$3:$D$102,MATCH($D107,품목마스터!$A$3:$A$102,0)),0))</f>
        <v/>
      </c>
      <c r="H107" s="11"/>
      <c r="I107" s="19" t="str">
        <f aca="false">IF(OR($G107="",$H107=""),"",ROUND($G107*$H107,0))</f>
        <v/>
      </c>
      <c r="J107" s="12"/>
      <c r="K107" s="11"/>
      <c r="L107" s="18" t="str">
        <f aca="false">IF($A107="","",COUNTIFS($A$3:$A107,$A107))</f>
        <v/>
      </c>
      <c r="M107" s="18" t="str">
        <f aca="false">IF($A107="","",$A107&amp;"|"&amp;$L107)</f>
        <v/>
      </c>
      <c r="N107" s="18" t="str">
        <f aca="false">IF(OR($A107="",UPPER($J107)&lt;&gt;"Y"),"",$A107&amp;"#"&amp;COUNTIFS($A$3:$A107,$A107,$J$3:$J107,"Y"))</f>
        <v/>
      </c>
    </row>
    <row r="108" customFormat="false" ht="15" hidden="false" customHeight="true" outlineLevel="0" collapsed="false">
      <c r="A108" s="11"/>
      <c r="B108" s="17"/>
      <c r="C108" s="12"/>
      <c r="D108" s="12"/>
      <c r="E108" s="18" t="str">
        <f aca="false">IF($D108="","",IFERROR(INDEX(품목마스터!$B$3:$B$102,MATCH($D108,품목마스터!$A$3:$A$102,0)),""))</f>
        <v/>
      </c>
      <c r="F108" s="18" t="str">
        <f aca="false">IF($D108="","",IFERROR(INDEX(품목마스터!$C$3:$C$102,MATCH($D108,품목마스터!$A$3:$A$102,0)),""))</f>
        <v/>
      </c>
      <c r="G108" s="13" t="str">
        <f aca="false">IF($D108="","",IFERROR(INDEX(품목마스터!$D$3:$D$102,MATCH($D108,품목마스터!$A$3:$A$102,0)),0))</f>
        <v/>
      </c>
      <c r="H108" s="11"/>
      <c r="I108" s="19" t="str">
        <f aca="false">IF(OR($G108="",$H108=""),"",ROUND($G108*$H108,0))</f>
        <v/>
      </c>
      <c r="J108" s="12"/>
      <c r="K108" s="11"/>
      <c r="L108" s="18" t="str">
        <f aca="false">IF($A108="","",COUNTIFS($A$3:$A108,$A108))</f>
        <v/>
      </c>
      <c r="M108" s="18" t="str">
        <f aca="false">IF($A108="","",$A108&amp;"|"&amp;$L108)</f>
        <v/>
      </c>
      <c r="N108" s="18" t="str">
        <f aca="false">IF(OR($A108="",UPPER($J108)&lt;&gt;"Y"),"",$A108&amp;"#"&amp;COUNTIFS($A$3:$A108,$A108,$J$3:$J108,"Y"))</f>
        <v/>
      </c>
    </row>
    <row r="109" customFormat="false" ht="15" hidden="false" customHeight="true" outlineLevel="0" collapsed="false">
      <c r="A109" s="11"/>
      <c r="B109" s="17"/>
      <c r="C109" s="12"/>
      <c r="D109" s="12"/>
      <c r="E109" s="18" t="str">
        <f aca="false">IF($D109="","",IFERROR(INDEX(품목마스터!$B$3:$B$102,MATCH($D109,품목마스터!$A$3:$A$102,0)),""))</f>
        <v/>
      </c>
      <c r="F109" s="18" t="str">
        <f aca="false">IF($D109="","",IFERROR(INDEX(품목마스터!$C$3:$C$102,MATCH($D109,품목마스터!$A$3:$A$102,0)),""))</f>
        <v/>
      </c>
      <c r="G109" s="13" t="str">
        <f aca="false">IF($D109="","",IFERROR(INDEX(품목마스터!$D$3:$D$102,MATCH($D109,품목마스터!$A$3:$A$102,0)),0))</f>
        <v/>
      </c>
      <c r="H109" s="11"/>
      <c r="I109" s="19" t="str">
        <f aca="false">IF(OR($G109="",$H109=""),"",ROUND($G109*$H109,0))</f>
        <v/>
      </c>
      <c r="J109" s="12"/>
      <c r="K109" s="11"/>
      <c r="L109" s="18" t="str">
        <f aca="false">IF($A109="","",COUNTIFS($A$3:$A109,$A109))</f>
        <v/>
      </c>
      <c r="M109" s="18" t="str">
        <f aca="false">IF($A109="","",$A109&amp;"|"&amp;$L109)</f>
        <v/>
      </c>
      <c r="N109" s="18" t="str">
        <f aca="false">IF(OR($A109="",UPPER($J109)&lt;&gt;"Y"),"",$A109&amp;"#"&amp;COUNTIFS($A$3:$A109,$A109,$J$3:$J109,"Y"))</f>
        <v/>
      </c>
    </row>
    <row r="110" customFormat="false" ht="15" hidden="false" customHeight="true" outlineLevel="0" collapsed="false">
      <c r="A110" s="11"/>
      <c r="B110" s="17"/>
      <c r="C110" s="12"/>
      <c r="D110" s="12"/>
      <c r="E110" s="18" t="str">
        <f aca="false">IF($D110="","",IFERROR(INDEX(품목마스터!$B$3:$B$102,MATCH($D110,품목마스터!$A$3:$A$102,0)),""))</f>
        <v/>
      </c>
      <c r="F110" s="18" t="str">
        <f aca="false">IF($D110="","",IFERROR(INDEX(품목마스터!$C$3:$C$102,MATCH($D110,품목마스터!$A$3:$A$102,0)),""))</f>
        <v/>
      </c>
      <c r="G110" s="13" t="str">
        <f aca="false">IF($D110="","",IFERROR(INDEX(품목마스터!$D$3:$D$102,MATCH($D110,품목마스터!$A$3:$A$102,0)),0))</f>
        <v/>
      </c>
      <c r="H110" s="11"/>
      <c r="I110" s="19" t="str">
        <f aca="false">IF(OR($G110="",$H110=""),"",ROUND($G110*$H110,0))</f>
        <v/>
      </c>
      <c r="J110" s="12"/>
      <c r="K110" s="11"/>
      <c r="L110" s="18" t="str">
        <f aca="false">IF($A110="","",COUNTIFS($A$3:$A110,$A110))</f>
        <v/>
      </c>
      <c r="M110" s="18" t="str">
        <f aca="false">IF($A110="","",$A110&amp;"|"&amp;$L110)</f>
        <v/>
      </c>
      <c r="N110" s="18" t="str">
        <f aca="false">IF(OR($A110="",UPPER($J110)&lt;&gt;"Y"),"",$A110&amp;"#"&amp;COUNTIFS($A$3:$A110,$A110,$J$3:$J110,"Y"))</f>
        <v/>
      </c>
    </row>
    <row r="111" customFormat="false" ht="15" hidden="false" customHeight="true" outlineLevel="0" collapsed="false">
      <c r="A111" s="11"/>
      <c r="B111" s="17"/>
      <c r="C111" s="12"/>
      <c r="D111" s="12"/>
      <c r="E111" s="18" t="str">
        <f aca="false">IF($D111="","",IFERROR(INDEX(품목마스터!$B$3:$B$102,MATCH($D111,품목마스터!$A$3:$A$102,0)),""))</f>
        <v/>
      </c>
      <c r="F111" s="18" t="str">
        <f aca="false">IF($D111="","",IFERROR(INDEX(품목마스터!$C$3:$C$102,MATCH($D111,품목마스터!$A$3:$A$102,0)),""))</f>
        <v/>
      </c>
      <c r="G111" s="13" t="str">
        <f aca="false">IF($D111="","",IFERROR(INDEX(품목마스터!$D$3:$D$102,MATCH($D111,품목마스터!$A$3:$A$102,0)),0))</f>
        <v/>
      </c>
      <c r="H111" s="11"/>
      <c r="I111" s="19" t="str">
        <f aca="false">IF(OR($G111="",$H111=""),"",ROUND($G111*$H111,0))</f>
        <v/>
      </c>
      <c r="J111" s="12"/>
      <c r="K111" s="11"/>
      <c r="L111" s="18" t="str">
        <f aca="false">IF($A111="","",COUNTIFS($A$3:$A111,$A111))</f>
        <v/>
      </c>
      <c r="M111" s="18" t="str">
        <f aca="false">IF($A111="","",$A111&amp;"|"&amp;$L111)</f>
        <v/>
      </c>
      <c r="N111" s="18" t="str">
        <f aca="false">IF(OR($A111="",UPPER($J111)&lt;&gt;"Y"),"",$A111&amp;"#"&amp;COUNTIFS($A$3:$A111,$A111,$J$3:$J111,"Y"))</f>
        <v/>
      </c>
    </row>
    <row r="112" customFormat="false" ht="15" hidden="false" customHeight="true" outlineLevel="0" collapsed="false">
      <c r="A112" s="11"/>
      <c r="B112" s="17"/>
      <c r="C112" s="12"/>
      <c r="D112" s="12"/>
      <c r="E112" s="18" t="str">
        <f aca="false">IF($D112="","",IFERROR(INDEX(품목마스터!$B$3:$B$102,MATCH($D112,품목마스터!$A$3:$A$102,0)),""))</f>
        <v/>
      </c>
      <c r="F112" s="18" t="str">
        <f aca="false">IF($D112="","",IFERROR(INDEX(품목마스터!$C$3:$C$102,MATCH($D112,품목마스터!$A$3:$A$102,0)),""))</f>
        <v/>
      </c>
      <c r="G112" s="13" t="str">
        <f aca="false">IF($D112="","",IFERROR(INDEX(품목마스터!$D$3:$D$102,MATCH($D112,품목마스터!$A$3:$A$102,0)),0))</f>
        <v/>
      </c>
      <c r="H112" s="11"/>
      <c r="I112" s="19" t="str">
        <f aca="false">IF(OR($G112="",$H112=""),"",ROUND($G112*$H112,0))</f>
        <v/>
      </c>
      <c r="J112" s="12"/>
      <c r="K112" s="11"/>
      <c r="L112" s="18" t="str">
        <f aca="false">IF($A112="","",COUNTIFS($A$3:$A112,$A112))</f>
        <v/>
      </c>
      <c r="M112" s="18" t="str">
        <f aca="false">IF($A112="","",$A112&amp;"|"&amp;$L112)</f>
        <v/>
      </c>
      <c r="N112" s="18" t="str">
        <f aca="false">IF(OR($A112="",UPPER($J112)&lt;&gt;"Y"),"",$A112&amp;"#"&amp;COUNTIFS($A$3:$A112,$A112,$J$3:$J112,"Y"))</f>
        <v/>
      </c>
    </row>
    <row r="113" customFormat="false" ht="15" hidden="false" customHeight="true" outlineLevel="0" collapsed="false">
      <c r="A113" s="11"/>
      <c r="B113" s="17"/>
      <c r="C113" s="12"/>
      <c r="D113" s="12"/>
      <c r="E113" s="18" t="str">
        <f aca="false">IF($D113="","",IFERROR(INDEX(품목마스터!$B$3:$B$102,MATCH($D113,품목마스터!$A$3:$A$102,0)),""))</f>
        <v/>
      </c>
      <c r="F113" s="18" t="str">
        <f aca="false">IF($D113="","",IFERROR(INDEX(품목마스터!$C$3:$C$102,MATCH($D113,품목마스터!$A$3:$A$102,0)),""))</f>
        <v/>
      </c>
      <c r="G113" s="13" t="str">
        <f aca="false">IF($D113="","",IFERROR(INDEX(품목마스터!$D$3:$D$102,MATCH($D113,품목마스터!$A$3:$A$102,0)),0))</f>
        <v/>
      </c>
      <c r="H113" s="11"/>
      <c r="I113" s="19" t="str">
        <f aca="false">IF(OR($G113="",$H113=""),"",ROUND($G113*$H113,0))</f>
        <v/>
      </c>
      <c r="J113" s="12"/>
      <c r="K113" s="11"/>
      <c r="L113" s="18" t="str">
        <f aca="false">IF($A113="","",COUNTIFS($A$3:$A113,$A113))</f>
        <v/>
      </c>
      <c r="M113" s="18" t="str">
        <f aca="false">IF($A113="","",$A113&amp;"|"&amp;$L113)</f>
        <v/>
      </c>
      <c r="N113" s="18" t="str">
        <f aca="false">IF(OR($A113="",UPPER($J113)&lt;&gt;"Y"),"",$A113&amp;"#"&amp;COUNTIFS($A$3:$A113,$A113,$J$3:$J113,"Y"))</f>
        <v/>
      </c>
    </row>
    <row r="114" customFormat="false" ht="15" hidden="false" customHeight="true" outlineLevel="0" collapsed="false">
      <c r="A114" s="11"/>
      <c r="B114" s="17"/>
      <c r="C114" s="12"/>
      <c r="D114" s="12"/>
      <c r="E114" s="18" t="str">
        <f aca="false">IF($D114="","",IFERROR(INDEX(품목마스터!$B$3:$B$102,MATCH($D114,품목마스터!$A$3:$A$102,0)),""))</f>
        <v/>
      </c>
      <c r="F114" s="18" t="str">
        <f aca="false">IF($D114="","",IFERROR(INDEX(품목마스터!$C$3:$C$102,MATCH($D114,품목마스터!$A$3:$A$102,0)),""))</f>
        <v/>
      </c>
      <c r="G114" s="13" t="str">
        <f aca="false">IF($D114="","",IFERROR(INDEX(품목마스터!$D$3:$D$102,MATCH($D114,품목마스터!$A$3:$A$102,0)),0))</f>
        <v/>
      </c>
      <c r="H114" s="11"/>
      <c r="I114" s="19" t="str">
        <f aca="false">IF(OR($G114="",$H114=""),"",ROUND($G114*$H114,0))</f>
        <v/>
      </c>
      <c r="J114" s="12"/>
      <c r="K114" s="11"/>
      <c r="L114" s="18" t="str">
        <f aca="false">IF($A114="","",COUNTIFS($A$3:$A114,$A114))</f>
        <v/>
      </c>
      <c r="M114" s="18" t="str">
        <f aca="false">IF($A114="","",$A114&amp;"|"&amp;$L114)</f>
        <v/>
      </c>
      <c r="N114" s="18" t="str">
        <f aca="false">IF(OR($A114="",UPPER($J114)&lt;&gt;"Y"),"",$A114&amp;"#"&amp;COUNTIFS($A$3:$A114,$A114,$J$3:$J114,"Y"))</f>
        <v/>
      </c>
    </row>
    <row r="115" customFormat="false" ht="15" hidden="false" customHeight="true" outlineLevel="0" collapsed="false">
      <c r="A115" s="11"/>
      <c r="B115" s="17"/>
      <c r="C115" s="12"/>
      <c r="D115" s="12"/>
      <c r="E115" s="18" t="str">
        <f aca="false">IF($D115="","",IFERROR(INDEX(품목마스터!$B$3:$B$102,MATCH($D115,품목마스터!$A$3:$A$102,0)),""))</f>
        <v/>
      </c>
      <c r="F115" s="18" t="str">
        <f aca="false">IF($D115="","",IFERROR(INDEX(품목마스터!$C$3:$C$102,MATCH($D115,품목마스터!$A$3:$A$102,0)),""))</f>
        <v/>
      </c>
      <c r="G115" s="13" t="str">
        <f aca="false">IF($D115="","",IFERROR(INDEX(품목마스터!$D$3:$D$102,MATCH($D115,품목마스터!$A$3:$A$102,0)),0))</f>
        <v/>
      </c>
      <c r="H115" s="11"/>
      <c r="I115" s="19" t="str">
        <f aca="false">IF(OR($G115="",$H115=""),"",ROUND($G115*$H115,0))</f>
        <v/>
      </c>
      <c r="J115" s="12"/>
      <c r="K115" s="11"/>
      <c r="L115" s="18" t="str">
        <f aca="false">IF($A115="","",COUNTIFS($A$3:$A115,$A115))</f>
        <v/>
      </c>
      <c r="M115" s="18" t="str">
        <f aca="false">IF($A115="","",$A115&amp;"|"&amp;$L115)</f>
        <v/>
      </c>
      <c r="N115" s="18" t="str">
        <f aca="false">IF(OR($A115="",UPPER($J115)&lt;&gt;"Y"),"",$A115&amp;"#"&amp;COUNTIFS($A$3:$A115,$A115,$J$3:$J115,"Y"))</f>
        <v/>
      </c>
    </row>
    <row r="116" customFormat="false" ht="15" hidden="false" customHeight="true" outlineLevel="0" collapsed="false">
      <c r="A116" s="11"/>
      <c r="B116" s="17"/>
      <c r="C116" s="12"/>
      <c r="D116" s="12"/>
      <c r="E116" s="18" t="str">
        <f aca="false">IF($D116="","",IFERROR(INDEX(품목마스터!$B$3:$B$102,MATCH($D116,품목마스터!$A$3:$A$102,0)),""))</f>
        <v/>
      </c>
      <c r="F116" s="18" t="str">
        <f aca="false">IF($D116="","",IFERROR(INDEX(품목마스터!$C$3:$C$102,MATCH($D116,품목마스터!$A$3:$A$102,0)),""))</f>
        <v/>
      </c>
      <c r="G116" s="13" t="str">
        <f aca="false">IF($D116="","",IFERROR(INDEX(품목마스터!$D$3:$D$102,MATCH($D116,품목마스터!$A$3:$A$102,0)),0))</f>
        <v/>
      </c>
      <c r="H116" s="11"/>
      <c r="I116" s="19" t="str">
        <f aca="false">IF(OR($G116="",$H116=""),"",ROUND($G116*$H116,0))</f>
        <v/>
      </c>
      <c r="J116" s="12"/>
      <c r="K116" s="11"/>
      <c r="L116" s="18" t="str">
        <f aca="false">IF($A116="","",COUNTIFS($A$3:$A116,$A116))</f>
        <v/>
      </c>
      <c r="M116" s="18" t="str">
        <f aca="false">IF($A116="","",$A116&amp;"|"&amp;$L116)</f>
        <v/>
      </c>
      <c r="N116" s="18" t="str">
        <f aca="false">IF(OR($A116="",UPPER($J116)&lt;&gt;"Y"),"",$A116&amp;"#"&amp;COUNTIFS($A$3:$A116,$A116,$J$3:$J116,"Y"))</f>
        <v/>
      </c>
    </row>
    <row r="117" customFormat="false" ht="15" hidden="false" customHeight="true" outlineLevel="0" collapsed="false">
      <c r="A117" s="11"/>
      <c r="B117" s="17"/>
      <c r="C117" s="12"/>
      <c r="D117" s="12"/>
      <c r="E117" s="18" t="str">
        <f aca="false">IF($D117="","",IFERROR(INDEX(품목마스터!$B$3:$B$102,MATCH($D117,품목마스터!$A$3:$A$102,0)),""))</f>
        <v/>
      </c>
      <c r="F117" s="18" t="str">
        <f aca="false">IF($D117="","",IFERROR(INDEX(품목마스터!$C$3:$C$102,MATCH($D117,품목마스터!$A$3:$A$102,0)),""))</f>
        <v/>
      </c>
      <c r="G117" s="13" t="str">
        <f aca="false">IF($D117="","",IFERROR(INDEX(품목마스터!$D$3:$D$102,MATCH($D117,품목마스터!$A$3:$A$102,0)),0))</f>
        <v/>
      </c>
      <c r="H117" s="11"/>
      <c r="I117" s="19" t="str">
        <f aca="false">IF(OR($G117="",$H117=""),"",ROUND($G117*$H117,0))</f>
        <v/>
      </c>
      <c r="J117" s="12"/>
      <c r="K117" s="11"/>
      <c r="L117" s="18" t="str">
        <f aca="false">IF($A117="","",COUNTIFS($A$3:$A117,$A117))</f>
        <v/>
      </c>
      <c r="M117" s="18" t="str">
        <f aca="false">IF($A117="","",$A117&amp;"|"&amp;$L117)</f>
        <v/>
      </c>
      <c r="N117" s="18" t="str">
        <f aca="false">IF(OR($A117="",UPPER($J117)&lt;&gt;"Y"),"",$A117&amp;"#"&amp;COUNTIFS($A$3:$A117,$A117,$J$3:$J117,"Y"))</f>
        <v/>
      </c>
    </row>
    <row r="118" customFormat="false" ht="15" hidden="false" customHeight="true" outlineLevel="0" collapsed="false">
      <c r="A118" s="11"/>
      <c r="B118" s="17"/>
      <c r="C118" s="12"/>
      <c r="D118" s="12"/>
      <c r="E118" s="18" t="str">
        <f aca="false">IF($D118="","",IFERROR(INDEX(품목마스터!$B$3:$B$102,MATCH($D118,품목마스터!$A$3:$A$102,0)),""))</f>
        <v/>
      </c>
      <c r="F118" s="18" t="str">
        <f aca="false">IF($D118="","",IFERROR(INDEX(품목마스터!$C$3:$C$102,MATCH($D118,품목마스터!$A$3:$A$102,0)),""))</f>
        <v/>
      </c>
      <c r="G118" s="13" t="str">
        <f aca="false">IF($D118="","",IFERROR(INDEX(품목마스터!$D$3:$D$102,MATCH($D118,품목마스터!$A$3:$A$102,0)),0))</f>
        <v/>
      </c>
      <c r="H118" s="11"/>
      <c r="I118" s="19" t="str">
        <f aca="false">IF(OR($G118="",$H118=""),"",ROUND($G118*$H118,0))</f>
        <v/>
      </c>
      <c r="J118" s="12"/>
      <c r="K118" s="11"/>
      <c r="L118" s="18" t="str">
        <f aca="false">IF($A118="","",COUNTIFS($A$3:$A118,$A118))</f>
        <v/>
      </c>
      <c r="M118" s="18" t="str">
        <f aca="false">IF($A118="","",$A118&amp;"|"&amp;$L118)</f>
        <v/>
      </c>
      <c r="N118" s="18" t="str">
        <f aca="false">IF(OR($A118="",UPPER($J118)&lt;&gt;"Y"),"",$A118&amp;"#"&amp;COUNTIFS($A$3:$A118,$A118,$J$3:$J118,"Y"))</f>
        <v/>
      </c>
    </row>
    <row r="119" customFormat="false" ht="15" hidden="false" customHeight="true" outlineLevel="0" collapsed="false">
      <c r="A119" s="11"/>
      <c r="B119" s="17"/>
      <c r="C119" s="12"/>
      <c r="D119" s="12"/>
      <c r="E119" s="18" t="str">
        <f aca="false">IF($D119="","",IFERROR(INDEX(품목마스터!$B$3:$B$102,MATCH($D119,품목마스터!$A$3:$A$102,0)),""))</f>
        <v/>
      </c>
      <c r="F119" s="18" t="str">
        <f aca="false">IF($D119="","",IFERROR(INDEX(품목마스터!$C$3:$C$102,MATCH($D119,품목마스터!$A$3:$A$102,0)),""))</f>
        <v/>
      </c>
      <c r="G119" s="13" t="str">
        <f aca="false">IF($D119="","",IFERROR(INDEX(품목마스터!$D$3:$D$102,MATCH($D119,품목마스터!$A$3:$A$102,0)),0))</f>
        <v/>
      </c>
      <c r="H119" s="11"/>
      <c r="I119" s="19" t="str">
        <f aca="false">IF(OR($G119="",$H119=""),"",ROUND($G119*$H119,0))</f>
        <v/>
      </c>
      <c r="J119" s="12"/>
      <c r="K119" s="11"/>
      <c r="L119" s="18" t="str">
        <f aca="false">IF($A119="","",COUNTIFS($A$3:$A119,$A119))</f>
        <v/>
      </c>
      <c r="M119" s="18" t="str">
        <f aca="false">IF($A119="","",$A119&amp;"|"&amp;$L119)</f>
        <v/>
      </c>
      <c r="N119" s="18" t="str">
        <f aca="false">IF(OR($A119="",UPPER($J119)&lt;&gt;"Y"),"",$A119&amp;"#"&amp;COUNTIFS($A$3:$A119,$A119,$J$3:$J119,"Y"))</f>
        <v/>
      </c>
    </row>
    <row r="120" customFormat="false" ht="15" hidden="false" customHeight="true" outlineLevel="0" collapsed="false">
      <c r="A120" s="11"/>
      <c r="B120" s="17"/>
      <c r="C120" s="12"/>
      <c r="D120" s="12"/>
      <c r="E120" s="18" t="str">
        <f aca="false">IF($D120="","",IFERROR(INDEX(품목마스터!$B$3:$B$102,MATCH($D120,품목마스터!$A$3:$A$102,0)),""))</f>
        <v/>
      </c>
      <c r="F120" s="18" t="str">
        <f aca="false">IF($D120="","",IFERROR(INDEX(품목마스터!$C$3:$C$102,MATCH($D120,품목마스터!$A$3:$A$102,0)),""))</f>
        <v/>
      </c>
      <c r="G120" s="13" t="str">
        <f aca="false">IF($D120="","",IFERROR(INDEX(품목마스터!$D$3:$D$102,MATCH($D120,품목마스터!$A$3:$A$102,0)),0))</f>
        <v/>
      </c>
      <c r="H120" s="11"/>
      <c r="I120" s="19" t="str">
        <f aca="false">IF(OR($G120="",$H120=""),"",ROUND($G120*$H120,0))</f>
        <v/>
      </c>
      <c r="J120" s="12"/>
      <c r="K120" s="11"/>
      <c r="L120" s="18" t="str">
        <f aca="false">IF($A120="","",COUNTIFS($A$3:$A120,$A120))</f>
        <v/>
      </c>
      <c r="M120" s="18" t="str">
        <f aca="false">IF($A120="","",$A120&amp;"|"&amp;$L120)</f>
        <v/>
      </c>
      <c r="N120" s="18" t="str">
        <f aca="false">IF(OR($A120="",UPPER($J120)&lt;&gt;"Y"),"",$A120&amp;"#"&amp;COUNTIFS($A$3:$A120,$A120,$J$3:$J120,"Y"))</f>
        <v/>
      </c>
    </row>
    <row r="121" customFormat="false" ht="15" hidden="false" customHeight="true" outlineLevel="0" collapsed="false">
      <c r="A121" s="11"/>
      <c r="B121" s="17"/>
      <c r="C121" s="12"/>
      <c r="D121" s="12"/>
      <c r="E121" s="18" t="str">
        <f aca="false">IF($D121="","",IFERROR(INDEX(품목마스터!$B$3:$B$102,MATCH($D121,품목마스터!$A$3:$A$102,0)),""))</f>
        <v/>
      </c>
      <c r="F121" s="18" t="str">
        <f aca="false">IF($D121="","",IFERROR(INDEX(품목마스터!$C$3:$C$102,MATCH($D121,품목마스터!$A$3:$A$102,0)),""))</f>
        <v/>
      </c>
      <c r="G121" s="13" t="str">
        <f aca="false">IF($D121="","",IFERROR(INDEX(품목마스터!$D$3:$D$102,MATCH($D121,품목마스터!$A$3:$A$102,0)),0))</f>
        <v/>
      </c>
      <c r="H121" s="11"/>
      <c r="I121" s="19" t="str">
        <f aca="false">IF(OR($G121="",$H121=""),"",ROUND($G121*$H121,0))</f>
        <v/>
      </c>
      <c r="J121" s="12"/>
      <c r="K121" s="11"/>
      <c r="L121" s="18" t="str">
        <f aca="false">IF($A121="","",COUNTIFS($A$3:$A121,$A121))</f>
        <v/>
      </c>
      <c r="M121" s="18" t="str">
        <f aca="false">IF($A121="","",$A121&amp;"|"&amp;$L121)</f>
        <v/>
      </c>
      <c r="N121" s="18" t="str">
        <f aca="false">IF(OR($A121="",UPPER($J121)&lt;&gt;"Y"),"",$A121&amp;"#"&amp;COUNTIFS($A$3:$A121,$A121,$J$3:$J121,"Y"))</f>
        <v/>
      </c>
    </row>
    <row r="122" customFormat="false" ht="15" hidden="false" customHeight="true" outlineLevel="0" collapsed="false">
      <c r="A122" s="11"/>
      <c r="B122" s="17"/>
      <c r="C122" s="12"/>
      <c r="D122" s="12"/>
      <c r="E122" s="18" t="str">
        <f aca="false">IF($D122="","",IFERROR(INDEX(품목마스터!$B$3:$B$102,MATCH($D122,품목마스터!$A$3:$A$102,0)),""))</f>
        <v/>
      </c>
      <c r="F122" s="18" t="str">
        <f aca="false">IF($D122="","",IFERROR(INDEX(품목마스터!$C$3:$C$102,MATCH($D122,품목마스터!$A$3:$A$102,0)),""))</f>
        <v/>
      </c>
      <c r="G122" s="13" t="str">
        <f aca="false">IF($D122="","",IFERROR(INDEX(품목마스터!$D$3:$D$102,MATCH($D122,품목마스터!$A$3:$A$102,0)),0))</f>
        <v/>
      </c>
      <c r="H122" s="11"/>
      <c r="I122" s="19" t="str">
        <f aca="false">IF(OR($G122="",$H122=""),"",ROUND($G122*$H122,0))</f>
        <v/>
      </c>
      <c r="J122" s="12"/>
      <c r="K122" s="11"/>
      <c r="L122" s="18" t="str">
        <f aca="false">IF($A122="","",COUNTIFS($A$3:$A122,$A122))</f>
        <v/>
      </c>
      <c r="M122" s="18" t="str">
        <f aca="false">IF($A122="","",$A122&amp;"|"&amp;$L122)</f>
        <v/>
      </c>
      <c r="N122" s="18" t="str">
        <f aca="false">IF(OR($A122="",UPPER($J122)&lt;&gt;"Y"),"",$A122&amp;"#"&amp;COUNTIFS($A$3:$A122,$A122,$J$3:$J122,"Y"))</f>
        <v/>
      </c>
    </row>
    <row r="123" customFormat="false" ht="15" hidden="false" customHeight="true" outlineLevel="0" collapsed="false">
      <c r="A123" s="11"/>
      <c r="B123" s="17"/>
      <c r="C123" s="12"/>
      <c r="D123" s="12"/>
      <c r="E123" s="18" t="str">
        <f aca="false">IF($D123="","",IFERROR(INDEX(품목마스터!$B$3:$B$102,MATCH($D123,품목마스터!$A$3:$A$102,0)),""))</f>
        <v/>
      </c>
      <c r="F123" s="18" t="str">
        <f aca="false">IF($D123="","",IFERROR(INDEX(품목마스터!$C$3:$C$102,MATCH($D123,품목마스터!$A$3:$A$102,0)),""))</f>
        <v/>
      </c>
      <c r="G123" s="13" t="str">
        <f aca="false">IF($D123="","",IFERROR(INDEX(품목마스터!$D$3:$D$102,MATCH($D123,품목마스터!$A$3:$A$102,0)),0))</f>
        <v/>
      </c>
      <c r="H123" s="11"/>
      <c r="I123" s="19" t="str">
        <f aca="false">IF(OR($G123="",$H123=""),"",ROUND($G123*$H123,0))</f>
        <v/>
      </c>
      <c r="J123" s="12"/>
      <c r="K123" s="11"/>
      <c r="L123" s="18" t="str">
        <f aca="false">IF($A123="","",COUNTIFS($A$3:$A123,$A123))</f>
        <v/>
      </c>
      <c r="M123" s="18" t="str">
        <f aca="false">IF($A123="","",$A123&amp;"|"&amp;$L123)</f>
        <v/>
      </c>
      <c r="N123" s="18" t="str">
        <f aca="false">IF(OR($A123="",UPPER($J123)&lt;&gt;"Y"),"",$A123&amp;"#"&amp;COUNTIFS($A$3:$A123,$A123,$J$3:$J123,"Y"))</f>
        <v/>
      </c>
    </row>
    <row r="124" customFormat="false" ht="15" hidden="false" customHeight="true" outlineLevel="0" collapsed="false">
      <c r="A124" s="11"/>
      <c r="B124" s="17"/>
      <c r="C124" s="12"/>
      <c r="D124" s="12"/>
      <c r="E124" s="18" t="str">
        <f aca="false">IF($D124="","",IFERROR(INDEX(품목마스터!$B$3:$B$102,MATCH($D124,품목마스터!$A$3:$A$102,0)),""))</f>
        <v/>
      </c>
      <c r="F124" s="18" t="str">
        <f aca="false">IF($D124="","",IFERROR(INDEX(품목마스터!$C$3:$C$102,MATCH($D124,품목마스터!$A$3:$A$102,0)),""))</f>
        <v/>
      </c>
      <c r="G124" s="13" t="str">
        <f aca="false">IF($D124="","",IFERROR(INDEX(품목마스터!$D$3:$D$102,MATCH($D124,품목마스터!$A$3:$A$102,0)),0))</f>
        <v/>
      </c>
      <c r="H124" s="11"/>
      <c r="I124" s="19" t="str">
        <f aca="false">IF(OR($G124="",$H124=""),"",ROUND($G124*$H124,0))</f>
        <v/>
      </c>
      <c r="J124" s="12"/>
      <c r="K124" s="11"/>
      <c r="L124" s="18" t="str">
        <f aca="false">IF($A124="","",COUNTIFS($A$3:$A124,$A124))</f>
        <v/>
      </c>
      <c r="M124" s="18" t="str">
        <f aca="false">IF($A124="","",$A124&amp;"|"&amp;$L124)</f>
        <v/>
      </c>
      <c r="N124" s="18" t="str">
        <f aca="false">IF(OR($A124="",UPPER($J124)&lt;&gt;"Y"),"",$A124&amp;"#"&amp;COUNTIFS($A$3:$A124,$A124,$J$3:$J124,"Y"))</f>
        <v/>
      </c>
    </row>
    <row r="125" customFormat="false" ht="15" hidden="false" customHeight="true" outlineLevel="0" collapsed="false">
      <c r="A125" s="11"/>
      <c r="B125" s="17"/>
      <c r="C125" s="12"/>
      <c r="D125" s="12"/>
      <c r="E125" s="18" t="str">
        <f aca="false">IF($D125="","",IFERROR(INDEX(품목마스터!$B$3:$B$102,MATCH($D125,품목마스터!$A$3:$A$102,0)),""))</f>
        <v/>
      </c>
      <c r="F125" s="18" t="str">
        <f aca="false">IF($D125="","",IFERROR(INDEX(품목마스터!$C$3:$C$102,MATCH($D125,품목마스터!$A$3:$A$102,0)),""))</f>
        <v/>
      </c>
      <c r="G125" s="13" t="str">
        <f aca="false">IF($D125="","",IFERROR(INDEX(품목마스터!$D$3:$D$102,MATCH($D125,품목마스터!$A$3:$A$102,0)),0))</f>
        <v/>
      </c>
      <c r="H125" s="11"/>
      <c r="I125" s="19" t="str">
        <f aca="false">IF(OR($G125="",$H125=""),"",ROUND($G125*$H125,0))</f>
        <v/>
      </c>
      <c r="J125" s="12"/>
      <c r="K125" s="11"/>
      <c r="L125" s="18" t="str">
        <f aca="false">IF($A125="","",COUNTIFS($A$3:$A125,$A125))</f>
        <v/>
      </c>
      <c r="M125" s="18" t="str">
        <f aca="false">IF($A125="","",$A125&amp;"|"&amp;$L125)</f>
        <v/>
      </c>
      <c r="N125" s="18" t="str">
        <f aca="false">IF(OR($A125="",UPPER($J125)&lt;&gt;"Y"),"",$A125&amp;"#"&amp;COUNTIFS($A$3:$A125,$A125,$J$3:$J125,"Y"))</f>
        <v/>
      </c>
    </row>
    <row r="126" customFormat="false" ht="15" hidden="false" customHeight="true" outlineLevel="0" collapsed="false">
      <c r="A126" s="11"/>
      <c r="B126" s="17"/>
      <c r="C126" s="12"/>
      <c r="D126" s="12"/>
      <c r="E126" s="18" t="str">
        <f aca="false">IF($D126="","",IFERROR(INDEX(품목마스터!$B$3:$B$102,MATCH($D126,품목마스터!$A$3:$A$102,0)),""))</f>
        <v/>
      </c>
      <c r="F126" s="18" t="str">
        <f aca="false">IF($D126="","",IFERROR(INDEX(품목마스터!$C$3:$C$102,MATCH($D126,품목마스터!$A$3:$A$102,0)),""))</f>
        <v/>
      </c>
      <c r="G126" s="13" t="str">
        <f aca="false">IF($D126="","",IFERROR(INDEX(품목마스터!$D$3:$D$102,MATCH($D126,품목마스터!$A$3:$A$102,0)),0))</f>
        <v/>
      </c>
      <c r="H126" s="11"/>
      <c r="I126" s="19" t="str">
        <f aca="false">IF(OR($G126="",$H126=""),"",ROUND($G126*$H126,0))</f>
        <v/>
      </c>
      <c r="J126" s="12"/>
      <c r="K126" s="11"/>
      <c r="L126" s="18" t="str">
        <f aca="false">IF($A126="","",COUNTIFS($A$3:$A126,$A126))</f>
        <v/>
      </c>
      <c r="M126" s="18" t="str">
        <f aca="false">IF($A126="","",$A126&amp;"|"&amp;$L126)</f>
        <v/>
      </c>
      <c r="N126" s="18" t="str">
        <f aca="false">IF(OR($A126="",UPPER($J126)&lt;&gt;"Y"),"",$A126&amp;"#"&amp;COUNTIFS($A$3:$A126,$A126,$J$3:$J126,"Y"))</f>
        <v/>
      </c>
    </row>
    <row r="127" customFormat="false" ht="15" hidden="false" customHeight="true" outlineLevel="0" collapsed="false">
      <c r="A127" s="11"/>
      <c r="B127" s="17"/>
      <c r="C127" s="12"/>
      <c r="D127" s="12"/>
      <c r="E127" s="18" t="str">
        <f aca="false">IF($D127="","",IFERROR(INDEX(품목마스터!$B$3:$B$102,MATCH($D127,품목마스터!$A$3:$A$102,0)),""))</f>
        <v/>
      </c>
      <c r="F127" s="18" t="str">
        <f aca="false">IF($D127="","",IFERROR(INDEX(품목마스터!$C$3:$C$102,MATCH($D127,품목마스터!$A$3:$A$102,0)),""))</f>
        <v/>
      </c>
      <c r="G127" s="13" t="str">
        <f aca="false">IF($D127="","",IFERROR(INDEX(품목마스터!$D$3:$D$102,MATCH($D127,품목마스터!$A$3:$A$102,0)),0))</f>
        <v/>
      </c>
      <c r="H127" s="11"/>
      <c r="I127" s="19" t="str">
        <f aca="false">IF(OR($G127="",$H127=""),"",ROUND($G127*$H127,0))</f>
        <v/>
      </c>
      <c r="J127" s="12"/>
      <c r="K127" s="11"/>
      <c r="L127" s="18" t="str">
        <f aca="false">IF($A127="","",COUNTIFS($A$3:$A127,$A127))</f>
        <v/>
      </c>
      <c r="M127" s="18" t="str">
        <f aca="false">IF($A127="","",$A127&amp;"|"&amp;$L127)</f>
        <v/>
      </c>
      <c r="N127" s="18" t="str">
        <f aca="false">IF(OR($A127="",UPPER($J127)&lt;&gt;"Y"),"",$A127&amp;"#"&amp;COUNTIFS($A$3:$A127,$A127,$J$3:$J127,"Y"))</f>
        <v/>
      </c>
    </row>
    <row r="128" customFormat="false" ht="15" hidden="false" customHeight="true" outlineLevel="0" collapsed="false">
      <c r="A128" s="11"/>
      <c r="B128" s="17"/>
      <c r="C128" s="12"/>
      <c r="D128" s="12"/>
      <c r="E128" s="18" t="str">
        <f aca="false">IF($D128="","",IFERROR(INDEX(품목마스터!$B$3:$B$102,MATCH($D128,품목마스터!$A$3:$A$102,0)),""))</f>
        <v/>
      </c>
      <c r="F128" s="18" t="str">
        <f aca="false">IF($D128="","",IFERROR(INDEX(품목마스터!$C$3:$C$102,MATCH($D128,품목마스터!$A$3:$A$102,0)),""))</f>
        <v/>
      </c>
      <c r="G128" s="13" t="str">
        <f aca="false">IF($D128="","",IFERROR(INDEX(품목마스터!$D$3:$D$102,MATCH($D128,품목마스터!$A$3:$A$102,0)),0))</f>
        <v/>
      </c>
      <c r="H128" s="11"/>
      <c r="I128" s="19" t="str">
        <f aca="false">IF(OR($G128="",$H128=""),"",ROUND($G128*$H128,0))</f>
        <v/>
      </c>
      <c r="J128" s="12"/>
      <c r="K128" s="11"/>
      <c r="L128" s="18" t="str">
        <f aca="false">IF($A128="","",COUNTIFS($A$3:$A128,$A128))</f>
        <v/>
      </c>
      <c r="M128" s="18" t="str">
        <f aca="false">IF($A128="","",$A128&amp;"|"&amp;$L128)</f>
        <v/>
      </c>
      <c r="N128" s="18" t="str">
        <f aca="false">IF(OR($A128="",UPPER($J128)&lt;&gt;"Y"),"",$A128&amp;"#"&amp;COUNTIFS($A$3:$A128,$A128,$J$3:$J128,"Y"))</f>
        <v/>
      </c>
    </row>
    <row r="129" customFormat="false" ht="15" hidden="false" customHeight="true" outlineLevel="0" collapsed="false">
      <c r="A129" s="11"/>
      <c r="B129" s="17"/>
      <c r="C129" s="12"/>
      <c r="D129" s="12"/>
      <c r="E129" s="18" t="str">
        <f aca="false">IF($D129="","",IFERROR(INDEX(품목마스터!$B$3:$B$102,MATCH($D129,품목마스터!$A$3:$A$102,0)),""))</f>
        <v/>
      </c>
      <c r="F129" s="18" t="str">
        <f aca="false">IF($D129="","",IFERROR(INDEX(품목마스터!$C$3:$C$102,MATCH($D129,품목마스터!$A$3:$A$102,0)),""))</f>
        <v/>
      </c>
      <c r="G129" s="13" t="str">
        <f aca="false">IF($D129="","",IFERROR(INDEX(품목마스터!$D$3:$D$102,MATCH($D129,품목마스터!$A$3:$A$102,0)),0))</f>
        <v/>
      </c>
      <c r="H129" s="11"/>
      <c r="I129" s="19" t="str">
        <f aca="false">IF(OR($G129="",$H129=""),"",ROUND($G129*$H129,0))</f>
        <v/>
      </c>
      <c r="J129" s="12"/>
      <c r="K129" s="11"/>
      <c r="L129" s="18" t="str">
        <f aca="false">IF($A129="","",COUNTIFS($A$3:$A129,$A129))</f>
        <v/>
      </c>
      <c r="M129" s="18" t="str">
        <f aca="false">IF($A129="","",$A129&amp;"|"&amp;$L129)</f>
        <v/>
      </c>
      <c r="N129" s="18" t="str">
        <f aca="false">IF(OR($A129="",UPPER($J129)&lt;&gt;"Y"),"",$A129&amp;"#"&amp;COUNTIFS($A$3:$A129,$A129,$J$3:$J129,"Y"))</f>
        <v/>
      </c>
    </row>
    <row r="130" customFormat="false" ht="15" hidden="false" customHeight="true" outlineLevel="0" collapsed="false">
      <c r="A130" s="11"/>
      <c r="B130" s="17"/>
      <c r="C130" s="12"/>
      <c r="D130" s="12"/>
      <c r="E130" s="18" t="str">
        <f aca="false">IF($D130="","",IFERROR(INDEX(품목마스터!$B$3:$B$102,MATCH($D130,품목마스터!$A$3:$A$102,0)),""))</f>
        <v/>
      </c>
      <c r="F130" s="18" t="str">
        <f aca="false">IF($D130="","",IFERROR(INDEX(품목마스터!$C$3:$C$102,MATCH($D130,품목마스터!$A$3:$A$102,0)),""))</f>
        <v/>
      </c>
      <c r="G130" s="13" t="str">
        <f aca="false">IF($D130="","",IFERROR(INDEX(품목마스터!$D$3:$D$102,MATCH($D130,품목마스터!$A$3:$A$102,0)),0))</f>
        <v/>
      </c>
      <c r="H130" s="11"/>
      <c r="I130" s="19" t="str">
        <f aca="false">IF(OR($G130="",$H130=""),"",ROUND($G130*$H130,0))</f>
        <v/>
      </c>
      <c r="J130" s="12"/>
      <c r="K130" s="11"/>
      <c r="L130" s="18" t="str">
        <f aca="false">IF($A130="","",COUNTIFS($A$3:$A130,$A130))</f>
        <v/>
      </c>
      <c r="M130" s="18" t="str">
        <f aca="false">IF($A130="","",$A130&amp;"|"&amp;$L130)</f>
        <v/>
      </c>
      <c r="N130" s="18" t="str">
        <f aca="false">IF(OR($A130="",UPPER($J130)&lt;&gt;"Y"),"",$A130&amp;"#"&amp;COUNTIFS($A$3:$A130,$A130,$J$3:$J130,"Y"))</f>
        <v/>
      </c>
    </row>
    <row r="131" customFormat="false" ht="15" hidden="false" customHeight="true" outlineLevel="0" collapsed="false">
      <c r="A131" s="11"/>
      <c r="B131" s="17"/>
      <c r="C131" s="12"/>
      <c r="D131" s="12"/>
      <c r="E131" s="18" t="str">
        <f aca="false">IF($D131="","",IFERROR(INDEX(품목마스터!$B$3:$B$102,MATCH($D131,품목마스터!$A$3:$A$102,0)),""))</f>
        <v/>
      </c>
      <c r="F131" s="18" t="str">
        <f aca="false">IF($D131="","",IFERROR(INDEX(품목마스터!$C$3:$C$102,MATCH($D131,품목마스터!$A$3:$A$102,0)),""))</f>
        <v/>
      </c>
      <c r="G131" s="13" t="str">
        <f aca="false">IF($D131="","",IFERROR(INDEX(품목마스터!$D$3:$D$102,MATCH($D131,품목마스터!$A$3:$A$102,0)),0))</f>
        <v/>
      </c>
      <c r="H131" s="11"/>
      <c r="I131" s="19" t="str">
        <f aca="false">IF(OR($G131="",$H131=""),"",ROUND($G131*$H131,0))</f>
        <v/>
      </c>
      <c r="J131" s="12"/>
      <c r="K131" s="11"/>
      <c r="L131" s="18" t="str">
        <f aca="false">IF($A131="","",COUNTIFS($A$3:$A131,$A131))</f>
        <v/>
      </c>
      <c r="M131" s="18" t="str">
        <f aca="false">IF($A131="","",$A131&amp;"|"&amp;$L131)</f>
        <v/>
      </c>
      <c r="N131" s="18" t="str">
        <f aca="false">IF(OR($A131="",UPPER($J131)&lt;&gt;"Y"),"",$A131&amp;"#"&amp;COUNTIFS($A$3:$A131,$A131,$J$3:$J131,"Y"))</f>
        <v/>
      </c>
    </row>
    <row r="132" customFormat="false" ht="15" hidden="false" customHeight="true" outlineLevel="0" collapsed="false">
      <c r="A132" s="11"/>
      <c r="B132" s="17"/>
      <c r="C132" s="12"/>
      <c r="D132" s="12"/>
      <c r="E132" s="18" t="str">
        <f aca="false">IF($D132="","",IFERROR(INDEX(품목마스터!$B$3:$B$102,MATCH($D132,품목마스터!$A$3:$A$102,0)),""))</f>
        <v/>
      </c>
      <c r="F132" s="18" t="str">
        <f aca="false">IF($D132="","",IFERROR(INDEX(품목마스터!$C$3:$C$102,MATCH($D132,품목마스터!$A$3:$A$102,0)),""))</f>
        <v/>
      </c>
      <c r="G132" s="13" t="str">
        <f aca="false">IF($D132="","",IFERROR(INDEX(품목마스터!$D$3:$D$102,MATCH($D132,품목마스터!$A$3:$A$102,0)),0))</f>
        <v/>
      </c>
      <c r="H132" s="11"/>
      <c r="I132" s="19" t="str">
        <f aca="false">IF(OR($G132="",$H132=""),"",ROUND($G132*$H132,0))</f>
        <v/>
      </c>
      <c r="J132" s="12"/>
      <c r="K132" s="11"/>
      <c r="L132" s="18" t="str">
        <f aca="false">IF($A132="","",COUNTIFS($A$3:$A132,$A132))</f>
        <v/>
      </c>
      <c r="M132" s="18" t="str">
        <f aca="false">IF($A132="","",$A132&amp;"|"&amp;$L132)</f>
        <v/>
      </c>
      <c r="N132" s="18" t="str">
        <f aca="false">IF(OR($A132="",UPPER($J132)&lt;&gt;"Y"),"",$A132&amp;"#"&amp;COUNTIFS($A$3:$A132,$A132,$J$3:$J132,"Y"))</f>
        <v/>
      </c>
    </row>
    <row r="133" customFormat="false" ht="15" hidden="false" customHeight="true" outlineLevel="0" collapsed="false">
      <c r="A133" s="11"/>
      <c r="B133" s="17"/>
      <c r="C133" s="12"/>
      <c r="D133" s="12"/>
      <c r="E133" s="18" t="str">
        <f aca="false">IF($D133="","",IFERROR(INDEX(품목마스터!$B$3:$B$102,MATCH($D133,품목마스터!$A$3:$A$102,0)),""))</f>
        <v/>
      </c>
      <c r="F133" s="18" t="str">
        <f aca="false">IF($D133="","",IFERROR(INDEX(품목마스터!$C$3:$C$102,MATCH($D133,품목마스터!$A$3:$A$102,0)),""))</f>
        <v/>
      </c>
      <c r="G133" s="13" t="str">
        <f aca="false">IF($D133="","",IFERROR(INDEX(품목마스터!$D$3:$D$102,MATCH($D133,품목마스터!$A$3:$A$102,0)),0))</f>
        <v/>
      </c>
      <c r="H133" s="11"/>
      <c r="I133" s="19" t="str">
        <f aca="false">IF(OR($G133="",$H133=""),"",ROUND($G133*$H133,0))</f>
        <v/>
      </c>
      <c r="J133" s="12"/>
      <c r="K133" s="11"/>
      <c r="L133" s="18" t="str">
        <f aca="false">IF($A133="","",COUNTIFS($A$3:$A133,$A133))</f>
        <v/>
      </c>
      <c r="M133" s="18" t="str">
        <f aca="false">IF($A133="","",$A133&amp;"|"&amp;$L133)</f>
        <v/>
      </c>
      <c r="N133" s="18" t="str">
        <f aca="false">IF(OR($A133="",UPPER($J133)&lt;&gt;"Y"),"",$A133&amp;"#"&amp;COUNTIFS($A$3:$A133,$A133,$J$3:$J133,"Y"))</f>
        <v/>
      </c>
    </row>
    <row r="134" customFormat="false" ht="15" hidden="false" customHeight="true" outlineLevel="0" collapsed="false">
      <c r="A134" s="11"/>
      <c r="B134" s="17"/>
      <c r="C134" s="12"/>
      <c r="D134" s="12"/>
      <c r="E134" s="18" t="str">
        <f aca="false">IF($D134="","",IFERROR(INDEX(품목마스터!$B$3:$B$102,MATCH($D134,품목마스터!$A$3:$A$102,0)),""))</f>
        <v/>
      </c>
      <c r="F134" s="18" t="str">
        <f aca="false">IF($D134="","",IFERROR(INDEX(품목마스터!$C$3:$C$102,MATCH($D134,품목마스터!$A$3:$A$102,0)),""))</f>
        <v/>
      </c>
      <c r="G134" s="13" t="str">
        <f aca="false">IF($D134="","",IFERROR(INDEX(품목마스터!$D$3:$D$102,MATCH($D134,품목마스터!$A$3:$A$102,0)),0))</f>
        <v/>
      </c>
      <c r="H134" s="11"/>
      <c r="I134" s="19" t="str">
        <f aca="false">IF(OR($G134="",$H134=""),"",ROUND($G134*$H134,0))</f>
        <v/>
      </c>
      <c r="J134" s="12"/>
      <c r="K134" s="11"/>
      <c r="L134" s="18" t="str">
        <f aca="false">IF($A134="","",COUNTIFS($A$3:$A134,$A134))</f>
        <v/>
      </c>
      <c r="M134" s="18" t="str">
        <f aca="false">IF($A134="","",$A134&amp;"|"&amp;$L134)</f>
        <v/>
      </c>
      <c r="N134" s="18" t="str">
        <f aca="false">IF(OR($A134="",UPPER($J134)&lt;&gt;"Y"),"",$A134&amp;"#"&amp;COUNTIFS($A$3:$A134,$A134,$J$3:$J134,"Y"))</f>
        <v/>
      </c>
    </row>
    <row r="135" customFormat="false" ht="15" hidden="false" customHeight="true" outlineLevel="0" collapsed="false">
      <c r="A135" s="11"/>
      <c r="B135" s="17"/>
      <c r="C135" s="12"/>
      <c r="D135" s="12"/>
      <c r="E135" s="18" t="str">
        <f aca="false">IF($D135="","",IFERROR(INDEX(품목마스터!$B$3:$B$102,MATCH($D135,품목마스터!$A$3:$A$102,0)),""))</f>
        <v/>
      </c>
      <c r="F135" s="18" t="str">
        <f aca="false">IF($D135="","",IFERROR(INDEX(품목마스터!$C$3:$C$102,MATCH($D135,품목마스터!$A$3:$A$102,0)),""))</f>
        <v/>
      </c>
      <c r="G135" s="13" t="str">
        <f aca="false">IF($D135="","",IFERROR(INDEX(품목마스터!$D$3:$D$102,MATCH($D135,품목마스터!$A$3:$A$102,0)),0))</f>
        <v/>
      </c>
      <c r="H135" s="11"/>
      <c r="I135" s="19" t="str">
        <f aca="false">IF(OR($G135="",$H135=""),"",ROUND($G135*$H135,0))</f>
        <v/>
      </c>
      <c r="J135" s="12"/>
      <c r="K135" s="11"/>
      <c r="L135" s="18" t="str">
        <f aca="false">IF($A135="","",COUNTIFS($A$3:$A135,$A135))</f>
        <v/>
      </c>
      <c r="M135" s="18" t="str">
        <f aca="false">IF($A135="","",$A135&amp;"|"&amp;$L135)</f>
        <v/>
      </c>
      <c r="N135" s="18" t="str">
        <f aca="false">IF(OR($A135="",UPPER($J135)&lt;&gt;"Y"),"",$A135&amp;"#"&amp;COUNTIFS($A$3:$A135,$A135,$J$3:$J135,"Y"))</f>
        <v/>
      </c>
    </row>
    <row r="136" customFormat="false" ht="15" hidden="false" customHeight="true" outlineLevel="0" collapsed="false">
      <c r="A136" s="11"/>
      <c r="B136" s="17"/>
      <c r="C136" s="12"/>
      <c r="D136" s="12"/>
      <c r="E136" s="18" t="str">
        <f aca="false">IF($D136="","",IFERROR(INDEX(품목마스터!$B$3:$B$102,MATCH($D136,품목마스터!$A$3:$A$102,0)),""))</f>
        <v/>
      </c>
      <c r="F136" s="18" t="str">
        <f aca="false">IF($D136="","",IFERROR(INDEX(품목마스터!$C$3:$C$102,MATCH($D136,품목마스터!$A$3:$A$102,0)),""))</f>
        <v/>
      </c>
      <c r="G136" s="13" t="str">
        <f aca="false">IF($D136="","",IFERROR(INDEX(품목마스터!$D$3:$D$102,MATCH($D136,품목마스터!$A$3:$A$102,0)),0))</f>
        <v/>
      </c>
      <c r="H136" s="11"/>
      <c r="I136" s="19" t="str">
        <f aca="false">IF(OR($G136="",$H136=""),"",ROUND($G136*$H136,0))</f>
        <v/>
      </c>
      <c r="J136" s="12"/>
      <c r="K136" s="11"/>
      <c r="L136" s="18" t="str">
        <f aca="false">IF($A136="","",COUNTIFS($A$3:$A136,$A136))</f>
        <v/>
      </c>
      <c r="M136" s="18" t="str">
        <f aca="false">IF($A136="","",$A136&amp;"|"&amp;$L136)</f>
        <v/>
      </c>
      <c r="N136" s="18" t="str">
        <f aca="false">IF(OR($A136="",UPPER($J136)&lt;&gt;"Y"),"",$A136&amp;"#"&amp;COUNTIFS($A$3:$A136,$A136,$J$3:$J136,"Y"))</f>
        <v/>
      </c>
    </row>
    <row r="137" customFormat="false" ht="15" hidden="false" customHeight="true" outlineLevel="0" collapsed="false">
      <c r="A137" s="11"/>
      <c r="B137" s="17"/>
      <c r="C137" s="12"/>
      <c r="D137" s="12"/>
      <c r="E137" s="18" t="str">
        <f aca="false">IF($D137="","",IFERROR(INDEX(품목마스터!$B$3:$B$102,MATCH($D137,품목마스터!$A$3:$A$102,0)),""))</f>
        <v/>
      </c>
      <c r="F137" s="18" t="str">
        <f aca="false">IF($D137="","",IFERROR(INDEX(품목마스터!$C$3:$C$102,MATCH($D137,품목마스터!$A$3:$A$102,0)),""))</f>
        <v/>
      </c>
      <c r="G137" s="13" t="str">
        <f aca="false">IF($D137="","",IFERROR(INDEX(품목마스터!$D$3:$D$102,MATCH($D137,품목마스터!$A$3:$A$102,0)),0))</f>
        <v/>
      </c>
      <c r="H137" s="11"/>
      <c r="I137" s="19" t="str">
        <f aca="false">IF(OR($G137="",$H137=""),"",ROUND($G137*$H137,0))</f>
        <v/>
      </c>
      <c r="J137" s="12"/>
      <c r="K137" s="11"/>
      <c r="L137" s="18" t="str">
        <f aca="false">IF($A137="","",COUNTIFS($A$3:$A137,$A137))</f>
        <v/>
      </c>
      <c r="M137" s="18" t="str">
        <f aca="false">IF($A137="","",$A137&amp;"|"&amp;$L137)</f>
        <v/>
      </c>
      <c r="N137" s="18" t="str">
        <f aca="false">IF(OR($A137="",UPPER($J137)&lt;&gt;"Y"),"",$A137&amp;"#"&amp;COUNTIFS($A$3:$A137,$A137,$J$3:$J137,"Y"))</f>
        <v/>
      </c>
    </row>
    <row r="138" customFormat="false" ht="15" hidden="false" customHeight="true" outlineLevel="0" collapsed="false">
      <c r="A138" s="11"/>
      <c r="B138" s="17"/>
      <c r="C138" s="12"/>
      <c r="D138" s="12"/>
      <c r="E138" s="18" t="str">
        <f aca="false">IF($D138="","",IFERROR(INDEX(품목마스터!$B$3:$B$102,MATCH($D138,품목마스터!$A$3:$A$102,0)),""))</f>
        <v/>
      </c>
      <c r="F138" s="18" t="str">
        <f aca="false">IF($D138="","",IFERROR(INDEX(품목마스터!$C$3:$C$102,MATCH($D138,품목마스터!$A$3:$A$102,0)),""))</f>
        <v/>
      </c>
      <c r="G138" s="13" t="str">
        <f aca="false">IF($D138="","",IFERROR(INDEX(품목마스터!$D$3:$D$102,MATCH($D138,품목마스터!$A$3:$A$102,0)),0))</f>
        <v/>
      </c>
      <c r="H138" s="11"/>
      <c r="I138" s="19" t="str">
        <f aca="false">IF(OR($G138="",$H138=""),"",ROUND($G138*$H138,0))</f>
        <v/>
      </c>
      <c r="J138" s="12"/>
      <c r="K138" s="11"/>
      <c r="L138" s="18" t="str">
        <f aca="false">IF($A138="","",COUNTIFS($A$3:$A138,$A138))</f>
        <v/>
      </c>
      <c r="M138" s="18" t="str">
        <f aca="false">IF($A138="","",$A138&amp;"|"&amp;$L138)</f>
        <v/>
      </c>
      <c r="N138" s="18" t="str">
        <f aca="false">IF(OR($A138="",UPPER($J138)&lt;&gt;"Y"),"",$A138&amp;"#"&amp;COUNTIFS($A$3:$A138,$A138,$J$3:$J138,"Y"))</f>
        <v/>
      </c>
    </row>
    <row r="139" customFormat="false" ht="15" hidden="false" customHeight="true" outlineLevel="0" collapsed="false">
      <c r="A139" s="11"/>
      <c r="B139" s="17"/>
      <c r="C139" s="12"/>
      <c r="D139" s="12"/>
      <c r="E139" s="18" t="str">
        <f aca="false">IF($D139="","",IFERROR(INDEX(품목마스터!$B$3:$B$102,MATCH($D139,품목마스터!$A$3:$A$102,0)),""))</f>
        <v/>
      </c>
      <c r="F139" s="18" t="str">
        <f aca="false">IF($D139="","",IFERROR(INDEX(품목마스터!$C$3:$C$102,MATCH($D139,품목마스터!$A$3:$A$102,0)),""))</f>
        <v/>
      </c>
      <c r="G139" s="13" t="str">
        <f aca="false">IF($D139="","",IFERROR(INDEX(품목마스터!$D$3:$D$102,MATCH($D139,품목마스터!$A$3:$A$102,0)),0))</f>
        <v/>
      </c>
      <c r="H139" s="11"/>
      <c r="I139" s="19" t="str">
        <f aca="false">IF(OR($G139="",$H139=""),"",ROUND($G139*$H139,0))</f>
        <v/>
      </c>
      <c r="J139" s="12"/>
      <c r="K139" s="11"/>
      <c r="L139" s="18" t="str">
        <f aca="false">IF($A139="","",COUNTIFS($A$3:$A139,$A139))</f>
        <v/>
      </c>
      <c r="M139" s="18" t="str">
        <f aca="false">IF($A139="","",$A139&amp;"|"&amp;$L139)</f>
        <v/>
      </c>
      <c r="N139" s="18" t="str">
        <f aca="false">IF(OR($A139="",UPPER($J139)&lt;&gt;"Y"),"",$A139&amp;"#"&amp;COUNTIFS($A$3:$A139,$A139,$J$3:$J139,"Y"))</f>
        <v/>
      </c>
    </row>
    <row r="140" customFormat="false" ht="15" hidden="false" customHeight="true" outlineLevel="0" collapsed="false">
      <c r="A140" s="11"/>
      <c r="B140" s="17"/>
      <c r="C140" s="12"/>
      <c r="D140" s="12"/>
      <c r="E140" s="18" t="str">
        <f aca="false">IF($D140="","",IFERROR(INDEX(품목마스터!$B$3:$B$102,MATCH($D140,품목마스터!$A$3:$A$102,0)),""))</f>
        <v/>
      </c>
      <c r="F140" s="18" t="str">
        <f aca="false">IF($D140="","",IFERROR(INDEX(품목마스터!$C$3:$C$102,MATCH($D140,품목마스터!$A$3:$A$102,0)),""))</f>
        <v/>
      </c>
      <c r="G140" s="13" t="str">
        <f aca="false">IF($D140="","",IFERROR(INDEX(품목마스터!$D$3:$D$102,MATCH($D140,품목마스터!$A$3:$A$102,0)),0))</f>
        <v/>
      </c>
      <c r="H140" s="11"/>
      <c r="I140" s="19" t="str">
        <f aca="false">IF(OR($G140="",$H140=""),"",ROUND($G140*$H140,0))</f>
        <v/>
      </c>
      <c r="J140" s="12"/>
      <c r="K140" s="11"/>
      <c r="L140" s="18" t="str">
        <f aca="false">IF($A140="","",COUNTIFS($A$3:$A140,$A140))</f>
        <v/>
      </c>
      <c r="M140" s="18" t="str">
        <f aca="false">IF($A140="","",$A140&amp;"|"&amp;$L140)</f>
        <v/>
      </c>
      <c r="N140" s="18" t="str">
        <f aca="false">IF(OR($A140="",UPPER($J140)&lt;&gt;"Y"),"",$A140&amp;"#"&amp;COUNTIFS($A$3:$A140,$A140,$J$3:$J140,"Y"))</f>
        <v/>
      </c>
    </row>
    <row r="141" customFormat="false" ht="15" hidden="false" customHeight="true" outlineLevel="0" collapsed="false">
      <c r="A141" s="11"/>
      <c r="B141" s="17"/>
      <c r="C141" s="12"/>
      <c r="D141" s="12"/>
      <c r="E141" s="18" t="str">
        <f aca="false">IF($D141="","",IFERROR(INDEX(품목마스터!$B$3:$B$102,MATCH($D141,품목마스터!$A$3:$A$102,0)),""))</f>
        <v/>
      </c>
      <c r="F141" s="18" t="str">
        <f aca="false">IF($D141="","",IFERROR(INDEX(품목마스터!$C$3:$C$102,MATCH($D141,품목마스터!$A$3:$A$102,0)),""))</f>
        <v/>
      </c>
      <c r="G141" s="13" t="str">
        <f aca="false">IF($D141="","",IFERROR(INDEX(품목마스터!$D$3:$D$102,MATCH($D141,품목마스터!$A$3:$A$102,0)),0))</f>
        <v/>
      </c>
      <c r="H141" s="11"/>
      <c r="I141" s="19" t="str">
        <f aca="false">IF(OR($G141="",$H141=""),"",ROUND($G141*$H141,0))</f>
        <v/>
      </c>
      <c r="J141" s="12"/>
      <c r="K141" s="11"/>
      <c r="L141" s="18" t="str">
        <f aca="false">IF($A141="","",COUNTIFS($A$3:$A141,$A141))</f>
        <v/>
      </c>
      <c r="M141" s="18" t="str">
        <f aca="false">IF($A141="","",$A141&amp;"|"&amp;$L141)</f>
        <v/>
      </c>
      <c r="N141" s="18" t="str">
        <f aca="false">IF(OR($A141="",UPPER($J141)&lt;&gt;"Y"),"",$A141&amp;"#"&amp;COUNTIFS($A$3:$A141,$A141,$J$3:$J141,"Y"))</f>
        <v/>
      </c>
    </row>
    <row r="142" customFormat="false" ht="15" hidden="false" customHeight="true" outlineLevel="0" collapsed="false">
      <c r="A142" s="11"/>
      <c r="B142" s="17"/>
      <c r="C142" s="12"/>
      <c r="D142" s="12"/>
      <c r="E142" s="18" t="str">
        <f aca="false">IF($D142="","",IFERROR(INDEX(품목마스터!$B$3:$B$102,MATCH($D142,품목마스터!$A$3:$A$102,0)),""))</f>
        <v/>
      </c>
      <c r="F142" s="18" t="str">
        <f aca="false">IF($D142="","",IFERROR(INDEX(품목마스터!$C$3:$C$102,MATCH($D142,품목마스터!$A$3:$A$102,0)),""))</f>
        <v/>
      </c>
      <c r="G142" s="13" t="str">
        <f aca="false">IF($D142="","",IFERROR(INDEX(품목마스터!$D$3:$D$102,MATCH($D142,품목마스터!$A$3:$A$102,0)),0))</f>
        <v/>
      </c>
      <c r="H142" s="11"/>
      <c r="I142" s="19" t="str">
        <f aca="false">IF(OR($G142="",$H142=""),"",ROUND($G142*$H142,0))</f>
        <v/>
      </c>
      <c r="J142" s="12"/>
      <c r="K142" s="11"/>
      <c r="L142" s="18" t="str">
        <f aca="false">IF($A142="","",COUNTIFS($A$3:$A142,$A142))</f>
        <v/>
      </c>
      <c r="M142" s="18" t="str">
        <f aca="false">IF($A142="","",$A142&amp;"|"&amp;$L142)</f>
        <v/>
      </c>
      <c r="N142" s="18" t="str">
        <f aca="false">IF(OR($A142="",UPPER($J142)&lt;&gt;"Y"),"",$A142&amp;"#"&amp;COUNTIFS($A$3:$A142,$A142,$J$3:$J142,"Y"))</f>
        <v/>
      </c>
    </row>
    <row r="143" customFormat="false" ht="15" hidden="false" customHeight="true" outlineLevel="0" collapsed="false">
      <c r="A143" s="11"/>
      <c r="B143" s="17"/>
      <c r="C143" s="12"/>
      <c r="D143" s="12"/>
      <c r="E143" s="18" t="str">
        <f aca="false">IF($D143="","",IFERROR(INDEX(품목마스터!$B$3:$B$102,MATCH($D143,품목마스터!$A$3:$A$102,0)),""))</f>
        <v/>
      </c>
      <c r="F143" s="18" t="str">
        <f aca="false">IF($D143="","",IFERROR(INDEX(품목마스터!$C$3:$C$102,MATCH($D143,품목마스터!$A$3:$A$102,0)),""))</f>
        <v/>
      </c>
      <c r="G143" s="13" t="str">
        <f aca="false">IF($D143="","",IFERROR(INDEX(품목마스터!$D$3:$D$102,MATCH($D143,품목마스터!$A$3:$A$102,0)),0))</f>
        <v/>
      </c>
      <c r="H143" s="11"/>
      <c r="I143" s="19" t="str">
        <f aca="false">IF(OR($G143="",$H143=""),"",ROUND($G143*$H143,0))</f>
        <v/>
      </c>
      <c r="J143" s="12"/>
      <c r="K143" s="11"/>
      <c r="L143" s="18" t="str">
        <f aca="false">IF($A143="","",COUNTIFS($A$3:$A143,$A143))</f>
        <v/>
      </c>
      <c r="M143" s="18" t="str">
        <f aca="false">IF($A143="","",$A143&amp;"|"&amp;$L143)</f>
        <v/>
      </c>
      <c r="N143" s="18" t="str">
        <f aca="false">IF(OR($A143="",UPPER($J143)&lt;&gt;"Y"),"",$A143&amp;"#"&amp;COUNTIFS($A$3:$A143,$A143,$J$3:$J143,"Y"))</f>
        <v/>
      </c>
    </row>
    <row r="144" customFormat="false" ht="15" hidden="false" customHeight="true" outlineLevel="0" collapsed="false">
      <c r="A144" s="11"/>
      <c r="B144" s="17"/>
      <c r="C144" s="12"/>
      <c r="D144" s="12"/>
      <c r="E144" s="18" t="str">
        <f aca="false">IF($D144="","",IFERROR(INDEX(품목마스터!$B$3:$B$102,MATCH($D144,품목마스터!$A$3:$A$102,0)),""))</f>
        <v/>
      </c>
      <c r="F144" s="18" t="str">
        <f aca="false">IF($D144="","",IFERROR(INDEX(품목마스터!$C$3:$C$102,MATCH($D144,품목마스터!$A$3:$A$102,0)),""))</f>
        <v/>
      </c>
      <c r="G144" s="13" t="str">
        <f aca="false">IF($D144="","",IFERROR(INDEX(품목마스터!$D$3:$D$102,MATCH($D144,품목마스터!$A$3:$A$102,0)),0))</f>
        <v/>
      </c>
      <c r="H144" s="11"/>
      <c r="I144" s="19" t="str">
        <f aca="false">IF(OR($G144="",$H144=""),"",ROUND($G144*$H144,0))</f>
        <v/>
      </c>
      <c r="J144" s="12"/>
      <c r="K144" s="11"/>
      <c r="L144" s="18" t="str">
        <f aca="false">IF($A144="","",COUNTIFS($A$3:$A144,$A144))</f>
        <v/>
      </c>
      <c r="M144" s="18" t="str">
        <f aca="false">IF($A144="","",$A144&amp;"|"&amp;$L144)</f>
        <v/>
      </c>
      <c r="N144" s="18" t="str">
        <f aca="false">IF(OR($A144="",UPPER($J144)&lt;&gt;"Y"),"",$A144&amp;"#"&amp;COUNTIFS($A$3:$A144,$A144,$J$3:$J144,"Y"))</f>
        <v/>
      </c>
    </row>
    <row r="145" customFormat="false" ht="15" hidden="false" customHeight="true" outlineLevel="0" collapsed="false">
      <c r="A145" s="11"/>
      <c r="B145" s="17"/>
      <c r="C145" s="12"/>
      <c r="D145" s="12"/>
      <c r="E145" s="18" t="str">
        <f aca="false">IF($D145="","",IFERROR(INDEX(품목마스터!$B$3:$B$102,MATCH($D145,품목마스터!$A$3:$A$102,0)),""))</f>
        <v/>
      </c>
      <c r="F145" s="18" t="str">
        <f aca="false">IF($D145="","",IFERROR(INDEX(품목마스터!$C$3:$C$102,MATCH($D145,품목마스터!$A$3:$A$102,0)),""))</f>
        <v/>
      </c>
      <c r="G145" s="13" t="str">
        <f aca="false">IF($D145="","",IFERROR(INDEX(품목마스터!$D$3:$D$102,MATCH($D145,품목마스터!$A$3:$A$102,0)),0))</f>
        <v/>
      </c>
      <c r="H145" s="11"/>
      <c r="I145" s="19" t="str">
        <f aca="false">IF(OR($G145="",$H145=""),"",ROUND($G145*$H145,0))</f>
        <v/>
      </c>
      <c r="J145" s="12"/>
      <c r="K145" s="11"/>
      <c r="L145" s="18" t="str">
        <f aca="false">IF($A145="","",COUNTIFS($A$3:$A145,$A145))</f>
        <v/>
      </c>
      <c r="M145" s="18" t="str">
        <f aca="false">IF($A145="","",$A145&amp;"|"&amp;$L145)</f>
        <v/>
      </c>
      <c r="N145" s="18" t="str">
        <f aca="false">IF(OR($A145="",UPPER($J145)&lt;&gt;"Y"),"",$A145&amp;"#"&amp;COUNTIFS($A$3:$A145,$A145,$J$3:$J145,"Y"))</f>
        <v/>
      </c>
    </row>
    <row r="146" customFormat="false" ht="15" hidden="false" customHeight="true" outlineLevel="0" collapsed="false">
      <c r="A146" s="11"/>
      <c r="B146" s="17"/>
      <c r="C146" s="12"/>
      <c r="D146" s="12"/>
      <c r="E146" s="18" t="str">
        <f aca="false">IF($D146="","",IFERROR(INDEX(품목마스터!$B$3:$B$102,MATCH($D146,품목마스터!$A$3:$A$102,0)),""))</f>
        <v/>
      </c>
      <c r="F146" s="18" t="str">
        <f aca="false">IF($D146="","",IFERROR(INDEX(품목마스터!$C$3:$C$102,MATCH($D146,품목마스터!$A$3:$A$102,0)),""))</f>
        <v/>
      </c>
      <c r="G146" s="13" t="str">
        <f aca="false">IF($D146="","",IFERROR(INDEX(품목마스터!$D$3:$D$102,MATCH($D146,품목마스터!$A$3:$A$102,0)),0))</f>
        <v/>
      </c>
      <c r="H146" s="11"/>
      <c r="I146" s="19" t="str">
        <f aca="false">IF(OR($G146="",$H146=""),"",ROUND($G146*$H146,0))</f>
        <v/>
      </c>
      <c r="J146" s="12"/>
      <c r="K146" s="11"/>
      <c r="L146" s="18" t="str">
        <f aca="false">IF($A146="","",COUNTIFS($A$3:$A146,$A146))</f>
        <v/>
      </c>
      <c r="M146" s="18" t="str">
        <f aca="false">IF($A146="","",$A146&amp;"|"&amp;$L146)</f>
        <v/>
      </c>
      <c r="N146" s="18" t="str">
        <f aca="false">IF(OR($A146="",UPPER($J146)&lt;&gt;"Y"),"",$A146&amp;"#"&amp;COUNTIFS($A$3:$A146,$A146,$J$3:$J146,"Y"))</f>
        <v/>
      </c>
    </row>
    <row r="147" customFormat="false" ht="15" hidden="false" customHeight="true" outlineLevel="0" collapsed="false">
      <c r="A147" s="11"/>
      <c r="B147" s="17"/>
      <c r="C147" s="12"/>
      <c r="D147" s="12"/>
      <c r="E147" s="18" t="str">
        <f aca="false">IF($D147="","",IFERROR(INDEX(품목마스터!$B$3:$B$102,MATCH($D147,품목마스터!$A$3:$A$102,0)),""))</f>
        <v/>
      </c>
      <c r="F147" s="18" t="str">
        <f aca="false">IF($D147="","",IFERROR(INDEX(품목마스터!$C$3:$C$102,MATCH($D147,품목마스터!$A$3:$A$102,0)),""))</f>
        <v/>
      </c>
      <c r="G147" s="13" t="str">
        <f aca="false">IF($D147="","",IFERROR(INDEX(품목마스터!$D$3:$D$102,MATCH($D147,품목마스터!$A$3:$A$102,0)),0))</f>
        <v/>
      </c>
      <c r="H147" s="11"/>
      <c r="I147" s="19" t="str">
        <f aca="false">IF(OR($G147="",$H147=""),"",ROUND($G147*$H147,0))</f>
        <v/>
      </c>
      <c r="J147" s="12"/>
      <c r="K147" s="11"/>
      <c r="L147" s="18" t="str">
        <f aca="false">IF($A147="","",COUNTIFS($A$3:$A147,$A147))</f>
        <v/>
      </c>
      <c r="M147" s="18" t="str">
        <f aca="false">IF($A147="","",$A147&amp;"|"&amp;$L147)</f>
        <v/>
      </c>
      <c r="N147" s="18" t="str">
        <f aca="false">IF(OR($A147="",UPPER($J147)&lt;&gt;"Y"),"",$A147&amp;"#"&amp;COUNTIFS($A$3:$A147,$A147,$J$3:$J147,"Y"))</f>
        <v/>
      </c>
    </row>
    <row r="148" customFormat="false" ht="15" hidden="false" customHeight="true" outlineLevel="0" collapsed="false">
      <c r="A148" s="11"/>
      <c r="B148" s="17"/>
      <c r="C148" s="12"/>
      <c r="D148" s="12"/>
      <c r="E148" s="18" t="str">
        <f aca="false">IF($D148="","",IFERROR(INDEX(품목마스터!$B$3:$B$102,MATCH($D148,품목마스터!$A$3:$A$102,0)),""))</f>
        <v/>
      </c>
      <c r="F148" s="18" t="str">
        <f aca="false">IF($D148="","",IFERROR(INDEX(품목마스터!$C$3:$C$102,MATCH($D148,품목마스터!$A$3:$A$102,0)),""))</f>
        <v/>
      </c>
      <c r="G148" s="13" t="str">
        <f aca="false">IF($D148="","",IFERROR(INDEX(품목마스터!$D$3:$D$102,MATCH($D148,품목마스터!$A$3:$A$102,0)),0))</f>
        <v/>
      </c>
      <c r="H148" s="11"/>
      <c r="I148" s="19" t="str">
        <f aca="false">IF(OR($G148="",$H148=""),"",ROUND($G148*$H148,0))</f>
        <v/>
      </c>
      <c r="J148" s="12"/>
      <c r="K148" s="11"/>
      <c r="L148" s="18" t="str">
        <f aca="false">IF($A148="","",COUNTIFS($A$3:$A148,$A148))</f>
        <v/>
      </c>
      <c r="M148" s="18" t="str">
        <f aca="false">IF($A148="","",$A148&amp;"|"&amp;$L148)</f>
        <v/>
      </c>
      <c r="N148" s="18" t="str">
        <f aca="false">IF(OR($A148="",UPPER($J148)&lt;&gt;"Y"),"",$A148&amp;"#"&amp;COUNTIFS($A$3:$A148,$A148,$J$3:$J148,"Y"))</f>
        <v/>
      </c>
    </row>
    <row r="149" customFormat="false" ht="15" hidden="false" customHeight="true" outlineLevel="0" collapsed="false">
      <c r="A149" s="11"/>
      <c r="B149" s="17"/>
      <c r="C149" s="12"/>
      <c r="D149" s="12"/>
      <c r="E149" s="18" t="str">
        <f aca="false">IF($D149="","",IFERROR(INDEX(품목마스터!$B$3:$B$102,MATCH($D149,품목마스터!$A$3:$A$102,0)),""))</f>
        <v/>
      </c>
      <c r="F149" s="18" t="str">
        <f aca="false">IF($D149="","",IFERROR(INDEX(품목마스터!$C$3:$C$102,MATCH($D149,품목마스터!$A$3:$A$102,0)),""))</f>
        <v/>
      </c>
      <c r="G149" s="13" t="str">
        <f aca="false">IF($D149="","",IFERROR(INDEX(품목마스터!$D$3:$D$102,MATCH($D149,품목마스터!$A$3:$A$102,0)),0))</f>
        <v/>
      </c>
      <c r="H149" s="11"/>
      <c r="I149" s="19" t="str">
        <f aca="false">IF(OR($G149="",$H149=""),"",ROUND($G149*$H149,0))</f>
        <v/>
      </c>
      <c r="J149" s="12"/>
      <c r="K149" s="11"/>
      <c r="L149" s="18" t="str">
        <f aca="false">IF($A149="","",COUNTIFS($A$3:$A149,$A149))</f>
        <v/>
      </c>
      <c r="M149" s="18" t="str">
        <f aca="false">IF($A149="","",$A149&amp;"|"&amp;$L149)</f>
        <v/>
      </c>
      <c r="N149" s="18" t="str">
        <f aca="false">IF(OR($A149="",UPPER($J149)&lt;&gt;"Y"),"",$A149&amp;"#"&amp;COUNTIFS($A$3:$A149,$A149,$J$3:$J149,"Y"))</f>
        <v/>
      </c>
    </row>
    <row r="150" customFormat="false" ht="15" hidden="false" customHeight="true" outlineLevel="0" collapsed="false">
      <c r="A150" s="11"/>
      <c r="B150" s="17"/>
      <c r="C150" s="12"/>
      <c r="D150" s="12"/>
      <c r="E150" s="18" t="str">
        <f aca="false">IF($D150="","",IFERROR(INDEX(품목마스터!$B$3:$B$102,MATCH($D150,품목마스터!$A$3:$A$102,0)),""))</f>
        <v/>
      </c>
      <c r="F150" s="18" t="str">
        <f aca="false">IF($D150="","",IFERROR(INDEX(품목마스터!$C$3:$C$102,MATCH($D150,품목마스터!$A$3:$A$102,0)),""))</f>
        <v/>
      </c>
      <c r="G150" s="13" t="str">
        <f aca="false">IF($D150="","",IFERROR(INDEX(품목마스터!$D$3:$D$102,MATCH($D150,품목마스터!$A$3:$A$102,0)),0))</f>
        <v/>
      </c>
      <c r="H150" s="11"/>
      <c r="I150" s="19" t="str">
        <f aca="false">IF(OR($G150="",$H150=""),"",ROUND($G150*$H150,0))</f>
        <v/>
      </c>
      <c r="J150" s="12"/>
      <c r="K150" s="11"/>
      <c r="L150" s="18" t="str">
        <f aca="false">IF($A150="","",COUNTIFS($A$3:$A150,$A150))</f>
        <v/>
      </c>
      <c r="M150" s="18" t="str">
        <f aca="false">IF($A150="","",$A150&amp;"|"&amp;$L150)</f>
        <v/>
      </c>
      <c r="N150" s="18" t="str">
        <f aca="false">IF(OR($A150="",UPPER($J150)&lt;&gt;"Y"),"",$A150&amp;"#"&amp;COUNTIFS($A$3:$A150,$A150,$J$3:$J150,"Y"))</f>
        <v/>
      </c>
    </row>
    <row r="151" customFormat="false" ht="15" hidden="false" customHeight="true" outlineLevel="0" collapsed="false">
      <c r="A151" s="11"/>
      <c r="B151" s="17"/>
      <c r="C151" s="12"/>
      <c r="D151" s="12"/>
      <c r="E151" s="18" t="str">
        <f aca="false">IF($D151="","",IFERROR(INDEX(품목마스터!$B$3:$B$102,MATCH($D151,품목마스터!$A$3:$A$102,0)),""))</f>
        <v/>
      </c>
      <c r="F151" s="18" t="str">
        <f aca="false">IF($D151="","",IFERROR(INDEX(품목마스터!$C$3:$C$102,MATCH($D151,품목마스터!$A$3:$A$102,0)),""))</f>
        <v/>
      </c>
      <c r="G151" s="13" t="str">
        <f aca="false">IF($D151="","",IFERROR(INDEX(품목마스터!$D$3:$D$102,MATCH($D151,품목마스터!$A$3:$A$102,0)),0))</f>
        <v/>
      </c>
      <c r="H151" s="11"/>
      <c r="I151" s="19" t="str">
        <f aca="false">IF(OR($G151="",$H151=""),"",ROUND($G151*$H151,0))</f>
        <v/>
      </c>
      <c r="J151" s="12"/>
      <c r="K151" s="11"/>
      <c r="L151" s="18" t="str">
        <f aca="false">IF($A151="","",COUNTIFS($A$3:$A151,$A151))</f>
        <v/>
      </c>
      <c r="M151" s="18" t="str">
        <f aca="false">IF($A151="","",$A151&amp;"|"&amp;$L151)</f>
        <v/>
      </c>
      <c r="N151" s="18" t="str">
        <f aca="false">IF(OR($A151="",UPPER($J151)&lt;&gt;"Y"),"",$A151&amp;"#"&amp;COUNTIFS($A$3:$A151,$A151,$J$3:$J151,"Y"))</f>
        <v/>
      </c>
    </row>
    <row r="152" customFormat="false" ht="15" hidden="false" customHeight="true" outlineLevel="0" collapsed="false">
      <c r="A152" s="11"/>
      <c r="B152" s="17"/>
      <c r="C152" s="12"/>
      <c r="D152" s="12"/>
      <c r="E152" s="18" t="str">
        <f aca="false">IF($D152="","",IFERROR(INDEX(품목마스터!$B$3:$B$102,MATCH($D152,품목마스터!$A$3:$A$102,0)),""))</f>
        <v/>
      </c>
      <c r="F152" s="18" t="str">
        <f aca="false">IF($D152="","",IFERROR(INDEX(품목마스터!$C$3:$C$102,MATCH($D152,품목마스터!$A$3:$A$102,0)),""))</f>
        <v/>
      </c>
      <c r="G152" s="13" t="str">
        <f aca="false">IF($D152="","",IFERROR(INDEX(품목마스터!$D$3:$D$102,MATCH($D152,품목마스터!$A$3:$A$102,0)),0))</f>
        <v/>
      </c>
      <c r="H152" s="11"/>
      <c r="I152" s="19" t="str">
        <f aca="false">IF(OR($G152="",$H152=""),"",ROUND($G152*$H152,0))</f>
        <v/>
      </c>
      <c r="J152" s="12"/>
      <c r="K152" s="11"/>
      <c r="L152" s="18" t="str">
        <f aca="false">IF($A152="","",COUNTIFS($A$3:$A152,$A152))</f>
        <v/>
      </c>
      <c r="M152" s="18" t="str">
        <f aca="false">IF($A152="","",$A152&amp;"|"&amp;$L152)</f>
        <v/>
      </c>
      <c r="N152" s="18" t="str">
        <f aca="false">IF(OR($A152="",UPPER($J152)&lt;&gt;"Y"),"",$A152&amp;"#"&amp;COUNTIFS($A$3:$A152,$A152,$J$3:$J152,"Y"))</f>
        <v/>
      </c>
    </row>
    <row r="153" customFormat="false" ht="15" hidden="false" customHeight="true" outlineLevel="0" collapsed="false">
      <c r="A153" s="11"/>
      <c r="B153" s="17"/>
      <c r="C153" s="12"/>
      <c r="D153" s="12"/>
      <c r="E153" s="18" t="str">
        <f aca="false">IF($D153="","",IFERROR(INDEX(품목마스터!$B$3:$B$102,MATCH($D153,품목마스터!$A$3:$A$102,0)),""))</f>
        <v/>
      </c>
      <c r="F153" s="18" t="str">
        <f aca="false">IF($D153="","",IFERROR(INDEX(품목마스터!$C$3:$C$102,MATCH($D153,품목마스터!$A$3:$A$102,0)),""))</f>
        <v/>
      </c>
      <c r="G153" s="13" t="str">
        <f aca="false">IF($D153="","",IFERROR(INDEX(품목마스터!$D$3:$D$102,MATCH($D153,품목마스터!$A$3:$A$102,0)),0))</f>
        <v/>
      </c>
      <c r="H153" s="11"/>
      <c r="I153" s="19" t="str">
        <f aca="false">IF(OR($G153="",$H153=""),"",ROUND($G153*$H153,0))</f>
        <v/>
      </c>
      <c r="J153" s="12"/>
      <c r="K153" s="11"/>
      <c r="L153" s="18" t="str">
        <f aca="false">IF($A153="","",COUNTIFS($A$3:$A153,$A153))</f>
        <v/>
      </c>
      <c r="M153" s="18" t="str">
        <f aca="false">IF($A153="","",$A153&amp;"|"&amp;$L153)</f>
        <v/>
      </c>
      <c r="N153" s="18" t="str">
        <f aca="false">IF(OR($A153="",UPPER($J153)&lt;&gt;"Y"),"",$A153&amp;"#"&amp;COUNTIFS($A$3:$A153,$A153,$J$3:$J153,"Y"))</f>
        <v/>
      </c>
    </row>
    <row r="154" customFormat="false" ht="15" hidden="false" customHeight="true" outlineLevel="0" collapsed="false">
      <c r="A154" s="11"/>
      <c r="B154" s="17"/>
      <c r="C154" s="12"/>
      <c r="D154" s="12"/>
      <c r="E154" s="18" t="str">
        <f aca="false">IF($D154="","",IFERROR(INDEX(품목마스터!$B$3:$B$102,MATCH($D154,품목마스터!$A$3:$A$102,0)),""))</f>
        <v/>
      </c>
      <c r="F154" s="18" t="str">
        <f aca="false">IF($D154="","",IFERROR(INDEX(품목마스터!$C$3:$C$102,MATCH($D154,품목마스터!$A$3:$A$102,0)),""))</f>
        <v/>
      </c>
      <c r="G154" s="13" t="str">
        <f aca="false">IF($D154="","",IFERROR(INDEX(품목마스터!$D$3:$D$102,MATCH($D154,품목마스터!$A$3:$A$102,0)),0))</f>
        <v/>
      </c>
      <c r="H154" s="11"/>
      <c r="I154" s="19" t="str">
        <f aca="false">IF(OR($G154="",$H154=""),"",ROUND($G154*$H154,0))</f>
        <v/>
      </c>
      <c r="J154" s="12"/>
      <c r="K154" s="11"/>
      <c r="L154" s="18" t="str">
        <f aca="false">IF($A154="","",COUNTIFS($A$3:$A154,$A154))</f>
        <v/>
      </c>
      <c r="M154" s="18" t="str">
        <f aca="false">IF($A154="","",$A154&amp;"|"&amp;$L154)</f>
        <v/>
      </c>
      <c r="N154" s="18" t="str">
        <f aca="false">IF(OR($A154="",UPPER($J154)&lt;&gt;"Y"),"",$A154&amp;"#"&amp;COUNTIFS($A$3:$A154,$A154,$J$3:$J154,"Y"))</f>
        <v/>
      </c>
    </row>
    <row r="155" customFormat="false" ht="15" hidden="false" customHeight="true" outlineLevel="0" collapsed="false">
      <c r="A155" s="11"/>
      <c r="B155" s="17"/>
      <c r="C155" s="12"/>
      <c r="D155" s="12"/>
      <c r="E155" s="18" t="str">
        <f aca="false">IF($D155="","",IFERROR(INDEX(품목마스터!$B$3:$B$102,MATCH($D155,품목마스터!$A$3:$A$102,0)),""))</f>
        <v/>
      </c>
      <c r="F155" s="18" t="str">
        <f aca="false">IF($D155="","",IFERROR(INDEX(품목마스터!$C$3:$C$102,MATCH($D155,품목마스터!$A$3:$A$102,0)),""))</f>
        <v/>
      </c>
      <c r="G155" s="13" t="str">
        <f aca="false">IF($D155="","",IFERROR(INDEX(품목마스터!$D$3:$D$102,MATCH($D155,품목마스터!$A$3:$A$102,0)),0))</f>
        <v/>
      </c>
      <c r="H155" s="11"/>
      <c r="I155" s="19" t="str">
        <f aca="false">IF(OR($G155="",$H155=""),"",ROUND($G155*$H155,0))</f>
        <v/>
      </c>
      <c r="J155" s="12"/>
      <c r="K155" s="11"/>
      <c r="L155" s="18" t="str">
        <f aca="false">IF($A155="","",COUNTIFS($A$3:$A155,$A155))</f>
        <v/>
      </c>
      <c r="M155" s="18" t="str">
        <f aca="false">IF($A155="","",$A155&amp;"|"&amp;$L155)</f>
        <v/>
      </c>
      <c r="N155" s="18" t="str">
        <f aca="false">IF(OR($A155="",UPPER($J155)&lt;&gt;"Y"),"",$A155&amp;"#"&amp;COUNTIFS($A$3:$A155,$A155,$J$3:$J155,"Y"))</f>
        <v/>
      </c>
    </row>
    <row r="156" customFormat="false" ht="15" hidden="false" customHeight="true" outlineLevel="0" collapsed="false">
      <c r="A156" s="11"/>
      <c r="B156" s="17"/>
      <c r="C156" s="12"/>
      <c r="D156" s="12"/>
      <c r="E156" s="18" t="str">
        <f aca="false">IF($D156="","",IFERROR(INDEX(품목마스터!$B$3:$B$102,MATCH($D156,품목마스터!$A$3:$A$102,0)),""))</f>
        <v/>
      </c>
      <c r="F156" s="18" t="str">
        <f aca="false">IF($D156="","",IFERROR(INDEX(품목마스터!$C$3:$C$102,MATCH($D156,품목마스터!$A$3:$A$102,0)),""))</f>
        <v/>
      </c>
      <c r="G156" s="13" t="str">
        <f aca="false">IF($D156="","",IFERROR(INDEX(품목마스터!$D$3:$D$102,MATCH($D156,품목마스터!$A$3:$A$102,0)),0))</f>
        <v/>
      </c>
      <c r="H156" s="11"/>
      <c r="I156" s="19" t="str">
        <f aca="false">IF(OR($G156="",$H156=""),"",ROUND($G156*$H156,0))</f>
        <v/>
      </c>
      <c r="J156" s="12"/>
      <c r="K156" s="11"/>
      <c r="L156" s="18" t="str">
        <f aca="false">IF($A156="","",COUNTIFS($A$3:$A156,$A156))</f>
        <v/>
      </c>
      <c r="M156" s="18" t="str">
        <f aca="false">IF($A156="","",$A156&amp;"|"&amp;$L156)</f>
        <v/>
      </c>
      <c r="N156" s="18" t="str">
        <f aca="false">IF(OR($A156="",UPPER($J156)&lt;&gt;"Y"),"",$A156&amp;"#"&amp;COUNTIFS($A$3:$A156,$A156,$J$3:$J156,"Y"))</f>
        <v/>
      </c>
    </row>
    <row r="157" customFormat="false" ht="15" hidden="false" customHeight="true" outlineLevel="0" collapsed="false">
      <c r="A157" s="11"/>
      <c r="B157" s="17"/>
      <c r="C157" s="12"/>
      <c r="D157" s="12"/>
      <c r="E157" s="18" t="str">
        <f aca="false">IF($D157="","",IFERROR(INDEX(품목마스터!$B$3:$B$102,MATCH($D157,품목마스터!$A$3:$A$102,0)),""))</f>
        <v/>
      </c>
      <c r="F157" s="18" t="str">
        <f aca="false">IF($D157="","",IFERROR(INDEX(품목마스터!$C$3:$C$102,MATCH($D157,품목마스터!$A$3:$A$102,0)),""))</f>
        <v/>
      </c>
      <c r="G157" s="13" t="str">
        <f aca="false">IF($D157="","",IFERROR(INDEX(품목마스터!$D$3:$D$102,MATCH($D157,품목마스터!$A$3:$A$102,0)),0))</f>
        <v/>
      </c>
      <c r="H157" s="11"/>
      <c r="I157" s="19" t="str">
        <f aca="false">IF(OR($G157="",$H157=""),"",ROUND($G157*$H157,0))</f>
        <v/>
      </c>
      <c r="J157" s="12"/>
      <c r="K157" s="11"/>
      <c r="L157" s="18" t="str">
        <f aca="false">IF($A157="","",COUNTIFS($A$3:$A157,$A157))</f>
        <v/>
      </c>
      <c r="M157" s="18" t="str">
        <f aca="false">IF($A157="","",$A157&amp;"|"&amp;$L157)</f>
        <v/>
      </c>
      <c r="N157" s="18" t="str">
        <f aca="false">IF(OR($A157="",UPPER($J157)&lt;&gt;"Y"),"",$A157&amp;"#"&amp;COUNTIFS($A$3:$A157,$A157,$J$3:$J157,"Y"))</f>
        <v/>
      </c>
    </row>
    <row r="158" customFormat="false" ht="15" hidden="false" customHeight="true" outlineLevel="0" collapsed="false">
      <c r="A158" s="11"/>
      <c r="B158" s="17"/>
      <c r="C158" s="12"/>
      <c r="D158" s="12"/>
      <c r="E158" s="18" t="str">
        <f aca="false">IF($D158="","",IFERROR(INDEX(품목마스터!$B$3:$B$102,MATCH($D158,품목마스터!$A$3:$A$102,0)),""))</f>
        <v/>
      </c>
      <c r="F158" s="18" t="str">
        <f aca="false">IF($D158="","",IFERROR(INDEX(품목마스터!$C$3:$C$102,MATCH($D158,품목마스터!$A$3:$A$102,0)),""))</f>
        <v/>
      </c>
      <c r="G158" s="13" t="str">
        <f aca="false">IF($D158="","",IFERROR(INDEX(품목마스터!$D$3:$D$102,MATCH($D158,품목마스터!$A$3:$A$102,0)),0))</f>
        <v/>
      </c>
      <c r="H158" s="11"/>
      <c r="I158" s="19" t="str">
        <f aca="false">IF(OR($G158="",$H158=""),"",ROUND($G158*$H158,0))</f>
        <v/>
      </c>
      <c r="J158" s="12"/>
      <c r="K158" s="11"/>
      <c r="L158" s="18" t="str">
        <f aca="false">IF($A158="","",COUNTIFS($A$3:$A158,$A158))</f>
        <v/>
      </c>
      <c r="M158" s="18" t="str">
        <f aca="false">IF($A158="","",$A158&amp;"|"&amp;$L158)</f>
        <v/>
      </c>
      <c r="N158" s="18" t="str">
        <f aca="false">IF(OR($A158="",UPPER($J158)&lt;&gt;"Y"),"",$A158&amp;"#"&amp;COUNTIFS($A$3:$A158,$A158,$J$3:$J158,"Y"))</f>
        <v/>
      </c>
    </row>
    <row r="159" customFormat="false" ht="15" hidden="false" customHeight="true" outlineLevel="0" collapsed="false">
      <c r="A159" s="11"/>
      <c r="B159" s="17"/>
      <c r="C159" s="12"/>
      <c r="D159" s="12"/>
      <c r="E159" s="18" t="str">
        <f aca="false">IF($D159="","",IFERROR(INDEX(품목마스터!$B$3:$B$102,MATCH($D159,품목마스터!$A$3:$A$102,0)),""))</f>
        <v/>
      </c>
      <c r="F159" s="18" t="str">
        <f aca="false">IF($D159="","",IFERROR(INDEX(품목마스터!$C$3:$C$102,MATCH($D159,품목마스터!$A$3:$A$102,0)),""))</f>
        <v/>
      </c>
      <c r="G159" s="13" t="str">
        <f aca="false">IF($D159="","",IFERROR(INDEX(품목마스터!$D$3:$D$102,MATCH($D159,품목마스터!$A$3:$A$102,0)),0))</f>
        <v/>
      </c>
      <c r="H159" s="11"/>
      <c r="I159" s="19" t="str">
        <f aca="false">IF(OR($G159="",$H159=""),"",ROUND($G159*$H159,0))</f>
        <v/>
      </c>
      <c r="J159" s="12"/>
      <c r="K159" s="11"/>
      <c r="L159" s="18" t="str">
        <f aca="false">IF($A159="","",COUNTIFS($A$3:$A159,$A159))</f>
        <v/>
      </c>
      <c r="M159" s="18" t="str">
        <f aca="false">IF($A159="","",$A159&amp;"|"&amp;$L159)</f>
        <v/>
      </c>
      <c r="N159" s="18" t="str">
        <f aca="false">IF(OR($A159="",UPPER($J159)&lt;&gt;"Y"),"",$A159&amp;"#"&amp;COUNTIFS($A$3:$A159,$A159,$J$3:$J159,"Y"))</f>
        <v/>
      </c>
    </row>
    <row r="160" customFormat="false" ht="15" hidden="false" customHeight="true" outlineLevel="0" collapsed="false">
      <c r="A160" s="11"/>
      <c r="B160" s="17"/>
      <c r="C160" s="12"/>
      <c r="D160" s="12"/>
      <c r="E160" s="18" t="str">
        <f aca="false">IF($D160="","",IFERROR(INDEX(품목마스터!$B$3:$B$102,MATCH($D160,품목마스터!$A$3:$A$102,0)),""))</f>
        <v/>
      </c>
      <c r="F160" s="18" t="str">
        <f aca="false">IF($D160="","",IFERROR(INDEX(품목마스터!$C$3:$C$102,MATCH($D160,품목마스터!$A$3:$A$102,0)),""))</f>
        <v/>
      </c>
      <c r="G160" s="13" t="str">
        <f aca="false">IF($D160="","",IFERROR(INDEX(품목마스터!$D$3:$D$102,MATCH($D160,품목마스터!$A$3:$A$102,0)),0))</f>
        <v/>
      </c>
      <c r="H160" s="11"/>
      <c r="I160" s="19" t="str">
        <f aca="false">IF(OR($G160="",$H160=""),"",ROUND($G160*$H160,0))</f>
        <v/>
      </c>
      <c r="J160" s="12"/>
      <c r="K160" s="11"/>
      <c r="L160" s="18" t="str">
        <f aca="false">IF($A160="","",COUNTIFS($A$3:$A160,$A160))</f>
        <v/>
      </c>
      <c r="M160" s="18" t="str">
        <f aca="false">IF($A160="","",$A160&amp;"|"&amp;$L160)</f>
        <v/>
      </c>
      <c r="N160" s="18" t="str">
        <f aca="false">IF(OR($A160="",UPPER($J160)&lt;&gt;"Y"),"",$A160&amp;"#"&amp;COUNTIFS($A$3:$A160,$A160,$J$3:$J160,"Y"))</f>
        <v/>
      </c>
    </row>
    <row r="161" customFormat="false" ht="15" hidden="false" customHeight="true" outlineLevel="0" collapsed="false">
      <c r="A161" s="11"/>
      <c r="B161" s="17"/>
      <c r="C161" s="12"/>
      <c r="D161" s="12"/>
      <c r="E161" s="18" t="str">
        <f aca="false">IF($D161="","",IFERROR(INDEX(품목마스터!$B$3:$B$102,MATCH($D161,품목마스터!$A$3:$A$102,0)),""))</f>
        <v/>
      </c>
      <c r="F161" s="18" t="str">
        <f aca="false">IF($D161="","",IFERROR(INDEX(품목마스터!$C$3:$C$102,MATCH($D161,품목마스터!$A$3:$A$102,0)),""))</f>
        <v/>
      </c>
      <c r="G161" s="13" t="str">
        <f aca="false">IF($D161="","",IFERROR(INDEX(품목마스터!$D$3:$D$102,MATCH($D161,품목마스터!$A$3:$A$102,0)),0))</f>
        <v/>
      </c>
      <c r="H161" s="11"/>
      <c r="I161" s="19" t="str">
        <f aca="false">IF(OR($G161="",$H161=""),"",ROUND($G161*$H161,0))</f>
        <v/>
      </c>
      <c r="J161" s="12"/>
      <c r="K161" s="11"/>
      <c r="L161" s="18" t="str">
        <f aca="false">IF($A161="","",COUNTIFS($A$3:$A161,$A161))</f>
        <v/>
      </c>
      <c r="M161" s="18" t="str">
        <f aca="false">IF($A161="","",$A161&amp;"|"&amp;$L161)</f>
        <v/>
      </c>
      <c r="N161" s="18" t="str">
        <f aca="false">IF(OR($A161="",UPPER($J161)&lt;&gt;"Y"),"",$A161&amp;"#"&amp;COUNTIFS($A$3:$A161,$A161,$J$3:$J161,"Y"))</f>
        <v/>
      </c>
    </row>
    <row r="162" customFormat="false" ht="15" hidden="false" customHeight="true" outlineLevel="0" collapsed="false">
      <c r="A162" s="11"/>
      <c r="B162" s="17"/>
      <c r="C162" s="12"/>
      <c r="D162" s="12"/>
      <c r="E162" s="18" t="str">
        <f aca="false">IF($D162="","",IFERROR(INDEX(품목마스터!$B$3:$B$102,MATCH($D162,품목마스터!$A$3:$A$102,0)),""))</f>
        <v/>
      </c>
      <c r="F162" s="18" t="str">
        <f aca="false">IF($D162="","",IFERROR(INDEX(품목마스터!$C$3:$C$102,MATCH($D162,품목마스터!$A$3:$A$102,0)),""))</f>
        <v/>
      </c>
      <c r="G162" s="13" t="str">
        <f aca="false">IF($D162="","",IFERROR(INDEX(품목마스터!$D$3:$D$102,MATCH($D162,품목마스터!$A$3:$A$102,0)),0))</f>
        <v/>
      </c>
      <c r="H162" s="11"/>
      <c r="I162" s="19" t="str">
        <f aca="false">IF(OR($G162="",$H162=""),"",ROUND($G162*$H162,0))</f>
        <v/>
      </c>
      <c r="J162" s="12"/>
      <c r="K162" s="11"/>
      <c r="L162" s="18" t="str">
        <f aca="false">IF($A162="","",COUNTIFS($A$3:$A162,$A162))</f>
        <v/>
      </c>
      <c r="M162" s="18" t="str">
        <f aca="false">IF($A162="","",$A162&amp;"|"&amp;$L162)</f>
        <v/>
      </c>
      <c r="N162" s="18" t="str">
        <f aca="false">IF(OR($A162="",UPPER($J162)&lt;&gt;"Y"),"",$A162&amp;"#"&amp;COUNTIFS($A$3:$A162,$A162,$J$3:$J162,"Y"))</f>
        <v/>
      </c>
    </row>
    <row r="163" customFormat="false" ht="15" hidden="false" customHeight="true" outlineLevel="0" collapsed="false">
      <c r="A163" s="11"/>
      <c r="B163" s="17"/>
      <c r="C163" s="12"/>
      <c r="D163" s="12"/>
      <c r="E163" s="18" t="str">
        <f aca="false">IF($D163="","",IFERROR(INDEX(품목마스터!$B$3:$B$102,MATCH($D163,품목마스터!$A$3:$A$102,0)),""))</f>
        <v/>
      </c>
      <c r="F163" s="18" t="str">
        <f aca="false">IF($D163="","",IFERROR(INDEX(품목마스터!$C$3:$C$102,MATCH($D163,품목마스터!$A$3:$A$102,0)),""))</f>
        <v/>
      </c>
      <c r="G163" s="13" t="str">
        <f aca="false">IF($D163="","",IFERROR(INDEX(품목마스터!$D$3:$D$102,MATCH($D163,품목마스터!$A$3:$A$102,0)),0))</f>
        <v/>
      </c>
      <c r="H163" s="11"/>
      <c r="I163" s="19" t="str">
        <f aca="false">IF(OR($G163="",$H163=""),"",ROUND($G163*$H163,0))</f>
        <v/>
      </c>
      <c r="J163" s="12"/>
      <c r="K163" s="11"/>
      <c r="L163" s="18" t="str">
        <f aca="false">IF($A163="","",COUNTIFS($A$3:$A163,$A163))</f>
        <v/>
      </c>
      <c r="M163" s="18" t="str">
        <f aca="false">IF($A163="","",$A163&amp;"|"&amp;$L163)</f>
        <v/>
      </c>
      <c r="N163" s="18" t="str">
        <f aca="false">IF(OR($A163="",UPPER($J163)&lt;&gt;"Y"),"",$A163&amp;"#"&amp;COUNTIFS($A$3:$A163,$A163,$J$3:$J163,"Y"))</f>
        <v/>
      </c>
    </row>
    <row r="164" customFormat="false" ht="15" hidden="false" customHeight="true" outlineLevel="0" collapsed="false">
      <c r="A164" s="11"/>
      <c r="B164" s="17"/>
      <c r="C164" s="12"/>
      <c r="D164" s="12"/>
      <c r="E164" s="18" t="str">
        <f aca="false">IF($D164="","",IFERROR(INDEX(품목마스터!$B$3:$B$102,MATCH($D164,품목마스터!$A$3:$A$102,0)),""))</f>
        <v/>
      </c>
      <c r="F164" s="18" t="str">
        <f aca="false">IF($D164="","",IFERROR(INDEX(품목마스터!$C$3:$C$102,MATCH($D164,품목마스터!$A$3:$A$102,0)),""))</f>
        <v/>
      </c>
      <c r="G164" s="13" t="str">
        <f aca="false">IF($D164="","",IFERROR(INDEX(품목마스터!$D$3:$D$102,MATCH($D164,품목마스터!$A$3:$A$102,0)),0))</f>
        <v/>
      </c>
      <c r="H164" s="11"/>
      <c r="I164" s="19" t="str">
        <f aca="false">IF(OR($G164="",$H164=""),"",ROUND($G164*$H164,0))</f>
        <v/>
      </c>
      <c r="J164" s="12"/>
      <c r="K164" s="11"/>
      <c r="L164" s="18" t="str">
        <f aca="false">IF($A164="","",COUNTIFS($A$3:$A164,$A164))</f>
        <v/>
      </c>
      <c r="M164" s="18" t="str">
        <f aca="false">IF($A164="","",$A164&amp;"|"&amp;$L164)</f>
        <v/>
      </c>
      <c r="N164" s="18" t="str">
        <f aca="false">IF(OR($A164="",UPPER($J164)&lt;&gt;"Y"),"",$A164&amp;"#"&amp;COUNTIFS($A$3:$A164,$A164,$J$3:$J164,"Y"))</f>
        <v/>
      </c>
    </row>
    <row r="165" customFormat="false" ht="15" hidden="false" customHeight="true" outlineLevel="0" collapsed="false">
      <c r="A165" s="11"/>
      <c r="B165" s="17"/>
      <c r="C165" s="12"/>
      <c r="D165" s="12"/>
      <c r="E165" s="18" t="str">
        <f aca="false">IF($D165="","",IFERROR(INDEX(품목마스터!$B$3:$B$102,MATCH($D165,품목마스터!$A$3:$A$102,0)),""))</f>
        <v/>
      </c>
      <c r="F165" s="18" t="str">
        <f aca="false">IF($D165="","",IFERROR(INDEX(품목마스터!$C$3:$C$102,MATCH($D165,품목마스터!$A$3:$A$102,0)),""))</f>
        <v/>
      </c>
      <c r="G165" s="13" t="str">
        <f aca="false">IF($D165="","",IFERROR(INDEX(품목마스터!$D$3:$D$102,MATCH($D165,품목마스터!$A$3:$A$102,0)),0))</f>
        <v/>
      </c>
      <c r="H165" s="11"/>
      <c r="I165" s="19" t="str">
        <f aca="false">IF(OR($G165="",$H165=""),"",ROUND($G165*$H165,0))</f>
        <v/>
      </c>
      <c r="J165" s="12"/>
      <c r="K165" s="11"/>
      <c r="L165" s="18" t="str">
        <f aca="false">IF($A165="","",COUNTIFS($A$3:$A165,$A165))</f>
        <v/>
      </c>
      <c r="M165" s="18" t="str">
        <f aca="false">IF($A165="","",$A165&amp;"|"&amp;$L165)</f>
        <v/>
      </c>
      <c r="N165" s="18" t="str">
        <f aca="false">IF(OR($A165="",UPPER($J165)&lt;&gt;"Y"),"",$A165&amp;"#"&amp;COUNTIFS($A$3:$A165,$A165,$J$3:$J165,"Y"))</f>
        <v/>
      </c>
    </row>
    <row r="166" customFormat="false" ht="15" hidden="false" customHeight="true" outlineLevel="0" collapsed="false">
      <c r="A166" s="11"/>
      <c r="B166" s="17"/>
      <c r="C166" s="12"/>
      <c r="D166" s="12"/>
      <c r="E166" s="18" t="str">
        <f aca="false">IF($D166="","",IFERROR(INDEX(품목마스터!$B$3:$B$102,MATCH($D166,품목마스터!$A$3:$A$102,0)),""))</f>
        <v/>
      </c>
      <c r="F166" s="18" t="str">
        <f aca="false">IF($D166="","",IFERROR(INDEX(품목마스터!$C$3:$C$102,MATCH($D166,품목마스터!$A$3:$A$102,0)),""))</f>
        <v/>
      </c>
      <c r="G166" s="13" t="str">
        <f aca="false">IF($D166="","",IFERROR(INDEX(품목마스터!$D$3:$D$102,MATCH($D166,품목마스터!$A$3:$A$102,0)),0))</f>
        <v/>
      </c>
      <c r="H166" s="11"/>
      <c r="I166" s="19" t="str">
        <f aca="false">IF(OR($G166="",$H166=""),"",ROUND($G166*$H166,0))</f>
        <v/>
      </c>
      <c r="J166" s="12"/>
      <c r="K166" s="11"/>
      <c r="L166" s="18" t="str">
        <f aca="false">IF($A166="","",COUNTIFS($A$3:$A166,$A166))</f>
        <v/>
      </c>
      <c r="M166" s="18" t="str">
        <f aca="false">IF($A166="","",$A166&amp;"|"&amp;$L166)</f>
        <v/>
      </c>
      <c r="N166" s="18" t="str">
        <f aca="false">IF(OR($A166="",UPPER($J166)&lt;&gt;"Y"),"",$A166&amp;"#"&amp;COUNTIFS($A$3:$A166,$A166,$J$3:$J166,"Y"))</f>
        <v/>
      </c>
    </row>
    <row r="167" customFormat="false" ht="15" hidden="false" customHeight="true" outlineLevel="0" collapsed="false">
      <c r="A167" s="11"/>
      <c r="B167" s="17"/>
      <c r="C167" s="12"/>
      <c r="D167" s="12"/>
      <c r="E167" s="18" t="str">
        <f aca="false">IF($D167="","",IFERROR(INDEX(품목마스터!$B$3:$B$102,MATCH($D167,품목마스터!$A$3:$A$102,0)),""))</f>
        <v/>
      </c>
      <c r="F167" s="18" t="str">
        <f aca="false">IF($D167="","",IFERROR(INDEX(품목마스터!$C$3:$C$102,MATCH($D167,품목마스터!$A$3:$A$102,0)),""))</f>
        <v/>
      </c>
      <c r="G167" s="13" t="str">
        <f aca="false">IF($D167="","",IFERROR(INDEX(품목마스터!$D$3:$D$102,MATCH($D167,품목마스터!$A$3:$A$102,0)),0))</f>
        <v/>
      </c>
      <c r="H167" s="11"/>
      <c r="I167" s="19" t="str">
        <f aca="false">IF(OR($G167="",$H167=""),"",ROUND($G167*$H167,0))</f>
        <v/>
      </c>
      <c r="J167" s="12"/>
      <c r="K167" s="11"/>
      <c r="L167" s="18" t="str">
        <f aca="false">IF($A167="","",COUNTIFS($A$3:$A167,$A167))</f>
        <v/>
      </c>
      <c r="M167" s="18" t="str">
        <f aca="false">IF($A167="","",$A167&amp;"|"&amp;$L167)</f>
        <v/>
      </c>
      <c r="N167" s="18" t="str">
        <f aca="false">IF(OR($A167="",UPPER($J167)&lt;&gt;"Y"),"",$A167&amp;"#"&amp;COUNTIFS($A$3:$A167,$A167,$J$3:$J167,"Y"))</f>
        <v/>
      </c>
    </row>
    <row r="168" customFormat="false" ht="15" hidden="false" customHeight="true" outlineLevel="0" collapsed="false">
      <c r="A168" s="11"/>
      <c r="B168" s="17"/>
      <c r="C168" s="12"/>
      <c r="D168" s="12"/>
      <c r="E168" s="18" t="str">
        <f aca="false">IF($D168="","",IFERROR(INDEX(품목마스터!$B$3:$B$102,MATCH($D168,품목마스터!$A$3:$A$102,0)),""))</f>
        <v/>
      </c>
      <c r="F168" s="18" t="str">
        <f aca="false">IF($D168="","",IFERROR(INDEX(품목마스터!$C$3:$C$102,MATCH($D168,품목마스터!$A$3:$A$102,0)),""))</f>
        <v/>
      </c>
      <c r="G168" s="13" t="str">
        <f aca="false">IF($D168="","",IFERROR(INDEX(품목마스터!$D$3:$D$102,MATCH($D168,품목마스터!$A$3:$A$102,0)),0))</f>
        <v/>
      </c>
      <c r="H168" s="11"/>
      <c r="I168" s="19" t="str">
        <f aca="false">IF(OR($G168="",$H168=""),"",ROUND($G168*$H168,0))</f>
        <v/>
      </c>
      <c r="J168" s="12"/>
      <c r="K168" s="11"/>
      <c r="L168" s="18" t="str">
        <f aca="false">IF($A168="","",COUNTIFS($A$3:$A168,$A168))</f>
        <v/>
      </c>
      <c r="M168" s="18" t="str">
        <f aca="false">IF($A168="","",$A168&amp;"|"&amp;$L168)</f>
        <v/>
      </c>
      <c r="N168" s="18" t="str">
        <f aca="false">IF(OR($A168="",UPPER($J168)&lt;&gt;"Y"),"",$A168&amp;"#"&amp;COUNTIFS($A$3:$A168,$A168,$J$3:$J168,"Y"))</f>
        <v/>
      </c>
    </row>
    <row r="169" customFormat="false" ht="15" hidden="false" customHeight="true" outlineLevel="0" collapsed="false">
      <c r="A169" s="11"/>
      <c r="B169" s="17"/>
      <c r="C169" s="12"/>
      <c r="D169" s="12"/>
      <c r="E169" s="18" t="str">
        <f aca="false">IF($D169="","",IFERROR(INDEX(품목마스터!$B$3:$B$102,MATCH($D169,품목마스터!$A$3:$A$102,0)),""))</f>
        <v/>
      </c>
      <c r="F169" s="18" t="str">
        <f aca="false">IF($D169="","",IFERROR(INDEX(품목마스터!$C$3:$C$102,MATCH($D169,품목마스터!$A$3:$A$102,0)),""))</f>
        <v/>
      </c>
      <c r="G169" s="13" t="str">
        <f aca="false">IF($D169="","",IFERROR(INDEX(품목마스터!$D$3:$D$102,MATCH($D169,품목마스터!$A$3:$A$102,0)),0))</f>
        <v/>
      </c>
      <c r="H169" s="11"/>
      <c r="I169" s="19" t="str">
        <f aca="false">IF(OR($G169="",$H169=""),"",ROUND($G169*$H169,0))</f>
        <v/>
      </c>
      <c r="J169" s="12"/>
      <c r="K169" s="11"/>
      <c r="L169" s="18" t="str">
        <f aca="false">IF($A169="","",COUNTIFS($A$3:$A169,$A169))</f>
        <v/>
      </c>
      <c r="M169" s="18" t="str">
        <f aca="false">IF($A169="","",$A169&amp;"|"&amp;$L169)</f>
        <v/>
      </c>
      <c r="N169" s="18" t="str">
        <f aca="false">IF(OR($A169="",UPPER($J169)&lt;&gt;"Y"),"",$A169&amp;"#"&amp;COUNTIFS($A$3:$A169,$A169,$J$3:$J169,"Y"))</f>
        <v/>
      </c>
    </row>
    <row r="170" customFormat="false" ht="15" hidden="false" customHeight="true" outlineLevel="0" collapsed="false">
      <c r="A170" s="11"/>
      <c r="B170" s="17"/>
      <c r="C170" s="12"/>
      <c r="D170" s="12"/>
      <c r="E170" s="18" t="str">
        <f aca="false">IF($D170="","",IFERROR(INDEX(품목마스터!$B$3:$B$102,MATCH($D170,품목마스터!$A$3:$A$102,0)),""))</f>
        <v/>
      </c>
      <c r="F170" s="18" t="str">
        <f aca="false">IF($D170="","",IFERROR(INDEX(품목마스터!$C$3:$C$102,MATCH($D170,품목마스터!$A$3:$A$102,0)),""))</f>
        <v/>
      </c>
      <c r="G170" s="13" t="str">
        <f aca="false">IF($D170="","",IFERROR(INDEX(품목마스터!$D$3:$D$102,MATCH($D170,품목마스터!$A$3:$A$102,0)),0))</f>
        <v/>
      </c>
      <c r="H170" s="11"/>
      <c r="I170" s="19" t="str">
        <f aca="false">IF(OR($G170="",$H170=""),"",ROUND($G170*$H170,0))</f>
        <v/>
      </c>
      <c r="J170" s="12"/>
      <c r="K170" s="11"/>
      <c r="L170" s="18" t="str">
        <f aca="false">IF($A170="","",COUNTIFS($A$3:$A170,$A170))</f>
        <v/>
      </c>
      <c r="M170" s="18" t="str">
        <f aca="false">IF($A170="","",$A170&amp;"|"&amp;$L170)</f>
        <v/>
      </c>
      <c r="N170" s="18" t="str">
        <f aca="false">IF(OR($A170="",UPPER($J170)&lt;&gt;"Y"),"",$A170&amp;"#"&amp;COUNTIFS($A$3:$A170,$A170,$J$3:$J170,"Y"))</f>
        <v/>
      </c>
    </row>
    <row r="171" customFormat="false" ht="15" hidden="false" customHeight="true" outlineLevel="0" collapsed="false">
      <c r="A171" s="11"/>
      <c r="B171" s="17"/>
      <c r="C171" s="12"/>
      <c r="D171" s="12"/>
      <c r="E171" s="18" t="str">
        <f aca="false">IF($D171="","",IFERROR(INDEX(품목마스터!$B$3:$B$102,MATCH($D171,품목마스터!$A$3:$A$102,0)),""))</f>
        <v/>
      </c>
      <c r="F171" s="18" t="str">
        <f aca="false">IF($D171="","",IFERROR(INDEX(품목마스터!$C$3:$C$102,MATCH($D171,품목마스터!$A$3:$A$102,0)),""))</f>
        <v/>
      </c>
      <c r="G171" s="13" t="str">
        <f aca="false">IF($D171="","",IFERROR(INDEX(품목마스터!$D$3:$D$102,MATCH($D171,품목마스터!$A$3:$A$102,0)),0))</f>
        <v/>
      </c>
      <c r="H171" s="11"/>
      <c r="I171" s="19" t="str">
        <f aca="false">IF(OR($G171="",$H171=""),"",ROUND($G171*$H171,0))</f>
        <v/>
      </c>
      <c r="J171" s="12"/>
      <c r="K171" s="11"/>
      <c r="L171" s="18" t="str">
        <f aca="false">IF($A171="","",COUNTIFS($A$3:$A171,$A171))</f>
        <v/>
      </c>
      <c r="M171" s="18" t="str">
        <f aca="false">IF($A171="","",$A171&amp;"|"&amp;$L171)</f>
        <v/>
      </c>
      <c r="N171" s="18" t="str">
        <f aca="false">IF(OR($A171="",UPPER($J171)&lt;&gt;"Y"),"",$A171&amp;"#"&amp;COUNTIFS($A$3:$A171,$A171,$J$3:$J171,"Y"))</f>
        <v/>
      </c>
    </row>
    <row r="172" customFormat="false" ht="15" hidden="false" customHeight="true" outlineLevel="0" collapsed="false">
      <c r="A172" s="11"/>
      <c r="B172" s="17"/>
      <c r="C172" s="12"/>
      <c r="D172" s="12"/>
      <c r="E172" s="18" t="str">
        <f aca="false">IF($D172="","",IFERROR(INDEX(품목마스터!$B$3:$B$102,MATCH($D172,품목마스터!$A$3:$A$102,0)),""))</f>
        <v/>
      </c>
      <c r="F172" s="18" t="str">
        <f aca="false">IF($D172="","",IFERROR(INDEX(품목마스터!$C$3:$C$102,MATCH($D172,품목마스터!$A$3:$A$102,0)),""))</f>
        <v/>
      </c>
      <c r="G172" s="13" t="str">
        <f aca="false">IF($D172="","",IFERROR(INDEX(품목마스터!$D$3:$D$102,MATCH($D172,품목마스터!$A$3:$A$102,0)),0))</f>
        <v/>
      </c>
      <c r="H172" s="11"/>
      <c r="I172" s="19" t="str">
        <f aca="false">IF(OR($G172="",$H172=""),"",ROUND($G172*$H172,0))</f>
        <v/>
      </c>
      <c r="J172" s="12"/>
      <c r="K172" s="11"/>
      <c r="L172" s="18" t="str">
        <f aca="false">IF($A172="","",COUNTIFS($A$3:$A172,$A172))</f>
        <v/>
      </c>
      <c r="M172" s="18" t="str">
        <f aca="false">IF($A172="","",$A172&amp;"|"&amp;$L172)</f>
        <v/>
      </c>
      <c r="N172" s="18" t="str">
        <f aca="false">IF(OR($A172="",UPPER($J172)&lt;&gt;"Y"),"",$A172&amp;"#"&amp;COUNTIFS($A$3:$A172,$A172,$J$3:$J172,"Y"))</f>
        <v/>
      </c>
    </row>
    <row r="173" customFormat="false" ht="15" hidden="false" customHeight="true" outlineLevel="0" collapsed="false">
      <c r="A173" s="11"/>
      <c r="B173" s="17"/>
      <c r="C173" s="12"/>
      <c r="D173" s="12"/>
      <c r="E173" s="18" t="str">
        <f aca="false">IF($D173="","",IFERROR(INDEX(품목마스터!$B$3:$B$102,MATCH($D173,품목마스터!$A$3:$A$102,0)),""))</f>
        <v/>
      </c>
      <c r="F173" s="18" t="str">
        <f aca="false">IF($D173="","",IFERROR(INDEX(품목마스터!$C$3:$C$102,MATCH($D173,품목마스터!$A$3:$A$102,0)),""))</f>
        <v/>
      </c>
      <c r="G173" s="13" t="str">
        <f aca="false">IF($D173="","",IFERROR(INDEX(품목마스터!$D$3:$D$102,MATCH($D173,품목마스터!$A$3:$A$102,0)),0))</f>
        <v/>
      </c>
      <c r="H173" s="11"/>
      <c r="I173" s="19" t="str">
        <f aca="false">IF(OR($G173="",$H173=""),"",ROUND($G173*$H173,0))</f>
        <v/>
      </c>
      <c r="J173" s="12"/>
      <c r="K173" s="11"/>
      <c r="L173" s="18" t="str">
        <f aca="false">IF($A173="","",COUNTIFS($A$3:$A173,$A173))</f>
        <v/>
      </c>
      <c r="M173" s="18" t="str">
        <f aca="false">IF($A173="","",$A173&amp;"|"&amp;$L173)</f>
        <v/>
      </c>
      <c r="N173" s="18" t="str">
        <f aca="false">IF(OR($A173="",UPPER($J173)&lt;&gt;"Y"),"",$A173&amp;"#"&amp;COUNTIFS($A$3:$A173,$A173,$J$3:$J173,"Y"))</f>
        <v/>
      </c>
    </row>
    <row r="174" customFormat="false" ht="15" hidden="false" customHeight="true" outlineLevel="0" collapsed="false">
      <c r="A174" s="11"/>
      <c r="B174" s="17"/>
      <c r="C174" s="12"/>
      <c r="D174" s="12"/>
      <c r="E174" s="18" t="str">
        <f aca="false">IF($D174="","",IFERROR(INDEX(품목마스터!$B$3:$B$102,MATCH($D174,품목마스터!$A$3:$A$102,0)),""))</f>
        <v/>
      </c>
      <c r="F174" s="18" t="str">
        <f aca="false">IF($D174="","",IFERROR(INDEX(품목마스터!$C$3:$C$102,MATCH($D174,품목마스터!$A$3:$A$102,0)),""))</f>
        <v/>
      </c>
      <c r="G174" s="13" t="str">
        <f aca="false">IF($D174="","",IFERROR(INDEX(품목마스터!$D$3:$D$102,MATCH($D174,품목마스터!$A$3:$A$102,0)),0))</f>
        <v/>
      </c>
      <c r="H174" s="11"/>
      <c r="I174" s="19" t="str">
        <f aca="false">IF(OR($G174="",$H174=""),"",ROUND($G174*$H174,0))</f>
        <v/>
      </c>
      <c r="J174" s="12"/>
      <c r="K174" s="11"/>
      <c r="L174" s="18" t="str">
        <f aca="false">IF($A174="","",COUNTIFS($A$3:$A174,$A174))</f>
        <v/>
      </c>
      <c r="M174" s="18" t="str">
        <f aca="false">IF($A174="","",$A174&amp;"|"&amp;$L174)</f>
        <v/>
      </c>
      <c r="N174" s="18" t="str">
        <f aca="false">IF(OR($A174="",UPPER($J174)&lt;&gt;"Y"),"",$A174&amp;"#"&amp;COUNTIFS($A$3:$A174,$A174,$J$3:$J174,"Y"))</f>
        <v/>
      </c>
    </row>
    <row r="175" customFormat="false" ht="15" hidden="false" customHeight="true" outlineLevel="0" collapsed="false">
      <c r="A175" s="11"/>
      <c r="B175" s="17"/>
      <c r="C175" s="12"/>
      <c r="D175" s="12"/>
      <c r="E175" s="18" t="str">
        <f aca="false">IF($D175="","",IFERROR(INDEX(품목마스터!$B$3:$B$102,MATCH($D175,품목마스터!$A$3:$A$102,0)),""))</f>
        <v/>
      </c>
      <c r="F175" s="18" t="str">
        <f aca="false">IF($D175="","",IFERROR(INDEX(품목마스터!$C$3:$C$102,MATCH($D175,품목마스터!$A$3:$A$102,0)),""))</f>
        <v/>
      </c>
      <c r="G175" s="13" t="str">
        <f aca="false">IF($D175="","",IFERROR(INDEX(품목마스터!$D$3:$D$102,MATCH($D175,품목마스터!$A$3:$A$102,0)),0))</f>
        <v/>
      </c>
      <c r="H175" s="11"/>
      <c r="I175" s="19" t="str">
        <f aca="false">IF(OR($G175="",$H175=""),"",ROUND($G175*$H175,0))</f>
        <v/>
      </c>
      <c r="J175" s="12"/>
      <c r="K175" s="11"/>
      <c r="L175" s="18" t="str">
        <f aca="false">IF($A175="","",COUNTIFS($A$3:$A175,$A175))</f>
        <v/>
      </c>
      <c r="M175" s="18" t="str">
        <f aca="false">IF($A175="","",$A175&amp;"|"&amp;$L175)</f>
        <v/>
      </c>
      <c r="N175" s="18" t="str">
        <f aca="false">IF(OR($A175="",UPPER($J175)&lt;&gt;"Y"),"",$A175&amp;"#"&amp;COUNTIFS($A$3:$A175,$A175,$J$3:$J175,"Y"))</f>
        <v/>
      </c>
    </row>
    <row r="176" customFormat="false" ht="15" hidden="false" customHeight="true" outlineLevel="0" collapsed="false">
      <c r="A176" s="11"/>
      <c r="B176" s="17"/>
      <c r="C176" s="12"/>
      <c r="D176" s="12"/>
      <c r="E176" s="18" t="str">
        <f aca="false">IF($D176="","",IFERROR(INDEX(품목마스터!$B$3:$B$102,MATCH($D176,품목마스터!$A$3:$A$102,0)),""))</f>
        <v/>
      </c>
      <c r="F176" s="18" t="str">
        <f aca="false">IF($D176="","",IFERROR(INDEX(품목마스터!$C$3:$C$102,MATCH($D176,품목마스터!$A$3:$A$102,0)),""))</f>
        <v/>
      </c>
      <c r="G176" s="13" t="str">
        <f aca="false">IF($D176="","",IFERROR(INDEX(품목마스터!$D$3:$D$102,MATCH($D176,품목마스터!$A$3:$A$102,0)),0))</f>
        <v/>
      </c>
      <c r="H176" s="11"/>
      <c r="I176" s="19" t="str">
        <f aca="false">IF(OR($G176="",$H176=""),"",ROUND($G176*$H176,0))</f>
        <v/>
      </c>
      <c r="J176" s="12"/>
      <c r="K176" s="11"/>
      <c r="L176" s="18" t="str">
        <f aca="false">IF($A176="","",COUNTIFS($A$3:$A176,$A176))</f>
        <v/>
      </c>
      <c r="M176" s="18" t="str">
        <f aca="false">IF($A176="","",$A176&amp;"|"&amp;$L176)</f>
        <v/>
      </c>
      <c r="N176" s="18" t="str">
        <f aca="false">IF(OR($A176="",UPPER($J176)&lt;&gt;"Y"),"",$A176&amp;"#"&amp;COUNTIFS($A$3:$A176,$A176,$J$3:$J176,"Y"))</f>
        <v/>
      </c>
    </row>
    <row r="177" customFormat="false" ht="15" hidden="false" customHeight="true" outlineLevel="0" collapsed="false">
      <c r="A177" s="11"/>
      <c r="B177" s="17"/>
      <c r="C177" s="12"/>
      <c r="D177" s="12"/>
      <c r="E177" s="18" t="str">
        <f aca="false">IF($D177="","",IFERROR(INDEX(품목마스터!$B$3:$B$102,MATCH($D177,품목마스터!$A$3:$A$102,0)),""))</f>
        <v/>
      </c>
      <c r="F177" s="18" t="str">
        <f aca="false">IF($D177="","",IFERROR(INDEX(품목마스터!$C$3:$C$102,MATCH($D177,품목마스터!$A$3:$A$102,0)),""))</f>
        <v/>
      </c>
      <c r="G177" s="13" t="str">
        <f aca="false">IF($D177="","",IFERROR(INDEX(품목마스터!$D$3:$D$102,MATCH($D177,품목마스터!$A$3:$A$102,0)),0))</f>
        <v/>
      </c>
      <c r="H177" s="11"/>
      <c r="I177" s="19" t="str">
        <f aca="false">IF(OR($G177="",$H177=""),"",ROUND($G177*$H177,0))</f>
        <v/>
      </c>
      <c r="J177" s="12"/>
      <c r="K177" s="11"/>
      <c r="L177" s="18" t="str">
        <f aca="false">IF($A177="","",COUNTIFS($A$3:$A177,$A177))</f>
        <v/>
      </c>
      <c r="M177" s="18" t="str">
        <f aca="false">IF($A177="","",$A177&amp;"|"&amp;$L177)</f>
        <v/>
      </c>
      <c r="N177" s="18" t="str">
        <f aca="false">IF(OR($A177="",UPPER($J177)&lt;&gt;"Y"),"",$A177&amp;"#"&amp;COUNTIFS($A$3:$A177,$A177,$J$3:$J177,"Y"))</f>
        <v/>
      </c>
    </row>
    <row r="178" customFormat="false" ht="15" hidden="false" customHeight="true" outlineLevel="0" collapsed="false">
      <c r="A178" s="11"/>
      <c r="B178" s="17"/>
      <c r="C178" s="12"/>
      <c r="D178" s="12"/>
      <c r="E178" s="18" t="str">
        <f aca="false">IF($D178="","",IFERROR(INDEX(품목마스터!$B$3:$B$102,MATCH($D178,품목마스터!$A$3:$A$102,0)),""))</f>
        <v/>
      </c>
      <c r="F178" s="18" t="str">
        <f aca="false">IF($D178="","",IFERROR(INDEX(품목마스터!$C$3:$C$102,MATCH($D178,품목마스터!$A$3:$A$102,0)),""))</f>
        <v/>
      </c>
      <c r="G178" s="13" t="str">
        <f aca="false">IF($D178="","",IFERROR(INDEX(품목마스터!$D$3:$D$102,MATCH($D178,품목마스터!$A$3:$A$102,0)),0))</f>
        <v/>
      </c>
      <c r="H178" s="11"/>
      <c r="I178" s="19" t="str">
        <f aca="false">IF(OR($G178="",$H178=""),"",ROUND($G178*$H178,0))</f>
        <v/>
      </c>
      <c r="J178" s="12"/>
      <c r="K178" s="11"/>
      <c r="L178" s="18" t="str">
        <f aca="false">IF($A178="","",COUNTIFS($A$3:$A178,$A178))</f>
        <v/>
      </c>
      <c r="M178" s="18" t="str">
        <f aca="false">IF($A178="","",$A178&amp;"|"&amp;$L178)</f>
        <v/>
      </c>
      <c r="N178" s="18" t="str">
        <f aca="false">IF(OR($A178="",UPPER($J178)&lt;&gt;"Y"),"",$A178&amp;"#"&amp;COUNTIFS($A$3:$A178,$A178,$J$3:$J178,"Y"))</f>
        <v/>
      </c>
    </row>
    <row r="179" customFormat="false" ht="15" hidden="false" customHeight="true" outlineLevel="0" collapsed="false">
      <c r="A179" s="11"/>
      <c r="B179" s="17"/>
      <c r="C179" s="12"/>
      <c r="D179" s="12"/>
      <c r="E179" s="18" t="str">
        <f aca="false">IF($D179="","",IFERROR(INDEX(품목마스터!$B$3:$B$102,MATCH($D179,품목마스터!$A$3:$A$102,0)),""))</f>
        <v/>
      </c>
      <c r="F179" s="18" t="str">
        <f aca="false">IF($D179="","",IFERROR(INDEX(품목마스터!$C$3:$C$102,MATCH($D179,품목마스터!$A$3:$A$102,0)),""))</f>
        <v/>
      </c>
      <c r="G179" s="13" t="str">
        <f aca="false">IF($D179="","",IFERROR(INDEX(품목마스터!$D$3:$D$102,MATCH($D179,품목마스터!$A$3:$A$102,0)),0))</f>
        <v/>
      </c>
      <c r="H179" s="11"/>
      <c r="I179" s="19" t="str">
        <f aca="false">IF(OR($G179="",$H179=""),"",ROUND($G179*$H179,0))</f>
        <v/>
      </c>
      <c r="J179" s="12"/>
      <c r="K179" s="11"/>
      <c r="L179" s="18" t="str">
        <f aca="false">IF($A179="","",COUNTIFS($A$3:$A179,$A179))</f>
        <v/>
      </c>
      <c r="M179" s="18" t="str">
        <f aca="false">IF($A179="","",$A179&amp;"|"&amp;$L179)</f>
        <v/>
      </c>
      <c r="N179" s="18" t="str">
        <f aca="false">IF(OR($A179="",UPPER($J179)&lt;&gt;"Y"),"",$A179&amp;"#"&amp;COUNTIFS($A$3:$A179,$A179,$J$3:$J179,"Y"))</f>
        <v/>
      </c>
    </row>
    <row r="180" customFormat="false" ht="15" hidden="false" customHeight="true" outlineLevel="0" collapsed="false">
      <c r="A180" s="11"/>
      <c r="B180" s="17"/>
      <c r="C180" s="12"/>
      <c r="D180" s="12"/>
      <c r="E180" s="18" t="str">
        <f aca="false">IF($D180="","",IFERROR(INDEX(품목마스터!$B$3:$B$102,MATCH($D180,품목마스터!$A$3:$A$102,0)),""))</f>
        <v/>
      </c>
      <c r="F180" s="18" t="str">
        <f aca="false">IF($D180="","",IFERROR(INDEX(품목마스터!$C$3:$C$102,MATCH($D180,품목마스터!$A$3:$A$102,0)),""))</f>
        <v/>
      </c>
      <c r="G180" s="13" t="str">
        <f aca="false">IF($D180="","",IFERROR(INDEX(품목마스터!$D$3:$D$102,MATCH($D180,품목마스터!$A$3:$A$102,0)),0))</f>
        <v/>
      </c>
      <c r="H180" s="11"/>
      <c r="I180" s="19" t="str">
        <f aca="false">IF(OR($G180="",$H180=""),"",ROUND($G180*$H180,0))</f>
        <v/>
      </c>
      <c r="J180" s="12"/>
      <c r="K180" s="11"/>
      <c r="L180" s="18" t="str">
        <f aca="false">IF($A180="","",COUNTIFS($A$3:$A180,$A180))</f>
        <v/>
      </c>
      <c r="M180" s="18" t="str">
        <f aca="false">IF($A180="","",$A180&amp;"|"&amp;$L180)</f>
        <v/>
      </c>
      <c r="N180" s="18" t="str">
        <f aca="false">IF(OR($A180="",UPPER($J180)&lt;&gt;"Y"),"",$A180&amp;"#"&amp;COUNTIFS($A$3:$A180,$A180,$J$3:$J180,"Y"))</f>
        <v/>
      </c>
    </row>
    <row r="181" customFormat="false" ht="15" hidden="false" customHeight="true" outlineLevel="0" collapsed="false">
      <c r="A181" s="11"/>
      <c r="B181" s="17"/>
      <c r="C181" s="12"/>
      <c r="D181" s="12"/>
      <c r="E181" s="18" t="str">
        <f aca="false">IF($D181="","",IFERROR(INDEX(품목마스터!$B$3:$B$102,MATCH($D181,품목마스터!$A$3:$A$102,0)),""))</f>
        <v/>
      </c>
      <c r="F181" s="18" t="str">
        <f aca="false">IF($D181="","",IFERROR(INDEX(품목마스터!$C$3:$C$102,MATCH($D181,품목마스터!$A$3:$A$102,0)),""))</f>
        <v/>
      </c>
      <c r="G181" s="13" t="str">
        <f aca="false">IF($D181="","",IFERROR(INDEX(품목마스터!$D$3:$D$102,MATCH($D181,품목마스터!$A$3:$A$102,0)),0))</f>
        <v/>
      </c>
      <c r="H181" s="11"/>
      <c r="I181" s="19" t="str">
        <f aca="false">IF(OR($G181="",$H181=""),"",ROUND($G181*$H181,0))</f>
        <v/>
      </c>
      <c r="J181" s="12"/>
      <c r="K181" s="11"/>
      <c r="L181" s="18" t="str">
        <f aca="false">IF($A181="","",COUNTIFS($A$3:$A181,$A181))</f>
        <v/>
      </c>
      <c r="M181" s="18" t="str">
        <f aca="false">IF($A181="","",$A181&amp;"|"&amp;$L181)</f>
        <v/>
      </c>
      <c r="N181" s="18" t="str">
        <f aca="false">IF(OR($A181="",UPPER($J181)&lt;&gt;"Y"),"",$A181&amp;"#"&amp;COUNTIFS($A$3:$A181,$A181,$J$3:$J181,"Y"))</f>
        <v/>
      </c>
    </row>
    <row r="182" customFormat="false" ht="15" hidden="false" customHeight="true" outlineLevel="0" collapsed="false">
      <c r="A182" s="11"/>
      <c r="B182" s="17"/>
      <c r="C182" s="12"/>
      <c r="D182" s="12"/>
      <c r="E182" s="18" t="str">
        <f aca="false">IF($D182="","",IFERROR(INDEX(품목마스터!$B$3:$B$102,MATCH($D182,품목마스터!$A$3:$A$102,0)),""))</f>
        <v/>
      </c>
      <c r="F182" s="18" t="str">
        <f aca="false">IF($D182="","",IFERROR(INDEX(품목마스터!$C$3:$C$102,MATCH($D182,품목마스터!$A$3:$A$102,0)),""))</f>
        <v/>
      </c>
      <c r="G182" s="13" t="str">
        <f aca="false">IF($D182="","",IFERROR(INDEX(품목마스터!$D$3:$D$102,MATCH($D182,품목마스터!$A$3:$A$102,0)),0))</f>
        <v/>
      </c>
      <c r="H182" s="11"/>
      <c r="I182" s="19" t="str">
        <f aca="false">IF(OR($G182="",$H182=""),"",ROUND($G182*$H182,0))</f>
        <v/>
      </c>
      <c r="J182" s="12"/>
      <c r="K182" s="11"/>
      <c r="L182" s="18" t="str">
        <f aca="false">IF($A182="","",COUNTIFS($A$3:$A182,$A182))</f>
        <v/>
      </c>
      <c r="M182" s="18" t="str">
        <f aca="false">IF($A182="","",$A182&amp;"|"&amp;$L182)</f>
        <v/>
      </c>
      <c r="N182" s="18" t="str">
        <f aca="false">IF(OR($A182="",UPPER($J182)&lt;&gt;"Y"),"",$A182&amp;"#"&amp;COUNTIFS($A$3:$A182,$A182,$J$3:$J182,"Y"))</f>
        <v/>
      </c>
    </row>
    <row r="183" customFormat="false" ht="15" hidden="false" customHeight="true" outlineLevel="0" collapsed="false">
      <c r="A183" s="11"/>
      <c r="B183" s="17"/>
      <c r="C183" s="12"/>
      <c r="D183" s="12"/>
      <c r="E183" s="18" t="str">
        <f aca="false">IF($D183="","",IFERROR(INDEX(품목마스터!$B$3:$B$102,MATCH($D183,품목마스터!$A$3:$A$102,0)),""))</f>
        <v/>
      </c>
      <c r="F183" s="18" t="str">
        <f aca="false">IF($D183="","",IFERROR(INDEX(품목마스터!$C$3:$C$102,MATCH($D183,품목마스터!$A$3:$A$102,0)),""))</f>
        <v/>
      </c>
      <c r="G183" s="13" t="str">
        <f aca="false">IF($D183="","",IFERROR(INDEX(품목마스터!$D$3:$D$102,MATCH($D183,품목마스터!$A$3:$A$102,0)),0))</f>
        <v/>
      </c>
      <c r="H183" s="11"/>
      <c r="I183" s="19" t="str">
        <f aca="false">IF(OR($G183="",$H183=""),"",ROUND($G183*$H183,0))</f>
        <v/>
      </c>
      <c r="J183" s="12"/>
      <c r="K183" s="11"/>
      <c r="L183" s="18" t="str">
        <f aca="false">IF($A183="","",COUNTIFS($A$3:$A183,$A183))</f>
        <v/>
      </c>
      <c r="M183" s="18" t="str">
        <f aca="false">IF($A183="","",$A183&amp;"|"&amp;$L183)</f>
        <v/>
      </c>
      <c r="N183" s="18" t="str">
        <f aca="false">IF(OR($A183="",UPPER($J183)&lt;&gt;"Y"),"",$A183&amp;"#"&amp;COUNTIFS($A$3:$A183,$A183,$J$3:$J183,"Y"))</f>
        <v/>
      </c>
    </row>
    <row r="184" customFormat="false" ht="15" hidden="false" customHeight="true" outlineLevel="0" collapsed="false">
      <c r="A184" s="11"/>
      <c r="B184" s="17"/>
      <c r="C184" s="12"/>
      <c r="D184" s="12"/>
      <c r="E184" s="18" t="str">
        <f aca="false">IF($D184="","",IFERROR(INDEX(품목마스터!$B$3:$B$102,MATCH($D184,품목마스터!$A$3:$A$102,0)),""))</f>
        <v/>
      </c>
      <c r="F184" s="18" t="str">
        <f aca="false">IF($D184="","",IFERROR(INDEX(품목마스터!$C$3:$C$102,MATCH($D184,품목마스터!$A$3:$A$102,0)),""))</f>
        <v/>
      </c>
      <c r="G184" s="13" t="str">
        <f aca="false">IF($D184="","",IFERROR(INDEX(품목마스터!$D$3:$D$102,MATCH($D184,품목마스터!$A$3:$A$102,0)),0))</f>
        <v/>
      </c>
      <c r="H184" s="11"/>
      <c r="I184" s="19" t="str">
        <f aca="false">IF(OR($G184="",$H184=""),"",ROUND($G184*$H184,0))</f>
        <v/>
      </c>
      <c r="J184" s="12"/>
      <c r="K184" s="11"/>
      <c r="L184" s="18" t="str">
        <f aca="false">IF($A184="","",COUNTIFS($A$3:$A184,$A184))</f>
        <v/>
      </c>
      <c r="M184" s="18" t="str">
        <f aca="false">IF($A184="","",$A184&amp;"|"&amp;$L184)</f>
        <v/>
      </c>
      <c r="N184" s="18" t="str">
        <f aca="false">IF(OR($A184="",UPPER($J184)&lt;&gt;"Y"),"",$A184&amp;"#"&amp;COUNTIFS($A$3:$A184,$A184,$J$3:$J184,"Y"))</f>
        <v/>
      </c>
    </row>
    <row r="185" customFormat="false" ht="15" hidden="false" customHeight="true" outlineLevel="0" collapsed="false">
      <c r="A185" s="11"/>
      <c r="B185" s="17"/>
      <c r="C185" s="12"/>
      <c r="D185" s="12"/>
      <c r="E185" s="18" t="str">
        <f aca="false">IF($D185="","",IFERROR(INDEX(품목마스터!$B$3:$B$102,MATCH($D185,품목마스터!$A$3:$A$102,0)),""))</f>
        <v/>
      </c>
      <c r="F185" s="18" t="str">
        <f aca="false">IF($D185="","",IFERROR(INDEX(품목마스터!$C$3:$C$102,MATCH($D185,품목마스터!$A$3:$A$102,0)),""))</f>
        <v/>
      </c>
      <c r="G185" s="13" t="str">
        <f aca="false">IF($D185="","",IFERROR(INDEX(품목마스터!$D$3:$D$102,MATCH($D185,품목마스터!$A$3:$A$102,0)),0))</f>
        <v/>
      </c>
      <c r="H185" s="11"/>
      <c r="I185" s="19" t="str">
        <f aca="false">IF(OR($G185="",$H185=""),"",ROUND($G185*$H185,0))</f>
        <v/>
      </c>
      <c r="J185" s="12"/>
      <c r="K185" s="11"/>
      <c r="L185" s="18" t="str">
        <f aca="false">IF($A185="","",COUNTIFS($A$3:$A185,$A185))</f>
        <v/>
      </c>
      <c r="M185" s="18" t="str">
        <f aca="false">IF($A185="","",$A185&amp;"|"&amp;$L185)</f>
        <v/>
      </c>
      <c r="N185" s="18" t="str">
        <f aca="false">IF(OR($A185="",UPPER($J185)&lt;&gt;"Y"),"",$A185&amp;"#"&amp;COUNTIFS($A$3:$A185,$A185,$J$3:$J185,"Y"))</f>
        <v/>
      </c>
    </row>
    <row r="186" customFormat="false" ht="15" hidden="false" customHeight="true" outlineLevel="0" collapsed="false">
      <c r="A186" s="11"/>
      <c r="B186" s="17"/>
      <c r="C186" s="12"/>
      <c r="D186" s="12"/>
      <c r="E186" s="18" t="str">
        <f aca="false">IF($D186="","",IFERROR(INDEX(품목마스터!$B$3:$B$102,MATCH($D186,품목마스터!$A$3:$A$102,0)),""))</f>
        <v/>
      </c>
      <c r="F186" s="18" t="str">
        <f aca="false">IF($D186="","",IFERROR(INDEX(품목마스터!$C$3:$C$102,MATCH($D186,품목마스터!$A$3:$A$102,0)),""))</f>
        <v/>
      </c>
      <c r="G186" s="13" t="str">
        <f aca="false">IF($D186="","",IFERROR(INDEX(품목마스터!$D$3:$D$102,MATCH($D186,품목마스터!$A$3:$A$102,0)),0))</f>
        <v/>
      </c>
      <c r="H186" s="11"/>
      <c r="I186" s="19" t="str">
        <f aca="false">IF(OR($G186="",$H186=""),"",ROUND($G186*$H186,0))</f>
        <v/>
      </c>
      <c r="J186" s="12"/>
      <c r="K186" s="11"/>
      <c r="L186" s="18" t="str">
        <f aca="false">IF($A186="","",COUNTIFS($A$3:$A186,$A186))</f>
        <v/>
      </c>
      <c r="M186" s="18" t="str">
        <f aca="false">IF($A186="","",$A186&amp;"|"&amp;$L186)</f>
        <v/>
      </c>
      <c r="N186" s="18" t="str">
        <f aca="false">IF(OR($A186="",UPPER($J186)&lt;&gt;"Y"),"",$A186&amp;"#"&amp;COUNTIFS($A$3:$A186,$A186,$J$3:$J186,"Y"))</f>
        <v/>
      </c>
    </row>
    <row r="187" customFormat="false" ht="15" hidden="false" customHeight="true" outlineLevel="0" collapsed="false">
      <c r="A187" s="11"/>
      <c r="B187" s="17"/>
      <c r="C187" s="12"/>
      <c r="D187" s="12"/>
      <c r="E187" s="18" t="str">
        <f aca="false">IF($D187="","",IFERROR(INDEX(품목마스터!$B$3:$B$102,MATCH($D187,품목마스터!$A$3:$A$102,0)),""))</f>
        <v/>
      </c>
      <c r="F187" s="18" t="str">
        <f aca="false">IF($D187="","",IFERROR(INDEX(품목마스터!$C$3:$C$102,MATCH($D187,품목마스터!$A$3:$A$102,0)),""))</f>
        <v/>
      </c>
      <c r="G187" s="13" t="str">
        <f aca="false">IF($D187="","",IFERROR(INDEX(품목마스터!$D$3:$D$102,MATCH($D187,품목마스터!$A$3:$A$102,0)),0))</f>
        <v/>
      </c>
      <c r="H187" s="11"/>
      <c r="I187" s="19" t="str">
        <f aca="false">IF(OR($G187="",$H187=""),"",ROUND($G187*$H187,0))</f>
        <v/>
      </c>
      <c r="J187" s="12"/>
      <c r="K187" s="11"/>
      <c r="L187" s="18" t="str">
        <f aca="false">IF($A187="","",COUNTIFS($A$3:$A187,$A187))</f>
        <v/>
      </c>
      <c r="M187" s="18" t="str">
        <f aca="false">IF($A187="","",$A187&amp;"|"&amp;$L187)</f>
        <v/>
      </c>
      <c r="N187" s="18" t="str">
        <f aca="false">IF(OR($A187="",UPPER($J187)&lt;&gt;"Y"),"",$A187&amp;"#"&amp;COUNTIFS($A$3:$A187,$A187,$J$3:$J187,"Y"))</f>
        <v/>
      </c>
    </row>
    <row r="188" customFormat="false" ht="15" hidden="false" customHeight="true" outlineLevel="0" collapsed="false">
      <c r="A188" s="11"/>
      <c r="B188" s="17"/>
      <c r="C188" s="12"/>
      <c r="D188" s="12"/>
      <c r="E188" s="18" t="str">
        <f aca="false">IF($D188="","",IFERROR(INDEX(품목마스터!$B$3:$B$102,MATCH($D188,품목마스터!$A$3:$A$102,0)),""))</f>
        <v/>
      </c>
      <c r="F188" s="18" t="str">
        <f aca="false">IF($D188="","",IFERROR(INDEX(품목마스터!$C$3:$C$102,MATCH($D188,품목마스터!$A$3:$A$102,0)),""))</f>
        <v/>
      </c>
      <c r="G188" s="13" t="str">
        <f aca="false">IF($D188="","",IFERROR(INDEX(품목마스터!$D$3:$D$102,MATCH($D188,품목마스터!$A$3:$A$102,0)),0))</f>
        <v/>
      </c>
      <c r="H188" s="11"/>
      <c r="I188" s="19" t="str">
        <f aca="false">IF(OR($G188="",$H188=""),"",ROUND($G188*$H188,0))</f>
        <v/>
      </c>
      <c r="J188" s="12"/>
      <c r="K188" s="11"/>
      <c r="L188" s="18" t="str">
        <f aca="false">IF($A188="","",COUNTIFS($A$3:$A188,$A188))</f>
        <v/>
      </c>
      <c r="M188" s="18" t="str">
        <f aca="false">IF($A188="","",$A188&amp;"|"&amp;$L188)</f>
        <v/>
      </c>
      <c r="N188" s="18" t="str">
        <f aca="false">IF(OR($A188="",UPPER($J188)&lt;&gt;"Y"),"",$A188&amp;"#"&amp;COUNTIFS($A$3:$A188,$A188,$J$3:$J188,"Y"))</f>
        <v/>
      </c>
    </row>
    <row r="189" customFormat="false" ht="15" hidden="false" customHeight="true" outlineLevel="0" collapsed="false">
      <c r="A189" s="11"/>
      <c r="B189" s="17"/>
      <c r="C189" s="12"/>
      <c r="D189" s="12"/>
      <c r="E189" s="18" t="str">
        <f aca="false">IF($D189="","",IFERROR(INDEX(품목마스터!$B$3:$B$102,MATCH($D189,품목마스터!$A$3:$A$102,0)),""))</f>
        <v/>
      </c>
      <c r="F189" s="18" t="str">
        <f aca="false">IF($D189="","",IFERROR(INDEX(품목마스터!$C$3:$C$102,MATCH($D189,품목마스터!$A$3:$A$102,0)),""))</f>
        <v/>
      </c>
      <c r="G189" s="13" t="str">
        <f aca="false">IF($D189="","",IFERROR(INDEX(품목마스터!$D$3:$D$102,MATCH($D189,품목마스터!$A$3:$A$102,0)),0))</f>
        <v/>
      </c>
      <c r="H189" s="11"/>
      <c r="I189" s="19" t="str">
        <f aca="false">IF(OR($G189="",$H189=""),"",ROUND($G189*$H189,0))</f>
        <v/>
      </c>
      <c r="J189" s="12"/>
      <c r="K189" s="11"/>
      <c r="L189" s="18" t="str">
        <f aca="false">IF($A189="","",COUNTIFS($A$3:$A189,$A189))</f>
        <v/>
      </c>
      <c r="M189" s="18" t="str">
        <f aca="false">IF($A189="","",$A189&amp;"|"&amp;$L189)</f>
        <v/>
      </c>
      <c r="N189" s="18" t="str">
        <f aca="false">IF(OR($A189="",UPPER($J189)&lt;&gt;"Y"),"",$A189&amp;"#"&amp;COUNTIFS($A$3:$A189,$A189,$J$3:$J189,"Y"))</f>
        <v/>
      </c>
    </row>
    <row r="190" customFormat="false" ht="15" hidden="false" customHeight="true" outlineLevel="0" collapsed="false">
      <c r="A190" s="11"/>
      <c r="B190" s="17"/>
      <c r="C190" s="12"/>
      <c r="D190" s="12"/>
      <c r="E190" s="18" t="str">
        <f aca="false">IF($D190="","",IFERROR(INDEX(품목마스터!$B$3:$B$102,MATCH($D190,품목마스터!$A$3:$A$102,0)),""))</f>
        <v/>
      </c>
      <c r="F190" s="18" t="str">
        <f aca="false">IF($D190="","",IFERROR(INDEX(품목마스터!$C$3:$C$102,MATCH($D190,품목마스터!$A$3:$A$102,0)),""))</f>
        <v/>
      </c>
      <c r="G190" s="13" t="str">
        <f aca="false">IF($D190="","",IFERROR(INDEX(품목마스터!$D$3:$D$102,MATCH($D190,품목마스터!$A$3:$A$102,0)),0))</f>
        <v/>
      </c>
      <c r="H190" s="11"/>
      <c r="I190" s="19" t="str">
        <f aca="false">IF(OR($G190="",$H190=""),"",ROUND($G190*$H190,0))</f>
        <v/>
      </c>
      <c r="J190" s="12"/>
      <c r="K190" s="11"/>
      <c r="L190" s="18" t="str">
        <f aca="false">IF($A190="","",COUNTIFS($A$3:$A190,$A190))</f>
        <v/>
      </c>
      <c r="M190" s="18" t="str">
        <f aca="false">IF($A190="","",$A190&amp;"|"&amp;$L190)</f>
        <v/>
      </c>
      <c r="N190" s="18" t="str">
        <f aca="false">IF(OR($A190="",UPPER($J190)&lt;&gt;"Y"),"",$A190&amp;"#"&amp;COUNTIFS($A$3:$A190,$A190,$J$3:$J190,"Y"))</f>
        <v/>
      </c>
    </row>
    <row r="191" customFormat="false" ht="15" hidden="false" customHeight="true" outlineLevel="0" collapsed="false">
      <c r="A191" s="11"/>
      <c r="B191" s="17"/>
      <c r="C191" s="12"/>
      <c r="D191" s="12"/>
      <c r="E191" s="18" t="str">
        <f aca="false">IF($D191="","",IFERROR(INDEX(품목마스터!$B$3:$B$102,MATCH($D191,품목마스터!$A$3:$A$102,0)),""))</f>
        <v/>
      </c>
      <c r="F191" s="18" t="str">
        <f aca="false">IF($D191="","",IFERROR(INDEX(품목마스터!$C$3:$C$102,MATCH($D191,품목마스터!$A$3:$A$102,0)),""))</f>
        <v/>
      </c>
      <c r="G191" s="13" t="str">
        <f aca="false">IF($D191="","",IFERROR(INDEX(품목마스터!$D$3:$D$102,MATCH($D191,품목마스터!$A$3:$A$102,0)),0))</f>
        <v/>
      </c>
      <c r="H191" s="11"/>
      <c r="I191" s="19" t="str">
        <f aca="false">IF(OR($G191="",$H191=""),"",ROUND($G191*$H191,0))</f>
        <v/>
      </c>
      <c r="J191" s="12"/>
      <c r="K191" s="11"/>
      <c r="L191" s="18" t="str">
        <f aca="false">IF($A191="","",COUNTIFS($A$3:$A191,$A191))</f>
        <v/>
      </c>
      <c r="M191" s="18" t="str">
        <f aca="false">IF($A191="","",$A191&amp;"|"&amp;$L191)</f>
        <v/>
      </c>
      <c r="N191" s="18" t="str">
        <f aca="false">IF(OR($A191="",UPPER($J191)&lt;&gt;"Y"),"",$A191&amp;"#"&amp;COUNTIFS($A$3:$A191,$A191,$J$3:$J191,"Y"))</f>
        <v/>
      </c>
    </row>
    <row r="192" customFormat="false" ht="15" hidden="false" customHeight="true" outlineLevel="0" collapsed="false">
      <c r="A192" s="11"/>
      <c r="B192" s="17"/>
      <c r="C192" s="12"/>
      <c r="D192" s="12"/>
      <c r="E192" s="18" t="str">
        <f aca="false">IF($D192="","",IFERROR(INDEX(품목마스터!$B$3:$B$102,MATCH($D192,품목마스터!$A$3:$A$102,0)),""))</f>
        <v/>
      </c>
      <c r="F192" s="18" t="str">
        <f aca="false">IF($D192="","",IFERROR(INDEX(품목마스터!$C$3:$C$102,MATCH($D192,품목마스터!$A$3:$A$102,0)),""))</f>
        <v/>
      </c>
      <c r="G192" s="13" t="str">
        <f aca="false">IF($D192="","",IFERROR(INDEX(품목마스터!$D$3:$D$102,MATCH($D192,품목마스터!$A$3:$A$102,0)),0))</f>
        <v/>
      </c>
      <c r="H192" s="11"/>
      <c r="I192" s="19" t="str">
        <f aca="false">IF(OR($G192="",$H192=""),"",ROUND($G192*$H192,0))</f>
        <v/>
      </c>
      <c r="J192" s="12"/>
      <c r="K192" s="11"/>
      <c r="L192" s="18" t="str">
        <f aca="false">IF($A192="","",COUNTIFS($A$3:$A192,$A192))</f>
        <v/>
      </c>
      <c r="M192" s="18" t="str">
        <f aca="false">IF($A192="","",$A192&amp;"|"&amp;$L192)</f>
        <v/>
      </c>
      <c r="N192" s="18" t="str">
        <f aca="false">IF(OR($A192="",UPPER($J192)&lt;&gt;"Y"),"",$A192&amp;"#"&amp;COUNTIFS($A$3:$A192,$A192,$J$3:$J192,"Y"))</f>
        <v/>
      </c>
    </row>
    <row r="193" customFormat="false" ht="15" hidden="false" customHeight="true" outlineLevel="0" collapsed="false">
      <c r="A193" s="11"/>
      <c r="B193" s="17"/>
      <c r="C193" s="12"/>
      <c r="D193" s="12"/>
      <c r="E193" s="18" t="str">
        <f aca="false">IF($D193="","",IFERROR(INDEX(품목마스터!$B$3:$B$102,MATCH($D193,품목마스터!$A$3:$A$102,0)),""))</f>
        <v/>
      </c>
      <c r="F193" s="18" t="str">
        <f aca="false">IF($D193="","",IFERROR(INDEX(품목마스터!$C$3:$C$102,MATCH($D193,품목마스터!$A$3:$A$102,0)),""))</f>
        <v/>
      </c>
      <c r="G193" s="13" t="str">
        <f aca="false">IF($D193="","",IFERROR(INDEX(품목마스터!$D$3:$D$102,MATCH($D193,품목마스터!$A$3:$A$102,0)),0))</f>
        <v/>
      </c>
      <c r="H193" s="11"/>
      <c r="I193" s="19" t="str">
        <f aca="false">IF(OR($G193="",$H193=""),"",ROUND($G193*$H193,0))</f>
        <v/>
      </c>
      <c r="J193" s="12"/>
      <c r="K193" s="11"/>
      <c r="L193" s="18" t="str">
        <f aca="false">IF($A193="","",COUNTIFS($A$3:$A193,$A193))</f>
        <v/>
      </c>
      <c r="M193" s="18" t="str">
        <f aca="false">IF($A193="","",$A193&amp;"|"&amp;$L193)</f>
        <v/>
      </c>
      <c r="N193" s="18" t="str">
        <f aca="false">IF(OR($A193="",UPPER($J193)&lt;&gt;"Y"),"",$A193&amp;"#"&amp;COUNTIFS($A$3:$A193,$A193,$J$3:$J193,"Y"))</f>
        <v/>
      </c>
    </row>
    <row r="194" customFormat="false" ht="15" hidden="false" customHeight="true" outlineLevel="0" collapsed="false">
      <c r="A194" s="11"/>
      <c r="B194" s="17"/>
      <c r="C194" s="12"/>
      <c r="D194" s="12"/>
      <c r="E194" s="18" t="str">
        <f aca="false">IF($D194="","",IFERROR(INDEX(품목마스터!$B$3:$B$102,MATCH($D194,품목마스터!$A$3:$A$102,0)),""))</f>
        <v/>
      </c>
      <c r="F194" s="18" t="str">
        <f aca="false">IF($D194="","",IFERROR(INDEX(품목마스터!$C$3:$C$102,MATCH($D194,품목마스터!$A$3:$A$102,0)),""))</f>
        <v/>
      </c>
      <c r="G194" s="13" t="str">
        <f aca="false">IF($D194="","",IFERROR(INDEX(품목마스터!$D$3:$D$102,MATCH($D194,품목마스터!$A$3:$A$102,0)),0))</f>
        <v/>
      </c>
      <c r="H194" s="11"/>
      <c r="I194" s="19" t="str">
        <f aca="false">IF(OR($G194="",$H194=""),"",ROUND($G194*$H194,0))</f>
        <v/>
      </c>
      <c r="J194" s="12"/>
      <c r="K194" s="11"/>
      <c r="L194" s="18" t="str">
        <f aca="false">IF($A194="","",COUNTIFS($A$3:$A194,$A194))</f>
        <v/>
      </c>
      <c r="M194" s="18" t="str">
        <f aca="false">IF($A194="","",$A194&amp;"|"&amp;$L194)</f>
        <v/>
      </c>
      <c r="N194" s="18" t="str">
        <f aca="false">IF(OR($A194="",UPPER($J194)&lt;&gt;"Y"),"",$A194&amp;"#"&amp;COUNTIFS($A$3:$A194,$A194,$J$3:$J194,"Y"))</f>
        <v/>
      </c>
    </row>
    <row r="195" customFormat="false" ht="15" hidden="false" customHeight="true" outlineLevel="0" collapsed="false">
      <c r="A195" s="11"/>
      <c r="B195" s="17"/>
      <c r="C195" s="12"/>
      <c r="D195" s="12"/>
      <c r="E195" s="18" t="str">
        <f aca="false">IF($D195="","",IFERROR(INDEX(품목마스터!$B$3:$B$102,MATCH($D195,품목마스터!$A$3:$A$102,0)),""))</f>
        <v/>
      </c>
      <c r="F195" s="18" t="str">
        <f aca="false">IF($D195="","",IFERROR(INDEX(품목마스터!$C$3:$C$102,MATCH($D195,품목마스터!$A$3:$A$102,0)),""))</f>
        <v/>
      </c>
      <c r="G195" s="13" t="str">
        <f aca="false">IF($D195="","",IFERROR(INDEX(품목마스터!$D$3:$D$102,MATCH($D195,품목마스터!$A$3:$A$102,0)),0))</f>
        <v/>
      </c>
      <c r="H195" s="11"/>
      <c r="I195" s="19" t="str">
        <f aca="false">IF(OR($G195="",$H195=""),"",ROUND($G195*$H195,0))</f>
        <v/>
      </c>
      <c r="J195" s="12"/>
      <c r="K195" s="11"/>
      <c r="L195" s="18" t="str">
        <f aca="false">IF($A195="","",COUNTIFS($A$3:$A195,$A195))</f>
        <v/>
      </c>
      <c r="M195" s="18" t="str">
        <f aca="false">IF($A195="","",$A195&amp;"|"&amp;$L195)</f>
        <v/>
      </c>
      <c r="N195" s="18" t="str">
        <f aca="false">IF(OR($A195="",UPPER($J195)&lt;&gt;"Y"),"",$A195&amp;"#"&amp;COUNTIFS($A$3:$A195,$A195,$J$3:$J195,"Y"))</f>
        <v/>
      </c>
    </row>
    <row r="196" customFormat="false" ht="15" hidden="false" customHeight="true" outlineLevel="0" collapsed="false">
      <c r="A196" s="11"/>
      <c r="B196" s="17"/>
      <c r="C196" s="12"/>
      <c r="D196" s="12"/>
      <c r="E196" s="18" t="str">
        <f aca="false">IF($D196="","",IFERROR(INDEX(품목마스터!$B$3:$B$102,MATCH($D196,품목마스터!$A$3:$A$102,0)),""))</f>
        <v/>
      </c>
      <c r="F196" s="18" t="str">
        <f aca="false">IF($D196="","",IFERROR(INDEX(품목마스터!$C$3:$C$102,MATCH($D196,품목마스터!$A$3:$A$102,0)),""))</f>
        <v/>
      </c>
      <c r="G196" s="13" t="str">
        <f aca="false">IF($D196="","",IFERROR(INDEX(품목마스터!$D$3:$D$102,MATCH($D196,품목마스터!$A$3:$A$102,0)),0))</f>
        <v/>
      </c>
      <c r="H196" s="11"/>
      <c r="I196" s="19" t="str">
        <f aca="false">IF(OR($G196="",$H196=""),"",ROUND($G196*$H196,0))</f>
        <v/>
      </c>
      <c r="J196" s="12"/>
      <c r="K196" s="11"/>
      <c r="L196" s="18" t="str">
        <f aca="false">IF($A196="","",COUNTIFS($A$3:$A196,$A196))</f>
        <v/>
      </c>
      <c r="M196" s="18" t="str">
        <f aca="false">IF($A196="","",$A196&amp;"|"&amp;$L196)</f>
        <v/>
      </c>
      <c r="N196" s="18" t="str">
        <f aca="false">IF(OR($A196="",UPPER($J196)&lt;&gt;"Y"),"",$A196&amp;"#"&amp;COUNTIFS($A$3:$A196,$A196,$J$3:$J196,"Y"))</f>
        <v/>
      </c>
    </row>
    <row r="197" customFormat="false" ht="15" hidden="false" customHeight="true" outlineLevel="0" collapsed="false">
      <c r="A197" s="11"/>
      <c r="B197" s="17"/>
      <c r="C197" s="12"/>
      <c r="D197" s="12"/>
      <c r="E197" s="18" t="str">
        <f aca="false">IF($D197="","",IFERROR(INDEX(품목마스터!$B$3:$B$102,MATCH($D197,품목마스터!$A$3:$A$102,0)),""))</f>
        <v/>
      </c>
      <c r="F197" s="18" t="str">
        <f aca="false">IF($D197="","",IFERROR(INDEX(품목마스터!$C$3:$C$102,MATCH($D197,품목마스터!$A$3:$A$102,0)),""))</f>
        <v/>
      </c>
      <c r="G197" s="13" t="str">
        <f aca="false">IF($D197="","",IFERROR(INDEX(품목마스터!$D$3:$D$102,MATCH($D197,품목마스터!$A$3:$A$102,0)),0))</f>
        <v/>
      </c>
      <c r="H197" s="11"/>
      <c r="I197" s="19" t="str">
        <f aca="false">IF(OR($G197="",$H197=""),"",ROUND($G197*$H197,0))</f>
        <v/>
      </c>
      <c r="J197" s="12"/>
      <c r="K197" s="11"/>
      <c r="L197" s="18" t="str">
        <f aca="false">IF($A197="","",COUNTIFS($A$3:$A197,$A197))</f>
        <v/>
      </c>
      <c r="M197" s="18" t="str">
        <f aca="false">IF($A197="","",$A197&amp;"|"&amp;$L197)</f>
        <v/>
      </c>
      <c r="N197" s="18" t="str">
        <f aca="false">IF(OR($A197="",UPPER($J197)&lt;&gt;"Y"),"",$A197&amp;"#"&amp;COUNTIFS($A$3:$A197,$A197,$J$3:$J197,"Y"))</f>
        <v/>
      </c>
    </row>
    <row r="198" customFormat="false" ht="15" hidden="false" customHeight="true" outlineLevel="0" collapsed="false">
      <c r="A198" s="11"/>
      <c r="B198" s="17"/>
      <c r="C198" s="12"/>
      <c r="D198" s="12"/>
      <c r="E198" s="18" t="str">
        <f aca="false">IF($D198="","",IFERROR(INDEX(품목마스터!$B$3:$B$102,MATCH($D198,품목마스터!$A$3:$A$102,0)),""))</f>
        <v/>
      </c>
      <c r="F198" s="18" t="str">
        <f aca="false">IF($D198="","",IFERROR(INDEX(품목마스터!$C$3:$C$102,MATCH($D198,품목마스터!$A$3:$A$102,0)),""))</f>
        <v/>
      </c>
      <c r="G198" s="13" t="str">
        <f aca="false">IF($D198="","",IFERROR(INDEX(품목마스터!$D$3:$D$102,MATCH($D198,품목마스터!$A$3:$A$102,0)),0))</f>
        <v/>
      </c>
      <c r="H198" s="11"/>
      <c r="I198" s="19" t="str">
        <f aca="false">IF(OR($G198="",$H198=""),"",ROUND($G198*$H198,0))</f>
        <v/>
      </c>
      <c r="J198" s="12"/>
      <c r="K198" s="11"/>
      <c r="L198" s="18" t="str">
        <f aca="false">IF($A198="","",COUNTIFS($A$3:$A198,$A198))</f>
        <v/>
      </c>
      <c r="M198" s="18" t="str">
        <f aca="false">IF($A198="","",$A198&amp;"|"&amp;$L198)</f>
        <v/>
      </c>
      <c r="N198" s="18" t="str">
        <f aca="false">IF(OR($A198="",UPPER($J198)&lt;&gt;"Y"),"",$A198&amp;"#"&amp;COUNTIFS($A$3:$A198,$A198,$J$3:$J198,"Y"))</f>
        <v/>
      </c>
    </row>
    <row r="199" customFormat="false" ht="15" hidden="false" customHeight="true" outlineLevel="0" collapsed="false">
      <c r="A199" s="11"/>
      <c r="B199" s="17"/>
      <c r="C199" s="12"/>
      <c r="D199" s="12"/>
      <c r="E199" s="18" t="str">
        <f aca="false">IF($D199="","",IFERROR(INDEX(품목마스터!$B$3:$B$102,MATCH($D199,품목마스터!$A$3:$A$102,0)),""))</f>
        <v/>
      </c>
      <c r="F199" s="18" t="str">
        <f aca="false">IF($D199="","",IFERROR(INDEX(품목마스터!$C$3:$C$102,MATCH($D199,품목마스터!$A$3:$A$102,0)),""))</f>
        <v/>
      </c>
      <c r="G199" s="13" t="str">
        <f aca="false">IF($D199="","",IFERROR(INDEX(품목마스터!$D$3:$D$102,MATCH($D199,품목마스터!$A$3:$A$102,0)),0))</f>
        <v/>
      </c>
      <c r="H199" s="11"/>
      <c r="I199" s="19" t="str">
        <f aca="false">IF(OR($G199="",$H199=""),"",ROUND($G199*$H199,0))</f>
        <v/>
      </c>
      <c r="J199" s="12"/>
      <c r="K199" s="11"/>
      <c r="L199" s="18" t="str">
        <f aca="false">IF($A199="","",COUNTIFS($A$3:$A199,$A199))</f>
        <v/>
      </c>
      <c r="M199" s="18" t="str">
        <f aca="false">IF($A199="","",$A199&amp;"|"&amp;$L199)</f>
        <v/>
      </c>
      <c r="N199" s="18" t="str">
        <f aca="false">IF(OR($A199="",UPPER($J199)&lt;&gt;"Y"),"",$A199&amp;"#"&amp;COUNTIFS($A$3:$A199,$A199,$J$3:$J199,"Y"))</f>
        <v/>
      </c>
    </row>
    <row r="200" customFormat="false" ht="15" hidden="false" customHeight="true" outlineLevel="0" collapsed="false">
      <c r="A200" s="11"/>
      <c r="B200" s="17"/>
      <c r="C200" s="12"/>
      <c r="D200" s="12"/>
      <c r="E200" s="18" t="str">
        <f aca="false">IF($D200="","",IFERROR(INDEX(품목마스터!$B$3:$B$102,MATCH($D200,품목마스터!$A$3:$A$102,0)),""))</f>
        <v/>
      </c>
      <c r="F200" s="18" t="str">
        <f aca="false">IF($D200="","",IFERROR(INDEX(품목마스터!$C$3:$C$102,MATCH($D200,품목마스터!$A$3:$A$102,0)),""))</f>
        <v/>
      </c>
      <c r="G200" s="13" t="str">
        <f aca="false">IF($D200="","",IFERROR(INDEX(품목마스터!$D$3:$D$102,MATCH($D200,품목마스터!$A$3:$A$102,0)),0))</f>
        <v/>
      </c>
      <c r="H200" s="11"/>
      <c r="I200" s="19" t="str">
        <f aca="false">IF(OR($G200="",$H200=""),"",ROUND($G200*$H200,0))</f>
        <v/>
      </c>
      <c r="J200" s="12"/>
      <c r="K200" s="11"/>
      <c r="L200" s="18" t="str">
        <f aca="false">IF($A200="","",COUNTIFS($A$3:$A200,$A200))</f>
        <v/>
      </c>
      <c r="M200" s="18" t="str">
        <f aca="false">IF($A200="","",$A200&amp;"|"&amp;$L200)</f>
        <v/>
      </c>
      <c r="N200" s="18" t="str">
        <f aca="false">IF(OR($A200="",UPPER($J200)&lt;&gt;"Y"),"",$A200&amp;"#"&amp;COUNTIFS($A$3:$A200,$A200,$J$3:$J200,"Y"))</f>
        <v/>
      </c>
    </row>
    <row r="201" customFormat="false" ht="15" hidden="false" customHeight="true" outlineLevel="0" collapsed="false">
      <c r="A201" s="11"/>
      <c r="B201" s="17"/>
      <c r="C201" s="12"/>
      <c r="D201" s="12"/>
      <c r="E201" s="18" t="str">
        <f aca="false">IF($D201="","",IFERROR(INDEX(품목마스터!$B$3:$B$102,MATCH($D201,품목마스터!$A$3:$A$102,0)),""))</f>
        <v/>
      </c>
      <c r="F201" s="18" t="str">
        <f aca="false">IF($D201="","",IFERROR(INDEX(품목마스터!$C$3:$C$102,MATCH($D201,품목마스터!$A$3:$A$102,0)),""))</f>
        <v/>
      </c>
      <c r="G201" s="13" t="str">
        <f aca="false">IF($D201="","",IFERROR(INDEX(품목마스터!$D$3:$D$102,MATCH($D201,품목마스터!$A$3:$A$102,0)),0))</f>
        <v/>
      </c>
      <c r="H201" s="11"/>
      <c r="I201" s="19" t="str">
        <f aca="false">IF(OR($G201="",$H201=""),"",ROUND($G201*$H201,0))</f>
        <v/>
      </c>
      <c r="J201" s="12"/>
      <c r="K201" s="11"/>
      <c r="L201" s="18" t="str">
        <f aca="false">IF($A201="","",COUNTIFS($A$3:$A201,$A201))</f>
        <v/>
      </c>
      <c r="M201" s="18" t="str">
        <f aca="false">IF($A201="","",$A201&amp;"|"&amp;$L201)</f>
        <v/>
      </c>
      <c r="N201" s="18" t="str">
        <f aca="false">IF(OR($A201="",UPPER($J201)&lt;&gt;"Y"),"",$A201&amp;"#"&amp;COUNTIFS($A$3:$A201,$A201,$J$3:$J201,"Y"))</f>
        <v/>
      </c>
    </row>
    <row r="202" customFormat="false" ht="15" hidden="false" customHeight="true" outlineLevel="0" collapsed="false">
      <c r="A202" s="11"/>
      <c r="B202" s="17"/>
      <c r="C202" s="12"/>
      <c r="D202" s="12"/>
      <c r="E202" s="18" t="str">
        <f aca="false">IF($D202="","",IFERROR(INDEX(품목마스터!$B$3:$B$102,MATCH($D202,품목마스터!$A$3:$A$102,0)),""))</f>
        <v/>
      </c>
      <c r="F202" s="18" t="str">
        <f aca="false">IF($D202="","",IFERROR(INDEX(품목마스터!$C$3:$C$102,MATCH($D202,품목마스터!$A$3:$A$102,0)),""))</f>
        <v/>
      </c>
      <c r="G202" s="13" t="str">
        <f aca="false">IF($D202="","",IFERROR(INDEX(품목마스터!$D$3:$D$102,MATCH($D202,품목마스터!$A$3:$A$102,0)),0))</f>
        <v/>
      </c>
      <c r="H202" s="11"/>
      <c r="I202" s="19" t="str">
        <f aca="false">IF(OR($G202="",$H202=""),"",ROUND($G202*$H202,0))</f>
        <v/>
      </c>
      <c r="J202" s="12"/>
      <c r="K202" s="11"/>
      <c r="L202" s="18" t="str">
        <f aca="false">IF($A202="","",COUNTIFS($A$3:$A202,$A202))</f>
        <v/>
      </c>
      <c r="M202" s="18" t="str">
        <f aca="false">IF($A202="","",$A202&amp;"|"&amp;$L202)</f>
        <v/>
      </c>
      <c r="N202" s="18" t="str">
        <f aca="false">IF(OR($A202="",UPPER($J202)&lt;&gt;"Y"),"",$A202&amp;"#"&amp;COUNTIFS($A$3:$A202,$A202,$J$3:$J202,"Y"))</f>
        <v/>
      </c>
    </row>
    <row r="203" customFormat="false" ht="15" hidden="false" customHeight="true" outlineLevel="0" collapsed="false">
      <c r="A203" s="11"/>
      <c r="B203" s="17"/>
      <c r="C203" s="12"/>
      <c r="D203" s="12"/>
      <c r="E203" s="18" t="str">
        <f aca="false">IF($D203="","",IFERROR(INDEX(품목마스터!$B$3:$B$102,MATCH($D203,품목마스터!$A$3:$A$102,0)),""))</f>
        <v/>
      </c>
      <c r="F203" s="18" t="str">
        <f aca="false">IF($D203="","",IFERROR(INDEX(품목마스터!$C$3:$C$102,MATCH($D203,품목마스터!$A$3:$A$102,0)),""))</f>
        <v/>
      </c>
      <c r="G203" s="13" t="str">
        <f aca="false">IF($D203="","",IFERROR(INDEX(품목마스터!$D$3:$D$102,MATCH($D203,품목마스터!$A$3:$A$102,0)),0))</f>
        <v/>
      </c>
      <c r="H203" s="11"/>
      <c r="I203" s="19" t="str">
        <f aca="false">IF(OR($G203="",$H203=""),"",ROUND($G203*$H203,0))</f>
        <v/>
      </c>
      <c r="J203" s="12"/>
      <c r="K203" s="11"/>
      <c r="L203" s="18" t="str">
        <f aca="false">IF($A203="","",COUNTIFS($A$3:$A203,$A203))</f>
        <v/>
      </c>
      <c r="M203" s="18" t="str">
        <f aca="false">IF($A203="","",$A203&amp;"|"&amp;$L203)</f>
        <v/>
      </c>
      <c r="N203" s="18" t="str">
        <f aca="false">IF(OR($A203="",UPPER($J203)&lt;&gt;"Y"),"",$A203&amp;"#"&amp;COUNTIFS($A$3:$A203,$A203,$J$3:$J203,"Y"))</f>
        <v/>
      </c>
    </row>
    <row r="204" customFormat="false" ht="15" hidden="false" customHeight="true" outlineLevel="0" collapsed="false">
      <c r="A204" s="11"/>
      <c r="B204" s="17"/>
      <c r="C204" s="12"/>
      <c r="D204" s="12"/>
      <c r="E204" s="18" t="str">
        <f aca="false">IF($D204="","",IFERROR(INDEX(품목마스터!$B$3:$B$102,MATCH($D204,품목마스터!$A$3:$A$102,0)),""))</f>
        <v/>
      </c>
      <c r="F204" s="18" t="str">
        <f aca="false">IF($D204="","",IFERROR(INDEX(품목마스터!$C$3:$C$102,MATCH($D204,품목마스터!$A$3:$A$102,0)),""))</f>
        <v/>
      </c>
      <c r="G204" s="13" t="str">
        <f aca="false">IF($D204="","",IFERROR(INDEX(품목마스터!$D$3:$D$102,MATCH($D204,품목마스터!$A$3:$A$102,0)),0))</f>
        <v/>
      </c>
      <c r="H204" s="11"/>
      <c r="I204" s="19" t="str">
        <f aca="false">IF(OR($G204="",$H204=""),"",ROUND($G204*$H204,0))</f>
        <v/>
      </c>
      <c r="J204" s="12"/>
      <c r="K204" s="11"/>
      <c r="L204" s="18" t="str">
        <f aca="false">IF($A204="","",COUNTIFS($A$3:$A204,$A204))</f>
        <v/>
      </c>
      <c r="M204" s="18" t="str">
        <f aca="false">IF($A204="","",$A204&amp;"|"&amp;$L204)</f>
        <v/>
      </c>
      <c r="N204" s="18" t="str">
        <f aca="false">IF(OR($A204="",UPPER($J204)&lt;&gt;"Y"),"",$A204&amp;"#"&amp;COUNTIFS($A$3:$A204,$A204,$J$3:$J204,"Y"))</f>
        <v/>
      </c>
    </row>
    <row r="205" customFormat="false" ht="15" hidden="false" customHeight="true" outlineLevel="0" collapsed="false">
      <c r="A205" s="11"/>
      <c r="B205" s="17"/>
      <c r="C205" s="12"/>
      <c r="D205" s="12"/>
      <c r="E205" s="18" t="str">
        <f aca="false">IF($D205="","",IFERROR(INDEX(품목마스터!$B$3:$B$102,MATCH($D205,품목마스터!$A$3:$A$102,0)),""))</f>
        <v/>
      </c>
      <c r="F205" s="18" t="str">
        <f aca="false">IF($D205="","",IFERROR(INDEX(품목마스터!$C$3:$C$102,MATCH($D205,품목마스터!$A$3:$A$102,0)),""))</f>
        <v/>
      </c>
      <c r="G205" s="13" t="str">
        <f aca="false">IF($D205="","",IFERROR(INDEX(품목마스터!$D$3:$D$102,MATCH($D205,품목마스터!$A$3:$A$102,0)),0))</f>
        <v/>
      </c>
      <c r="H205" s="11"/>
      <c r="I205" s="19" t="str">
        <f aca="false">IF(OR($G205="",$H205=""),"",ROUND($G205*$H205,0))</f>
        <v/>
      </c>
      <c r="J205" s="12"/>
      <c r="K205" s="11"/>
      <c r="L205" s="18" t="str">
        <f aca="false">IF($A205="","",COUNTIFS($A$3:$A205,$A205))</f>
        <v/>
      </c>
      <c r="M205" s="18" t="str">
        <f aca="false">IF($A205="","",$A205&amp;"|"&amp;$L205)</f>
        <v/>
      </c>
      <c r="N205" s="18" t="str">
        <f aca="false">IF(OR($A205="",UPPER($J205)&lt;&gt;"Y"),"",$A205&amp;"#"&amp;COUNTIFS($A$3:$A205,$A205,$J$3:$J205,"Y"))</f>
        <v/>
      </c>
    </row>
    <row r="206" customFormat="false" ht="15" hidden="false" customHeight="true" outlineLevel="0" collapsed="false">
      <c r="A206" s="11"/>
      <c r="B206" s="17"/>
      <c r="C206" s="12"/>
      <c r="D206" s="12"/>
      <c r="E206" s="18" t="str">
        <f aca="false">IF($D206="","",IFERROR(INDEX(품목마스터!$B$3:$B$102,MATCH($D206,품목마스터!$A$3:$A$102,0)),""))</f>
        <v/>
      </c>
      <c r="F206" s="18" t="str">
        <f aca="false">IF($D206="","",IFERROR(INDEX(품목마스터!$C$3:$C$102,MATCH($D206,품목마스터!$A$3:$A$102,0)),""))</f>
        <v/>
      </c>
      <c r="G206" s="13" t="str">
        <f aca="false">IF($D206="","",IFERROR(INDEX(품목마스터!$D$3:$D$102,MATCH($D206,품목마스터!$A$3:$A$102,0)),0))</f>
        <v/>
      </c>
      <c r="H206" s="11"/>
      <c r="I206" s="19" t="str">
        <f aca="false">IF(OR($G206="",$H206=""),"",ROUND($G206*$H206,0))</f>
        <v/>
      </c>
      <c r="J206" s="12"/>
      <c r="K206" s="11"/>
      <c r="L206" s="18" t="str">
        <f aca="false">IF($A206="","",COUNTIFS($A$3:$A206,$A206))</f>
        <v/>
      </c>
      <c r="M206" s="18" t="str">
        <f aca="false">IF($A206="","",$A206&amp;"|"&amp;$L206)</f>
        <v/>
      </c>
      <c r="N206" s="18" t="str">
        <f aca="false">IF(OR($A206="",UPPER($J206)&lt;&gt;"Y"),"",$A206&amp;"#"&amp;COUNTIFS($A$3:$A206,$A206,$J$3:$J206,"Y"))</f>
        <v/>
      </c>
    </row>
    <row r="207" customFormat="false" ht="15" hidden="false" customHeight="true" outlineLevel="0" collapsed="false">
      <c r="A207" s="11"/>
      <c r="B207" s="17"/>
      <c r="C207" s="12"/>
      <c r="D207" s="12"/>
      <c r="E207" s="18" t="str">
        <f aca="false">IF($D207="","",IFERROR(INDEX(품목마스터!$B$3:$B$102,MATCH($D207,품목마스터!$A$3:$A$102,0)),""))</f>
        <v/>
      </c>
      <c r="F207" s="18" t="str">
        <f aca="false">IF($D207="","",IFERROR(INDEX(품목마스터!$C$3:$C$102,MATCH($D207,품목마스터!$A$3:$A$102,0)),""))</f>
        <v/>
      </c>
      <c r="G207" s="13" t="str">
        <f aca="false">IF($D207="","",IFERROR(INDEX(품목마스터!$D$3:$D$102,MATCH($D207,품목마스터!$A$3:$A$102,0)),0))</f>
        <v/>
      </c>
      <c r="H207" s="11"/>
      <c r="I207" s="19" t="str">
        <f aca="false">IF(OR($G207="",$H207=""),"",ROUND($G207*$H207,0))</f>
        <v/>
      </c>
      <c r="J207" s="12"/>
      <c r="K207" s="11"/>
      <c r="L207" s="18" t="str">
        <f aca="false">IF($A207="","",COUNTIFS($A$3:$A207,$A207))</f>
        <v/>
      </c>
      <c r="M207" s="18" t="str">
        <f aca="false">IF($A207="","",$A207&amp;"|"&amp;$L207)</f>
        <v/>
      </c>
      <c r="N207" s="18" t="str">
        <f aca="false">IF(OR($A207="",UPPER($J207)&lt;&gt;"Y"),"",$A207&amp;"#"&amp;COUNTIFS($A$3:$A207,$A207,$J$3:$J207,"Y"))</f>
        <v/>
      </c>
    </row>
    <row r="208" customFormat="false" ht="15" hidden="false" customHeight="true" outlineLevel="0" collapsed="false">
      <c r="A208" s="11"/>
      <c r="B208" s="17"/>
      <c r="C208" s="12"/>
      <c r="D208" s="12"/>
      <c r="E208" s="18" t="str">
        <f aca="false">IF($D208="","",IFERROR(INDEX(품목마스터!$B$3:$B$102,MATCH($D208,품목마스터!$A$3:$A$102,0)),""))</f>
        <v/>
      </c>
      <c r="F208" s="18" t="str">
        <f aca="false">IF($D208="","",IFERROR(INDEX(품목마스터!$C$3:$C$102,MATCH($D208,품목마스터!$A$3:$A$102,0)),""))</f>
        <v/>
      </c>
      <c r="G208" s="13" t="str">
        <f aca="false">IF($D208="","",IFERROR(INDEX(품목마스터!$D$3:$D$102,MATCH($D208,품목마스터!$A$3:$A$102,0)),0))</f>
        <v/>
      </c>
      <c r="H208" s="11"/>
      <c r="I208" s="19" t="str">
        <f aca="false">IF(OR($G208="",$H208=""),"",ROUND($G208*$H208,0))</f>
        <v/>
      </c>
      <c r="J208" s="12"/>
      <c r="K208" s="11"/>
      <c r="L208" s="18" t="str">
        <f aca="false">IF($A208="","",COUNTIFS($A$3:$A208,$A208))</f>
        <v/>
      </c>
      <c r="M208" s="18" t="str">
        <f aca="false">IF($A208="","",$A208&amp;"|"&amp;$L208)</f>
        <v/>
      </c>
      <c r="N208" s="18" t="str">
        <f aca="false">IF(OR($A208="",UPPER($J208)&lt;&gt;"Y"),"",$A208&amp;"#"&amp;COUNTIFS($A$3:$A208,$A208,$J$3:$J208,"Y"))</f>
        <v/>
      </c>
    </row>
    <row r="209" customFormat="false" ht="15" hidden="false" customHeight="true" outlineLevel="0" collapsed="false">
      <c r="A209" s="11"/>
      <c r="B209" s="17"/>
      <c r="C209" s="12"/>
      <c r="D209" s="12"/>
      <c r="E209" s="18" t="str">
        <f aca="false">IF($D209="","",IFERROR(INDEX(품목마스터!$B$3:$B$102,MATCH($D209,품목마스터!$A$3:$A$102,0)),""))</f>
        <v/>
      </c>
      <c r="F209" s="18" t="str">
        <f aca="false">IF($D209="","",IFERROR(INDEX(품목마스터!$C$3:$C$102,MATCH($D209,품목마스터!$A$3:$A$102,0)),""))</f>
        <v/>
      </c>
      <c r="G209" s="13" t="str">
        <f aca="false">IF($D209="","",IFERROR(INDEX(품목마스터!$D$3:$D$102,MATCH($D209,품목마스터!$A$3:$A$102,0)),0))</f>
        <v/>
      </c>
      <c r="H209" s="11"/>
      <c r="I209" s="19" t="str">
        <f aca="false">IF(OR($G209="",$H209=""),"",ROUND($G209*$H209,0))</f>
        <v/>
      </c>
      <c r="J209" s="12"/>
      <c r="K209" s="11"/>
      <c r="L209" s="18" t="str">
        <f aca="false">IF($A209="","",COUNTIFS($A$3:$A209,$A209))</f>
        <v/>
      </c>
      <c r="M209" s="18" t="str">
        <f aca="false">IF($A209="","",$A209&amp;"|"&amp;$L209)</f>
        <v/>
      </c>
      <c r="N209" s="18" t="str">
        <f aca="false">IF(OR($A209="",UPPER($J209)&lt;&gt;"Y"),"",$A209&amp;"#"&amp;COUNTIFS($A$3:$A209,$A209,$J$3:$J209,"Y"))</f>
        <v/>
      </c>
    </row>
    <row r="210" customFormat="false" ht="15" hidden="false" customHeight="true" outlineLevel="0" collapsed="false">
      <c r="A210" s="11"/>
      <c r="B210" s="17"/>
      <c r="C210" s="12"/>
      <c r="D210" s="12"/>
      <c r="E210" s="18" t="str">
        <f aca="false">IF($D210="","",IFERROR(INDEX(품목마스터!$B$3:$B$102,MATCH($D210,품목마스터!$A$3:$A$102,0)),""))</f>
        <v/>
      </c>
      <c r="F210" s="18" t="str">
        <f aca="false">IF($D210="","",IFERROR(INDEX(품목마스터!$C$3:$C$102,MATCH($D210,품목마스터!$A$3:$A$102,0)),""))</f>
        <v/>
      </c>
      <c r="G210" s="13" t="str">
        <f aca="false">IF($D210="","",IFERROR(INDEX(품목마스터!$D$3:$D$102,MATCH($D210,품목마스터!$A$3:$A$102,0)),0))</f>
        <v/>
      </c>
      <c r="H210" s="11"/>
      <c r="I210" s="19" t="str">
        <f aca="false">IF(OR($G210="",$H210=""),"",ROUND($G210*$H210,0))</f>
        <v/>
      </c>
      <c r="J210" s="12"/>
      <c r="K210" s="11"/>
      <c r="L210" s="18" t="str">
        <f aca="false">IF($A210="","",COUNTIFS($A$3:$A210,$A210))</f>
        <v/>
      </c>
      <c r="M210" s="18" t="str">
        <f aca="false">IF($A210="","",$A210&amp;"|"&amp;$L210)</f>
        <v/>
      </c>
      <c r="N210" s="18" t="str">
        <f aca="false">IF(OR($A210="",UPPER($J210)&lt;&gt;"Y"),"",$A210&amp;"#"&amp;COUNTIFS($A$3:$A210,$A210,$J$3:$J210,"Y"))</f>
        <v/>
      </c>
    </row>
    <row r="211" customFormat="false" ht="15" hidden="false" customHeight="true" outlineLevel="0" collapsed="false">
      <c r="A211" s="11"/>
      <c r="B211" s="17"/>
      <c r="C211" s="12"/>
      <c r="D211" s="12"/>
      <c r="E211" s="18" t="str">
        <f aca="false">IF($D211="","",IFERROR(INDEX(품목마스터!$B$3:$B$102,MATCH($D211,품목마스터!$A$3:$A$102,0)),""))</f>
        <v/>
      </c>
      <c r="F211" s="18" t="str">
        <f aca="false">IF($D211="","",IFERROR(INDEX(품목마스터!$C$3:$C$102,MATCH($D211,품목마스터!$A$3:$A$102,0)),""))</f>
        <v/>
      </c>
      <c r="G211" s="13" t="str">
        <f aca="false">IF($D211="","",IFERROR(INDEX(품목마스터!$D$3:$D$102,MATCH($D211,품목마스터!$A$3:$A$102,0)),0))</f>
        <v/>
      </c>
      <c r="H211" s="11"/>
      <c r="I211" s="19" t="str">
        <f aca="false">IF(OR($G211="",$H211=""),"",ROUND($G211*$H211,0))</f>
        <v/>
      </c>
      <c r="J211" s="12"/>
      <c r="K211" s="11"/>
      <c r="L211" s="18" t="str">
        <f aca="false">IF($A211="","",COUNTIFS($A$3:$A211,$A211))</f>
        <v/>
      </c>
      <c r="M211" s="18" t="str">
        <f aca="false">IF($A211="","",$A211&amp;"|"&amp;$L211)</f>
        <v/>
      </c>
      <c r="N211" s="18" t="str">
        <f aca="false">IF(OR($A211="",UPPER($J211)&lt;&gt;"Y"),"",$A211&amp;"#"&amp;COUNTIFS($A$3:$A211,$A211,$J$3:$J211,"Y"))</f>
        <v/>
      </c>
    </row>
    <row r="212" customFormat="false" ht="15" hidden="false" customHeight="true" outlineLevel="0" collapsed="false">
      <c r="A212" s="11"/>
      <c r="B212" s="17"/>
      <c r="C212" s="12"/>
      <c r="D212" s="12"/>
      <c r="E212" s="18" t="str">
        <f aca="false">IF($D212="","",IFERROR(INDEX(품목마스터!$B$3:$B$102,MATCH($D212,품목마스터!$A$3:$A$102,0)),""))</f>
        <v/>
      </c>
      <c r="F212" s="18" t="str">
        <f aca="false">IF($D212="","",IFERROR(INDEX(품목마스터!$C$3:$C$102,MATCH($D212,품목마스터!$A$3:$A$102,0)),""))</f>
        <v/>
      </c>
      <c r="G212" s="13" t="str">
        <f aca="false">IF($D212="","",IFERROR(INDEX(품목마스터!$D$3:$D$102,MATCH($D212,품목마스터!$A$3:$A$102,0)),0))</f>
        <v/>
      </c>
      <c r="H212" s="11"/>
      <c r="I212" s="19" t="str">
        <f aca="false">IF(OR($G212="",$H212=""),"",ROUND($G212*$H212,0))</f>
        <v/>
      </c>
      <c r="J212" s="12"/>
      <c r="K212" s="11"/>
      <c r="L212" s="18" t="str">
        <f aca="false">IF($A212="","",COUNTIFS($A$3:$A212,$A212))</f>
        <v/>
      </c>
      <c r="M212" s="18" t="str">
        <f aca="false">IF($A212="","",$A212&amp;"|"&amp;$L212)</f>
        <v/>
      </c>
      <c r="N212" s="18" t="str">
        <f aca="false">IF(OR($A212="",UPPER($J212)&lt;&gt;"Y"),"",$A212&amp;"#"&amp;COUNTIFS($A$3:$A212,$A212,$J$3:$J212,"Y"))</f>
        <v/>
      </c>
    </row>
    <row r="213" customFormat="false" ht="15" hidden="false" customHeight="true" outlineLevel="0" collapsed="false">
      <c r="A213" s="11"/>
      <c r="B213" s="17"/>
      <c r="C213" s="12"/>
      <c r="D213" s="12"/>
      <c r="E213" s="18" t="str">
        <f aca="false">IF($D213="","",IFERROR(INDEX(품목마스터!$B$3:$B$102,MATCH($D213,품목마스터!$A$3:$A$102,0)),""))</f>
        <v/>
      </c>
      <c r="F213" s="18" t="str">
        <f aca="false">IF($D213="","",IFERROR(INDEX(품목마스터!$C$3:$C$102,MATCH($D213,품목마스터!$A$3:$A$102,0)),""))</f>
        <v/>
      </c>
      <c r="G213" s="13" t="str">
        <f aca="false">IF($D213="","",IFERROR(INDEX(품목마스터!$D$3:$D$102,MATCH($D213,품목마스터!$A$3:$A$102,0)),0))</f>
        <v/>
      </c>
      <c r="H213" s="11"/>
      <c r="I213" s="19" t="str">
        <f aca="false">IF(OR($G213="",$H213=""),"",ROUND($G213*$H213,0))</f>
        <v/>
      </c>
      <c r="J213" s="12"/>
      <c r="K213" s="11"/>
      <c r="L213" s="18" t="str">
        <f aca="false">IF($A213="","",COUNTIFS($A$3:$A213,$A213))</f>
        <v/>
      </c>
      <c r="M213" s="18" t="str">
        <f aca="false">IF($A213="","",$A213&amp;"|"&amp;$L213)</f>
        <v/>
      </c>
      <c r="N213" s="18" t="str">
        <f aca="false">IF(OR($A213="",UPPER($J213)&lt;&gt;"Y"),"",$A213&amp;"#"&amp;COUNTIFS($A$3:$A213,$A213,$J$3:$J213,"Y"))</f>
        <v/>
      </c>
    </row>
    <row r="214" customFormat="false" ht="15" hidden="false" customHeight="true" outlineLevel="0" collapsed="false">
      <c r="A214" s="11"/>
      <c r="B214" s="17"/>
      <c r="C214" s="12"/>
      <c r="D214" s="12"/>
      <c r="E214" s="18" t="str">
        <f aca="false">IF($D214="","",IFERROR(INDEX(품목마스터!$B$3:$B$102,MATCH($D214,품목마스터!$A$3:$A$102,0)),""))</f>
        <v/>
      </c>
      <c r="F214" s="18" t="str">
        <f aca="false">IF($D214="","",IFERROR(INDEX(품목마스터!$C$3:$C$102,MATCH($D214,품목마스터!$A$3:$A$102,0)),""))</f>
        <v/>
      </c>
      <c r="G214" s="13" t="str">
        <f aca="false">IF($D214="","",IFERROR(INDEX(품목마스터!$D$3:$D$102,MATCH($D214,품목마스터!$A$3:$A$102,0)),0))</f>
        <v/>
      </c>
      <c r="H214" s="11"/>
      <c r="I214" s="19" t="str">
        <f aca="false">IF(OR($G214="",$H214=""),"",ROUND($G214*$H214,0))</f>
        <v/>
      </c>
      <c r="J214" s="12"/>
      <c r="K214" s="11"/>
      <c r="L214" s="18" t="str">
        <f aca="false">IF($A214="","",COUNTIFS($A$3:$A214,$A214))</f>
        <v/>
      </c>
      <c r="M214" s="18" t="str">
        <f aca="false">IF($A214="","",$A214&amp;"|"&amp;$L214)</f>
        <v/>
      </c>
      <c r="N214" s="18" t="str">
        <f aca="false">IF(OR($A214="",UPPER($J214)&lt;&gt;"Y"),"",$A214&amp;"#"&amp;COUNTIFS($A$3:$A214,$A214,$J$3:$J214,"Y"))</f>
        <v/>
      </c>
    </row>
    <row r="215" customFormat="false" ht="15" hidden="false" customHeight="true" outlineLevel="0" collapsed="false">
      <c r="A215" s="11"/>
      <c r="B215" s="17"/>
      <c r="C215" s="12"/>
      <c r="D215" s="12"/>
      <c r="E215" s="18" t="str">
        <f aca="false">IF($D215="","",IFERROR(INDEX(품목마스터!$B$3:$B$102,MATCH($D215,품목마스터!$A$3:$A$102,0)),""))</f>
        <v/>
      </c>
      <c r="F215" s="18" t="str">
        <f aca="false">IF($D215="","",IFERROR(INDEX(품목마스터!$C$3:$C$102,MATCH($D215,품목마스터!$A$3:$A$102,0)),""))</f>
        <v/>
      </c>
      <c r="G215" s="13" t="str">
        <f aca="false">IF($D215="","",IFERROR(INDEX(품목마스터!$D$3:$D$102,MATCH($D215,품목마스터!$A$3:$A$102,0)),0))</f>
        <v/>
      </c>
      <c r="H215" s="11"/>
      <c r="I215" s="19" t="str">
        <f aca="false">IF(OR($G215="",$H215=""),"",ROUND($G215*$H215,0))</f>
        <v/>
      </c>
      <c r="J215" s="12"/>
      <c r="K215" s="11"/>
      <c r="L215" s="18" t="str">
        <f aca="false">IF($A215="","",COUNTIFS($A$3:$A215,$A215))</f>
        <v/>
      </c>
      <c r="M215" s="18" t="str">
        <f aca="false">IF($A215="","",$A215&amp;"|"&amp;$L215)</f>
        <v/>
      </c>
      <c r="N215" s="18" t="str">
        <f aca="false">IF(OR($A215="",UPPER($J215)&lt;&gt;"Y"),"",$A215&amp;"#"&amp;COUNTIFS($A$3:$A215,$A215,$J$3:$J215,"Y"))</f>
        <v/>
      </c>
    </row>
    <row r="216" customFormat="false" ht="15" hidden="false" customHeight="true" outlineLevel="0" collapsed="false">
      <c r="A216" s="11"/>
      <c r="B216" s="17"/>
      <c r="C216" s="12"/>
      <c r="D216" s="12"/>
      <c r="E216" s="18" t="str">
        <f aca="false">IF($D216="","",IFERROR(INDEX(품목마스터!$B$3:$B$102,MATCH($D216,품목마스터!$A$3:$A$102,0)),""))</f>
        <v/>
      </c>
      <c r="F216" s="18" t="str">
        <f aca="false">IF($D216="","",IFERROR(INDEX(품목마스터!$C$3:$C$102,MATCH($D216,품목마스터!$A$3:$A$102,0)),""))</f>
        <v/>
      </c>
      <c r="G216" s="13" t="str">
        <f aca="false">IF($D216="","",IFERROR(INDEX(품목마스터!$D$3:$D$102,MATCH($D216,품목마스터!$A$3:$A$102,0)),0))</f>
        <v/>
      </c>
      <c r="H216" s="11"/>
      <c r="I216" s="19" t="str">
        <f aca="false">IF(OR($G216="",$H216=""),"",ROUND($G216*$H216,0))</f>
        <v/>
      </c>
      <c r="J216" s="12"/>
      <c r="K216" s="11"/>
      <c r="L216" s="18" t="str">
        <f aca="false">IF($A216="","",COUNTIFS($A$3:$A216,$A216))</f>
        <v/>
      </c>
      <c r="M216" s="18" t="str">
        <f aca="false">IF($A216="","",$A216&amp;"|"&amp;$L216)</f>
        <v/>
      </c>
      <c r="N216" s="18" t="str">
        <f aca="false">IF(OR($A216="",UPPER($J216)&lt;&gt;"Y"),"",$A216&amp;"#"&amp;COUNTIFS($A$3:$A216,$A216,$J$3:$J216,"Y"))</f>
        <v/>
      </c>
    </row>
    <row r="217" customFormat="false" ht="15" hidden="false" customHeight="true" outlineLevel="0" collapsed="false">
      <c r="A217" s="11"/>
      <c r="B217" s="17"/>
      <c r="C217" s="12"/>
      <c r="D217" s="12"/>
      <c r="E217" s="18" t="str">
        <f aca="false">IF($D217="","",IFERROR(INDEX(품목마스터!$B$3:$B$102,MATCH($D217,품목마스터!$A$3:$A$102,0)),""))</f>
        <v/>
      </c>
      <c r="F217" s="18" t="str">
        <f aca="false">IF($D217="","",IFERROR(INDEX(품목마스터!$C$3:$C$102,MATCH($D217,품목마스터!$A$3:$A$102,0)),""))</f>
        <v/>
      </c>
      <c r="G217" s="13" t="str">
        <f aca="false">IF($D217="","",IFERROR(INDEX(품목마스터!$D$3:$D$102,MATCH($D217,품목마스터!$A$3:$A$102,0)),0))</f>
        <v/>
      </c>
      <c r="H217" s="11"/>
      <c r="I217" s="19" t="str">
        <f aca="false">IF(OR($G217="",$H217=""),"",ROUND($G217*$H217,0))</f>
        <v/>
      </c>
      <c r="J217" s="12"/>
      <c r="K217" s="11"/>
      <c r="L217" s="18" t="str">
        <f aca="false">IF($A217="","",COUNTIFS($A$3:$A217,$A217))</f>
        <v/>
      </c>
      <c r="M217" s="18" t="str">
        <f aca="false">IF($A217="","",$A217&amp;"|"&amp;$L217)</f>
        <v/>
      </c>
      <c r="N217" s="18" t="str">
        <f aca="false">IF(OR($A217="",UPPER($J217)&lt;&gt;"Y"),"",$A217&amp;"#"&amp;COUNTIFS($A$3:$A217,$A217,$J$3:$J217,"Y"))</f>
        <v/>
      </c>
    </row>
    <row r="218" customFormat="false" ht="15" hidden="false" customHeight="true" outlineLevel="0" collapsed="false">
      <c r="A218" s="11"/>
      <c r="B218" s="17"/>
      <c r="C218" s="12"/>
      <c r="D218" s="12"/>
      <c r="E218" s="18" t="str">
        <f aca="false">IF($D218="","",IFERROR(INDEX(품목마스터!$B$3:$B$102,MATCH($D218,품목마스터!$A$3:$A$102,0)),""))</f>
        <v/>
      </c>
      <c r="F218" s="18" t="str">
        <f aca="false">IF($D218="","",IFERROR(INDEX(품목마스터!$C$3:$C$102,MATCH($D218,품목마스터!$A$3:$A$102,0)),""))</f>
        <v/>
      </c>
      <c r="G218" s="13" t="str">
        <f aca="false">IF($D218="","",IFERROR(INDEX(품목마스터!$D$3:$D$102,MATCH($D218,품목마스터!$A$3:$A$102,0)),0))</f>
        <v/>
      </c>
      <c r="H218" s="11"/>
      <c r="I218" s="19" t="str">
        <f aca="false">IF(OR($G218="",$H218=""),"",ROUND($G218*$H218,0))</f>
        <v/>
      </c>
      <c r="J218" s="12"/>
      <c r="K218" s="11"/>
      <c r="L218" s="18" t="str">
        <f aca="false">IF($A218="","",COUNTIFS($A$3:$A218,$A218))</f>
        <v/>
      </c>
      <c r="M218" s="18" t="str">
        <f aca="false">IF($A218="","",$A218&amp;"|"&amp;$L218)</f>
        <v/>
      </c>
      <c r="N218" s="18" t="str">
        <f aca="false">IF(OR($A218="",UPPER($J218)&lt;&gt;"Y"),"",$A218&amp;"#"&amp;COUNTIFS($A$3:$A218,$A218,$J$3:$J218,"Y"))</f>
        <v/>
      </c>
    </row>
    <row r="219" customFormat="false" ht="15" hidden="false" customHeight="true" outlineLevel="0" collapsed="false">
      <c r="A219" s="11"/>
      <c r="B219" s="17"/>
      <c r="C219" s="12"/>
      <c r="D219" s="12"/>
      <c r="E219" s="18" t="str">
        <f aca="false">IF($D219="","",IFERROR(INDEX(품목마스터!$B$3:$B$102,MATCH($D219,품목마스터!$A$3:$A$102,0)),""))</f>
        <v/>
      </c>
      <c r="F219" s="18" t="str">
        <f aca="false">IF($D219="","",IFERROR(INDEX(품목마스터!$C$3:$C$102,MATCH($D219,품목마스터!$A$3:$A$102,0)),""))</f>
        <v/>
      </c>
      <c r="G219" s="13" t="str">
        <f aca="false">IF($D219="","",IFERROR(INDEX(품목마스터!$D$3:$D$102,MATCH($D219,품목마스터!$A$3:$A$102,0)),0))</f>
        <v/>
      </c>
      <c r="H219" s="11"/>
      <c r="I219" s="19" t="str">
        <f aca="false">IF(OR($G219="",$H219=""),"",ROUND($G219*$H219,0))</f>
        <v/>
      </c>
      <c r="J219" s="12"/>
      <c r="K219" s="11"/>
      <c r="L219" s="18" t="str">
        <f aca="false">IF($A219="","",COUNTIFS($A$3:$A219,$A219))</f>
        <v/>
      </c>
      <c r="M219" s="18" t="str">
        <f aca="false">IF($A219="","",$A219&amp;"|"&amp;$L219)</f>
        <v/>
      </c>
      <c r="N219" s="18" t="str">
        <f aca="false">IF(OR($A219="",UPPER($J219)&lt;&gt;"Y"),"",$A219&amp;"#"&amp;COUNTIFS($A$3:$A219,$A219,$J$3:$J219,"Y"))</f>
        <v/>
      </c>
    </row>
    <row r="220" customFormat="false" ht="15" hidden="false" customHeight="true" outlineLevel="0" collapsed="false">
      <c r="A220" s="11"/>
      <c r="B220" s="17"/>
      <c r="C220" s="12"/>
      <c r="D220" s="12"/>
      <c r="E220" s="18" t="str">
        <f aca="false">IF($D220="","",IFERROR(INDEX(품목마스터!$B$3:$B$102,MATCH($D220,품목마스터!$A$3:$A$102,0)),""))</f>
        <v/>
      </c>
      <c r="F220" s="18" t="str">
        <f aca="false">IF($D220="","",IFERROR(INDEX(품목마스터!$C$3:$C$102,MATCH($D220,품목마스터!$A$3:$A$102,0)),""))</f>
        <v/>
      </c>
      <c r="G220" s="13" t="str">
        <f aca="false">IF($D220="","",IFERROR(INDEX(품목마스터!$D$3:$D$102,MATCH($D220,품목마스터!$A$3:$A$102,0)),0))</f>
        <v/>
      </c>
      <c r="H220" s="11"/>
      <c r="I220" s="19" t="str">
        <f aca="false">IF(OR($G220="",$H220=""),"",ROUND($G220*$H220,0))</f>
        <v/>
      </c>
      <c r="J220" s="12"/>
      <c r="K220" s="11"/>
      <c r="L220" s="18" t="str">
        <f aca="false">IF($A220="","",COUNTIFS($A$3:$A220,$A220))</f>
        <v/>
      </c>
      <c r="M220" s="18" t="str">
        <f aca="false">IF($A220="","",$A220&amp;"|"&amp;$L220)</f>
        <v/>
      </c>
      <c r="N220" s="18" t="str">
        <f aca="false">IF(OR($A220="",UPPER($J220)&lt;&gt;"Y"),"",$A220&amp;"#"&amp;COUNTIFS($A$3:$A220,$A220,$J$3:$J220,"Y"))</f>
        <v/>
      </c>
    </row>
    <row r="221" customFormat="false" ht="15" hidden="false" customHeight="true" outlineLevel="0" collapsed="false">
      <c r="A221" s="11"/>
      <c r="B221" s="17"/>
      <c r="C221" s="12"/>
      <c r="D221" s="12"/>
      <c r="E221" s="18" t="str">
        <f aca="false">IF($D221="","",IFERROR(INDEX(품목마스터!$B$3:$B$102,MATCH($D221,품목마스터!$A$3:$A$102,0)),""))</f>
        <v/>
      </c>
      <c r="F221" s="18" t="str">
        <f aca="false">IF($D221="","",IFERROR(INDEX(품목마스터!$C$3:$C$102,MATCH($D221,품목마스터!$A$3:$A$102,0)),""))</f>
        <v/>
      </c>
      <c r="G221" s="13" t="str">
        <f aca="false">IF($D221="","",IFERROR(INDEX(품목마스터!$D$3:$D$102,MATCH($D221,품목마스터!$A$3:$A$102,0)),0))</f>
        <v/>
      </c>
      <c r="H221" s="11"/>
      <c r="I221" s="19" t="str">
        <f aca="false">IF(OR($G221="",$H221=""),"",ROUND($G221*$H221,0))</f>
        <v/>
      </c>
      <c r="J221" s="12"/>
      <c r="K221" s="11"/>
      <c r="L221" s="18" t="str">
        <f aca="false">IF($A221="","",COUNTIFS($A$3:$A221,$A221))</f>
        <v/>
      </c>
      <c r="M221" s="18" t="str">
        <f aca="false">IF($A221="","",$A221&amp;"|"&amp;$L221)</f>
        <v/>
      </c>
      <c r="N221" s="18" t="str">
        <f aca="false">IF(OR($A221="",UPPER($J221)&lt;&gt;"Y"),"",$A221&amp;"#"&amp;COUNTIFS($A$3:$A221,$A221,$J$3:$J221,"Y"))</f>
        <v/>
      </c>
    </row>
    <row r="222" customFormat="false" ht="15" hidden="false" customHeight="true" outlineLevel="0" collapsed="false">
      <c r="A222" s="11"/>
      <c r="B222" s="17"/>
      <c r="C222" s="12"/>
      <c r="D222" s="12"/>
      <c r="E222" s="18" t="str">
        <f aca="false">IF($D222="","",IFERROR(INDEX(품목마스터!$B$3:$B$102,MATCH($D222,품목마스터!$A$3:$A$102,0)),""))</f>
        <v/>
      </c>
      <c r="F222" s="18" t="str">
        <f aca="false">IF($D222="","",IFERROR(INDEX(품목마스터!$C$3:$C$102,MATCH($D222,품목마스터!$A$3:$A$102,0)),""))</f>
        <v/>
      </c>
      <c r="G222" s="13" t="str">
        <f aca="false">IF($D222="","",IFERROR(INDEX(품목마스터!$D$3:$D$102,MATCH($D222,품목마스터!$A$3:$A$102,0)),0))</f>
        <v/>
      </c>
      <c r="H222" s="11"/>
      <c r="I222" s="19" t="str">
        <f aca="false">IF(OR($G222="",$H222=""),"",ROUND($G222*$H222,0))</f>
        <v/>
      </c>
      <c r="J222" s="12"/>
      <c r="K222" s="11"/>
      <c r="L222" s="18" t="str">
        <f aca="false">IF($A222="","",COUNTIFS($A$3:$A222,$A222))</f>
        <v/>
      </c>
      <c r="M222" s="18" t="str">
        <f aca="false">IF($A222="","",$A222&amp;"|"&amp;$L222)</f>
        <v/>
      </c>
      <c r="N222" s="18" t="str">
        <f aca="false">IF(OR($A222="",UPPER($J222)&lt;&gt;"Y"),"",$A222&amp;"#"&amp;COUNTIFS($A$3:$A222,$A222,$J$3:$J222,"Y"))</f>
        <v/>
      </c>
    </row>
    <row r="223" customFormat="false" ht="15" hidden="false" customHeight="true" outlineLevel="0" collapsed="false">
      <c r="A223" s="11"/>
      <c r="B223" s="17"/>
      <c r="C223" s="12"/>
      <c r="D223" s="12"/>
      <c r="E223" s="18" t="str">
        <f aca="false">IF($D223="","",IFERROR(INDEX(품목마스터!$B$3:$B$102,MATCH($D223,품목마스터!$A$3:$A$102,0)),""))</f>
        <v/>
      </c>
      <c r="F223" s="18" t="str">
        <f aca="false">IF($D223="","",IFERROR(INDEX(품목마스터!$C$3:$C$102,MATCH($D223,품목마스터!$A$3:$A$102,0)),""))</f>
        <v/>
      </c>
      <c r="G223" s="13" t="str">
        <f aca="false">IF($D223="","",IFERROR(INDEX(품목마스터!$D$3:$D$102,MATCH($D223,품목마스터!$A$3:$A$102,0)),0))</f>
        <v/>
      </c>
      <c r="H223" s="11"/>
      <c r="I223" s="19" t="str">
        <f aca="false">IF(OR($G223="",$H223=""),"",ROUND($G223*$H223,0))</f>
        <v/>
      </c>
      <c r="J223" s="12"/>
      <c r="K223" s="11"/>
      <c r="L223" s="18" t="str">
        <f aca="false">IF($A223="","",COUNTIFS($A$3:$A223,$A223))</f>
        <v/>
      </c>
      <c r="M223" s="18" t="str">
        <f aca="false">IF($A223="","",$A223&amp;"|"&amp;$L223)</f>
        <v/>
      </c>
      <c r="N223" s="18" t="str">
        <f aca="false">IF(OR($A223="",UPPER($J223)&lt;&gt;"Y"),"",$A223&amp;"#"&amp;COUNTIFS($A$3:$A223,$A223,$J$3:$J223,"Y"))</f>
        <v/>
      </c>
    </row>
    <row r="224" customFormat="false" ht="15" hidden="false" customHeight="true" outlineLevel="0" collapsed="false">
      <c r="A224" s="11"/>
      <c r="B224" s="17"/>
      <c r="C224" s="12"/>
      <c r="D224" s="12"/>
      <c r="E224" s="18" t="str">
        <f aca="false">IF($D224="","",IFERROR(INDEX(품목마스터!$B$3:$B$102,MATCH($D224,품목마스터!$A$3:$A$102,0)),""))</f>
        <v/>
      </c>
      <c r="F224" s="18" t="str">
        <f aca="false">IF($D224="","",IFERROR(INDEX(품목마스터!$C$3:$C$102,MATCH($D224,품목마스터!$A$3:$A$102,0)),""))</f>
        <v/>
      </c>
      <c r="G224" s="13" t="str">
        <f aca="false">IF($D224="","",IFERROR(INDEX(품목마스터!$D$3:$D$102,MATCH($D224,품목마스터!$A$3:$A$102,0)),0))</f>
        <v/>
      </c>
      <c r="H224" s="11"/>
      <c r="I224" s="19" t="str">
        <f aca="false">IF(OR($G224="",$H224=""),"",ROUND($G224*$H224,0))</f>
        <v/>
      </c>
      <c r="J224" s="12"/>
      <c r="K224" s="11"/>
      <c r="L224" s="18" t="str">
        <f aca="false">IF($A224="","",COUNTIFS($A$3:$A224,$A224))</f>
        <v/>
      </c>
      <c r="M224" s="18" t="str">
        <f aca="false">IF($A224="","",$A224&amp;"|"&amp;$L224)</f>
        <v/>
      </c>
      <c r="N224" s="18" t="str">
        <f aca="false">IF(OR($A224="",UPPER($J224)&lt;&gt;"Y"),"",$A224&amp;"#"&amp;COUNTIFS($A$3:$A224,$A224,$J$3:$J224,"Y"))</f>
        <v/>
      </c>
    </row>
    <row r="225" customFormat="false" ht="15" hidden="false" customHeight="true" outlineLevel="0" collapsed="false">
      <c r="A225" s="11"/>
      <c r="B225" s="17"/>
      <c r="C225" s="12"/>
      <c r="D225" s="12"/>
      <c r="E225" s="18" t="str">
        <f aca="false">IF($D225="","",IFERROR(INDEX(품목마스터!$B$3:$B$102,MATCH($D225,품목마스터!$A$3:$A$102,0)),""))</f>
        <v/>
      </c>
      <c r="F225" s="18" t="str">
        <f aca="false">IF($D225="","",IFERROR(INDEX(품목마스터!$C$3:$C$102,MATCH($D225,품목마스터!$A$3:$A$102,0)),""))</f>
        <v/>
      </c>
      <c r="G225" s="13" t="str">
        <f aca="false">IF($D225="","",IFERROR(INDEX(품목마스터!$D$3:$D$102,MATCH($D225,품목마스터!$A$3:$A$102,0)),0))</f>
        <v/>
      </c>
      <c r="H225" s="11"/>
      <c r="I225" s="19" t="str">
        <f aca="false">IF(OR($G225="",$H225=""),"",ROUND($G225*$H225,0))</f>
        <v/>
      </c>
      <c r="J225" s="12"/>
      <c r="K225" s="11"/>
      <c r="L225" s="18" t="str">
        <f aca="false">IF($A225="","",COUNTIFS($A$3:$A225,$A225))</f>
        <v/>
      </c>
      <c r="M225" s="18" t="str">
        <f aca="false">IF($A225="","",$A225&amp;"|"&amp;$L225)</f>
        <v/>
      </c>
      <c r="N225" s="18" t="str">
        <f aca="false">IF(OR($A225="",UPPER($J225)&lt;&gt;"Y"),"",$A225&amp;"#"&amp;COUNTIFS($A$3:$A225,$A225,$J$3:$J225,"Y"))</f>
        <v/>
      </c>
    </row>
    <row r="226" customFormat="false" ht="15" hidden="false" customHeight="true" outlineLevel="0" collapsed="false">
      <c r="A226" s="11"/>
      <c r="B226" s="17"/>
      <c r="C226" s="12"/>
      <c r="D226" s="12"/>
      <c r="E226" s="18" t="str">
        <f aca="false">IF($D226="","",IFERROR(INDEX(품목마스터!$B$3:$B$102,MATCH($D226,품목마스터!$A$3:$A$102,0)),""))</f>
        <v/>
      </c>
      <c r="F226" s="18" t="str">
        <f aca="false">IF($D226="","",IFERROR(INDEX(품목마스터!$C$3:$C$102,MATCH($D226,품목마스터!$A$3:$A$102,0)),""))</f>
        <v/>
      </c>
      <c r="G226" s="13" t="str">
        <f aca="false">IF($D226="","",IFERROR(INDEX(품목마스터!$D$3:$D$102,MATCH($D226,품목마스터!$A$3:$A$102,0)),0))</f>
        <v/>
      </c>
      <c r="H226" s="11"/>
      <c r="I226" s="19" t="str">
        <f aca="false">IF(OR($G226="",$H226=""),"",ROUND($G226*$H226,0))</f>
        <v/>
      </c>
      <c r="J226" s="12"/>
      <c r="K226" s="11"/>
      <c r="L226" s="18" t="str">
        <f aca="false">IF($A226="","",COUNTIFS($A$3:$A226,$A226))</f>
        <v/>
      </c>
      <c r="M226" s="18" t="str">
        <f aca="false">IF($A226="","",$A226&amp;"|"&amp;$L226)</f>
        <v/>
      </c>
      <c r="N226" s="18" t="str">
        <f aca="false">IF(OR($A226="",UPPER($J226)&lt;&gt;"Y"),"",$A226&amp;"#"&amp;COUNTIFS($A$3:$A226,$A226,$J$3:$J226,"Y"))</f>
        <v/>
      </c>
    </row>
    <row r="227" customFormat="false" ht="15" hidden="false" customHeight="true" outlineLevel="0" collapsed="false">
      <c r="A227" s="11"/>
      <c r="B227" s="17"/>
      <c r="C227" s="12"/>
      <c r="D227" s="12"/>
      <c r="E227" s="18" t="str">
        <f aca="false">IF($D227="","",IFERROR(INDEX(품목마스터!$B$3:$B$102,MATCH($D227,품목마스터!$A$3:$A$102,0)),""))</f>
        <v/>
      </c>
      <c r="F227" s="18" t="str">
        <f aca="false">IF($D227="","",IFERROR(INDEX(품목마스터!$C$3:$C$102,MATCH($D227,품목마스터!$A$3:$A$102,0)),""))</f>
        <v/>
      </c>
      <c r="G227" s="13" t="str">
        <f aca="false">IF($D227="","",IFERROR(INDEX(품목마스터!$D$3:$D$102,MATCH($D227,품목마스터!$A$3:$A$102,0)),0))</f>
        <v/>
      </c>
      <c r="H227" s="11"/>
      <c r="I227" s="19" t="str">
        <f aca="false">IF(OR($G227="",$H227=""),"",ROUND($G227*$H227,0))</f>
        <v/>
      </c>
      <c r="J227" s="12"/>
      <c r="K227" s="11"/>
      <c r="L227" s="18" t="str">
        <f aca="false">IF($A227="","",COUNTIFS($A$3:$A227,$A227))</f>
        <v/>
      </c>
      <c r="M227" s="18" t="str">
        <f aca="false">IF($A227="","",$A227&amp;"|"&amp;$L227)</f>
        <v/>
      </c>
      <c r="N227" s="18" t="str">
        <f aca="false">IF(OR($A227="",UPPER($J227)&lt;&gt;"Y"),"",$A227&amp;"#"&amp;COUNTIFS($A$3:$A227,$A227,$J$3:$J227,"Y"))</f>
        <v/>
      </c>
    </row>
    <row r="228" customFormat="false" ht="15" hidden="false" customHeight="true" outlineLevel="0" collapsed="false">
      <c r="A228" s="11"/>
      <c r="B228" s="17"/>
      <c r="C228" s="12"/>
      <c r="D228" s="12"/>
      <c r="E228" s="18" t="str">
        <f aca="false">IF($D228="","",IFERROR(INDEX(품목마스터!$B$3:$B$102,MATCH($D228,품목마스터!$A$3:$A$102,0)),""))</f>
        <v/>
      </c>
      <c r="F228" s="18" t="str">
        <f aca="false">IF($D228="","",IFERROR(INDEX(품목마스터!$C$3:$C$102,MATCH($D228,품목마스터!$A$3:$A$102,0)),""))</f>
        <v/>
      </c>
      <c r="G228" s="13" t="str">
        <f aca="false">IF($D228="","",IFERROR(INDEX(품목마스터!$D$3:$D$102,MATCH($D228,품목마스터!$A$3:$A$102,0)),0))</f>
        <v/>
      </c>
      <c r="H228" s="11"/>
      <c r="I228" s="19" t="str">
        <f aca="false">IF(OR($G228="",$H228=""),"",ROUND($G228*$H228,0))</f>
        <v/>
      </c>
      <c r="J228" s="12"/>
      <c r="K228" s="11"/>
      <c r="L228" s="18" t="str">
        <f aca="false">IF($A228="","",COUNTIFS($A$3:$A228,$A228))</f>
        <v/>
      </c>
      <c r="M228" s="18" t="str">
        <f aca="false">IF($A228="","",$A228&amp;"|"&amp;$L228)</f>
        <v/>
      </c>
      <c r="N228" s="18" t="str">
        <f aca="false">IF(OR($A228="",UPPER($J228)&lt;&gt;"Y"),"",$A228&amp;"#"&amp;COUNTIFS($A$3:$A228,$A228,$J$3:$J228,"Y"))</f>
        <v/>
      </c>
    </row>
    <row r="229" customFormat="false" ht="15" hidden="false" customHeight="true" outlineLevel="0" collapsed="false">
      <c r="A229" s="11"/>
      <c r="B229" s="17"/>
      <c r="C229" s="12"/>
      <c r="D229" s="12"/>
      <c r="E229" s="18" t="str">
        <f aca="false">IF($D229="","",IFERROR(INDEX(품목마스터!$B$3:$B$102,MATCH($D229,품목마스터!$A$3:$A$102,0)),""))</f>
        <v/>
      </c>
      <c r="F229" s="18" t="str">
        <f aca="false">IF($D229="","",IFERROR(INDEX(품목마스터!$C$3:$C$102,MATCH($D229,품목마스터!$A$3:$A$102,0)),""))</f>
        <v/>
      </c>
      <c r="G229" s="13" t="str">
        <f aca="false">IF($D229="","",IFERROR(INDEX(품목마스터!$D$3:$D$102,MATCH($D229,품목마스터!$A$3:$A$102,0)),0))</f>
        <v/>
      </c>
      <c r="H229" s="11"/>
      <c r="I229" s="19" t="str">
        <f aca="false">IF(OR($G229="",$H229=""),"",ROUND($G229*$H229,0))</f>
        <v/>
      </c>
      <c r="J229" s="12"/>
      <c r="K229" s="11"/>
      <c r="L229" s="18" t="str">
        <f aca="false">IF($A229="","",COUNTIFS($A$3:$A229,$A229))</f>
        <v/>
      </c>
      <c r="M229" s="18" t="str">
        <f aca="false">IF($A229="","",$A229&amp;"|"&amp;$L229)</f>
        <v/>
      </c>
      <c r="N229" s="18" t="str">
        <f aca="false">IF(OR($A229="",UPPER($J229)&lt;&gt;"Y"),"",$A229&amp;"#"&amp;COUNTIFS($A$3:$A229,$A229,$J$3:$J229,"Y"))</f>
        <v/>
      </c>
    </row>
    <row r="230" customFormat="false" ht="15" hidden="false" customHeight="true" outlineLevel="0" collapsed="false">
      <c r="A230" s="11"/>
      <c r="B230" s="17"/>
      <c r="C230" s="12"/>
      <c r="D230" s="12"/>
      <c r="E230" s="18" t="str">
        <f aca="false">IF($D230="","",IFERROR(INDEX(품목마스터!$B$3:$B$102,MATCH($D230,품목마스터!$A$3:$A$102,0)),""))</f>
        <v/>
      </c>
      <c r="F230" s="18" t="str">
        <f aca="false">IF($D230="","",IFERROR(INDEX(품목마스터!$C$3:$C$102,MATCH($D230,품목마스터!$A$3:$A$102,0)),""))</f>
        <v/>
      </c>
      <c r="G230" s="13" t="str">
        <f aca="false">IF($D230="","",IFERROR(INDEX(품목마스터!$D$3:$D$102,MATCH($D230,품목마스터!$A$3:$A$102,0)),0))</f>
        <v/>
      </c>
      <c r="H230" s="11"/>
      <c r="I230" s="19" t="str">
        <f aca="false">IF(OR($G230="",$H230=""),"",ROUND($G230*$H230,0))</f>
        <v/>
      </c>
      <c r="J230" s="12"/>
      <c r="K230" s="11"/>
      <c r="L230" s="18" t="str">
        <f aca="false">IF($A230="","",COUNTIFS($A$3:$A230,$A230))</f>
        <v/>
      </c>
      <c r="M230" s="18" t="str">
        <f aca="false">IF($A230="","",$A230&amp;"|"&amp;$L230)</f>
        <v/>
      </c>
      <c r="N230" s="18" t="str">
        <f aca="false">IF(OR($A230="",UPPER($J230)&lt;&gt;"Y"),"",$A230&amp;"#"&amp;COUNTIFS($A$3:$A230,$A230,$J$3:$J230,"Y"))</f>
        <v/>
      </c>
    </row>
    <row r="231" customFormat="false" ht="15" hidden="false" customHeight="true" outlineLevel="0" collapsed="false">
      <c r="A231" s="11"/>
      <c r="B231" s="17"/>
      <c r="C231" s="12"/>
      <c r="D231" s="12"/>
      <c r="E231" s="18" t="str">
        <f aca="false">IF($D231="","",IFERROR(INDEX(품목마스터!$B$3:$B$102,MATCH($D231,품목마스터!$A$3:$A$102,0)),""))</f>
        <v/>
      </c>
      <c r="F231" s="18" t="str">
        <f aca="false">IF($D231="","",IFERROR(INDEX(품목마스터!$C$3:$C$102,MATCH($D231,품목마스터!$A$3:$A$102,0)),""))</f>
        <v/>
      </c>
      <c r="G231" s="13" t="str">
        <f aca="false">IF($D231="","",IFERROR(INDEX(품목마스터!$D$3:$D$102,MATCH($D231,품목마스터!$A$3:$A$102,0)),0))</f>
        <v/>
      </c>
      <c r="H231" s="11"/>
      <c r="I231" s="19" t="str">
        <f aca="false">IF(OR($G231="",$H231=""),"",ROUND($G231*$H231,0))</f>
        <v/>
      </c>
      <c r="J231" s="12"/>
      <c r="K231" s="11"/>
      <c r="L231" s="18" t="str">
        <f aca="false">IF($A231="","",COUNTIFS($A$3:$A231,$A231))</f>
        <v/>
      </c>
      <c r="M231" s="18" t="str">
        <f aca="false">IF($A231="","",$A231&amp;"|"&amp;$L231)</f>
        <v/>
      </c>
      <c r="N231" s="18" t="str">
        <f aca="false">IF(OR($A231="",UPPER($J231)&lt;&gt;"Y"),"",$A231&amp;"#"&amp;COUNTIFS($A$3:$A231,$A231,$J$3:$J231,"Y"))</f>
        <v/>
      </c>
    </row>
    <row r="232" customFormat="false" ht="15" hidden="false" customHeight="true" outlineLevel="0" collapsed="false">
      <c r="A232" s="11"/>
      <c r="B232" s="17"/>
      <c r="C232" s="12"/>
      <c r="D232" s="12"/>
      <c r="E232" s="18" t="str">
        <f aca="false">IF($D232="","",IFERROR(INDEX(품목마스터!$B$3:$B$102,MATCH($D232,품목마스터!$A$3:$A$102,0)),""))</f>
        <v/>
      </c>
      <c r="F232" s="18" t="str">
        <f aca="false">IF($D232="","",IFERROR(INDEX(품목마스터!$C$3:$C$102,MATCH($D232,품목마스터!$A$3:$A$102,0)),""))</f>
        <v/>
      </c>
      <c r="G232" s="13" t="str">
        <f aca="false">IF($D232="","",IFERROR(INDEX(품목마스터!$D$3:$D$102,MATCH($D232,품목마스터!$A$3:$A$102,0)),0))</f>
        <v/>
      </c>
      <c r="H232" s="11"/>
      <c r="I232" s="19" t="str">
        <f aca="false">IF(OR($G232="",$H232=""),"",ROUND($G232*$H232,0))</f>
        <v/>
      </c>
      <c r="J232" s="12"/>
      <c r="K232" s="11"/>
      <c r="L232" s="18" t="str">
        <f aca="false">IF($A232="","",COUNTIFS($A$3:$A232,$A232))</f>
        <v/>
      </c>
      <c r="M232" s="18" t="str">
        <f aca="false">IF($A232="","",$A232&amp;"|"&amp;$L232)</f>
        <v/>
      </c>
      <c r="N232" s="18" t="str">
        <f aca="false">IF(OR($A232="",UPPER($J232)&lt;&gt;"Y"),"",$A232&amp;"#"&amp;COUNTIFS($A$3:$A232,$A232,$J$3:$J232,"Y"))</f>
        <v/>
      </c>
    </row>
    <row r="233" customFormat="false" ht="15" hidden="false" customHeight="true" outlineLevel="0" collapsed="false">
      <c r="A233" s="11"/>
      <c r="B233" s="17"/>
      <c r="C233" s="12"/>
      <c r="D233" s="12"/>
      <c r="E233" s="18" t="str">
        <f aca="false">IF($D233="","",IFERROR(INDEX(품목마스터!$B$3:$B$102,MATCH($D233,품목마스터!$A$3:$A$102,0)),""))</f>
        <v/>
      </c>
      <c r="F233" s="18" t="str">
        <f aca="false">IF($D233="","",IFERROR(INDEX(품목마스터!$C$3:$C$102,MATCH($D233,품목마스터!$A$3:$A$102,0)),""))</f>
        <v/>
      </c>
      <c r="G233" s="13" t="str">
        <f aca="false">IF($D233="","",IFERROR(INDEX(품목마스터!$D$3:$D$102,MATCH($D233,품목마스터!$A$3:$A$102,0)),0))</f>
        <v/>
      </c>
      <c r="H233" s="11"/>
      <c r="I233" s="19" t="str">
        <f aca="false">IF(OR($G233="",$H233=""),"",ROUND($G233*$H233,0))</f>
        <v/>
      </c>
      <c r="J233" s="12"/>
      <c r="K233" s="11"/>
      <c r="L233" s="18" t="str">
        <f aca="false">IF($A233="","",COUNTIFS($A$3:$A233,$A233))</f>
        <v/>
      </c>
      <c r="M233" s="18" t="str">
        <f aca="false">IF($A233="","",$A233&amp;"|"&amp;$L233)</f>
        <v/>
      </c>
      <c r="N233" s="18" t="str">
        <f aca="false">IF(OR($A233="",UPPER($J233)&lt;&gt;"Y"),"",$A233&amp;"#"&amp;COUNTIFS($A$3:$A233,$A233,$J$3:$J233,"Y"))</f>
        <v/>
      </c>
    </row>
    <row r="234" customFormat="false" ht="15" hidden="false" customHeight="true" outlineLevel="0" collapsed="false">
      <c r="A234" s="11"/>
      <c r="B234" s="17"/>
      <c r="C234" s="12"/>
      <c r="D234" s="12"/>
      <c r="E234" s="18" t="str">
        <f aca="false">IF($D234="","",IFERROR(INDEX(품목마스터!$B$3:$B$102,MATCH($D234,품목마스터!$A$3:$A$102,0)),""))</f>
        <v/>
      </c>
      <c r="F234" s="18" t="str">
        <f aca="false">IF($D234="","",IFERROR(INDEX(품목마스터!$C$3:$C$102,MATCH($D234,품목마스터!$A$3:$A$102,0)),""))</f>
        <v/>
      </c>
      <c r="G234" s="13" t="str">
        <f aca="false">IF($D234="","",IFERROR(INDEX(품목마스터!$D$3:$D$102,MATCH($D234,품목마스터!$A$3:$A$102,0)),0))</f>
        <v/>
      </c>
      <c r="H234" s="11"/>
      <c r="I234" s="19" t="str">
        <f aca="false">IF(OR($G234="",$H234=""),"",ROUND($G234*$H234,0))</f>
        <v/>
      </c>
      <c r="J234" s="12"/>
      <c r="K234" s="11"/>
      <c r="L234" s="18" t="str">
        <f aca="false">IF($A234="","",COUNTIFS($A$3:$A234,$A234))</f>
        <v/>
      </c>
      <c r="M234" s="18" t="str">
        <f aca="false">IF($A234="","",$A234&amp;"|"&amp;$L234)</f>
        <v/>
      </c>
      <c r="N234" s="18" t="str">
        <f aca="false">IF(OR($A234="",UPPER($J234)&lt;&gt;"Y"),"",$A234&amp;"#"&amp;COUNTIFS($A$3:$A234,$A234,$J$3:$J234,"Y"))</f>
        <v/>
      </c>
    </row>
    <row r="235" customFormat="false" ht="15" hidden="false" customHeight="true" outlineLevel="0" collapsed="false">
      <c r="A235" s="11"/>
      <c r="B235" s="17"/>
      <c r="C235" s="12"/>
      <c r="D235" s="12"/>
      <c r="E235" s="18" t="str">
        <f aca="false">IF($D235="","",IFERROR(INDEX(품목마스터!$B$3:$B$102,MATCH($D235,품목마스터!$A$3:$A$102,0)),""))</f>
        <v/>
      </c>
      <c r="F235" s="18" t="str">
        <f aca="false">IF($D235="","",IFERROR(INDEX(품목마스터!$C$3:$C$102,MATCH($D235,품목마스터!$A$3:$A$102,0)),""))</f>
        <v/>
      </c>
      <c r="G235" s="13" t="str">
        <f aca="false">IF($D235="","",IFERROR(INDEX(품목마스터!$D$3:$D$102,MATCH($D235,품목마스터!$A$3:$A$102,0)),0))</f>
        <v/>
      </c>
      <c r="H235" s="11"/>
      <c r="I235" s="19" t="str">
        <f aca="false">IF(OR($G235="",$H235=""),"",ROUND($G235*$H235,0))</f>
        <v/>
      </c>
      <c r="J235" s="12"/>
      <c r="K235" s="11"/>
      <c r="L235" s="18" t="str">
        <f aca="false">IF($A235="","",COUNTIFS($A$3:$A235,$A235))</f>
        <v/>
      </c>
      <c r="M235" s="18" t="str">
        <f aca="false">IF($A235="","",$A235&amp;"|"&amp;$L235)</f>
        <v/>
      </c>
      <c r="N235" s="18" t="str">
        <f aca="false">IF(OR($A235="",UPPER($J235)&lt;&gt;"Y"),"",$A235&amp;"#"&amp;COUNTIFS($A$3:$A235,$A235,$J$3:$J235,"Y"))</f>
        <v/>
      </c>
    </row>
    <row r="236" customFormat="false" ht="15" hidden="false" customHeight="true" outlineLevel="0" collapsed="false">
      <c r="A236" s="11"/>
      <c r="B236" s="17"/>
      <c r="C236" s="12"/>
      <c r="D236" s="12"/>
      <c r="E236" s="18" t="str">
        <f aca="false">IF($D236="","",IFERROR(INDEX(품목마스터!$B$3:$B$102,MATCH($D236,품목마스터!$A$3:$A$102,0)),""))</f>
        <v/>
      </c>
      <c r="F236" s="18" t="str">
        <f aca="false">IF($D236="","",IFERROR(INDEX(품목마스터!$C$3:$C$102,MATCH($D236,품목마스터!$A$3:$A$102,0)),""))</f>
        <v/>
      </c>
      <c r="G236" s="13" t="str">
        <f aca="false">IF($D236="","",IFERROR(INDEX(품목마스터!$D$3:$D$102,MATCH($D236,품목마스터!$A$3:$A$102,0)),0))</f>
        <v/>
      </c>
      <c r="H236" s="11"/>
      <c r="I236" s="19" t="str">
        <f aca="false">IF(OR($G236="",$H236=""),"",ROUND($G236*$H236,0))</f>
        <v/>
      </c>
      <c r="J236" s="12"/>
      <c r="K236" s="11"/>
      <c r="L236" s="18" t="str">
        <f aca="false">IF($A236="","",COUNTIFS($A$3:$A236,$A236))</f>
        <v/>
      </c>
      <c r="M236" s="18" t="str">
        <f aca="false">IF($A236="","",$A236&amp;"|"&amp;$L236)</f>
        <v/>
      </c>
      <c r="N236" s="18" t="str">
        <f aca="false">IF(OR($A236="",UPPER($J236)&lt;&gt;"Y"),"",$A236&amp;"#"&amp;COUNTIFS($A$3:$A236,$A236,$J$3:$J236,"Y"))</f>
        <v/>
      </c>
    </row>
    <row r="237" customFormat="false" ht="15" hidden="false" customHeight="true" outlineLevel="0" collapsed="false">
      <c r="A237" s="11"/>
      <c r="B237" s="17"/>
      <c r="C237" s="12"/>
      <c r="D237" s="12"/>
      <c r="E237" s="18" t="str">
        <f aca="false">IF($D237="","",IFERROR(INDEX(품목마스터!$B$3:$B$102,MATCH($D237,품목마스터!$A$3:$A$102,0)),""))</f>
        <v/>
      </c>
      <c r="F237" s="18" t="str">
        <f aca="false">IF($D237="","",IFERROR(INDEX(품목마스터!$C$3:$C$102,MATCH($D237,품목마스터!$A$3:$A$102,0)),""))</f>
        <v/>
      </c>
      <c r="G237" s="13" t="str">
        <f aca="false">IF($D237="","",IFERROR(INDEX(품목마스터!$D$3:$D$102,MATCH($D237,품목마스터!$A$3:$A$102,0)),0))</f>
        <v/>
      </c>
      <c r="H237" s="11"/>
      <c r="I237" s="19" t="str">
        <f aca="false">IF(OR($G237="",$H237=""),"",ROUND($G237*$H237,0))</f>
        <v/>
      </c>
      <c r="J237" s="12"/>
      <c r="K237" s="11"/>
      <c r="L237" s="18" t="str">
        <f aca="false">IF($A237="","",COUNTIFS($A$3:$A237,$A237))</f>
        <v/>
      </c>
      <c r="M237" s="18" t="str">
        <f aca="false">IF($A237="","",$A237&amp;"|"&amp;$L237)</f>
        <v/>
      </c>
      <c r="N237" s="18" t="str">
        <f aca="false">IF(OR($A237="",UPPER($J237)&lt;&gt;"Y"),"",$A237&amp;"#"&amp;COUNTIFS($A$3:$A237,$A237,$J$3:$J237,"Y"))</f>
        <v/>
      </c>
    </row>
    <row r="238" customFormat="false" ht="15" hidden="false" customHeight="true" outlineLevel="0" collapsed="false">
      <c r="A238" s="11"/>
      <c r="B238" s="17"/>
      <c r="C238" s="12"/>
      <c r="D238" s="12"/>
      <c r="E238" s="18" t="str">
        <f aca="false">IF($D238="","",IFERROR(INDEX(품목마스터!$B$3:$B$102,MATCH($D238,품목마스터!$A$3:$A$102,0)),""))</f>
        <v/>
      </c>
      <c r="F238" s="18" t="str">
        <f aca="false">IF($D238="","",IFERROR(INDEX(품목마스터!$C$3:$C$102,MATCH($D238,품목마스터!$A$3:$A$102,0)),""))</f>
        <v/>
      </c>
      <c r="G238" s="13" t="str">
        <f aca="false">IF($D238="","",IFERROR(INDEX(품목마스터!$D$3:$D$102,MATCH($D238,품목마스터!$A$3:$A$102,0)),0))</f>
        <v/>
      </c>
      <c r="H238" s="11"/>
      <c r="I238" s="19" t="str">
        <f aca="false">IF(OR($G238="",$H238=""),"",ROUND($G238*$H238,0))</f>
        <v/>
      </c>
      <c r="J238" s="12"/>
      <c r="K238" s="11"/>
      <c r="L238" s="18" t="str">
        <f aca="false">IF($A238="","",COUNTIFS($A$3:$A238,$A238))</f>
        <v/>
      </c>
      <c r="M238" s="18" t="str">
        <f aca="false">IF($A238="","",$A238&amp;"|"&amp;$L238)</f>
        <v/>
      </c>
      <c r="N238" s="18" t="str">
        <f aca="false">IF(OR($A238="",UPPER($J238)&lt;&gt;"Y"),"",$A238&amp;"#"&amp;COUNTIFS($A$3:$A238,$A238,$J$3:$J238,"Y"))</f>
        <v/>
      </c>
    </row>
    <row r="239" customFormat="false" ht="15" hidden="false" customHeight="true" outlineLevel="0" collapsed="false">
      <c r="A239" s="11"/>
      <c r="B239" s="17"/>
      <c r="C239" s="12"/>
      <c r="D239" s="12"/>
      <c r="E239" s="18" t="str">
        <f aca="false">IF($D239="","",IFERROR(INDEX(품목마스터!$B$3:$B$102,MATCH($D239,품목마스터!$A$3:$A$102,0)),""))</f>
        <v/>
      </c>
      <c r="F239" s="18" t="str">
        <f aca="false">IF($D239="","",IFERROR(INDEX(품목마스터!$C$3:$C$102,MATCH($D239,품목마스터!$A$3:$A$102,0)),""))</f>
        <v/>
      </c>
      <c r="G239" s="13" t="str">
        <f aca="false">IF($D239="","",IFERROR(INDEX(품목마스터!$D$3:$D$102,MATCH($D239,품목마스터!$A$3:$A$102,0)),0))</f>
        <v/>
      </c>
      <c r="H239" s="11"/>
      <c r="I239" s="19" t="str">
        <f aca="false">IF(OR($G239="",$H239=""),"",ROUND($G239*$H239,0))</f>
        <v/>
      </c>
      <c r="J239" s="12"/>
      <c r="K239" s="11"/>
      <c r="L239" s="18" t="str">
        <f aca="false">IF($A239="","",COUNTIFS($A$3:$A239,$A239))</f>
        <v/>
      </c>
      <c r="M239" s="18" t="str">
        <f aca="false">IF($A239="","",$A239&amp;"|"&amp;$L239)</f>
        <v/>
      </c>
      <c r="N239" s="18" t="str">
        <f aca="false">IF(OR($A239="",UPPER($J239)&lt;&gt;"Y"),"",$A239&amp;"#"&amp;COUNTIFS($A$3:$A239,$A239,$J$3:$J239,"Y"))</f>
        <v/>
      </c>
    </row>
    <row r="240" customFormat="false" ht="15" hidden="false" customHeight="true" outlineLevel="0" collapsed="false">
      <c r="A240" s="11"/>
      <c r="B240" s="17"/>
      <c r="C240" s="12"/>
      <c r="D240" s="12"/>
      <c r="E240" s="18" t="str">
        <f aca="false">IF($D240="","",IFERROR(INDEX(품목마스터!$B$3:$B$102,MATCH($D240,품목마스터!$A$3:$A$102,0)),""))</f>
        <v/>
      </c>
      <c r="F240" s="18" t="str">
        <f aca="false">IF($D240="","",IFERROR(INDEX(품목마스터!$C$3:$C$102,MATCH($D240,품목마스터!$A$3:$A$102,0)),""))</f>
        <v/>
      </c>
      <c r="G240" s="13" t="str">
        <f aca="false">IF($D240="","",IFERROR(INDEX(품목마스터!$D$3:$D$102,MATCH($D240,품목마스터!$A$3:$A$102,0)),0))</f>
        <v/>
      </c>
      <c r="H240" s="11"/>
      <c r="I240" s="19" t="str">
        <f aca="false">IF(OR($G240="",$H240=""),"",ROUND($G240*$H240,0))</f>
        <v/>
      </c>
      <c r="J240" s="12"/>
      <c r="K240" s="11"/>
      <c r="L240" s="18" t="str">
        <f aca="false">IF($A240="","",COUNTIFS($A$3:$A240,$A240))</f>
        <v/>
      </c>
      <c r="M240" s="18" t="str">
        <f aca="false">IF($A240="","",$A240&amp;"|"&amp;$L240)</f>
        <v/>
      </c>
      <c r="N240" s="18" t="str">
        <f aca="false">IF(OR($A240="",UPPER($J240)&lt;&gt;"Y"),"",$A240&amp;"#"&amp;COUNTIFS($A$3:$A240,$A240,$J$3:$J240,"Y"))</f>
        <v/>
      </c>
    </row>
    <row r="241" customFormat="false" ht="15" hidden="false" customHeight="true" outlineLevel="0" collapsed="false">
      <c r="A241" s="11"/>
      <c r="B241" s="17"/>
      <c r="C241" s="12"/>
      <c r="D241" s="12"/>
      <c r="E241" s="18" t="str">
        <f aca="false">IF($D241="","",IFERROR(INDEX(품목마스터!$B$3:$B$102,MATCH($D241,품목마스터!$A$3:$A$102,0)),""))</f>
        <v/>
      </c>
      <c r="F241" s="18" t="str">
        <f aca="false">IF($D241="","",IFERROR(INDEX(품목마스터!$C$3:$C$102,MATCH($D241,품목마스터!$A$3:$A$102,0)),""))</f>
        <v/>
      </c>
      <c r="G241" s="13" t="str">
        <f aca="false">IF($D241="","",IFERROR(INDEX(품목마스터!$D$3:$D$102,MATCH($D241,품목마스터!$A$3:$A$102,0)),0))</f>
        <v/>
      </c>
      <c r="H241" s="11"/>
      <c r="I241" s="19" t="str">
        <f aca="false">IF(OR($G241="",$H241=""),"",ROUND($G241*$H241,0))</f>
        <v/>
      </c>
      <c r="J241" s="12"/>
      <c r="K241" s="11"/>
      <c r="L241" s="18" t="str">
        <f aca="false">IF($A241="","",COUNTIFS($A$3:$A241,$A241))</f>
        <v/>
      </c>
      <c r="M241" s="18" t="str">
        <f aca="false">IF($A241="","",$A241&amp;"|"&amp;$L241)</f>
        <v/>
      </c>
      <c r="N241" s="18" t="str">
        <f aca="false">IF(OR($A241="",UPPER($J241)&lt;&gt;"Y"),"",$A241&amp;"#"&amp;COUNTIFS($A$3:$A241,$A241,$J$3:$J241,"Y"))</f>
        <v/>
      </c>
    </row>
    <row r="242" customFormat="false" ht="15" hidden="false" customHeight="true" outlineLevel="0" collapsed="false">
      <c r="A242" s="11"/>
      <c r="B242" s="17"/>
      <c r="C242" s="12"/>
      <c r="D242" s="12"/>
      <c r="E242" s="18" t="str">
        <f aca="false">IF($D242="","",IFERROR(INDEX(품목마스터!$B$3:$B$102,MATCH($D242,품목마스터!$A$3:$A$102,0)),""))</f>
        <v/>
      </c>
      <c r="F242" s="18" t="str">
        <f aca="false">IF($D242="","",IFERROR(INDEX(품목마스터!$C$3:$C$102,MATCH($D242,품목마스터!$A$3:$A$102,0)),""))</f>
        <v/>
      </c>
      <c r="G242" s="13" t="str">
        <f aca="false">IF($D242="","",IFERROR(INDEX(품목마스터!$D$3:$D$102,MATCH($D242,품목마스터!$A$3:$A$102,0)),0))</f>
        <v/>
      </c>
      <c r="H242" s="11"/>
      <c r="I242" s="19" t="str">
        <f aca="false">IF(OR($G242="",$H242=""),"",ROUND($G242*$H242,0))</f>
        <v/>
      </c>
      <c r="J242" s="12"/>
      <c r="K242" s="11"/>
      <c r="L242" s="18" t="str">
        <f aca="false">IF($A242="","",COUNTIFS($A$3:$A242,$A242))</f>
        <v/>
      </c>
      <c r="M242" s="18" t="str">
        <f aca="false">IF($A242="","",$A242&amp;"|"&amp;$L242)</f>
        <v/>
      </c>
      <c r="N242" s="18" t="str">
        <f aca="false">IF(OR($A242="",UPPER($J242)&lt;&gt;"Y"),"",$A242&amp;"#"&amp;COUNTIFS($A$3:$A242,$A242,$J$3:$J242,"Y"))</f>
        <v/>
      </c>
    </row>
    <row r="243" customFormat="false" ht="15" hidden="false" customHeight="true" outlineLevel="0" collapsed="false">
      <c r="A243" s="11"/>
      <c r="B243" s="17"/>
      <c r="C243" s="12"/>
      <c r="D243" s="12"/>
      <c r="E243" s="18" t="str">
        <f aca="false">IF($D243="","",IFERROR(INDEX(품목마스터!$B$3:$B$102,MATCH($D243,품목마스터!$A$3:$A$102,0)),""))</f>
        <v/>
      </c>
      <c r="F243" s="18" t="str">
        <f aca="false">IF($D243="","",IFERROR(INDEX(품목마스터!$C$3:$C$102,MATCH($D243,품목마스터!$A$3:$A$102,0)),""))</f>
        <v/>
      </c>
      <c r="G243" s="13" t="str">
        <f aca="false">IF($D243="","",IFERROR(INDEX(품목마스터!$D$3:$D$102,MATCH($D243,품목마스터!$A$3:$A$102,0)),0))</f>
        <v/>
      </c>
      <c r="H243" s="11"/>
      <c r="I243" s="19" t="str">
        <f aca="false">IF(OR($G243="",$H243=""),"",ROUND($G243*$H243,0))</f>
        <v/>
      </c>
      <c r="J243" s="12"/>
      <c r="K243" s="11"/>
      <c r="L243" s="18" t="str">
        <f aca="false">IF($A243="","",COUNTIFS($A$3:$A243,$A243))</f>
        <v/>
      </c>
      <c r="M243" s="18" t="str">
        <f aca="false">IF($A243="","",$A243&amp;"|"&amp;$L243)</f>
        <v/>
      </c>
      <c r="N243" s="18" t="str">
        <f aca="false">IF(OR($A243="",UPPER($J243)&lt;&gt;"Y"),"",$A243&amp;"#"&amp;COUNTIFS($A$3:$A243,$A243,$J$3:$J243,"Y"))</f>
        <v/>
      </c>
    </row>
    <row r="244" customFormat="false" ht="15" hidden="false" customHeight="true" outlineLevel="0" collapsed="false">
      <c r="A244" s="11"/>
      <c r="B244" s="17"/>
      <c r="C244" s="12"/>
      <c r="D244" s="12"/>
      <c r="E244" s="18" t="str">
        <f aca="false">IF($D244="","",IFERROR(INDEX(품목마스터!$B$3:$B$102,MATCH($D244,품목마스터!$A$3:$A$102,0)),""))</f>
        <v/>
      </c>
      <c r="F244" s="18" t="str">
        <f aca="false">IF($D244="","",IFERROR(INDEX(품목마스터!$C$3:$C$102,MATCH($D244,품목마스터!$A$3:$A$102,0)),""))</f>
        <v/>
      </c>
      <c r="G244" s="13" t="str">
        <f aca="false">IF($D244="","",IFERROR(INDEX(품목마스터!$D$3:$D$102,MATCH($D244,품목마스터!$A$3:$A$102,0)),0))</f>
        <v/>
      </c>
      <c r="H244" s="11"/>
      <c r="I244" s="19" t="str">
        <f aca="false">IF(OR($G244="",$H244=""),"",ROUND($G244*$H244,0))</f>
        <v/>
      </c>
      <c r="J244" s="12"/>
      <c r="K244" s="11"/>
      <c r="L244" s="18" t="str">
        <f aca="false">IF($A244="","",COUNTIFS($A$3:$A244,$A244))</f>
        <v/>
      </c>
      <c r="M244" s="18" t="str">
        <f aca="false">IF($A244="","",$A244&amp;"|"&amp;$L244)</f>
        <v/>
      </c>
      <c r="N244" s="18" t="str">
        <f aca="false">IF(OR($A244="",UPPER($J244)&lt;&gt;"Y"),"",$A244&amp;"#"&amp;COUNTIFS($A$3:$A244,$A244,$J$3:$J244,"Y"))</f>
        <v/>
      </c>
    </row>
    <row r="245" customFormat="false" ht="15" hidden="false" customHeight="true" outlineLevel="0" collapsed="false">
      <c r="A245" s="11"/>
      <c r="B245" s="17"/>
      <c r="C245" s="12"/>
      <c r="D245" s="12"/>
      <c r="E245" s="18" t="str">
        <f aca="false">IF($D245="","",IFERROR(INDEX(품목마스터!$B$3:$B$102,MATCH($D245,품목마스터!$A$3:$A$102,0)),""))</f>
        <v/>
      </c>
      <c r="F245" s="18" t="str">
        <f aca="false">IF($D245="","",IFERROR(INDEX(품목마스터!$C$3:$C$102,MATCH($D245,품목마스터!$A$3:$A$102,0)),""))</f>
        <v/>
      </c>
      <c r="G245" s="13" t="str">
        <f aca="false">IF($D245="","",IFERROR(INDEX(품목마스터!$D$3:$D$102,MATCH($D245,품목마스터!$A$3:$A$102,0)),0))</f>
        <v/>
      </c>
      <c r="H245" s="11"/>
      <c r="I245" s="19" t="str">
        <f aca="false">IF(OR($G245="",$H245=""),"",ROUND($G245*$H245,0))</f>
        <v/>
      </c>
      <c r="J245" s="12"/>
      <c r="K245" s="11"/>
      <c r="L245" s="18" t="str">
        <f aca="false">IF($A245="","",COUNTIFS($A$3:$A245,$A245))</f>
        <v/>
      </c>
      <c r="M245" s="18" t="str">
        <f aca="false">IF($A245="","",$A245&amp;"|"&amp;$L245)</f>
        <v/>
      </c>
      <c r="N245" s="18" t="str">
        <f aca="false">IF(OR($A245="",UPPER($J245)&lt;&gt;"Y"),"",$A245&amp;"#"&amp;COUNTIFS($A$3:$A245,$A245,$J$3:$J245,"Y"))</f>
        <v/>
      </c>
    </row>
    <row r="246" customFormat="false" ht="15" hidden="false" customHeight="true" outlineLevel="0" collapsed="false">
      <c r="A246" s="11"/>
      <c r="B246" s="17"/>
      <c r="C246" s="12"/>
      <c r="D246" s="12"/>
      <c r="E246" s="18" t="str">
        <f aca="false">IF($D246="","",IFERROR(INDEX(품목마스터!$B$3:$B$102,MATCH($D246,품목마스터!$A$3:$A$102,0)),""))</f>
        <v/>
      </c>
      <c r="F246" s="18" t="str">
        <f aca="false">IF($D246="","",IFERROR(INDEX(품목마스터!$C$3:$C$102,MATCH($D246,품목마스터!$A$3:$A$102,0)),""))</f>
        <v/>
      </c>
      <c r="G246" s="13" t="str">
        <f aca="false">IF($D246="","",IFERROR(INDEX(품목마스터!$D$3:$D$102,MATCH($D246,품목마스터!$A$3:$A$102,0)),0))</f>
        <v/>
      </c>
      <c r="H246" s="11"/>
      <c r="I246" s="19" t="str">
        <f aca="false">IF(OR($G246="",$H246=""),"",ROUND($G246*$H246,0))</f>
        <v/>
      </c>
      <c r="J246" s="12"/>
      <c r="K246" s="11"/>
      <c r="L246" s="18" t="str">
        <f aca="false">IF($A246="","",COUNTIFS($A$3:$A246,$A246))</f>
        <v/>
      </c>
      <c r="M246" s="18" t="str">
        <f aca="false">IF($A246="","",$A246&amp;"|"&amp;$L246)</f>
        <v/>
      </c>
      <c r="N246" s="18" t="str">
        <f aca="false">IF(OR($A246="",UPPER($J246)&lt;&gt;"Y"),"",$A246&amp;"#"&amp;COUNTIFS($A$3:$A246,$A246,$J$3:$J246,"Y"))</f>
        <v/>
      </c>
    </row>
    <row r="247" customFormat="false" ht="15" hidden="false" customHeight="true" outlineLevel="0" collapsed="false">
      <c r="A247" s="11"/>
      <c r="B247" s="17"/>
      <c r="C247" s="12"/>
      <c r="D247" s="12"/>
      <c r="E247" s="18" t="str">
        <f aca="false">IF($D247="","",IFERROR(INDEX(품목마스터!$B$3:$B$102,MATCH($D247,품목마스터!$A$3:$A$102,0)),""))</f>
        <v/>
      </c>
      <c r="F247" s="18" t="str">
        <f aca="false">IF($D247="","",IFERROR(INDEX(품목마스터!$C$3:$C$102,MATCH($D247,품목마스터!$A$3:$A$102,0)),""))</f>
        <v/>
      </c>
      <c r="G247" s="13" t="str">
        <f aca="false">IF($D247="","",IFERROR(INDEX(품목마스터!$D$3:$D$102,MATCH($D247,품목마스터!$A$3:$A$102,0)),0))</f>
        <v/>
      </c>
      <c r="H247" s="11"/>
      <c r="I247" s="19" t="str">
        <f aca="false">IF(OR($G247="",$H247=""),"",ROUND($G247*$H247,0))</f>
        <v/>
      </c>
      <c r="J247" s="12"/>
      <c r="K247" s="11"/>
      <c r="L247" s="18" t="str">
        <f aca="false">IF($A247="","",COUNTIFS($A$3:$A247,$A247))</f>
        <v/>
      </c>
      <c r="M247" s="18" t="str">
        <f aca="false">IF($A247="","",$A247&amp;"|"&amp;$L247)</f>
        <v/>
      </c>
      <c r="N247" s="18" t="str">
        <f aca="false">IF(OR($A247="",UPPER($J247)&lt;&gt;"Y"),"",$A247&amp;"#"&amp;COUNTIFS($A$3:$A247,$A247,$J$3:$J247,"Y"))</f>
        <v/>
      </c>
    </row>
    <row r="248" customFormat="false" ht="15" hidden="false" customHeight="true" outlineLevel="0" collapsed="false">
      <c r="A248" s="11"/>
      <c r="B248" s="17"/>
      <c r="C248" s="12"/>
      <c r="D248" s="12"/>
      <c r="E248" s="18" t="str">
        <f aca="false">IF($D248="","",IFERROR(INDEX(품목마스터!$B$3:$B$102,MATCH($D248,품목마스터!$A$3:$A$102,0)),""))</f>
        <v/>
      </c>
      <c r="F248" s="18" t="str">
        <f aca="false">IF($D248="","",IFERROR(INDEX(품목마스터!$C$3:$C$102,MATCH($D248,품목마스터!$A$3:$A$102,0)),""))</f>
        <v/>
      </c>
      <c r="G248" s="13" t="str">
        <f aca="false">IF($D248="","",IFERROR(INDEX(품목마스터!$D$3:$D$102,MATCH($D248,품목마스터!$A$3:$A$102,0)),0))</f>
        <v/>
      </c>
      <c r="H248" s="11"/>
      <c r="I248" s="19" t="str">
        <f aca="false">IF(OR($G248="",$H248=""),"",ROUND($G248*$H248,0))</f>
        <v/>
      </c>
      <c r="J248" s="12"/>
      <c r="K248" s="11"/>
      <c r="L248" s="18" t="str">
        <f aca="false">IF($A248="","",COUNTIFS($A$3:$A248,$A248))</f>
        <v/>
      </c>
      <c r="M248" s="18" t="str">
        <f aca="false">IF($A248="","",$A248&amp;"|"&amp;$L248)</f>
        <v/>
      </c>
      <c r="N248" s="18" t="str">
        <f aca="false">IF(OR($A248="",UPPER($J248)&lt;&gt;"Y"),"",$A248&amp;"#"&amp;COUNTIFS($A$3:$A248,$A248,$J$3:$J248,"Y"))</f>
        <v/>
      </c>
    </row>
    <row r="249" customFormat="false" ht="15" hidden="false" customHeight="true" outlineLevel="0" collapsed="false">
      <c r="A249" s="11"/>
      <c r="B249" s="17"/>
      <c r="C249" s="12"/>
      <c r="D249" s="12"/>
      <c r="E249" s="18" t="str">
        <f aca="false">IF($D249="","",IFERROR(INDEX(품목마스터!$B$3:$B$102,MATCH($D249,품목마스터!$A$3:$A$102,0)),""))</f>
        <v/>
      </c>
      <c r="F249" s="18" t="str">
        <f aca="false">IF($D249="","",IFERROR(INDEX(품목마스터!$C$3:$C$102,MATCH($D249,품목마스터!$A$3:$A$102,0)),""))</f>
        <v/>
      </c>
      <c r="G249" s="13" t="str">
        <f aca="false">IF($D249="","",IFERROR(INDEX(품목마스터!$D$3:$D$102,MATCH($D249,품목마스터!$A$3:$A$102,0)),0))</f>
        <v/>
      </c>
      <c r="H249" s="11"/>
      <c r="I249" s="19" t="str">
        <f aca="false">IF(OR($G249="",$H249=""),"",ROUND($G249*$H249,0))</f>
        <v/>
      </c>
      <c r="J249" s="12"/>
      <c r="K249" s="11"/>
      <c r="L249" s="18" t="str">
        <f aca="false">IF($A249="","",COUNTIFS($A$3:$A249,$A249))</f>
        <v/>
      </c>
      <c r="M249" s="18" t="str">
        <f aca="false">IF($A249="","",$A249&amp;"|"&amp;$L249)</f>
        <v/>
      </c>
      <c r="N249" s="18" t="str">
        <f aca="false">IF(OR($A249="",UPPER($J249)&lt;&gt;"Y"),"",$A249&amp;"#"&amp;COUNTIFS($A$3:$A249,$A249,$J$3:$J249,"Y"))</f>
        <v/>
      </c>
    </row>
    <row r="250" customFormat="false" ht="15" hidden="false" customHeight="true" outlineLevel="0" collapsed="false">
      <c r="A250" s="11"/>
      <c r="B250" s="17"/>
      <c r="C250" s="12"/>
      <c r="D250" s="12"/>
      <c r="E250" s="18" t="str">
        <f aca="false">IF($D250="","",IFERROR(INDEX(품목마스터!$B$3:$B$102,MATCH($D250,품목마스터!$A$3:$A$102,0)),""))</f>
        <v/>
      </c>
      <c r="F250" s="18" t="str">
        <f aca="false">IF($D250="","",IFERROR(INDEX(품목마스터!$C$3:$C$102,MATCH($D250,품목마스터!$A$3:$A$102,0)),""))</f>
        <v/>
      </c>
      <c r="G250" s="13" t="str">
        <f aca="false">IF($D250="","",IFERROR(INDEX(품목마스터!$D$3:$D$102,MATCH($D250,품목마스터!$A$3:$A$102,0)),0))</f>
        <v/>
      </c>
      <c r="H250" s="11"/>
      <c r="I250" s="19" t="str">
        <f aca="false">IF(OR($G250="",$H250=""),"",ROUND($G250*$H250,0))</f>
        <v/>
      </c>
      <c r="J250" s="12"/>
      <c r="K250" s="11"/>
      <c r="L250" s="18" t="str">
        <f aca="false">IF($A250="","",COUNTIFS($A$3:$A250,$A250))</f>
        <v/>
      </c>
      <c r="M250" s="18" t="str">
        <f aca="false">IF($A250="","",$A250&amp;"|"&amp;$L250)</f>
        <v/>
      </c>
      <c r="N250" s="18" t="str">
        <f aca="false">IF(OR($A250="",UPPER($J250)&lt;&gt;"Y"),"",$A250&amp;"#"&amp;COUNTIFS($A$3:$A250,$A250,$J$3:$J250,"Y"))</f>
        <v/>
      </c>
    </row>
    <row r="251" customFormat="false" ht="15" hidden="false" customHeight="true" outlineLevel="0" collapsed="false">
      <c r="A251" s="11"/>
      <c r="B251" s="17"/>
      <c r="C251" s="12"/>
      <c r="D251" s="12"/>
      <c r="E251" s="18" t="str">
        <f aca="false">IF($D251="","",IFERROR(INDEX(품목마스터!$B$3:$B$102,MATCH($D251,품목마스터!$A$3:$A$102,0)),""))</f>
        <v/>
      </c>
      <c r="F251" s="18" t="str">
        <f aca="false">IF($D251="","",IFERROR(INDEX(품목마스터!$C$3:$C$102,MATCH($D251,품목마스터!$A$3:$A$102,0)),""))</f>
        <v/>
      </c>
      <c r="G251" s="13" t="str">
        <f aca="false">IF($D251="","",IFERROR(INDEX(품목마스터!$D$3:$D$102,MATCH($D251,품목마스터!$A$3:$A$102,0)),0))</f>
        <v/>
      </c>
      <c r="H251" s="11"/>
      <c r="I251" s="19" t="str">
        <f aca="false">IF(OR($G251="",$H251=""),"",ROUND($G251*$H251,0))</f>
        <v/>
      </c>
      <c r="J251" s="12"/>
      <c r="K251" s="11"/>
      <c r="L251" s="18" t="str">
        <f aca="false">IF($A251="","",COUNTIFS($A$3:$A251,$A251))</f>
        <v/>
      </c>
      <c r="M251" s="18" t="str">
        <f aca="false">IF($A251="","",$A251&amp;"|"&amp;$L251)</f>
        <v/>
      </c>
      <c r="N251" s="18" t="str">
        <f aca="false">IF(OR($A251="",UPPER($J251)&lt;&gt;"Y"),"",$A251&amp;"#"&amp;COUNTIFS($A$3:$A251,$A251,$J$3:$J251,"Y"))</f>
        <v/>
      </c>
    </row>
    <row r="252" customFormat="false" ht="15" hidden="false" customHeight="true" outlineLevel="0" collapsed="false">
      <c r="A252" s="11"/>
      <c r="B252" s="17"/>
      <c r="C252" s="12"/>
      <c r="D252" s="12"/>
      <c r="E252" s="18" t="str">
        <f aca="false">IF($D252="","",IFERROR(INDEX(품목마스터!$B$3:$B$102,MATCH($D252,품목마스터!$A$3:$A$102,0)),""))</f>
        <v/>
      </c>
      <c r="F252" s="18" t="str">
        <f aca="false">IF($D252="","",IFERROR(INDEX(품목마스터!$C$3:$C$102,MATCH($D252,품목마스터!$A$3:$A$102,0)),""))</f>
        <v/>
      </c>
      <c r="G252" s="13" t="str">
        <f aca="false">IF($D252="","",IFERROR(INDEX(품목마스터!$D$3:$D$102,MATCH($D252,품목마스터!$A$3:$A$102,0)),0))</f>
        <v/>
      </c>
      <c r="H252" s="11"/>
      <c r="I252" s="19" t="str">
        <f aca="false">IF(OR($G252="",$H252=""),"",ROUND($G252*$H252,0))</f>
        <v/>
      </c>
      <c r="J252" s="12"/>
      <c r="K252" s="11"/>
      <c r="L252" s="18" t="str">
        <f aca="false">IF($A252="","",COUNTIFS($A$3:$A252,$A252))</f>
        <v/>
      </c>
      <c r="M252" s="18" t="str">
        <f aca="false">IF($A252="","",$A252&amp;"|"&amp;$L252)</f>
        <v/>
      </c>
      <c r="N252" s="18" t="str">
        <f aca="false">IF(OR($A252="",UPPER($J252)&lt;&gt;"Y"),"",$A252&amp;"#"&amp;COUNTIFS($A$3:$A252,$A252,$J$3:$J252,"Y"))</f>
        <v/>
      </c>
    </row>
    <row r="253" customFormat="false" ht="15" hidden="false" customHeight="true" outlineLevel="0" collapsed="false">
      <c r="A253" s="11"/>
      <c r="B253" s="17"/>
      <c r="C253" s="12"/>
      <c r="D253" s="12"/>
      <c r="E253" s="18" t="str">
        <f aca="false">IF($D253="","",IFERROR(INDEX(품목마스터!$B$3:$B$102,MATCH($D253,품목마스터!$A$3:$A$102,0)),""))</f>
        <v/>
      </c>
      <c r="F253" s="18" t="str">
        <f aca="false">IF($D253="","",IFERROR(INDEX(품목마스터!$C$3:$C$102,MATCH($D253,품목마스터!$A$3:$A$102,0)),""))</f>
        <v/>
      </c>
      <c r="G253" s="13" t="str">
        <f aca="false">IF($D253="","",IFERROR(INDEX(품목마스터!$D$3:$D$102,MATCH($D253,품목마스터!$A$3:$A$102,0)),0))</f>
        <v/>
      </c>
      <c r="H253" s="11"/>
      <c r="I253" s="19" t="str">
        <f aca="false">IF(OR($G253="",$H253=""),"",ROUND($G253*$H253,0))</f>
        <v/>
      </c>
      <c r="J253" s="12"/>
      <c r="K253" s="11"/>
      <c r="L253" s="18" t="str">
        <f aca="false">IF($A253="","",COUNTIFS($A$3:$A253,$A253))</f>
        <v/>
      </c>
      <c r="M253" s="18" t="str">
        <f aca="false">IF($A253="","",$A253&amp;"|"&amp;$L253)</f>
        <v/>
      </c>
      <c r="N253" s="18" t="str">
        <f aca="false">IF(OR($A253="",UPPER($J253)&lt;&gt;"Y"),"",$A253&amp;"#"&amp;COUNTIFS($A$3:$A253,$A253,$J$3:$J253,"Y"))</f>
        <v/>
      </c>
    </row>
    <row r="254" customFormat="false" ht="15" hidden="false" customHeight="true" outlineLevel="0" collapsed="false">
      <c r="A254" s="11"/>
      <c r="B254" s="17"/>
      <c r="C254" s="12"/>
      <c r="D254" s="12"/>
      <c r="E254" s="18" t="str">
        <f aca="false">IF($D254="","",IFERROR(INDEX(품목마스터!$B$3:$B$102,MATCH($D254,품목마스터!$A$3:$A$102,0)),""))</f>
        <v/>
      </c>
      <c r="F254" s="18" t="str">
        <f aca="false">IF($D254="","",IFERROR(INDEX(품목마스터!$C$3:$C$102,MATCH($D254,품목마스터!$A$3:$A$102,0)),""))</f>
        <v/>
      </c>
      <c r="G254" s="13" t="str">
        <f aca="false">IF($D254="","",IFERROR(INDEX(품목마스터!$D$3:$D$102,MATCH($D254,품목마스터!$A$3:$A$102,0)),0))</f>
        <v/>
      </c>
      <c r="H254" s="11"/>
      <c r="I254" s="19" t="str">
        <f aca="false">IF(OR($G254="",$H254=""),"",ROUND($G254*$H254,0))</f>
        <v/>
      </c>
      <c r="J254" s="12"/>
      <c r="K254" s="11"/>
      <c r="L254" s="18" t="str">
        <f aca="false">IF($A254="","",COUNTIFS($A$3:$A254,$A254))</f>
        <v/>
      </c>
      <c r="M254" s="18" t="str">
        <f aca="false">IF($A254="","",$A254&amp;"|"&amp;$L254)</f>
        <v/>
      </c>
      <c r="N254" s="18" t="str">
        <f aca="false">IF(OR($A254="",UPPER($J254)&lt;&gt;"Y"),"",$A254&amp;"#"&amp;COUNTIFS($A$3:$A254,$A254,$J$3:$J254,"Y"))</f>
        <v/>
      </c>
    </row>
    <row r="255" customFormat="false" ht="15" hidden="false" customHeight="true" outlineLevel="0" collapsed="false">
      <c r="A255" s="11"/>
      <c r="B255" s="17"/>
      <c r="C255" s="12"/>
      <c r="D255" s="12"/>
      <c r="E255" s="18" t="str">
        <f aca="false">IF($D255="","",IFERROR(INDEX(품목마스터!$B$3:$B$102,MATCH($D255,품목마스터!$A$3:$A$102,0)),""))</f>
        <v/>
      </c>
      <c r="F255" s="18" t="str">
        <f aca="false">IF($D255="","",IFERROR(INDEX(품목마스터!$C$3:$C$102,MATCH($D255,품목마스터!$A$3:$A$102,0)),""))</f>
        <v/>
      </c>
      <c r="G255" s="13" t="str">
        <f aca="false">IF($D255="","",IFERROR(INDEX(품목마스터!$D$3:$D$102,MATCH($D255,품목마스터!$A$3:$A$102,0)),0))</f>
        <v/>
      </c>
      <c r="H255" s="11"/>
      <c r="I255" s="19" t="str">
        <f aca="false">IF(OR($G255="",$H255=""),"",ROUND($G255*$H255,0))</f>
        <v/>
      </c>
      <c r="J255" s="12"/>
      <c r="K255" s="11"/>
      <c r="L255" s="18" t="str">
        <f aca="false">IF($A255="","",COUNTIFS($A$3:$A255,$A255))</f>
        <v/>
      </c>
      <c r="M255" s="18" t="str">
        <f aca="false">IF($A255="","",$A255&amp;"|"&amp;$L255)</f>
        <v/>
      </c>
      <c r="N255" s="18" t="str">
        <f aca="false">IF(OR($A255="",UPPER($J255)&lt;&gt;"Y"),"",$A255&amp;"#"&amp;COUNTIFS($A$3:$A255,$A255,$J$3:$J255,"Y"))</f>
        <v/>
      </c>
    </row>
    <row r="256" customFormat="false" ht="15" hidden="false" customHeight="true" outlineLevel="0" collapsed="false">
      <c r="A256" s="11"/>
      <c r="B256" s="17"/>
      <c r="C256" s="12"/>
      <c r="D256" s="12"/>
      <c r="E256" s="18" t="str">
        <f aca="false">IF($D256="","",IFERROR(INDEX(품목마스터!$B$3:$B$102,MATCH($D256,품목마스터!$A$3:$A$102,0)),""))</f>
        <v/>
      </c>
      <c r="F256" s="18" t="str">
        <f aca="false">IF($D256="","",IFERROR(INDEX(품목마스터!$C$3:$C$102,MATCH($D256,품목마스터!$A$3:$A$102,0)),""))</f>
        <v/>
      </c>
      <c r="G256" s="13" t="str">
        <f aca="false">IF($D256="","",IFERROR(INDEX(품목마스터!$D$3:$D$102,MATCH($D256,품목마스터!$A$3:$A$102,0)),0))</f>
        <v/>
      </c>
      <c r="H256" s="11"/>
      <c r="I256" s="19" t="str">
        <f aca="false">IF(OR($G256="",$H256=""),"",ROUND($G256*$H256,0))</f>
        <v/>
      </c>
      <c r="J256" s="12"/>
      <c r="K256" s="11"/>
      <c r="L256" s="18" t="str">
        <f aca="false">IF($A256="","",COUNTIFS($A$3:$A256,$A256))</f>
        <v/>
      </c>
      <c r="M256" s="18" t="str">
        <f aca="false">IF($A256="","",$A256&amp;"|"&amp;$L256)</f>
        <v/>
      </c>
      <c r="N256" s="18" t="str">
        <f aca="false">IF(OR($A256="",UPPER($J256)&lt;&gt;"Y"),"",$A256&amp;"#"&amp;COUNTIFS($A$3:$A256,$A256,$J$3:$J256,"Y"))</f>
        <v/>
      </c>
    </row>
    <row r="257" customFormat="false" ht="15" hidden="false" customHeight="true" outlineLevel="0" collapsed="false">
      <c r="A257" s="11"/>
      <c r="B257" s="17"/>
      <c r="C257" s="12"/>
      <c r="D257" s="12"/>
      <c r="E257" s="18" t="str">
        <f aca="false">IF($D257="","",IFERROR(INDEX(품목마스터!$B$3:$B$102,MATCH($D257,품목마스터!$A$3:$A$102,0)),""))</f>
        <v/>
      </c>
      <c r="F257" s="18" t="str">
        <f aca="false">IF($D257="","",IFERROR(INDEX(품목마스터!$C$3:$C$102,MATCH($D257,품목마스터!$A$3:$A$102,0)),""))</f>
        <v/>
      </c>
      <c r="G257" s="13" t="str">
        <f aca="false">IF($D257="","",IFERROR(INDEX(품목마스터!$D$3:$D$102,MATCH($D257,품목마스터!$A$3:$A$102,0)),0))</f>
        <v/>
      </c>
      <c r="H257" s="11"/>
      <c r="I257" s="19" t="str">
        <f aca="false">IF(OR($G257="",$H257=""),"",ROUND($G257*$H257,0))</f>
        <v/>
      </c>
      <c r="J257" s="12"/>
      <c r="K257" s="11"/>
      <c r="L257" s="18" t="str">
        <f aca="false">IF($A257="","",COUNTIFS($A$3:$A257,$A257))</f>
        <v/>
      </c>
      <c r="M257" s="18" t="str">
        <f aca="false">IF($A257="","",$A257&amp;"|"&amp;$L257)</f>
        <v/>
      </c>
      <c r="N257" s="18" t="str">
        <f aca="false">IF(OR($A257="",UPPER($J257)&lt;&gt;"Y"),"",$A257&amp;"#"&amp;COUNTIFS($A$3:$A257,$A257,$J$3:$J257,"Y"))</f>
        <v/>
      </c>
    </row>
    <row r="258" customFormat="false" ht="15" hidden="false" customHeight="true" outlineLevel="0" collapsed="false">
      <c r="A258" s="11"/>
      <c r="B258" s="17"/>
      <c r="C258" s="12"/>
      <c r="D258" s="12"/>
      <c r="E258" s="18" t="str">
        <f aca="false">IF($D258="","",IFERROR(INDEX(품목마스터!$B$3:$B$102,MATCH($D258,품목마스터!$A$3:$A$102,0)),""))</f>
        <v/>
      </c>
      <c r="F258" s="18" t="str">
        <f aca="false">IF($D258="","",IFERROR(INDEX(품목마스터!$C$3:$C$102,MATCH($D258,품목마스터!$A$3:$A$102,0)),""))</f>
        <v/>
      </c>
      <c r="G258" s="13" t="str">
        <f aca="false">IF($D258="","",IFERROR(INDEX(품목마스터!$D$3:$D$102,MATCH($D258,품목마스터!$A$3:$A$102,0)),0))</f>
        <v/>
      </c>
      <c r="H258" s="11"/>
      <c r="I258" s="19" t="str">
        <f aca="false">IF(OR($G258="",$H258=""),"",ROUND($G258*$H258,0))</f>
        <v/>
      </c>
      <c r="J258" s="12"/>
      <c r="K258" s="11"/>
      <c r="L258" s="18" t="str">
        <f aca="false">IF($A258="","",COUNTIFS($A$3:$A258,$A258))</f>
        <v/>
      </c>
      <c r="M258" s="18" t="str">
        <f aca="false">IF($A258="","",$A258&amp;"|"&amp;$L258)</f>
        <v/>
      </c>
      <c r="N258" s="18" t="str">
        <f aca="false">IF(OR($A258="",UPPER($J258)&lt;&gt;"Y"),"",$A258&amp;"#"&amp;COUNTIFS($A$3:$A258,$A258,$J$3:$J258,"Y"))</f>
        <v/>
      </c>
    </row>
    <row r="259" customFormat="false" ht="15" hidden="false" customHeight="true" outlineLevel="0" collapsed="false">
      <c r="A259" s="11"/>
      <c r="B259" s="17"/>
      <c r="C259" s="12"/>
      <c r="D259" s="12"/>
      <c r="E259" s="18" t="str">
        <f aca="false">IF($D259="","",IFERROR(INDEX(품목마스터!$B$3:$B$102,MATCH($D259,품목마스터!$A$3:$A$102,0)),""))</f>
        <v/>
      </c>
      <c r="F259" s="18" t="str">
        <f aca="false">IF($D259="","",IFERROR(INDEX(품목마스터!$C$3:$C$102,MATCH($D259,품목마스터!$A$3:$A$102,0)),""))</f>
        <v/>
      </c>
      <c r="G259" s="13" t="str">
        <f aca="false">IF($D259="","",IFERROR(INDEX(품목마스터!$D$3:$D$102,MATCH($D259,품목마스터!$A$3:$A$102,0)),0))</f>
        <v/>
      </c>
      <c r="H259" s="11"/>
      <c r="I259" s="19" t="str">
        <f aca="false">IF(OR($G259="",$H259=""),"",ROUND($G259*$H259,0))</f>
        <v/>
      </c>
      <c r="J259" s="12"/>
      <c r="K259" s="11"/>
      <c r="L259" s="18" t="str">
        <f aca="false">IF($A259="","",COUNTIFS($A$3:$A259,$A259))</f>
        <v/>
      </c>
      <c r="M259" s="18" t="str">
        <f aca="false">IF($A259="","",$A259&amp;"|"&amp;$L259)</f>
        <v/>
      </c>
      <c r="N259" s="18" t="str">
        <f aca="false">IF(OR($A259="",UPPER($J259)&lt;&gt;"Y"),"",$A259&amp;"#"&amp;COUNTIFS($A$3:$A259,$A259,$J$3:$J259,"Y"))</f>
        <v/>
      </c>
    </row>
    <row r="260" customFormat="false" ht="15" hidden="false" customHeight="true" outlineLevel="0" collapsed="false">
      <c r="A260" s="11"/>
      <c r="B260" s="17"/>
      <c r="C260" s="12"/>
      <c r="D260" s="12"/>
      <c r="E260" s="18" t="str">
        <f aca="false">IF($D260="","",IFERROR(INDEX(품목마스터!$B$3:$B$102,MATCH($D260,품목마스터!$A$3:$A$102,0)),""))</f>
        <v/>
      </c>
      <c r="F260" s="18" t="str">
        <f aca="false">IF($D260="","",IFERROR(INDEX(품목마스터!$C$3:$C$102,MATCH($D260,품목마스터!$A$3:$A$102,0)),""))</f>
        <v/>
      </c>
      <c r="G260" s="13" t="str">
        <f aca="false">IF($D260="","",IFERROR(INDEX(품목마스터!$D$3:$D$102,MATCH($D260,품목마스터!$A$3:$A$102,0)),0))</f>
        <v/>
      </c>
      <c r="H260" s="11"/>
      <c r="I260" s="19" t="str">
        <f aca="false">IF(OR($G260="",$H260=""),"",ROUND($G260*$H260,0))</f>
        <v/>
      </c>
      <c r="J260" s="12"/>
      <c r="K260" s="11"/>
      <c r="L260" s="18" t="str">
        <f aca="false">IF($A260="","",COUNTIFS($A$3:$A260,$A260))</f>
        <v/>
      </c>
      <c r="M260" s="18" t="str">
        <f aca="false">IF($A260="","",$A260&amp;"|"&amp;$L260)</f>
        <v/>
      </c>
      <c r="N260" s="18" t="str">
        <f aca="false">IF(OR($A260="",UPPER($J260)&lt;&gt;"Y"),"",$A260&amp;"#"&amp;COUNTIFS($A$3:$A260,$A260,$J$3:$J260,"Y"))</f>
        <v/>
      </c>
    </row>
    <row r="261" customFormat="false" ht="15" hidden="false" customHeight="true" outlineLevel="0" collapsed="false">
      <c r="A261" s="11"/>
      <c r="B261" s="17"/>
      <c r="C261" s="12"/>
      <c r="D261" s="12"/>
      <c r="E261" s="18" t="str">
        <f aca="false">IF($D261="","",IFERROR(INDEX(품목마스터!$B$3:$B$102,MATCH($D261,품목마스터!$A$3:$A$102,0)),""))</f>
        <v/>
      </c>
      <c r="F261" s="18" t="str">
        <f aca="false">IF($D261="","",IFERROR(INDEX(품목마스터!$C$3:$C$102,MATCH($D261,품목마스터!$A$3:$A$102,0)),""))</f>
        <v/>
      </c>
      <c r="G261" s="13" t="str">
        <f aca="false">IF($D261="","",IFERROR(INDEX(품목마스터!$D$3:$D$102,MATCH($D261,품목마스터!$A$3:$A$102,0)),0))</f>
        <v/>
      </c>
      <c r="H261" s="11"/>
      <c r="I261" s="19" t="str">
        <f aca="false">IF(OR($G261="",$H261=""),"",ROUND($G261*$H261,0))</f>
        <v/>
      </c>
      <c r="J261" s="12"/>
      <c r="K261" s="11"/>
      <c r="L261" s="18" t="str">
        <f aca="false">IF($A261="","",COUNTIFS($A$3:$A261,$A261))</f>
        <v/>
      </c>
      <c r="M261" s="18" t="str">
        <f aca="false">IF($A261="","",$A261&amp;"|"&amp;$L261)</f>
        <v/>
      </c>
      <c r="N261" s="18" t="str">
        <f aca="false">IF(OR($A261="",UPPER($J261)&lt;&gt;"Y"),"",$A261&amp;"#"&amp;COUNTIFS($A$3:$A261,$A261,$J$3:$J261,"Y"))</f>
        <v/>
      </c>
    </row>
    <row r="262" customFormat="false" ht="15" hidden="false" customHeight="true" outlineLevel="0" collapsed="false">
      <c r="A262" s="11"/>
      <c r="B262" s="17"/>
      <c r="C262" s="12"/>
      <c r="D262" s="12"/>
      <c r="E262" s="18" t="str">
        <f aca="false">IF($D262="","",IFERROR(INDEX(품목마스터!$B$3:$B$102,MATCH($D262,품목마스터!$A$3:$A$102,0)),""))</f>
        <v/>
      </c>
      <c r="F262" s="18" t="str">
        <f aca="false">IF($D262="","",IFERROR(INDEX(품목마스터!$C$3:$C$102,MATCH($D262,품목마스터!$A$3:$A$102,0)),""))</f>
        <v/>
      </c>
      <c r="G262" s="13" t="str">
        <f aca="false">IF($D262="","",IFERROR(INDEX(품목마스터!$D$3:$D$102,MATCH($D262,품목마스터!$A$3:$A$102,0)),0))</f>
        <v/>
      </c>
      <c r="H262" s="11"/>
      <c r="I262" s="19" t="str">
        <f aca="false">IF(OR($G262="",$H262=""),"",ROUND($G262*$H262,0))</f>
        <v/>
      </c>
      <c r="J262" s="12"/>
      <c r="K262" s="11"/>
      <c r="L262" s="18" t="str">
        <f aca="false">IF($A262="","",COUNTIFS($A$3:$A262,$A262))</f>
        <v/>
      </c>
      <c r="M262" s="18" t="str">
        <f aca="false">IF($A262="","",$A262&amp;"|"&amp;$L262)</f>
        <v/>
      </c>
      <c r="N262" s="18" t="str">
        <f aca="false">IF(OR($A262="",UPPER($J262)&lt;&gt;"Y"),"",$A262&amp;"#"&amp;COUNTIFS($A$3:$A262,$A262,$J$3:$J262,"Y"))</f>
        <v/>
      </c>
    </row>
    <row r="263" customFormat="false" ht="15" hidden="false" customHeight="true" outlineLevel="0" collapsed="false">
      <c r="A263" s="11"/>
      <c r="B263" s="17"/>
      <c r="C263" s="12"/>
      <c r="D263" s="12"/>
      <c r="E263" s="18" t="str">
        <f aca="false">IF($D263="","",IFERROR(INDEX(품목마스터!$B$3:$B$102,MATCH($D263,품목마스터!$A$3:$A$102,0)),""))</f>
        <v/>
      </c>
      <c r="F263" s="18" t="str">
        <f aca="false">IF($D263="","",IFERROR(INDEX(품목마스터!$C$3:$C$102,MATCH($D263,품목마스터!$A$3:$A$102,0)),""))</f>
        <v/>
      </c>
      <c r="G263" s="13" t="str">
        <f aca="false">IF($D263="","",IFERROR(INDEX(품목마스터!$D$3:$D$102,MATCH($D263,품목마스터!$A$3:$A$102,0)),0))</f>
        <v/>
      </c>
      <c r="H263" s="11"/>
      <c r="I263" s="19" t="str">
        <f aca="false">IF(OR($G263="",$H263=""),"",ROUND($G263*$H263,0))</f>
        <v/>
      </c>
      <c r="J263" s="12"/>
      <c r="K263" s="11"/>
      <c r="L263" s="18" t="str">
        <f aca="false">IF($A263="","",COUNTIFS($A$3:$A263,$A263))</f>
        <v/>
      </c>
      <c r="M263" s="18" t="str">
        <f aca="false">IF($A263="","",$A263&amp;"|"&amp;$L263)</f>
        <v/>
      </c>
      <c r="N263" s="18" t="str">
        <f aca="false">IF(OR($A263="",UPPER($J263)&lt;&gt;"Y"),"",$A263&amp;"#"&amp;COUNTIFS($A$3:$A263,$A263,$J$3:$J263,"Y"))</f>
        <v/>
      </c>
    </row>
    <row r="264" customFormat="false" ht="15" hidden="false" customHeight="true" outlineLevel="0" collapsed="false">
      <c r="A264" s="11"/>
      <c r="B264" s="17"/>
      <c r="C264" s="12"/>
      <c r="D264" s="12"/>
      <c r="E264" s="18" t="str">
        <f aca="false">IF($D264="","",IFERROR(INDEX(품목마스터!$B$3:$B$102,MATCH($D264,품목마스터!$A$3:$A$102,0)),""))</f>
        <v/>
      </c>
      <c r="F264" s="18" t="str">
        <f aca="false">IF($D264="","",IFERROR(INDEX(품목마스터!$C$3:$C$102,MATCH($D264,품목마스터!$A$3:$A$102,0)),""))</f>
        <v/>
      </c>
      <c r="G264" s="13" t="str">
        <f aca="false">IF($D264="","",IFERROR(INDEX(품목마스터!$D$3:$D$102,MATCH($D264,품목마스터!$A$3:$A$102,0)),0))</f>
        <v/>
      </c>
      <c r="H264" s="11"/>
      <c r="I264" s="19" t="str">
        <f aca="false">IF(OR($G264="",$H264=""),"",ROUND($G264*$H264,0))</f>
        <v/>
      </c>
      <c r="J264" s="12"/>
      <c r="K264" s="11"/>
      <c r="L264" s="18" t="str">
        <f aca="false">IF($A264="","",COUNTIFS($A$3:$A264,$A264))</f>
        <v/>
      </c>
      <c r="M264" s="18" t="str">
        <f aca="false">IF($A264="","",$A264&amp;"|"&amp;$L264)</f>
        <v/>
      </c>
      <c r="N264" s="18" t="str">
        <f aca="false">IF(OR($A264="",UPPER($J264)&lt;&gt;"Y"),"",$A264&amp;"#"&amp;COUNTIFS($A$3:$A264,$A264,$J$3:$J264,"Y"))</f>
        <v/>
      </c>
    </row>
    <row r="265" customFormat="false" ht="15" hidden="false" customHeight="true" outlineLevel="0" collapsed="false">
      <c r="A265" s="11"/>
      <c r="B265" s="17"/>
      <c r="C265" s="12"/>
      <c r="D265" s="12"/>
      <c r="E265" s="18" t="str">
        <f aca="false">IF($D265="","",IFERROR(INDEX(품목마스터!$B$3:$B$102,MATCH($D265,품목마스터!$A$3:$A$102,0)),""))</f>
        <v/>
      </c>
      <c r="F265" s="18" t="str">
        <f aca="false">IF($D265="","",IFERROR(INDEX(품목마스터!$C$3:$C$102,MATCH($D265,품목마스터!$A$3:$A$102,0)),""))</f>
        <v/>
      </c>
      <c r="G265" s="13" t="str">
        <f aca="false">IF($D265="","",IFERROR(INDEX(품목마스터!$D$3:$D$102,MATCH($D265,품목마스터!$A$3:$A$102,0)),0))</f>
        <v/>
      </c>
      <c r="H265" s="11"/>
      <c r="I265" s="19" t="str">
        <f aca="false">IF(OR($G265="",$H265=""),"",ROUND($G265*$H265,0))</f>
        <v/>
      </c>
      <c r="J265" s="12"/>
      <c r="K265" s="11"/>
      <c r="L265" s="18" t="str">
        <f aca="false">IF($A265="","",COUNTIFS($A$3:$A265,$A265))</f>
        <v/>
      </c>
      <c r="M265" s="18" t="str">
        <f aca="false">IF($A265="","",$A265&amp;"|"&amp;$L265)</f>
        <v/>
      </c>
      <c r="N265" s="18" t="str">
        <f aca="false">IF(OR($A265="",UPPER($J265)&lt;&gt;"Y"),"",$A265&amp;"#"&amp;COUNTIFS($A$3:$A265,$A265,$J$3:$J265,"Y"))</f>
        <v/>
      </c>
    </row>
    <row r="266" customFormat="false" ht="15" hidden="false" customHeight="true" outlineLevel="0" collapsed="false">
      <c r="A266" s="11"/>
      <c r="B266" s="17"/>
      <c r="C266" s="12"/>
      <c r="D266" s="12"/>
      <c r="E266" s="18" t="str">
        <f aca="false">IF($D266="","",IFERROR(INDEX(품목마스터!$B$3:$B$102,MATCH($D266,품목마스터!$A$3:$A$102,0)),""))</f>
        <v/>
      </c>
      <c r="F266" s="18" t="str">
        <f aca="false">IF($D266="","",IFERROR(INDEX(품목마스터!$C$3:$C$102,MATCH($D266,품목마스터!$A$3:$A$102,0)),""))</f>
        <v/>
      </c>
      <c r="G266" s="13" t="str">
        <f aca="false">IF($D266="","",IFERROR(INDEX(품목마스터!$D$3:$D$102,MATCH($D266,품목마스터!$A$3:$A$102,0)),0))</f>
        <v/>
      </c>
      <c r="H266" s="11"/>
      <c r="I266" s="19" t="str">
        <f aca="false">IF(OR($G266="",$H266=""),"",ROUND($G266*$H266,0))</f>
        <v/>
      </c>
      <c r="J266" s="12"/>
      <c r="K266" s="11"/>
      <c r="L266" s="18" t="str">
        <f aca="false">IF($A266="","",COUNTIFS($A$3:$A266,$A266))</f>
        <v/>
      </c>
      <c r="M266" s="18" t="str">
        <f aca="false">IF($A266="","",$A266&amp;"|"&amp;$L266)</f>
        <v/>
      </c>
      <c r="N266" s="18" t="str">
        <f aca="false">IF(OR($A266="",UPPER($J266)&lt;&gt;"Y"),"",$A266&amp;"#"&amp;COUNTIFS($A$3:$A266,$A266,$J$3:$J266,"Y"))</f>
        <v/>
      </c>
    </row>
    <row r="267" customFormat="false" ht="15" hidden="false" customHeight="true" outlineLevel="0" collapsed="false">
      <c r="A267" s="11"/>
      <c r="B267" s="17"/>
      <c r="C267" s="12"/>
      <c r="D267" s="12"/>
      <c r="E267" s="18" t="str">
        <f aca="false">IF($D267="","",IFERROR(INDEX(품목마스터!$B$3:$B$102,MATCH($D267,품목마스터!$A$3:$A$102,0)),""))</f>
        <v/>
      </c>
      <c r="F267" s="18" t="str">
        <f aca="false">IF($D267="","",IFERROR(INDEX(품목마스터!$C$3:$C$102,MATCH($D267,품목마스터!$A$3:$A$102,0)),""))</f>
        <v/>
      </c>
      <c r="G267" s="13" t="str">
        <f aca="false">IF($D267="","",IFERROR(INDEX(품목마스터!$D$3:$D$102,MATCH($D267,품목마스터!$A$3:$A$102,0)),0))</f>
        <v/>
      </c>
      <c r="H267" s="11"/>
      <c r="I267" s="19" t="str">
        <f aca="false">IF(OR($G267="",$H267=""),"",ROUND($G267*$H267,0))</f>
        <v/>
      </c>
      <c r="J267" s="12"/>
      <c r="K267" s="11"/>
      <c r="L267" s="18" t="str">
        <f aca="false">IF($A267="","",COUNTIFS($A$3:$A267,$A267))</f>
        <v/>
      </c>
      <c r="M267" s="18" t="str">
        <f aca="false">IF($A267="","",$A267&amp;"|"&amp;$L267)</f>
        <v/>
      </c>
      <c r="N267" s="18" t="str">
        <f aca="false">IF(OR($A267="",UPPER($J267)&lt;&gt;"Y"),"",$A267&amp;"#"&amp;COUNTIFS($A$3:$A267,$A267,$J$3:$J267,"Y"))</f>
        <v/>
      </c>
    </row>
    <row r="268" customFormat="false" ht="15" hidden="false" customHeight="true" outlineLevel="0" collapsed="false">
      <c r="A268" s="11"/>
      <c r="B268" s="17"/>
      <c r="C268" s="12"/>
      <c r="D268" s="12"/>
      <c r="E268" s="18" t="str">
        <f aca="false">IF($D268="","",IFERROR(INDEX(품목마스터!$B$3:$B$102,MATCH($D268,품목마스터!$A$3:$A$102,0)),""))</f>
        <v/>
      </c>
      <c r="F268" s="18" t="str">
        <f aca="false">IF($D268="","",IFERROR(INDEX(품목마스터!$C$3:$C$102,MATCH($D268,품목마스터!$A$3:$A$102,0)),""))</f>
        <v/>
      </c>
      <c r="G268" s="13" t="str">
        <f aca="false">IF($D268="","",IFERROR(INDEX(품목마스터!$D$3:$D$102,MATCH($D268,품목마스터!$A$3:$A$102,0)),0))</f>
        <v/>
      </c>
      <c r="H268" s="11"/>
      <c r="I268" s="19" t="str">
        <f aca="false">IF(OR($G268="",$H268=""),"",ROUND($G268*$H268,0))</f>
        <v/>
      </c>
      <c r="J268" s="12"/>
      <c r="K268" s="11"/>
      <c r="L268" s="18" t="str">
        <f aca="false">IF($A268="","",COUNTIFS($A$3:$A268,$A268))</f>
        <v/>
      </c>
      <c r="M268" s="18" t="str">
        <f aca="false">IF($A268="","",$A268&amp;"|"&amp;$L268)</f>
        <v/>
      </c>
      <c r="N268" s="18" t="str">
        <f aca="false">IF(OR($A268="",UPPER($J268)&lt;&gt;"Y"),"",$A268&amp;"#"&amp;COUNTIFS($A$3:$A268,$A268,$J$3:$J268,"Y"))</f>
        <v/>
      </c>
    </row>
    <row r="269" customFormat="false" ht="15" hidden="false" customHeight="true" outlineLevel="0" collapsed="false">
      <c r="A269" s="11"/>
      <c r="B269" s="17"/>
      <c r="C269" s="12"/>
      <c r="D269" s="12"/>
      <c r="E269" s="18" t="str">
        <f aca="false">IF($D269="","",IFERROR(INDEX(품목마스터!$B$3:$B$102,MATCH($D269,품목마스터!$A$3:$A$102,0)),""))</f>
        <v/>
      </c>
      <c r="F269" s="18" t="str">
        <f aca="false">IF($D269="","",IFERROR(INDEX(품목마스터!$C$3:$C$102,MATCH($D269,품목마스터!$A$3:$A$102,0)),""))</f>
        <v/>
      </c>
      <c r="G269" s="13" t="str">
        <f aca="false">IF($D269="","",IFERROR(INDEX(품목마스터!$D$3:$D$102,MATCH($D269,품목마스터!$A$3:$A$102,0)),0))</f>
        <v/>
      </c>
      <c r="H269" s="11"/>
      <c r="I269" s="19" t="str">
        <f aca="false">IF(OR($G269="",$H269=""),"",ROUND($G269*$H269,0))</f>
        <v/>
      </c>
      <c r="J269" s="12"/>
      <c r="K269" s="11"/>
      <c r="L269" s="18" t="str">
        <f aca="false">IF($A269="","",COUNTIFS($A$3:$A269,$A269))</f>
        <v/>
      </c>
      <c r="M269" s="18" t="str">
        <f aca="false">IF($A269="","",$A269&amp;"|"&amp;$L269)</f>
        <v/>
      </c>
      <c r="N269" s="18" t="str">
        <f aca="false">IF(OR($A269="",UPPER($J269)&lt;&gt;"Y"),"",$A269&amp;"#"&amp;COUNTIFS($A$3:$A269,$A269,$J$3:$J269,"Y"))</f>
        <v/>
      </c>
    </row>
    <row r="270" customFormat="false" ht="15" hidden="false" customHeight="true" outlineLevel="0" collapsed="false">
      <c r="A270" s="11"/>
      <c r="B270" s="17"/>
      <c r="C270" s="12"/>
      <c r="D270" s="12"/>
      <c r="E270" s="18" t="str">
        <f aca="false">IF($D270="","",IFERROR(INDEX(품목마스터!$B$3:$B$102,MATCH($D270,품목마스터!$A$3:$A$102,0)),""))</f>
        <v/>
      </c>
      <c r="F270" s="18" t="str">
        <f aca="false">IF($D270="","",IFERROR(INDEX(품목마스터!$C$3:$C$102,MATCH($D270,품목마스터!$A$3:$A$102,0)),""))</f>
        <v/>
      </c>
      <c r="G270" s="13" t="str">
        <f aca="false">IF($D270="","",IFERROR(INDEX(품목마스터!$D$3:$D$102,MATCH($D270,품목마스터!$A$3:$A$102,0)),0))</f>
        <v/>
      </c>
      <c r="H270" s="11"/>
      <c r="I270" s="19" t="str">
        <f aca="false">IF(OR($G270="",$H270=""),"",ROUND($G270*$H270,0))</f>
        <v/>
      </c>
      <c r="J270" s="12"/>
      <c r="K270" s="11"/>
      <c r="L270" s="18" t="str">
        <f aca="false">IF($A270="","",COUNTIFS($A$3:$A270,$A270))</f>
        <v/>
      </c>
      <c r="M270" s="18" t="str">
        <f aca="false">IF($A270="","",$A270&amp;"|"&amp;$L270)</f>
        <v/>
      </c>
      <c r="N270" s="18" t="str">
        <f aca="false">IF(OR($A270="",UPPER($J270)&lt;&gt;"Y"),"",$A270&amp;"#"&amp;COUNTIFS($A$3:$A270,$A270,$J$3:$J270,"Y"))</f>
        <v/>
      </c>
    </row>
    <row r="271" customFormat="false" ht="15" hidden="false" customHeight="true" outlineLevel="0" collapsed="false">
      <c r="A271" s="11"/>
      <c r="B271" s="17"/>
      <c r="C271" s="12"/>
      <c r="D271" s="12"/>
      <c r="E271" s="18" t="str">
        <f aca="false">IF($D271="","",IFERROR(INDEX(품목마스터!$B$3:$B$102,MATCH($D271,품목마스터!$A$3:$A$102,0)),""))</f>
        <v/>
      </c>
      <c r="F271" s="18" t="str">
        <f aca="false">IF($D271="","",IFERROR(INDEX(품목마스터!$C$3:$C$102,MATCH($D271,품목마스터!$A$3:$A$102,0)),""))</f>
        <v/>
      </c>
      <c r="G271" s="13" t="str">
        <f aca="false">IF($D271="","",IFERROR(INDEX(품목마스터!$D$3:$D$102,MATCH($D271,품목마스터!$A$3:$A$102,0)),0))</f>
        <v/>
      </c>
      <c r="H271" s="11"/>
      <c r="I271" s="19" t="str">
        <f aca="false">IF(OR($G271="",$H271=""),"",ROUND($G271*$H271,0))</f>
        <v/>
      </c>
      <c r="J271" s="12"/>
      <c r="K271" s="11"/>
      <c r="L271" s="18" t="str">
        <f aca="false">IF($A271="","",COUNTIFS($A$3:$A271,$A271))</f>
        <v/>
      </c>
      <c r="M271" s="18" t="str">
        <f aca="false">IF($A271="","",$A271&amp;"|"&amp;$L271)</f>
        <v/>
      </c>
      <c r="N271" s="18" t="str">
        <f aca="false">IF(OR($A271="",UPPER($J271)&lt;&gt;"Y"),"",$A271&amp;"#"&amp;COUNTIFS($A$3:$A271,$A271,$J$3:$J271,"Y"))</f>
        <v/>
      </c>
    </row>
    <row r="272" customFormat="false" ht="15" hidden="false" customHeight="true" outlineLevel="0" collapsed="false">
      <c r="A272" s="11"/>
      <c r="B272" s="17"/>
      <c r="C272" s="12"/>
      <c r="D272" s="12"/>
      <c r="E272" s="18" t="str">
        <f aca="false">IF($D272="","",IFERROR(INDEX(품목마스터!$B$3:$B$102,MATCH($D272,품목마스터!$A$3:$A$102,0)),""))</f>
        <v/>
      </c>
      <c r="F272" s="18" t="str">
        <f aca="false">IF($D272="","",IFERROR(INDEX(품목마스터!$C$3:$C$102,MATCH($D272,품목마스터!$A$3:$A$102,0)),""))</f>
        <v/>
      </c>
      <c r="G272" s="13" t="str">
        <f aca="false">IF($D272="","",IFERROR(INDEX(품목마스터!$D$3:$D$102,MATCH($D272,품목마스터!$A$3:$A$102,0)),0))</f>
        <v/>
      </c>
      <c r="H272" s="11"/>
      <c r="I272" s="19" t="str">
        <f aca="false">IF(OR($G272="",$H272=""),"",ROUND($G272*$H272,0))</f>
        <v/>
      </c>
      <c r="J272" s="12"/>
      <c r="K272" s="11"/>
      <c r="L272" s="18" t="str">
        <f aca="false">IF($A272="","",COUNTIFS($A$3:$A272,$A272))</f>
        <v/>
      </c>
      <c r="M272" s="18" t="str">
        <f aca="false">IF($A272="","",$A272&amp;"|"&amp;$L272)</f>
        <v/>
      </c>
      <c r="N272" s="18" t="str">
        <f aca="false">IF(OR($A272="",UPPER($J272)&lt;&gt;"Y"),"",$A272&amp;"#"&amp;COUNTIFS($A$3:$A272,$A272,$J$3:$J272,"Y"))</f>
        <v/>
      </c>
    </row>
    <row r="273" customFormat="false" ht="15" hidden="false" customHeight="true" outlineLevel="0" collapsed="false">
      <c r="A273" s="11"/>
      <c r="B273" s="17"/>
      <c r="C273" s="12"/>
      <c r="D273" s="12"/>
      <c r="E273" s="18" t="str">
        <f aca="false">IF($D273="","",IFERROR(INDEX(품목마스터!$B$3:$B$102,MATCH($D273,품목마스터!$A$3:$A$102,0)),""))</f>
        <v/>
      </c>
      <c r="F273" s="18" t="str">
        <f aca="false">IF($D273="","",IFERROR(INDEX(품목마스터!$C$3:$C$102,MATCH($D273,품목마스터!$A$3:$A$102,0)),""))</f>
        <v/>
      </c>
      <c r="G273" s="13" t="str">
        <f aca="false">IF($D273="","",IFERROR(INDEX(품목마스터!$D$3:$D$102,MATCH($D273,품목마스터!$A$3:$A$102,0)),0))</f>
        <v/>
      </c>
      <c r="H273" s="11"/>
      <c r="I273" s="19" t="str">
        <f aca="false">IF(OR($G273="",$H273=""),"",ROUND($G273*$H273,0))</f>
        <v/>
      </c>
      <c r="J273" s="12"/>
      <c r="K273" s="11"/>
      <c r="L273" s="18" t="str">
        <f aca="false">IF($A273="","",COUNTIFS($A$3:$A273,$A273))</f>
        <v/>
      </c>
      <c r="M273" s="18" t="str">
        <f aca="false">IF($A273="","",$A273&amp;"|"&amp;$L273)</f>
        <v/>
      </c>
      <c r="N273" s="18" t="str">
        <f aca="false">IF(OR($A273="",UPPER($J273)&lt;&gt;"Y"),"",$A273&amp;"#"&amp;COUNTIFS($A$3:$A273,$A273,$J$3:$J273,"Y"))</f>
        <v/>
      </c>
    </row>
    <row r="274" customFormat="false" ht="15" hidden="false" customHeight="true" outlineLevel="0" collapsed="false">
      <c r="A274" s="11"/>
      <c r="B274" s="17"/>
      <c r="C274" s="12"/>
      <c r="D274" s="12"/>
      <c r="E274" s="18" t="str">
        <f aca="false">IF($D274="","",IFERROR(INDEX(품목마스터!$B$3:$B$102,MATCH($D274,품목마스터!$A$3:$A$102,0)),""))</f>
        <v/>
      </c>
      <c r="F274" s="18" t="str">
        <f aca="false">IF($D274="","",IFERROR(INDEX(품목마스터!$C$3:$C$102,MATCH($D274,품목마스터!$A$3:$A$102,0)),""))</f>
        <v/>
      </c>
      <c r="G274" s="13" t="str">
        <f aca="false">IF($D274="","",IFERROR(INDEX(품목마스터!$D$3:$D$102,MATCH($D274,품목마스터!$A$3:$A$102,0)),0))</f>
        <v/>
      </c>
      <c r="H274" s="11"/>
      <c r="I274" s="19" t="str">
        <f aca="false">IF(OR($G274="",$H274=""),"",ROUND($G274*$H274,0))</f>
        <v/>
      </c>
      <c r="J274" s="12"/>
      <c r="K274" s="11"/>
      <c r="L274" s="18" t="str">
        <f aca="false">IF($A274="","",COUNTIFS($A$3:$A274,$A274))</f>
        <v/>
      </c>
      <c r="M274" s="18" t="str">
        <f aca="false">IF($A274="","",$A274&amp;"|"&amp;$L274)</f>
        <v/>
      </c>
      <c r="N274" s="18" t="str">
        <f aca="false">IF(OR($A274="",UPPER($J274)&lt;&gt;"Y"),"",$A274&amp;"#"&amp;COUNTIFS($A$3:$A274,$A274,$J$3:$J274,"Y"))</f>
        <v/>
      </c>
    </row>
    <row r="275" customFormat="false" ht="15" hidden="false" customHeight="true" outlineLevel="0" collapsed="false">
      <c r="A275" s="11"/>
      <c r="B275" s="17"/>
      <c r="C275" s="12"/>
      <c r="D275" s="12"/>
      <c r="E275" s="18" t="str">
        <f aca="false">IF($D275="","",IFERROR(INDEX(품목마스터!$B$3:$B$102,MATCH($D275,품목마스터!$A$3:$A$102,0)),""))</f>
        <v/>
      </c>
      <c r="F275" s="18" t="str">
        <f aca="false">IF($D275="","",IFERROR(INDEX(품목마스터!$C$3:$C$102,MATCH($D275,품목마스터!$A$3:$A$102,0)),""))</f>
        <v/>
      </c>
      <c r="G275" s="13" t="str">
        <f aca="false">IF($D275="","",IFERROR(INDEX(품목마스터!$D$3:$D$102,MATCH($D275,품목마스터!$A$3:$A$102,0)),0))</f>
        <v/>
      </c>
      <c r="H275" s="11"/>
      <c r="I275" s="19" t="str">
        <f aca="false">IF(OR($G275="",$H275=""),"",ROUND($G275*$H275,0))</f>
        <v/>
      </c>
      <c r="J275" s="12"/>
      <c r="K275" s="11"/>
      <c r="L275" s="18" t="str">
        <f aca="false">IF($A275="","",COUNTIFS($A$3:$A275,$A275))</f>
        <v/>
      </c>
      <c r="M275" s="18" t="str">
        <f aca="false">IF($A275="","",$A275&amp;"|"&amp;$L275)</f>
        <v/>
      </c>
      <c r="N275" s="18" t="str">
        <f aca="false">IF(OR($A275="",UPPER($J275)&lt;&gt;"Y"),"",$A275&amp;"#"&amp;COUNTIFS($A$3:$A275,$A275,$J$3:$J275,"Y"))</f>
        <v/>
      </c>
    </row>
    <row r="276" customFormat="false" ht="15" hidden="false" customHeight="true" outlineLevel="0" collapsed="false">
      <c r="A276" s="11"/>
      <c r="B276" s="17"/>
      <c r="C276" s="12"/>
      <c r="D276" s="12"/>
      <c r="E276" s="18" t="str">
        <f aca="false">IF($D276="","",IFERROR(INDEX(품목마스터!$B$3:$B$102,MATCH($D276,품목마스터!$A$3:$A$102,0)),""))</f>
        <v/>
      </c>
      <c r="F276" s="18" t="str">
        <f aca="false">IF($D276="","",IFERROR(INDEX(품목마스터!$C$3:$C$102,MATCH($D276,품목마스터!$A$3:$A$102,0)),""))</f>
        <v/>
      </c>
      <c r="G276" s="13" t="str">
        <f aca="false">IF($D276="","",IFERROR(INDEX(품목마스터!$D$3:$D$102,MATCH($D276,품목마스터!$A$3:$A$102,0)),0))</f>
        <v/>
      </c>
      <c r="H276" s="11"/>
      <c r="I276" s="19" t="str">
        <f aca="false">IF(OR($G276="",$H276=""),"",ROUND($G276*$H276,0))</f>
        <v/>
      </c>
      <c r="J276" s="12"/>
      <c r="K276" s="11"/>
      <c r="L276" s="18" t="str">
        <f aca="false">IF($A276="","",COUNTIFS($A$3:$A276,$A276))</f>
        <v/>
      </c>
      <c r="M276" s="18" t="str">
        <f aca="false">IF($A276="","",$A276&amp;"|"&amp;$L276)</f>
        <v/>
      </c>
      <c r="N276" s="18" t="str">
        <f aca="false">IF(OR($A276="",UPPER($J276)&lt;&gt;"Y"),"",$A276&amp;"#"&amp;COUNTIFS($A$3:$A276,$A276,$J$3:$J276,"Y"))</f>
        <v/>
      </c>
    </row>
    <row r="277" customFormat="false" ht="15" hidden="false" customHeight="true" outlineLevel="0" collapsed="false">
      <c r="A277" s="11"/>
      <c r="B277" s="17"/>
      <c r="C277" s="12"/>
      <c r="D277" s="12"/>
      <c r="E277" s="18" t="str">
        <f aca="false">IF($D277="","",IFERROR(INDEX(품목마스터!$B$3:$B$102,MATCH($D277,품목마스터!$A$3:$A$102,0)),""))</f>
        <v/>
      </c>
      <c r="F277" s="18" t="str">
        <f aca="false">IF($D277="","",IFERROR(INDEX(품목마스터!$C$3:$C$102,MATCH($D277,품목마스터!$A$3:$A$102,0)),""))</f>
        <v/>
      </c>
      <c r="G277" s="13" t="str">
        <f aca="false">IF($D277="","",IFERROR(INDEX(품목마스터!$D$3:$D$102,MATCH($D277,품목마스터!$A$3:$A$102,0)),0))</f>
        <v/>
      </c>
      <c r="H277" s="11"/>
      <c r="I277" s="19" t="str">
        <f aca="false">IF(OR($G277="",$H277=""),"",ROUND($G277*$H277,0))</f>
        <v/>
      </c>
      <c r="J277" s="12"/>
      <c r="K277" s="11"/>
      <c r="L277" s="18" t="str">
        <f aca="false">IF($A277="","",COUNTIFS($A$3:$A277,$A277))</f>
        <v/>
      </c>
      <c r="M277" s="18" t="str">
        <f aca="false">IF($A277="","",$A277&amp;"|"&amp;$L277)</f>
        <v/>
      </c>
      <c r="N277" s="18" t="str">
        <f aca="false">IF(OR($A277="",UPPER($J277)&lt;&gt;"Y"),"",$A277&amp;"#"&amp;COUNTIFS($A$3:$A277,$A277,$J$3:$J277,"Y"))</f>
        <v/>
      </c>
    </row>
    <row r="278" customFormat="false" ht="15" hidden="false" customHeight="true" outlineLevel="0" collapsed="false">
      <c r="A278" s="11"/>
      <c r="B278" s="17"/>
      <c r="C278" s="12"/>
      <c r="D278" s="12"/>
      <c r="E278" s="18" t="str">
        <f aca="false">IF($D278="","",IFERROR(INDEX(품목마스터!$B$3:$B$102,MATCH($D278,품목마스터!$A$3:$A$102,0)),""))</f>
        <v/>
      </c>
      <c r="F278" s="18" t="str">
        <f aca="false">IF($D278="","",IFERROR(INDEX(품목마스터!$C$3:$C$102,MATCH($D278,품목마스터!$A$3:$A$102,0)),""))</f>
        <v/>
      </c>
      <c r="G278" s="13" t="str">
        <f aca="false">IF($D278="","",IFERROR(INDEX(품목마스터!$D$3:$D$102,MATCH($D278,품목마스터!$A$3:$A$102,0)),0))</f>
        <v/>
      </c>
      <c r="H278" s="11"/>
      <c r="I278" s="19" t="str">
        <f aca="false">IF(OR($G278="",$H278=""),"",ROUND($G278*$H278,0))</f>
        <v/>
      </c>
      <c r="J278" s="12"/>
      <c r="K278" s="11"/>
      <c r="L278" s="18" t="str">
        <f aca="false">IF($A278="","",COUNTIFS($A$3:$A278,$A278))</f>
        <v/>
      </c>
      <c r="M278" s="18" t="str">
        <f aca="false">IF($A278="","",$A278&amp;"|"&amp;$L278)</f>
        <v/>
      </c>
      <c r="N278" s="18" t="str">
        <f aca="false">IF(OR($A278="",UPPER($J278)&lt;&gt;"Y"),"",$A278&amp;"#"&amp;COUNTIFS($A$3:$A278,$A278,$J$3:$J278,"Y"))</f>
        <v/>
      </c>
    </row>
    <row r="279" customFormat="false" ht="15" hidden="false" customHeight="true" outlineLevel="0" collapsed="false">
      <c r="A279" s="11"/>
      <c r="B279" s="17"/>
      <c r="C279" s="12"/>
      <c r="D279" s="12"/>
      <c r="E279" s="18" t="str">
        <f aca="false">IF($D279="","",IFERROR(INDEX(품목마스터!$B$3:$B$102,MATCH($D279,품목마스터!$A$3:$A$102,0)),""))</f>
        <v/>
      </c>
      <c r="F279" s="18" t="str">
        <f aca="false">IF($D279="","",IFERROR(INDEX(품목마스터!$C$3:$C$102,MATCH($D279,품목마스터!$A$3:$A$102,0)),""))</f>
        <v/>
      </c>
      <c r="G279" s="13" t="str">
        <f aca="false">IF($D279="","",IFERROR(INDEX(품목마스터!$D$3:$D$102,MATCH($D279,품목마스터!$A$3:$A$102,0)),0))</f>
        <v/>
      </c>
      <c r="H279" s="11"/>
      <c r="I279" s="19" t="str">
        <f aca="false">IF(OR($G279="",$H279=""),"",ROUND($G279*$H279,0))</f>
        <v/>
      </c>
      <c r="J279" s="12"/>
      <c r="K279" s="11"/>
      <c r="L279" s="18" t="str">
        <f aca="false">IF($A279="","",COUNTIFS($A$3:$A279,$A279))</f>
        <v/>
      </c>
      <c r="M279" s="18" t="str">
        <f aca="false">IF($A279="","",$A279&amp;"|"&amp;$L279)</f>
        <v/>
      </c>
      <c r="N279" s="18" t="str">
        <f aca="false">IF(OR($A279="",UPPER($J279)&lt;&gt;"Y"),"",$A279&amp;"#"&amp;COUNTIFS($A$3:$A279,$A279,$J$3:$J279,"Y"))</f>
        <v/>
      </c>
    </row>
    <row r="280" customFormat="false" ht="15" hidden="false" customHeight="true" outlineLevel="0" collapsed="false">
      <c r="A280" s="11"/>
      <c r="B280" s="17"/>
      <c r="C280" s="12"/>
      <c r="D280" s="12"/>
      <c r="E280" s="18" t="str">
        <f aca="false">IF($D280="","",IFERROR(INDEX(품목마스터!$B$3:$B$102,MATCH($D280,품목마스터!$A$3:$A$102,0)),""))</f>
        <v/>
      </c>
      <c r="F280" s="18" t="str">
        <f aca="false">IF($D280="","",IFERROR(INDEX(품목마스터!$C$3:$C$102,MATCH($D280,품목마스터!$A$3:$A$102,0)),""))</f>
        <v/>
      </c>
      <c r="G280" s="13" t="str">
        <f aca="false">IF($D280="","",IFERROR(INDEX(품목마스터!$D$3:$D$102,MATCH($D280,품목마스터!$A$3:$A$102,0)),0))</f>
        <v/>
      </c>
      <c r="H280" s="11"/>
      <c r="I280" s="19" t="str">
        <f aca="false">IF(OR($G280="",$H280=""),"",ROUND($G280*$H280,0))</f>
        <v/>
      </c>
      <c r="J280" s="12"/>
      <c r="K280" s="11"/>
      <c r="L280" s="18" t="str">
        <f aca="false">IF($A280="","",COUNTIFS($A$3:$A280,$A280))</f>
        <v/>
      </c>
      <c r="M280" s="18" t="str">
        <f aca="false">IF($A280="","",$A280&amp;"|"&amp;$L280)</f>
        <v/>
      </c>
      <c r="N280" s="18" t="str">
        <f aca="false">IF(OR($A280="",UPPER($J280)&lt;&gt;"Y"),"",$A280&amp;"#"&amp;COUNTIFS($A$3:$A280,$A280,$J$3:$J280,"Y"))</f>
        <v/>
      </c>
    </row>
    <row r="281" customFormat="false" ht="15" hidden="false" customHeight="true" outlineLevel="0" collapsed="false">
      <c r="A281" s="11"/>
      <c r="B281" s="17"/>
      <c r="C281" s="12"/>
      <c r="D281" s="12"/>
      <c r="E281" s="18" t="str">
        <f aca="false">IF($D281="","",IFERROR(INDEX(품목마스터!$B$3:$B$102,MATCH($D281,품목마스터!$A$3:$A$102,0)),""))</f>
        <v/>
      </c>
      <c r="F281" s="18" t="str">
        <f aca="false">IF($D281="","",IFERROR(INDEX(품목마스터!$C$3:$C$102,MATCH($D281,품목마스터!$A$3:$A$102,0)),""))</f>
        <v/>
      </c>
      <c r="G281" s="13" t="str">
        <f aca="false">IF($D281="","",IFERROR(INDEX(품목마스터!$D$3:$D$102,MATCH($D281,품목마스터!$A$3:$A$102,0)),0))</f>
        <v/>
      </c>
      <c r="H281" s="11"/>
      <c r="I281" s="19" t="str">
        <f aca="false">IF(OR($G281="",$H281=""),"",ROUND($G281*$H281,0))</f>
        <v/>
      </c>
      <c r="J281" s="12"/>
      <c r="K281" s="11"/>
      <c r="L281" s="18" t="str">
        <f aca="false">IF($A281="","",COUNTIFS($A$3:$A281,$A281))</f>
        <v/>
      </c>
      <c r="M281" s="18" t="str">
        <f aca="false">IF($A281="","",$A281&amp;"|"&amp;$L281)</f>
        <v/>
      </c>
      <c r="N281" s="18" t="str">
        <f aca="false">IF(OR($A281="",UPPER($J281)&lt;&gt;"Y"),"",$A281&amp;"#"&amp;COUNTIFS($A$3:$A281,$A281,$J$3:$J281,"Y"))</f>
        <v/>
      </c>
    </row>
    <row r="282" customFormat="false" ht="15" hidden="false" customHeight="true" outlineLevel="0" collapsed="false">
      <c r="A282" s="11"/>
      <c r="B282" s="17"/>
      <c r="C282" s="12"/>
      <c r="D282" s="12"/>
      <c r="E282" s="18" t="str">
        <f aca="false">IF($D282="","",IFERROR(INDEX(품목마스터!$B$3:$B$102,MATCH($D282,품목마스터!$A$3:$A$102,0)),""))</f>
        <v/>
      </c>
      <c r="F282" s="18" t="str">
        <f aca="false">IF($D282="","",IFERROR(INDEX(품목마스터!$C$3:$C$102,MATCH($D282,품목마스터!$A$3:$A$102,0)),""))</f>
        <v/>
      </c>
      <c r="G282" s="13" t="str">
        <f aca="false">IF($D282="","",IFERROR(INDEX(품목마스터!$D$3:$D$102,MATCH($D282,품목마스터!$A$3:$A$102,0)),0))</f>
        <v/>
      </c>
      <c r="H282" s="11"/>
      <c r="I282" s="19" t="str">
        <f aca="false">IF(OR($G282="",$H282=""),"",ROUND($G282*$H282,0))</f>
        <v/>
      </c>
      <c r="J282" s="12"/>
      <c r="K282" s="11"/>
      <c r="L282" s="18" t="str">
        <f aca="false">IF($A282="","",COUNTIFS($A$3:$A282,$A282))</f>
        <v/>
      </c>
      <c r="M282" s="18" t="str">
        <f aca="false">IF($A282="","",$A282&amp;"|"&amp;$L282)</f>
        <v/>
      </c>
      <c r="N282" s="18" t="str">
        <f aca="false">IF(OR($A282="",UPPER($J282)&lt;&gt;"Y"),"",$A282&amp;"#"&amp;COUNTIFS($A$3:$A282,$A282,$J$3:$J282,"Y"))</f>
        <v/>
      </c>
    </row>
    <row r="283" customFormat="false" ht="15" hidden="false" customHeight="true" outlineLevel="0" collapsed="false">
      <c r="A283" s="11"/>
      <c r="B283" s="17"/>
      <c r="C283" s="12"/>
      <c r="D283" s="12"/>
      <c r="E283" s="18" t="str">
        <f aca="false">IF($D283="","",IFERROR(INDEX(품목마스터!$B$3:$B$102,MATCH($D283,품목마스터!$A$3:$A$102,0)),""))</f>
        <v/>
      </c>
      <c r="F283" s="18" t="str">
        <f aca="false">IF($D283="","",IFERROR(INDEX(품목마스터!$C$3:$C$102,MATCH($D283,품목마스터!$A$3:$A$102,0)),""))</f>
        <v/>
      </c>
      <c r="G283" s="13" t="str">
        <f aca="false">IF($D283="","",IFERROR(INDEX(품목마스터!$D$3:$D$102,MATCH($D283,품목마스터!$A$3:$A$102,0)),0))</f>
        <v/>
      </c>
      <c r="H283" s="11"/>
      <c r="I283" s="19" t="str">
        <f aca="false">IF(OR($G283="",$H283=""),"",ROUND($G283*$H283,0))</f>
        <v/>
      </c>
      <c r="J283" s="12"/>
      <c r="K283" s="11"/>
      <c r="L283" s="18" t="str">
        <f aca="false">IF($A283="","",COUNTIFS($A$3:$A283,$A283))</f>
        <v/>
      </c>
      <c r="M283" s="18" t="str">
        <f aca="false">IF($A283="","",$A283&amp;"|"&amp;$L283)</f>
        <v/>
      </c>
      <c r="N283" s="18" t="str">
        <f aca="false">IF(OR($A283="",UPPER($J283)&lt;&gt;"Y"),"",$A283&amp;"#"&amp;COUNTIFS($A$3:$A283,$A283,$J$3:$J283,"Y"))</f>
        <v/>
      </c>
    </row>
    <row r="284" customFormat="false" ht="15" hidden="false" customHeight="true" outlineLevel="0" collapsed="false">
      <c r="A284" s="11"/>
      <c r="B284" s="17"/>
      <c r="C284" s="12"/>
      <c r="D284" s="12"/>
      <c r="E284" s="18" t="str">
        <f aca="false">IF($D284="","",IFERROR(INDEX(품목마스터!$B$3:$B$102,MATCH($D284,품목마스터!$A$3:$A$102,0)),""))</f>
        <v/>
      </c>
      <c r="F284" s="18" t="str">
        <f aca="false">IF($D284="","",IFERROR(INDEX(품목마스터!$C$3:$C$102,MATCH($D284,품목마스터!$A$3:$A$102,0)),""))</f>
        <v/>
      </c>
      <c r="G284" s="13" t="str">
        <f aca="false">IF($D284="","",IFERROR(INDEX(품목마스터!$D$3:$D$102,MATCH($D284,품목마스터!$A$3:$A$102,0)),0))</f>
        <v/>
      </c>
      <c r="H284" s="11"/>
      <c r="I284" s="19" t="str">
        <f aca="false">IF(OR($G284="",$H284=""),"",ROUND($G284*$H284,0))</f>
        <v/>
      </c>
      <c r="J284" s="12"/>
      <c r="K284" s="11"/>
      <c r="L284" s="18" t="str">
        <f aca="false">IF($A284="","",COUNTIFS($A$3:$A284,$A284))</f>
        <v/>
      </c>
      <c r="M284" s="18" t="str">
        <f aca="false">IF($A284="","",$A284&amp;"|"&amp;$L284)</f>
        <v/>
      </c>
      <c r="N284" s="18" t="str">
        <f aca="false">IF(OR($A284="",UPPER($J284)&lt;&gt;"Y"),"",$A284&amp;"#"&amp;COUNTIFS($A$3:$A284,$A284,$J$3:$J284,"Y"))</f>
        <v/>
      </c>
    </row>
    <row r="285" customFormat="false" ht="15" hidden="false" customHeight="true" outlineLevel="0" collapsed="false">
      <c r="A285" s="11"/>
      <c r="B285" s="17"/>
      <c r="C285" s="12"/>
      <c r="D285" s="12"/>
      <c r="E285" s="18" t="str">
        <f aca="false">IF($D285="","",IFERROR(INDEX(품목마스터!$B$3:$B$102,MATCH($D285,품목마스터!$A$3:$A$102,0)),""))</f>
        <v/>
      </c>
      <c r="F285" s="18" t="str">
        <f aca="false">IF($D285="","",IFERROR(INDEX(품목마스터!$C$3:$C$102,MATCH($D285,품목마스터!$A$3:$A$102,0)),""))</f>
        <v/>
      </c>
      <c r="G285" s="13" t="str">
        <f aca="false">IF($D285="","",IFERROR(INDEX(품목마스터!$D$3:$D$102,MATCH($D285,품목마스터!$A$3:$A$102,0)),0))</f>
        <v/>
      </c>
      <c r="H285" s="11"/>
      <c r="I285" s="19" t="str">
        <f aca="false">IF(OR($G285="",$H285=""),"",ROUND($G285*$H285,0))</f>
        <v/>
      </c>
      <c r="J285" s="12"/>
      <c r="K285" s="11"/>
      <c r="L285" s="18" t="str">
        <f aca="false">IF($A285="","",COUNTIFS($A$3:$A285,$A285))</f>
        <v/>
      </c>
      <c r="M285" s="18" t="str">
        <f aca="false">IF($A285="","",$A285&amp;"|"&amp;$L285)</f>
        <v/>
      </c>
      <c r="N285" s="18" t="str">
        <f aca="false">IF(OR($A285="",UPPER($J285)&lt;&gt;"Y"),"",$A285&amp;"#"&amp;COUNTIFS($A$3:$A285,$A285,$J$3:$J285,"Y"))</f>
        <v/>
      </c>
    </row>
    <row r="286" customFormat="false" ht="15" hidden="false" customHeight="true" outlineLevel="0" collapsed="false">
      <c r="A286" s="11"/>
      <c r="B286" s="17"/>
      <c r="C286" s="12"/>
      <c r="D286" s="12"/>
      <c r="E286" s="18" t="str">
        <f aca="false">IF($D286="","",IFERROR(INDEX(품목마스터!$B$3:$B$102,MATCH($D286,품목마스터!$A$3:$A$102,0)),""))</f>
        <v/>
      </c>
      <c r="F286" s="18" t="str">
        <f aca="false">IF($D286="","",IFERROR(INDEX(품목마스터!$C$3:$C$102,MATCH($D286,품목마스터!$A$3:$A$102,0)),""))</f>
        <v/>
      </c>
      <c r="G286" s="13" t="str">
        <f aca="false">IF($D286="","",IFERROR(INDEX(품목마스터!$D$3:$D$102,MATCH($D286,품목마스터!$A$3:$A$102,0)),0))</f>
        <v/>
      </c>
      <c r="H286" s="11"/>
      <c r="I286" s="19" t="str">
        <f aca="false">IF(OR($G286="",$H286=""),"",ROUND($G286*$H286,0))</f>
        <v/>
      </c>
      <c r="J286" s="12"/>
      <c r="K286" s="11"/>
      <c r="L286" s="18" t="str">
        <f aca="false">IF($A286="","",COUNTIFS($A$3:$A286,$A286))</f>
        <v/>
      </c>
      <c r="M286" s="18" t="str">
        <f aca="false">IF($A286="","",$A286&amp;"|"&amp;$L286)</f>
        <v/>
      </c>
      <c r="N286" s="18" t="str">
        <f aca="false">IF(OR($A286="",UPPER($J286)&lt;&gt;"Y"),"",$A286&amp;"#"&amp;COUNTIFS($A$3:$A286,$A286,$J$3:$J286,"Y"))</f>
        <v/>
      </c>
    </row>
    <row r="287" customFormat="false" ht="15" hidden="false" customHeight="true" outlineLevel="0" collapsed="false">
      <c r="A287" s="11"/>
      <c r="B287" s="17"/>
      <c r="C287" s="12"/>
      <c r="D287" s="12"/>
      <c r="E287" s="18" t="str">
        <f aca="false">IF($D287="","",IFERROR(INDEX(품목마스터!$B$3:$B$102,MATCH($D287,품목마스터!$A$3:$A$102,0)),""))</f>
        <v/>
      </c>
      <c r="F287" s="18" t="str">
        <f aca="false">IF($D287="","",IFERROR(INDEX(품목마스터!$C$3:$C$102,MATCH($D287,품목마스터!$A$3:$A$102,0)),""))</f>
        <v/>
      </c>
      <c r="G287" s="13" t="str">
        <f aca="false">IF($D287="","",IFERROR(INDEX(품목마스터!$D$3:$D$102,MATCH($D287,품목마스터!$A$3:$A$102,0)),0))</f>
        <v/>
      </c>
      <c r="H287" s="11"/>
      <c r="I287" s="19" t="str">
        <f aca="false">IF(OR($G287="",$H287=""),"",ROUND($G287*$H287,0))</f>
        <v/>
      </c>
      <c r="J287" s="12"/>
      <c r="K287" s="11"/>
      <c r="L287" s="18" t="str">
        <f aca="false">IF($A287="","",COUNTIFS($A$3:$A287,$A287))</f>
        <v/>
      </c>
      <c r="M287" s="18" t="str">
        <f aca="false">IF($A287="","",$A287&amp;"|"&amp;$L287)</f>
        <v/>
      </c>
      <c r="N287" s="18" t="str">
        <f aca="false">IF(OR($A287="",UPPER($J287)&lt;&gt;"Y"),"",$A287&amp;"#"&amp;COUNTIFS($A$3:$A287,$A287,$J$3:$J287,"Y"))</f>
        <v/>
      </c>
    </row>
    <row r="288" customFormat="false" ht="15" hidden="false" customHeight="true" outlineLevel="0" collapsed="false">
      <c r="A288" s="11"/>
      <c r="B288" s="17"/>
      <c r="C288" s="12"/>
      <c r="D288" s="12"/>
      <c r="E288" s="18" t="str">
        <f aca="false">IF($D288="","",IFERROR(INDEX(품목마스터!$B$3:$B$102,MATCH($D288,품목마스터!$A$3:$A$102,0)),""))</f>
        <v/>
      </c>
      <c r="F288" s="18" t="str">
        <f aca="false">IF($D288="","",IFERROR(INDEX(품목마스터!$C$3:$C$102,MATCH($D288,품목마스터!$A$3:$A$102,0)),""))</f>
        <v/>
      </c>
      <c r="G288" s="13" t="str">
        <f aca="false">IF($D288="","",IFERROR(INDEX(품목마스터!$D$3:$D$102,MATCH($D288,품목마스터!$A$3:$A$102,0)),0))</f>
        <v/>
      </c>
      <c r="H288" s="11"/>
      <c r="I288" s="19" t="str">
        <f aca="false">IF(OR($G288="",$H288=""),"",ROUND($G288*$H288,0))</f>
        <v/>
      </c>
      <c r="J288" s="12"/>
      <c r="K288" s="11"/>
      <c r="L288" s="18" t="str">
        <f aca="false">IF($A288="","",COUNTIFS($A$3:$A288,$A288))</f>
        <v/>
      </c>
      <c r="M288" s="18" t="str">
        <f aca="false">IF($A288="","",$A288&amp;"|"&amp;$L288)</f>
        <v/>
      </c>
      <c r="N288" s="18" t="str">
        <f aca="false">IF(OR($A288="",UPPER($J288)&lt;&gt;"Y"),"",$A288&amp;"#"&amp;COUNTIFS($A$3:$A288,$A288,$J$3:$J288,"Y"))</f>
        <v/>
      </c>
    </row>
    <row r="289" customFormat="false" ht="15" hidden="false" customHeight="true" outlineLevel="0" collapsed="false">
      <c r="A289" s="11"/>
      <c r="B289" s="17"/>
      <c r="C289" s="12"/>
      <c r="D289" s="12"/>
      <c r="E289" s="18" t="str">
        <f aca="false">IF($D289="","",IFERROR(INDEX(품목마스터!$B$3:$B$102,MATCH($D289,품목마스터!$A$3:$A$102,0)),""))</f>
        <v/>
      </c>
      <c r="F289" s="18" t="str">
        <f aca="false">IF($D289="","",IFERROR(INDEX(품목마스터!$C$3:$C$102,MATCH($D289,품목마스터!$A$3:$A$102,0)),""))</f>
        <v/>
      </c>
      <c r="G289" s="13" t="str">
        <f aca="false">IF($D289="","",IFERROR(INDEX(품목마스터!$D$3:$D$102,MATCH($D289,품목마스터!$A$3:$A$102,0)),0))</f>
        <v/>
      </c>
      <c r="H289" s="11"/>
      <c r="I289" s="19" t="str">
        <f aca="false">IF(OR($G289="",$H289=""),"",ROUND($G289*$H289,0))</f>
        <v/>
      </c>
      <c r="J289" s="12"/>
      <c r="K289" s="11"/>
      <c r="L289" s="18" t="str">
        <f aca="false">IF($A289="","",COUNTIFS($A$3:$A289,$A289))</f>
        <v/>
      </c>
      <c r="M289" s="18" t="str">
        <f aca="false">IF($A289="","",$A289&amp;"|"&amp;$L289)</f>
        <v/>
      </c>
      <c r="N289" s="18" t="str">
        <f aca="false">IF(OR($A289="",UPPER($J289)&lt;&gt;"Y"),"",$A289&amp;"#"&amp;COUNTIFS($A$3:$A289,$A289,$J$3:$J289,"Y"))</f>
        <v/>
      </c>
    </row>
    <row r="290" customFormat="false" ht="15" hidden="false" customHeight="true" outlineLevel="0" collapsed="false">
      <c r="A290" s="11"/>
      <c r="B290" s="17"/>
      <c r="C290" s="12"/>
      <c r="D290" s="12"/>
      <c r="E290" s="18" t="str">
        <f aca="false">IF($D290="","",IFERROR(INDEX(품목마스터!$B$3:$B$102,MATCH($D290,품목마스터!$A$3:$A$102,0)),""))</f>
        <v/>
      </c>
      <c r="F290" s="18" t="str">
        <f aca="false">IF($D290="","",IFERROR(INDEX(품목마스터!$C$3:$C$102,MATCH($D290,품목마스터!$A$3:$A$102,0)),""))</f>
        <v/>
      </c>
      <c r="G290" s="13" t="str">
        <f aca="false">IF($D290="","",IFERROR(INDEX(품목마스터!$D$3:$D$102,MATCH($D290,품목마스터!$A$3:$A$102,0)),0))</f>
        <v/>
      </c>
      <c r="H290" s="11"/>
      <c r="I290" s="19" t="str">
        <f aca="false">IF(OR($G290="",$H290=""),"",ROUND($G290*$H290,0))</f>
        <v/>
      </c>
      <c r="J290" s="12"/>
      <c r="K290" s="11"/>
      <c r="L290" s="18" t="str">
        <f aca="false">IF($A290="","",COUNTIFS($A$3:$A290,$A290))</f>
        <v/>
      </c>
      <c r="M290" s="18" t="str">
        <f aca="false">IF($A290="","",$A290&amp;"|"&amp;$L290)</f>
        <v/>
      </c>
      <c r="N290" s="18" t="str">
        <f aca="false">IF(OR($A290="",UPPER($J290)&lt;&gt;"Y"),"",$A290&amp;"#"&amp;COUNTIFS($A$3:$A290,$A290,$J$3:$J290,"Y"))</f>
        <v/>
      </c>
    </row>
    <row r="291" customFormat="false" ht="15" hidden="false" customHeight="true" outlineLevel="0" collapsed="false">
      <c r="A291" s="11"/>
      <c r="B291" s="17"/>
      <c r="C291" s="12"/>
      <c r="D291" s="12"/>
      <c r="E291" s="18" t="str">
        <f aca="false">IF($D291="","",IFERROR(INDEX(품목마스터!$B$3:$B$102,MATCH($D291,품목마스터!$A$3:$A$102,0)),""))</f>
        <v/>
      </c>
      <c r="F291" s="18" t="str">
        <f aca="false">IF($D291="","",IFERROR(INDEX(품목마스터!$C$3:$C$102,MATCH($D291,품목마스터!$A$3:$A$102,0)),""))</f>
        <v/>
      </c>
      <c r="G291" s="13" t="str">
        <f aca="false">IF($D291="","",IFERROR(INDEX(품목마스터!$D$3:$D$102,MATCH($D291,품목마스터!$A$3:$A$102,0)),0))</f>
        <v/>
      </c>
      <c r="H291" s="11"/>
      <c r="I291" s="19" t="str">
        <f aca="false">IF(OR($G291="",$H291=""),"",ROUND($G291*$H291,0))</f>
        <v/>
      </c>
      <c r="J291" s="12"/>
      <c r="K291" s="11"/>
      <c r="L291" s="18" t="str">
        <f aca="false">IF($A291="","",COUNTIFS($A$3:$A291,$A291))</f>
        <v/>
      </c>
      <c r="M291" s="18" t="str">
        <f aca="false">IF($A291="","",$A291&amp;"|"&amp;$L291)</f>
        <v/>
      </c>
      <c r="N291" s="18" t="str">
        <f aca="false">IF(OR($A291="",UPPER($J291)&lt;&gt;"Y"),"",$A291&amp;"#"&amp;COUNTIFS($A$3:$A291,$A291,$J$3:$J291,"Y"))</f>
        <v/>
      </c>
    </row>
    <row r="292" customFormat="false" ht="15" hidden="false" customHeight="true" outlineLevel="0" collapsed="false">
      <c r="A292" s="11"/>
      <c r="B292" s="17"/>
      <c r="C292" s="12"/>
      <c r="D292" s="12"/>
      <c r="E292" s="18" t="str">
        <f aca="false">IF($D292="","",IFERROR(INDEX(품목마스터!$B$3:$B$102,MATCH($D292,품목마스터!$A$3:$A$102,0)),""))</f>
        <v/>
      </c>
      <c r="F292" s="18" t="str">
        <f aca="false">IF($D292="","",IFERROR(INDEX(품목마스터!$C$3:$C$102,MATCH($D292,품목마스터!$A$3:$A$102,0)),""))</f>
        <v/>
      </c>
      <c r="G292" s="13" t="str">
        <f aca="false">IF($D292="","",IFERROR(INDEX(품목마스터!$D$3:$D$102,MATCH($D292,품목마스터!$A$3:$A$102,0)),0))</f>
        <v/>
      </c>
      <c r="H292" s="11"/>
      <c r="I292" s="19" t="str">
        <f aca="false">IF(OR($G292="",$H292=""),"",ROUND($G292*$H292,0))</f>
        <v/>
      </c>
      <c r="J292" s="12"/>
      <c r="K292" s="11"/>
      <c r="L292" s="18" t="str">
        <f aca="false">IF($A292="","",COUNTIFS($A$3:$A292,$A292))</f>
        <v/>
      </c>
      <c r="M292" s="18" t="str">
        <f aca="false">IF($A292="","",$A292&amp;"|"&amp;$L292)</f>
        <v/>
      </c>
      <c r="N292" s="18" t="str">
        <f aca="false">IF(OR($A292="",UPPER($J292)&lt;&gt;"Y"),"",$A292&amp;"#"&amp;COUNTIFS($A$3:$A292,$A292,$J$3:$J292,"Y"))</f>
        <v/>
      </c>
    </row>
    <row r="293" customFormat="false" ht="15" hidden="false" customHeight="true" outlineLevel="0" collapsed="false">
      <c r="A293" s="11"/>
      <c r="B293" s="17"/>
      <c r="C293" s="12"/>
      <c r="D293" s="12"/>
      <c r="E293" s="18" t="str">
        <f aca="false">IF($D293="","",IFERROR(INDEX(품목마스터!$B$3:$B$102,MATCH($D293,품목마스터!$A$3:$A$102,0)),""))</f>
        <v/>
      </c>
      <c r="F293" s="18" t="str">
        <f aca="false">IF($D293="","",IFERROR(INDEX(품목마스터!$C$3:$C$102,MATCH($D293,품목마스터!$A$3:$A$102,0)),""))</f>
        <v/>
      </c>
      <c r="G293" s="13" t="str">
        <f aca="false">IF($D293="","",IFERROR(INDEX(품목마스터!$D$3:$D$102,MATCH($D293,품목마스터!$A$3:$A$102,0)),0))</f>
        <v/>
      </c>
      <c r="H293" s="11"/>
      <c r="I293" s="19" t="str">
        <f aca="false">IF(OR($G293="",$H293=""),"",ROUND($G293*$H293,0))</f>
        <v/>
      </c>
      <c r="J293" s="12"/>
      <c r="K293" s="11"/>
      <c r="L293" s="18" t="str">
        <f aca="false">IF($A293="","",COUNTIFS($A$3:$A293,$A293))</f>
        <v/>
      </c>
      <c r="M293" s="18" t="str">
        <f aca="false">IF($A293="","",$A293&amp;"|"&amp;$L293)</f>
        <v/>
      </c>
      <c r="N293" s="18" t="str">
        <f aca="false">IF(OR($A293="",UPPER($J293)&lt;&gt;"Y"),"",$A293&amp;"#"&amp;COUNTIFS($A$3:$A293,$A293,$J$3:$J293,"Y"))</f>
        <v/>
      </c>
    </row>
    <row r="294" customFormat="false" ht="15" hidden="false" customHeight="true" outlineLevel="0" collapsed="false">
      <c r="A294" s="11"/>
      <c r="B294" s="17"/>
      <c r="C294" s="12"/>
      <c r="D294" s="12"/>
      <c r="E294" s="18" t="str">
        <f aca="false">IF($D294="","",IFERROR(INDEX(품목마스터!$B$3:$B$102,MATCH($D294,품목마스터!$A$3:$A$102,0)),""))</f>
        <v/>
      </c>
      <c r="F294" s="18" t="str">
        <f aca="false">IF($D294="","",IFERROR(INDEX(품목마스터!$C$3:$C$102,MATCH($D294,품목마스터!$A$3:$A$102,0)),""))</f>
        <v/>
      </c>
      <c r="G294" s="13" t="str">
        <f aca="false">IF($D294="","",IFERROR(INDEX(품목마스터!$D$3:$D$102,MATCH($D294,품목마스터!$A$3:$A$102,0)),0))</f>
        <v/>
      </c>
      <c r="H294" s="11"/>
      <c r="I294" s="19" t="str">
        <f aca="false">IF(OR($G294="",$H294=""),"",ROUND($G294*$H294,0))</f>
        <v/>
      </c>
      <c r="J294" s="12"/>
      <c r="K294" s="11"/>
      <c r="L294" s="18" t="str">
        <f aca="false">IF($A294="","",COUNTIFS($A$3:$A294,$A294))</f>
        <v/>
      </c>
      <c r="M294" s="18" t="str">
        <f aca="false">IF($A294="","",$A294&amp;"|"&amp;$L294)</f>
        <v/>
      </c>
      <c r="N294" s="18" t="str">
        <f aca="false">IF(OR($A294="",UPPER($J294)&lt;&gt;"Y"),"",$A294&amp;"#"&amp;COUNTIFS($A$3:$A294,$A294,$J$3:$J294,"Y"))</f>
        <v/>
      </c>
    </row>
    <row r="295" customFormat="false" ht="15" hidden="false" customHeight="true" outlineLevel="0" collapsed="false">
      <c r="A295" s="11"/>
      <c r="B295" s="17"/>
      <c r="C295" s="12"/>
      <c r="D295" s="12"/>
      <c r="E295" s="18" t="str">
        <f aca="false">IF($D295="","",IFERROR(INDEX(품목마스터!$B$3:$B$102,MATCH($D295,품목마스터!$A$3:$A$102,0)),""))</f>
        <v/>
      </c>
      <c r="F295" s="18" t="str">
        <f aca="false">IF($D295="","",IFERROR(INDEX(품목마스터!$C$3:$C$102,MATCH($D295,품목마스터!$A$3:$A$102,0)),""))</f>
        <v/>
      </c>
      <c r="G295" s="13" t="str">
        <f aca="false">IF($D295="","",IFERROR(INDEX(품목마스터!$D$3:$D$102,MATCH($D295,품목마스터!$A$3:$A$102,0)),0))</f>
        <v/>
      </c>
      <c r="H295" s="11"/>
      <c r="I295" s="19" t="str">
        <f aca="false">IF(OR($G295="",$H295=""),"",ROUND($G295*$H295,0))</f>
        <v/>
      </c>
      <c r="J295" s="12"/>
      <c r="K295" s="11"/>
      <c r="L295" s="18" t="str">
        <f aca="false">IF($A295="","",COUNTIFS($A$3:$A295,$A295))</f>
        <v/>
      </c>
      <c r="M295" s="18" t="str">
        <f aca="false">IF($A295="","",$A295&amp;"|"&amp;$L295)</f>
        <v/>
      </c>
      <c r="N295" s="18" t="str">
        <f aca="false">IF(OR($A295="",UPPER($J295)&lt;&gt;"Y"),"",$A295&amp;"#"&amp;COUNTIFS($A$3:$A295,$A295,$J$3:$J295,"Y"))</f>
        <v/>
      </c>
    </row>
    <row r="296" customFormat="false" ht="15" hidden="false" customHeight="true" outlineLevel="0" collapsed="false">
      <c r="A296" s="11"/>
      <c r="B296" s="17"/>
      <c r="C296" s="12"/>
      <c r="D296" s="12"/>
      <c r="E296" s="18" t="str">
        <f aca="false">IF($D296="","",IFERROR(INDEX(품목마스터!$B$3:$B$102,MATCH($D296,품목마스터!$A$3:$A$102,0)),""))</f>
        <v/>
      </c>
      <c r="F296" s="18" t="str">
        <f aca="false">IF($D296="","",IFERROR(INDEX(품목마스터!$C$3:$C$102,MATCH($D296,품목마스터!$A$3:$A$102,0)),""))</f>
        <v/>
      </c>
      <c r="G296" s="13" t="str">
        <f aca="false">IF($D296="","",IFERROR(INDEX(품목마스터!$D$3:$D$102,MATCH($D296,품목마스터!$A$3:$A$102,0)),0))</f>
        <v/>
      </c>
      <c r="H296" s="11"/>
      <c r="I296" s="19" t="str">
        <f aca="false">IF(OR($G296="",$H296=""),"",ROUND($G296*$H296,0))</f>
        <v/>
      </c>
      <c r="J296" s="12"/>
      <c r="K296" s="11"/>
      <c r="L296" s="18" t="str">
        <f aca="false">IF($A296="","",COUNTIFS($A$3:$A296,$A296))</f>
        <v/>
      </c>
      <c r="M296" s="18" t="str">
        <f aca="false">IF($A296="","",$A296&amp;"|"&amp;$L296)</f>
        <v/>
      </c>
      <c r="N296" s="18" t="str">
        <f aca="false">IF(OR($A296="",UPPER($J296)&lt;&gt;"Y"),"",$A296&amp;"#"&amp;COUNTIFS($A$3:$A296,$A296,$J$3:$J296,"Y"))</f>
        <v/>
      </c>
    </row>
    <row r="297" customFormat="false" ht="15" hidden="false" customHeight="true" outlineLevel="0" collapsed="false">
      <c r="A297" s="11"/>
      <c r="B297" s="17"/>
      <c r="C297" s="12"/>
      <c r="D297" s="12"/>
      <c r="E297" s="18" t="str">
        <f aca="false">IF($D297="","",IFERROR(INDEX(품목마스터!$B$3:$B$102,MATCH($D297,품목마스터!$A$3:$A$102,0)),""))</f>
        <v/>
      </c>
      <c r="F297" s="18" t="str">
        <f aca="false">IF($D297="","",IFERROR(INDEX(품목마스터!$C$3:$C$102,MATCH($D297,품목마스터!$A$3:$A$102,0)),""))</f>
        <v/>
      </c>
      <c r="G297" s="13" t="str">
        <f aca="false">IF($D297="","",IFERROR(INDEX(품목마스터!$D$3:$D$102,MATCH($D297,품목마스터!$A$3:$A$102,0)),0))</f>
        <v/>
      </c>
      <c r="H297" s="11"/>
      <c r="I297" s="19" t="str">
        <f aca="false">IF(OR($G297="",$H297=""),"",ROUND($G297*$H297,0))</f>
        <v/>
      </c>
      <c r="J297" s="12"/>
      <c r="K297" s="11"/>
      <c r="L297" s="18" t="str">
        <f aca="false">IF($A297="","",COUNTIFS($A$3:$A297,$A297))</f>
        <v/>
      </c>
      <c r="M297" s="18" t="str">
        <f aca="false">IF($A297="","",$A297&amp;"|"&amp;$L297)</f>
        <v/>
      </c>
      <c r="N297" s="18" t="str">
        <f aca="false">IF(OR($A297="",UPPER($J297)&lt;&gt;"Y"),"",$A297&amp;"#"&amp;COUNTIFS($A$3:$A297,$A297,$J$3:$J297,"Y"))</f>
        <v/>
      </c>
    </row>
    <row r="298" customFormat="false" ht="15" hidden="false" customHeight="true" outlineLevel="0" collapsed="false">
      <c r="A298" s="11"/>
      <c r="B298" s="17"/>
      <c r="C298" s="12"/>
      <c r="D298" s="12"/>
      <c r="E298" s="18" t="str">
        <f aca="false">IF($D298="","",IFERROR(INDEX(품목마스터!$B$3:$B$102,MATCH($D298,품목마스터!$A$3:$A$102,0)),""))</f>
        <v/>
      </c>
      <c r="F298" s="18" t="str">
        <f aca="false">IF($D298="","",IFERROR(INDEX(품목마스터!$C$3:$C$102,MATCH($D298,품목마스터!$A$3:$A$102,0)),""))</f>
        <v/>
      </c>
      <c r="G298" s="13" t="str">
        <f aca="false">IF($D298="","",IFERROR(INDEX(품목마스터!$D$3:$D$102,MATCH($D298,품목마스터!$A$3:$A$102,0)),0))</f>
        <v/>
      </c>
      <c r="H298" s="11"/>
      <c r="I298" s="19" t="str">
        <f aca="false">IF(OR($G298="",$H298=""),"",ROUND($G298*$H298,0))</f>
        <v/>
      </c>
      <c r="J298" s="12"/>
      <c r="K298" s="11"/>
      <c r="L298" s="18" t="str">
        <f aca="false">IF($A298="","",COUNTIFS($A$3:$A298,$A298))</f>
        <v/>
      </c>
      <c r="M298" s="18" t="str">
        <f aca="false">IF($A298="","",$A298&amp;"|"&amp;$L298)</f>
        <v/>
      </c>
      <c r="N298" s="18" t="str">
        <f aca="false">IF(OR($A298="",UPPER($J298)&lt;&gt;"Y"),"",$A298&amp;"#"&amp;COUNTIFS($A$3:$A298,$A298,$J$3:$J298,"Y"))</f>
        <v/>
      </c>
    </row>
    <row r="299" customFormat="false" ht="15" hidden="false" customHeight="true" outlineLevel="0" collapsed="false">
      <c r="A299" s="11"/>
      <c r="B299" s="17"/>
      <c r="C299" s="12"/>
      <c r="D299" s="12"/>
      <c r="E299" s="18" t="str">
        <f aca="false">IF($D299="","",IFERROR(INDEX(품목마스터!$B$3:$B$102,MATCH($D299,품목마스터!$A$3:$A$102,0)),""))</f>
        <v/>
      </c>
      <c r="F299" s="18" t="str">
        <f aca="false">IF($D299="","",IFERROR(INDEX(품목마스터!$C$3:$C$102,MATCH($D299,품목마스터!$A$3:$A$102,0)),""))</f>
        <v/>
      </c>
      <c r="G299" s="13" t="str">
        <f aca="false">IF($D299="","",IFERROR(INDEX(품목마스터!$D$3:$D$102,MATCH($D299,품목마스터!$A$3:$A$102,0)),0))</f>
        <v/>
      </c>
      <c r="H299" s="11"/>
      <c r="I299" s="19" t="str">
        <f aca="false">IF(OR($G299="",$H299=""),"",ROUND($G299*$H299,0))</f>
        <v/>
      </c>
      <c r="J299" s="12"/>
      <c r="K299" s="11"/>
      <c r="L299" s="18" t="str">
        <f aca="false">IF($A299="","",COUNTIFS($A$3:$A299,$A299))</f>
        <v/>
      </c>
      <c r="M299" s="18" t="str">
        <f aca="false">IF($A299="","",$A299&amp;"|"&amp;$L299)</f>
        <v/>
      </c>
      <c r="N299" s="18" t="str">
        <f aca="false">IF(OR($A299="",UPPER($J299)&lt;&gt;"Y"),"",$A299&amp;"#"&amp;COUNTIFS($A$3:$A299,$A299,$J$3:$J299,"Y"))</f>
        <v/>
      </c>
    </row>
    <row r="300" customFormat="false" ht="15" hidden="false" customHeight="true" outlineLevel="0" collapsed="false">
      <c r="A300" s="11"/>
      <c r="B300" s="17"/>
      <c r="C300" s="12"/>
      <c r="D300" s="12"/>
      <c r="E300" s="18" t="str">
        <f aca="false">IF($D300="","",IFERROR(INDEX(품목마스터!$B$3:$B$102,MATCH($D300,품목마스터!$A$3:$A$102,0)),""))</f>
        <v/>
      </c>
      <c r="F300" s="18" t="str">
        <f aca="false">IF($D300="","",IFERROR(INDEX(품목마스터!$C$3:$C$102,MATCH($D300,품목마스터!$A$3:$A$102,0)),""))</f>
        <v/>
      </c>
      <c r="G300" s="13" t="str">
        <f aca="false">IF($D300="","",IFERROR(INDEX(품목마스터!$D$3:$D$102,MATCH($D300,품목마스터!$A$3:$A$102,0)),0))</f>
        <v/>
      </c>
      <c r="H300" s="11"/>
      <c r="I300" s="19" t="str">
        <f aca="false">IF(OR($G300="",$H300=""),"",ROUND($G300*$H300,0))</f>
        <v/>
      </c>
      <c r="J300" s="12"/>
      <c r="K300" s="11"/>
      <c r="L300" s="18" t="str">
        <f aca="false">IF($A300="","",COUNTIFS($A$3:$A300,$A300))</f>
        <v/>
      </c>
      <c r="M300" s="18" t="str">
        <f aca="false">IF($A300="","",$A300&amp;"|"&amp;$L300)</f>
        <v/>
      </c>
      <c r="N300" s="18" t="str">
        <f aca="false">IF(OR($A300="",UPPER($J300)&lt;&gt;"Y"),"",$A300&amp;"#"&amp;COUNTIFS($A$3:$A300,$A300,$J$3:$J300,"Y"))</f>
        <v/>
      </c>
    </row>
    <row r="301" customFormat="false" ht="15" hidden="false" customHeight="true" outlineLevel="0" collapsed="false">
      <c r="A301" s="11"/>
      <c r="B301" s="17"/>
      <c r="C301" s="12"/>
      <c r="D301" s="12"/>
      <c r="E301" s="18" t="str">
        <f aca="false">IF($D301="","",IFERROR(INDEX(품목마스터!$B$3:$B$102,MATCH($D301,품목마스터!$A$3:$A$102,0)),""))</f>
        <v/>
      </c>
      <c r="F301" s="18" t="str">
        <f aca="false">IF($D301="","",IFERROR(INDEX(품목마스터!$C$3:$C$102,MATCH($D301,품목마스터!$A$3:$A$102,0)),""))</f>
        <v/>
      </c>
      <c r="G301" s="13" t="str">
        <f aca="false">IF($D301="","",IFERROR(INDEX(품목마스터!$D$3:$D$102,MATCH($D301,품목마스터!$A$3:$A$102,0)),0))</f>
        <v/>
      </c>
      <c r="H301" s="11"/>
      <c r="I301" s="19" t="str">
        <f aca="false">IF(OR($G301="",$H301=""),"",ROUND($G301*$H301,0))</f>
        <v/>
      </c>
      <c r="J301" s="12"/>
      <c r="K301" s="11"/>
      <c r="L301" s="18" t="str">
        <f aca="false">IF($A301="","",COUNTIFS($A$3:$A301,$A301))</f>
        <v/>
      </c>
      <c r="M301" s="18" t="str">
        <f aca="false">IF($A301="","",$A301&amp;"|"&amp;$L301)</f>
        <v/>
      </c>
      <c r="N301" s="18" t="str">
        <f aca="false">IF(OR($A301="",UPPER($J301)&lt;&gt;"Y"),"",$A301&amp;"#"&amp;COUNTIFS($A$3:$A301,$A301,$J$3:$J301,"Y"))</f>
        <v/>
      </c>
    </row>
    <row r="302" customFormat="false" ht="15" hidden="false" customHeight="true" outlineLevel="0" collapsed="false">
      <c r="A302" s="11"/>
      <c r="B302" s="17"/>
      <c r="C302" s="12"/>
      <c r="D302" s="12"/>
      <c r="E302" s="18" t="str">
        <f aca="false">IF($D302="","",IFERROR(INDEX(품목마스터!$B$3:$B$102,MATCH($D302,품목마스터!$A$3:$A$102,0)),""))</f>
        <v/>
      </c>
      <c r="F302" s="18" t="str">
        <f aca="false">IF($D302="","",IFERROR(INDEX(품목마스터!$C$3:$C$102,MATCH($D302,품목마스터!$A$3:$A$102,0)),""))</f>
        <v/>
      </c>
      <c r="G302" s="13" t="str">
        <f aca="false">IF($D302="","",IFERROR(INDEX(품목마스터!$D$3:$D$102,MATCH($D302,품목마스터!$A$3:$A$102,0)),0))</f>
        <v/>
      </c>
      <c r="H302" s="11"/>
      <c r="I302" s="19" t="str">
        <f aca="false">IF(OR($G302="",$H302=""),"",ROUND($G302*$H302,0))</f>
        <v/>
      </c>
      <c r="J302" s="12"/>
      <c r="K302" s="11"/>
      <c r="L302" s="18" t="str">
        <f aca="false">IF($A302="","",COUNTIFS($A$3:$A302,$A302))</f>
        <v/>
      </c>
      <c r="M302" s="18" t="str">
        <f aca="false">IF($A302="","",$A302&amp;"|"&amp;$L302)</f>
        <v/>
      </c>
      <c r="N302" s="18" t="str">
        <f aca="false">IF(OR($A302="",UPPER($J302)&lt;&gt;"Y"),"",$A302&amp;"#"&amp;COUNTIFS($A$3:$A302,$A302,$J$3:$J302,"Y"))</f>
        <v/>
      </c>
    </row>
  </sheetData>
  <mergeCells count="1">
    <mergeCell ref="A1:N1"/>
  </mergeCells>
  <dataValidations count="3">
    <dataValidation allowBlank="true" errorStyle="stop" operator="between" showDropDown="false" showErrorMessage="false" showInputMessage="false" sqref="C3:C302" type="list">
      <formula1>거래처목록!$A$3:$A$62</formula1>
      <formula2>0</formula2>
    </dataValidation>
    <dataValidation allowBlank="true" errorStyle="stop" operator="between" showDropDown="false" showErrorMessage="false" showInputMessage="false" sqref="D3:D302" type="list">
      <formula1>품목마스터!$A$3:$A$102</formula1>
      <formula2>0</formula2>
    </dataValidation>
    <dataValidation allowBlank="true" errorStyle="stop" operator="between" showDropDown="false" showErrorMessage="false" showInputMessage="false" sqref="J3:J30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37.5" hidden="false" customHeight="true" outlineLevel="0" collapsed="false">
      <c r="A1" s="20" t="s">
        <v>73</v>
      </c>
      <c r="B1" s="20"/>
      <c r="C1" s="20"/>
      <c r="D1" s="20"/>
      <c r="E1" s="20"/>
      <c r="F1" s="20"/>
      <c r="G1" s="20"/>
    </row>
    <row r="3" customFormat="false" ht="15" hidden="false" customHeight="true" outlineLevel="0" collapsed="false">
      <c r="A3" s="21" t="s">
        <v>61</v>
      </c>
      <c r="B3" s="21"/>
      <c r="C3" s="22" t="s">
        <v>74</v>
      </c>
      <c r="D3" s="22"/>
      <c r="E3" s="21" t="s">
        <v>62</v>
      </c>
      <c r="F3" s="23" t="str">
        <f aca="false">IFERROR(INDEX(출고현황!$B$3:$B$302,MATCH($C$3,출고현황!$A$3:$A$302,0)),"")</f>
        <v/>
      </c>
      <c r="G3" s="23"/>
    </row>
    <row r="4" customFormat="false" ht="13.5" hidden="false" customHeight="true" outlineLevel="0" collapsed="false">
      <c r="A4" s="24" t="s">
        <v>75</v>
      </c>
      <c r="B4" s="24"/>
      <c r="C4" s="24"/>
      <c r="D4" s="24"/>
      <c r="E4" s="24"/>
      <c r="F4" s="24"/>
      <c r="G4" s="24"/>
    </row>
    <row r="6" customFormat="false" ht="21.75" hidden="false" customHeight="true" outlineLevel="0" collapsed="false">
      <c r="A6" s="25" t="s">
        <v>76</v>
      </c>
      <c r="B6" s="25"/>
      <c r="C6" s="18" t="str">
        <f aca="false">IFERROR(INDEX(출고현황!$C$3:$C$302,MATCH($C$3,출고현황!$A$3:$A$302,0)),"")</f>
        <v/>
      </c>
      <c r="D6" s="18"/>
      <c r="E6" s="25" t="s">
        <v>20</v>
      </c>
      <c r="F6" s="18" t="str">
        <f aca="false">기초정보!$C$4</f>
        <v>○○산업</v>
      </c>
      <c r="G6" s="18"/>
    </row>
    <row r="7" customFormat="false" ht="21.75" hidden="false" customHeight="true" outlineLevel="0" collapsed="false">
      <c r="A7" s="25" t="s">
        <v>38</v>
      </c>
      <c r="B7" s="25"/>
      <c r="C7" s="18" t="str">
        <f aca="false">IFERROR(INDEX(거래처목록!$B$3:$B$62,MATCH($C$6,거래처목록!$A$3:$A$62,0)),"")</f>
        <v/>
      </c>
      <c r="D7" s="18"/>
      <c r="E7" s="25" t="s">
        <v>38</v>
      </c>
      <c r="F7" s="18" t="str">
        <f aca="false">기초정보!$C$5</f>
        <v>000-00-00000</v>
      </c>
      <c r="G7" s="18"/>
    </row>
    <row r="8" customFormat="false" ht="21.75" hidden="false" customHeight="true" outlineLevel="0" collapsed="false">
      <c r="A8" s="25" t="s">
        <v>32</v>
      </c>
      <c r="B8" s="25"/>
      <c r="C8" s="18" t="str">
        <f aca="false">IFERROR(INDEX(거래처목록!$E$3:$E$62,MATCH($C$6,거래처목록!$A$3:$A$62,0)),"")</f>
        <v/>
      </c>
      <c r="D8" s="18"/>
      <c r="E8" s="25" t="s">
        <v>32</v>
      </c>
      <c r="F8" s="18" t="str">
        <f aca="false">기초정보!$C$10</f>
        <v>김담당</v>
      </c>
      <c r="G8" s="18"/>
    </row>
    <row r="10" customFormat="false" ht="15" hidden="false" customHeight="true" outlineLevel="0" collapsed="false">
      <c r="A10" s="26" t="s">
        <v>77</v>
      </c>
      <c r="B10" s="27" t="s">
        <v>78</v>
      </c>
      <c r="C10" s="27" t="s">
        <v>79</v>
      </c>
      <c r="D10" s="27" t="s">
        <v>49</v>
      </c>
      <c r="E10" s="27" t="s">
        <v>66</v>
      </c>
      <c r="F10" s="27" t="s">
        <v>65</v>
      </c>
      <c r="G10" s="27" t="s">
        <v>80</v>
      </c>
    </row>
    <row r="11" customFormat="false" ht="15" hidden="false" customHeight="true" outlineLevel="0" collapsed="false">
      <c r="A11" s="28" t="n">
        <v>1</v>
      </c>
      <c r="B11" s="18" t="str">
        <f aca="false">IFERROR(INDEX(출고현황!$D$3:$D$302,MATCH($C$3&amp;"|"&amp;1,출고현황!$M$3:$M$302,0)),"")</f>
        <v/>
      </c>
      <c r="C11" s="18" t="str">
        <f aca="false">IF($B11="","",IFERROR(INDEX(출고현황!$E$3:$E$302,MATCH($C$3&amp;"|"&amp;1,출고현황!$M$3:$M$302,0)),""))</f>
        <v/>
      </c>
      <c r="D11" s="28" t="str">
        <f aca="false">IF($B11="","",IFERROR(INDEX(출고현황!$F$3:$F$302,MATCH($C$3&amp;"|"&amp;1,출고현황!$M$3:$M$302,0)),""))</f>
        <v/>
      </c>
      <c r="E11" s="29" t="str">
        <f aca="false">IF($B11="","",IFERROR(INDEX(출고현황!$H$3:$H$302,MATCH($C$3&amp;"|"&amp;1,출고현황!$M$3:$M$302,0)),""))</f>
        <v/>
      </c>
      <c r="F11" s="19" t="str">
        <f aca="false">IF($B11="","",IFERROR(INDEX(출고현황!$G$3:$G$302,MATCH($C$3&amp;"|"&amp;1,출고현황!$M$3:$M$302,0)),""))</f>
        <v/>
      </c>
      <c r="G11" s="19" t="str">
        <f aca="false">IF($B11="","",IFERROR(INDEX(출고현황!$I$3:$I$302,MATCH($C$3&amp;"|"&amp;1,출고현황!$M$3:$M$302,0)),""))</f>
        <v/>
      </c>
    </row>
    <row r="12" customFormat="false" ht="15" hidden="false" customHeight="true" outlineLevel="0" collapsed="false">
      <c r="A12" s="28" t="n">
        <v>2</v>
      </c>
      <c r="B12" s="18" t="str">
        <f aca="false">IFERROR(INDEX(출고현황!$D$3:$D$302,MATCH($C$3&amp;"|"&amp;2,출고현황!$M$3:$M$302,0)),"")</f>
        <v/>
      </c>
      <c r="C12" s="18" t="str">
        <f aca="false">IF($B12="","",IFERROR(INDEX(출고현황!$E$3:$E$302,MATCH($C$3&amp;"|"&amp;2,출고현황!$M$3:$M$302,0)),""))</f>
        <v/>
      </c>
      <c r="D12" s="28" t="str">
        <f aca="false">IF($B12="","",IFERROR(INDEX(출고현황!$F$3:$F$302,MATCH($C$3&amp;"|"&amp;2,출고현황!$M$3:$M$302,0)),""))</f>
        <v/>
      </c>
      <c r="E12" s="29" t="str">
        <f aca="false">IF($B12="","",IFERROR(INDEX(출고현황!$H$3:$H$302,MATCH($C$3&amp;"|"&amp;2,출고현황!$M$3:$M$302,0)),""))</f>
        <v/>
      </c>
      <c r="F12" s="19" t="str">
        <f aca="false">IF($B12="","",IFERROR(INDEX(출고현황!$G$3:$G$302,MATCH($C$3&amp;"|"&amp;2,출고현황!$M$3:$M$302,0)),""))</f>
        <v/>
      </c>
      <c r="G12" s="19" t="str">
        <f aca="false">IF($B12="","",IFERROR(INDEX(출고현황!$I$3:$I$302,MATCH($C$3&amp;"|"&amp;2,출고현황!$M$3:$M$302,0)),""))</f>
        <v/>
      </c>
    </row>
    <row r="13" customFormat="false" ht="15" hidden="false" customHeight="true" outlineLevel="0" collapsed="false">
      <c r="A13" s="28" t="n">
        <v>3</v>
      </c>
      <c r="B13" s="18" t="str">
        <f aca="false">IFERROR(INDEX(출고현황!$D$3:$D$302,MATCH($C$3&amp;"|"&amp;3,출고현황!$M$3:$M$302,0)),"")</f>
        <v/>
      </c>
      <c r="C13" s="18" t="str">
        <f aca="false">IF($B13="","",IFERROR(INDEX(출고현황!$E$3:$E$302,MATCH($C$3&amp;"|"&amp;3,출고현황!$M$3:$M$302,0)),""))</f>
        <v/>
      </c>
      <c r="D13" s="28" t="str">
        <f aca="false">IF($B13="","",IFERROR(INDEX(출고현황!$F$3:$F$302,MATCH($C$3&amp;"|"&amp;3,출고현황!$M$3:$M$302,0)),""))</f>
        <v/>
      </c>
      <c r="E13" s="29" t="str">
        <f aca="false">IF($B13="","",IFERROR(INDEX(출고현황!$H$3:$H$302,MATCH($C$3&amp;"|"&amp;3,출고현황!$M$3:$M$302,0)),""))</f>
        <v/>
      </c>
      <c r="F13" s="19" t="str">
        <f aca="false">IF($B13="","",IFERROR(INDEX(출고현황!$G$3:$G$302,MATCH($C$3&amp;"|"&amp;3,출고현황!$M$3:$M$302,0)),""))</f>
        <v/>
      </c>
      <c r="G13" s="19" t="str">
        <f aca="false">IF($B13="","",IFERROR(INDEX(출고현황!$I$3:$I$302,MATCH($C$3&amp;"|"&amp;3,출고현황!$M$3:$M$302,0)),""))</f>
        <v/>
      </c>
    </row>
    <row r="14" customFormat="false" ht="15" hidden="false" customHeight="true" outlineLevel="0" collapsed="false">
      <c r="A14" s="28" t="n">
        <v>4</v>
      </c>
      <c r="B14" s="18" t="str">
        <f aca="false">IFERROR(INDEX(출고현황!$D$3:$D$302,MATCH($C$3&amp;"|"&amp;4,출고현황!$M$3:$M$302,0)),"")</f>
        <v/>
      </c>
      <c r="C14" s="18" t="str">
        <f aca="false">IF($B14="","",IFERROR(INDEX(출고현황!$E$3:$E$302,MATCH($C$3&amp;"|"&amp;4,출고현황!$M$3:$M$302,0)),""))</f>
        <v/>
      </c>
      <c r="D14" s="28" t="str">
        <f aca="false">IF($B14="","",IFERROR(INDEX(출고현황!$F$3:$F$302,MATCH($C$3&amp;"|"&amp;4,출고현황!$M$3:$M$302,0)),""))</f>
        <v/>
      </c>
      <c r="E14" s="29" t="str">
        <f aca="false">IF($B14="","",IFERROR(INDEX(출고현황!$H$3:$H$302,MATCH($C$3&amp;"|"&amp;4,출고현황!$M$3:$M$302,0)),""))</f>
        <v/>
      </c>
      <c r="F14" s="19" t="str">
        <f aca="false">IF($B14="","",IFERROR(INDEX(출고현황!$G$3:$G$302,MATCH($C$3&amp;"|"&amp;4,출고현황!$M$3:$M$302,0)),""))</f>
        <v/>
      </c>
      <c r="G14" s="19" t="str">
        <f aca="false">IF($B14="","",IFERROR(INDEX(출고현황!$I$3:$I$302,MATCH($C$3&amp;"|"&amp;4,출고현황!$M$3:$M$302,0)),""))</f>
        <v/>
      </c>
    </row>
    <row r="15" customFormat="false" ht="15" hidden="false" customHeight="true" outlineLevel="0" collapsed="false">
      <c r="A15" s="28" t="n">
        <v>5</v>
      </c>
      <c r="B15" s="18" t="str">
        <f aca="false">IFERROR(INDEX(출고현황!$D$3:$D$302,MATCH($C$3&amp;"|"&amp;5,출고현황!$M$3:$M$302,0)),"")</f>
        <v/>
      </c>
      <c r="C15" s="18" t="str">
        <f aca="false">IF($B15="","",IFERROR(INDEX(출고현황!$E$3:$E$302,MATCH($C$3&amp;"|"&amp;5,출고현황!$M$3:$M$302,0)),""))</f>
        <v/>
      </c>
      <c r="D15" s="28" t="str">
        <f aca="false">IF($B15="","",IFERROR(INDEX(출고현황!$F$3:$F$302,MATCH($C$3&amp;"|"&amp;5,출고현황!$M$3:$M$302,0)),""))</f>
        <v/>
      </c>
      <c r="E15" s="29" t="str">
        <f aca="false">IF($B15="","",IFERROR(INDEX(출고현황!$H$3:$H$302,MATCH($C$3&amp;"|"&amp;5,출고현황!$M$3:$M$302,0)),""))</f>
        <v/>
      </c>
      <c r="F15" s="19" t="str">
        <f aca="false">IF($B15="","",IFERROR(INDEX(출고현황!$G$3:$G$302,MATCH($C$3&amp;"|"&amp;5,출고현황!$M$3:$M$302,0)),""))</f>
        <v/>
      </c>
      <c r="G15" s="19" t="str">
        <f aca="false">IF($B15="","",IFERROR(INDEX(출고현황!$I$3:$I$302,MATCH($C$3&amp;"|"&amp;5,출고현황!$M$3:$M$302,0)),""))</f>
        <v/>
      </c>
    </row>
    <row r="16" customFormat="false" ht="15" hidden="false" customHeight="true" outlineLevel="0" collapsed="false">
      <c r="A16" s="28" t="n">
        <v>6</v>
      </c>
      <c r="B16" s="18" t="str">
        <f aca="false">IFERROR(INDEX(출고현황!$D$3:$D$302,MATCH($C$3&amp;"|"&amp;6,출고현황!$M$3:$M$302,0)),"")</f>
        <v/>
      </c>
      <c r="C16" s="18" t="str">
        <f aca="false">IF($B16="","",IFERROR(INDEX(출고현황!$E$3:$E$302,MATCH($C$3&amp;"|"&amp;6,출고현황!$M$3:$M$302,0)),""))</f>
        <v/>
      </c>
      <c r="D16" s="28" t="str">
        <f aca="false">IF($B16="","",IFERROR(INDEX(출고현황!$F$3:$F$302,MATCH($C$3&amp;"|"&amp;6,출고현황!$M$3:$M$302,0)),""))</f>
        <v/>
      </c>
      <c r="E16" s="29" t="str">
        <f aca="false">IF($B16="","",IFERROR(INDEX(출고현황!$H$3:$H$302,MATCH($C$3&amp;"|"&amp;6,출고현황!$M$3:$M$302,0)),""))</f>
        <v/>
      </c>
      <c r="F16" s="19" t="str">
        <f aca="false">IF($B16="","",IFERROR(INDEX(출고현황!$G$3:$G$302,MATCH($C$3&amp;"|"&amp;6,출고현황!$M$3:$M$302,0)),""))</f>
        <v/>
      </c>
      <c r="G16" s="19" t="str">
        <f aca="false">IF($B16="","",IFERROR(INDEX(출고현황!$I$3:$I$302,MATCH($C$3&amp;"|"&amp;6,출고현황!$M$3:$M$302,0)),""))</f>
        <v/>
      </c>
    </row>
    <row r="17" customFormat="false" ht="15" hidden="false" customHeight="true" outlineLevel="0" collapsed="false">
      <c r="A17" s="28" t="n">
        <v>7</v>
      </c>
      <c r="B17" s="18" t="str">
        <f aca="false">IFERROR(INDEX(출고현황!$D$3:$D$302,MATCH($C$3&amp;"|"&amp;7,출고현황!$M$3:$M$302,0)),"")</f>
        <v/>
      </c>
      <c r="C17" s="18" t="str">
        <f aca="false">IF($B17="","",IFERROR(INDEX(출고현황!$E$3:$E$302,MATCH($C$3&amp;"|"&amp;7,출고현황!$M$3:$M$302,0)),""))</f>
        <v/>
      </c>
      <c r="D17" s="28" t="str">
        <f aca="false">IF($B17="","",IFERROR(INDEX(출고현황!$F$3:$F$302,MATCH($C$3&amp;"|"&amp;7,출고현황!$M$3:$M$302,0)),""))</f>
        <v/>
      </c>
      <c r="E17" s="29" t="str">
        <f aca="false">IF($B17="","",IFERROR(INDEX(출고현황!$H$3:$H$302,MATCH($C$3&amp;"|"&amp;7,출고현황!$M$3:$M$302,0)),""))</f>
        <v/>
      </c>
      <c r="F17" s="19" t="str">
        <f aca="false">IF($B17="","",IFERROR(INDEX(출고현황!$G$3:$G$302,MATCH($C$3&amp;"|"&amp;7,출고현황!$M$3:$M$302,0)),""))</f>
        <v/>
      </c>
      <c r="G17" s="19" t="str">
        <f aca="false">IF($B17="","",IFERROR(INDEX(출고현황!$I$3:$I$302,MATCH($C$3&amp;"|"&amp;7,출고현황!$M$3:$M$302,0)),""))</f>
        <v/>
      </c>
    </row>
    <row r="18" customFormat="false" ht="15" hidden="false" customHeight="true" outlineLevel="0" collapsed="false">
      <c r="A18" s="28" t="n">
        <v>8</v>
      </c>
      <c r="B18" s="18" t="str">
        <f aca="false">IFERROR(INDEX(출고현황!$D$3:$D$302,MATCH($C$3&amp;"|"&amp;8,출고현황!$M$3:$M$302,0)),"")</f>
        <v/>
      </c>
      <c r="C18" s="18" t="str">
        <f aca="false">IF($B18="","",IFERROR(INDEX(출고현황!$E$3:$E$302,MATCH($C$3&amp;"|"&amp;8,출고현황!$M$3:$M$302,0)),""))</f>
        <v/>
      </c>
      <c r="D18" s="28" t="str">
        <f aca="false">IF($B18="","",IFERROR(INDEX(출고현황!$F$3:$F$302,MATCH($C$3&amp;"|"&amp;8,출고현황!$M$3:$M$302,0)),""))</f>
        <v/>
      </c>
      <c r="E18" s="29" t="str">
        <f aca="false">IF($B18="","",IFERROR(INDEX(출고현황!$H$3:$H$302,MATCH($C$3&amp;"|"&amp;8,출고현황!$M$3:$M$302,0)),""))</f>
        <v/>
      </c>
      <c r="F18" s="19" t="str">
        <f aca="false">IF($B18="","",IFERROR(INDEX(출고현황!$G$3:$G$302,MATCH($C$3&amp;"|"&amp;8,출고현황!$M$3:$M$302,0)),""))</f>
        <v/>
      </c>
      <c r="G18" s="19" t="str">
        <f aca="false">IF($B18="","",IFERROR(INDEX(출고현황!$I$3:$I$302,MATCH($C$3&amp;"|"&amp;8,출고현황!$M$3:$M$302,0)),""))</f>
        <v/>
      </c>
    </row>
    <row r="19" customFormat="false" ht="15" hidden="false" customHeight="true" outlineLevel="0" collapsed="false">
      <c r="A19" s="28" t="n">
        <v>9</v>
      </c>
      <c r="B19" s="18" t="str">
        <f aca="false">IFERROR(INDEX(출고현황!$D$3:$D$302,MATCH($C$3&amp;"|"&amp;9,출고현황!$M$3:$M$302,0)),"")</f>
        <v/>
      </c>
      <c r="C19" s="18" t="str">
        <f aca="false">IF($B19="","",IFERROR(INDEX(출고현황!$E$3:$E$302,MATCH($C$3&amp;"|"&amp;9,출고현황!$M$3:$M$302,0)),""))</f>
        <v/>
      </c>
      <c r="D19" s="28" t="str">
        <f aca="false">IF($B19="","",IFERROR(INDEX(출고현황!$F$3:$F$302,MATCH($C$3&amp;"|"&amp;9,출고현황!$M$3:$M$302,0)),""))</f>
        <v/>
      </c>
      <c r="E19" s="29" t="str">
        <f aca="false">IF($B19="","",IFERROR(INDEX(출고현황!$H$3:$H$302,MATCH($C$3&amp;"|"&amp;9,출고현황!$M$3:$M$302,0)),""))</f>
        <v/>
      </c>
      <c r="F19" s="19" t="str">
        <f aca="false">IF($B19="","",IFERROR(INDEX(출고현황!$G$3:$G$302,MATCH($C$3&amp;"|"&amp;9,출고현황!$M$3:$M$302,0)),""))</f>
        <v/>
      </c>
      <c r="G19" s="19" t="str">
        <f aca="false">IF($B19="","",IFERROR(INDEX(출고현황!$I$3:$I$302,MATCH($C$3&amp;"|"&amp;9,출고현황!$M$3:$M$302,0)),""))</f>
        <v/>
      </c>
    </row>
    <row r="20" customFormat="false" ht="15" hidden="false" customHeight="true" outlineLevel="0" collapsed="false">
      <c r="A20" s="28" t="n">
        <v>10</v>
      </c>
      <c r="B20" s="18" t="str">
        <f aca="false">IFERROR(INDEX(출고현황!$D$3:$D$302,MATCH($C$3&amp;"|"&amp;10,출고현황!$M$3:$M$302,0)),"")</f>
        <v/>
      </c>
      <c r="C20" s="18" t="str">
        <f aca="false">IF($B20="","",IFERROR(INDEX(출고현황!$E$3:$E$302,MATCH($C$3&amp;"|"&amp;10,출고현황!$M$3:$M$302,0)),""))</f>
        <v/>
      </c>
      <c r="D20" s="28" t="str">
        <f aca="false">IF($B20="","",IFERROR(INDEX(출고현황!$F$3:$F$302,MATCH($C$3&amp;"|"&amp;10,출고현황!$M$3:$M$302,0)),""))</f>
        <v/>
      </c>
      <c r="E20" s="29" t="str">
        <f aca="false">IF($B20="","",IFERROR(INDEX(출고현황!$H$3:$H$302,MATCH($C$3&amp;"|"&amp;10,출고현황!$M$3:$M$302,0)),""))</f>
        <v/>
      </c>
      <c r="F20" s="19" t="str">
        <f aca="false">IF($B20="","",IFERROR(INDEX(출고현황!$G$3:$G$302,MATCH($C$3&amp;"|"&amp;10,출고현황!$M$3:$M$302,0)),""))</f>
        <v/>
      </c>
      <c r="G20" s="19" t="str">
        <f aca="false">IF($B20="","",IFERROR(INDEX(출고현황!$I$3:$I$302,MATCH($C$3&amp;"|"&amp;10,출고현황!$M$3:$M$302,0)),""))</f>
        <v/>
      </c>
    </row>
    <row r="21" customFormat="false" ht="15" hidden="false" customHeight="true" outlineLevel="0" collapsed="false">
      <c r="A21" s="28" t="n">
        <v>11</v>
      </c>
      <c r="B21" s="18" t="str">
        <f aca="false">IFERROR(INDEX(출고현황!$D$3:$D$302,MATCH($C$3&amp;"|"&amp;11,출고현황!$M$3:$M$302,0)),"")</f>
        <v/>
      </c>
      <c r="C21" s="18" t="str">
        <f aca="false">IF($B21="","",IFERROR(INDEX(출고현황!$E$3:$E$302,MATCH($C$3&amp;"|"&amp;11,출고현황!$M$3:$M$302,0)),""))</f>
        <v/>
      </c>
      <c r="D21" s="28" t="str">
        <f aca="false">IF($B21="","",IFERROR(INDEX(출고현황!$F$3:$F$302,MATCH($C$3&amp;"|"&amp;11,출고현황!$M$3:$M$302,0)),""))</f>
        <v/>
      </c>
      <c r="E21" s="29" t="str">
        <f aca="false">IF($B21="","",IFERROR(INDEX(출고현황!$H$3:$H$302,MATCH($C$3&amp;"|"&amp;11,출고현황!$M$3:$M$302,0)),""))</f>
        <v/>
      </c>
      <c r="F21" s="19" t="str">
        <f aca="false">IF($B21="","",IFERROR(INDEX(출고현황!$G$3:$G$302,MATCH($C$3&amp;"|"&amp;11,출고현황!$M$3:$M$302,0)),""))</f>
        <v/>
      </c>
      <c r="G21" s="19" t="str">
        <f aca="false">IF($B21="","",IFERROR(INDEX(출고현황!$I$3:$I$302,MATCH($C$3&amp;"|"&amp;11,출고현황!$M$3:$M$302,0)),""))</f>
        <v/>
      </c>
    </row>
    <row r="22" customFormat="false" ht="15" hidden="false" customHeight="true" outlineLevel="0" collapsed="false">
      <c r="A22" s="28" t="n">
        <v>12</v>
      </c>
      <c r="B22" s="18" t="str">
        <f aca="false">IFERROR(INDEX(출고현황!$D$3:$D$302,MATCH($C$3&amp;"|"&amp;12,출고현황!$M$3:$M$302,0)),"")</f>
        <v/>
      </c>
      <c r="C22" s="18" t="str">
        <f aca="false">IF($B22="","",IFERROR(INDEX(출고현황!$E$3:$E$302,MATCH($C$3&amp;"|"&amp;12,출고현황!$M$3:$M$302,0)),""))</f>
        <v/>
      </c>
      <c r="D22" s="28" t="str">
        <f aca="false">IF($B22="","",IFERROR(INDEX(출고현황!$F$3:$F$302,MATCH($C$3&amp;"|"&amp;12,출고현황!$M$3:$M$302,0)),""))</f>
        <v/>
      </c>
      <c r="E22" s="29" t="str">
        <f aca="false">IF($B22="","",IFERROR(INDEX(출고현황!$H$3:$H$302,MATCH($C$3&amp;"|"&amp;12,출고현황!$M$3:$M$302,0)),""))</f>
        <v/>
      </c>
      <c r="F22" s="19" t="str">
        <f aca="false">IF($B22="","",IFERROR(INDEX(출고현황!$G$3:$G$302,MATCH($C$3&amp;"|"&amp;12,출고현황!$M$3:$M$302,0)),""))</f>
        <v/>
      </c>
      <c r="G22" s="19" t="str">
        <f aca="false">IF($B22="","",IFERROR(INDEX(출고현황!$I$3:$I$302,MATCH($C$3&amp;"|"&amp;12,출고현황!$M$3:$M$302,0)),""))</f>
        <v/>
      </c>
    </row>
    <row r="23" customFormat="false" ht="15" hidden="false" customHeight="true" outlineLevel="0" collapsed="false">
      <c r="A23" s="28" t="n">
        <v>13</v>
      </c>
      <c r="B23" s="18" t="str">
        <f aca="false">IFERROR(INDEX(출고현황!$D$3:$D$302,MATCH($C$3&amp;"|"&amp;13,출고현황!$M$3:$M$302,0)),"")</f>
        <v/>
      </c>
      <c r="C23" s="18" t="str">
        <f aca="false">IF($B23="","",IFERROR(INDEX(출고현황!$E$3:$E$302,MATCH($C$3&amp;"|"&amp;13,출고현황!$M$3:$M$302,0)),""))</f>
        <v/>
      </c>
      <c r="D23" s="28" t="str">
        <f aca="false">IF($B23="","",IFERROR(INDEX(출고현황!$F$3:$F$302,MATCH($C$3&amp;"|"&amp;13,출고현황!$M$3:$M$302,0)),""))</f>
        <v/>
      </c>
      <c r="E23" s="29" t="str">
        <f aca="false">IF($B23="","",IFERROR(INDEX(출고현황!$H$3:$H$302,MATCH($C$3&amp;"|"&amp;13,출고현황!$M$3:$M$302,0)),""))</f>
        <v/>
      </c>
      <c r="F23" s="19" t="str">
        <f aca="false">IF($B23="","",IFERROR(INDEX(출고현황!$G$3:$G$302,MATCH($C$3&amp;"|"&amp;13,출고현황!$M$3:$M$302,0)),""))</f>
        <v/>
      </c>
      <c r="G23" s="19" t="str">
        <f aca="false">IF($B23="","",IFERROR(INDEX(출고현황!$I$3:$I$302,MATCH($C$3&amp;"|"&amp;13,출고현황!$M$3:$M$302,0)),""))</f>
        <v/>
      </c>
    </row>
    <row r="24" customFormat="false" ht="15" hidden="false" customHeight="true" outlineLevel="0" collapsed="false">
      <c r="A24" s="28" t="n">
        <v>14</v>
      </c>
      <c r="B24" s="18" t="str">
        <f aca="false">IFERROR(INDEX(출고현황!$D$3:$D$302,MATCH($C$3&amp;"|"&amp;14,출고현황!$M$3:$M$302,0)),"")</f>
        <v/>
      </c>
      <c r="C24" s="18" t="str">
        <f aca="false">IF($B24="","",IFERROR(INDEX(출고현황!$E$3:$E$302,MATCH($C$3&amp;"|"&amp;14,출고현황!$M$3:$M$302,0)),""))</f>
        <v/>
      </c>
      <c r="D24" s="28" t="str">
        <f aca="false">IF($B24="","",IFERROR(INDEX(출고현황!$F$3:$F$302,MATCH($C$3&amp;"|"&amp;14,출고현황!$M$3:$M$302,0)),""))</f>
        <v/>
      </c>
      <c r="E24" s="29" t="str">
        <f aca="false">IF($B24="","",IFERROR(INDEX(출고현황!$H$3:$H$302,MATCH($C$3&amp;"|"&amp;14,출고현황!$M$3:$M$302,0)),""))</f>
        <v/>
      </c>
      <c r="F24" s="19" t="str">
        <f aca="false">IF($B24="","",IFERROR(INDEX(출고현황!$G$3:$G$302,MATCH($C$3&amp;"|"&amp;14,출고현황!$M$3:$M$302,0)),""))</f>
        <v/>
      </c>
      <c r="G24" s="19" t="str">
        <f aca="false">IF($B24="","",IFERROR(INDEX(출고현황!$I$3:$I$302,MATCH($C$3&amp;"|"&amp;14,출고현황!$M$3:$M$302,0)),""))</f>
        <v/>
      </c>
    </row>
    <row r="25" customFormat="false" ht="15" hidden="false" customHeight="true" outlineLevel="0" collapsed="false">
      <c r="A25" s="28" t="n">
        <v>15</v>
      </c>
      <c r="B25" s="18" t="str">
        <f aca="false">IFERROR(INDEX(출고현황!$D$3:$D$302,MATCH($C$3&amp;"|"&amp;15,출고현황!$M$3:$M$302,0)),"")</f>
        <v/>
      </c>
      <c r="C25" s="18" t="str">
        <f aca="false">IF($B25="","",IFERROR(INDEX(출고현황!$E$3:$E$302,MATCH($C$3&amp;"|"&amp;15,출고현황!$M$3:$M$302,0)),""))</f>
        <v/>
      </c>
      <c r="D25" s="28" t="str">
        <f aca="false">IF($B25="","",IFERROR(INDEX(출고현황!$F$3:$F$302,MATCH($C$3&amp;"|"&amp;15,출고현황!$M$3:$M$302,0)),""))</f>
        <v/>
      </c>
      <c r="E25" s="29" t="str">
        <f aca="false">IF($B25="","",IFERROR(INDEX(출고현황!$H$3:$H$302,MATCH($C$3&amp;"|"&amp;15,출고현황!$M$3:$M$302,0)),""))</f>
        <v/>
      </c>
      <c r="F25" s="19" t="str">
        <f aca="false">IF($B25="","",IFERROR(INDEX(출고현황!$G$3:$G$302,MATCH($C$3&amp;"|"&amp;15,출고현황!$M$3:$M$302,0)),""))</f>
        <v/>
      </c>
      <c r="G25" s="19" t="str">
        <f aca="false">IF($B25="","",IFERROR(INDEX(출고현황!$I$3:$I$302,MATCH($C$3&amp;"|"&amp;15,출고현황!$M$3:$M$302,0)),""))</f>
        <v/>
      </c>
    </row>
    <row r="26" customFormat="false" ht="15" hidden="false" customHeight="true" outlineLevel="0" collapsed="false">
      <c r="A26" s="28" t="n">
        <v>16</v>
      </c>
      <c r="B26" s="18" t="str">
        <f aca="false">IFERROR(INDEX(출고현황!$D$3:$D$302,MATCH($C$3&amp;"|"&amp;16,출고현황!$M$3:$M$302,0)),"")</f>
        <v/>
      </c>
      <c r="C26" s="18" t="str">
        <f aca="false">IF($B26="","",IFERROR(INDEX(출고현황!$E$3:$E$302,MATCH($C$3&amp;"|"&amp;16,출고현황!$M$3:$M$302,0)),""))</f>
        <v/>
      </c>
      <c r="D26" s="28" t="str">
        <f aca="false">IF($B26="","",IFERROR(INDEX(출고현황!$F$3:$F$302,MATCH($C$3&amp;"|"&amp;16,출고현황!$M$3:$M$302,0)),""))</f>
        <v/>
      </c>
      <c r="E26" s="29" t="str">
        <f aca="false">IF($B26="","",IFERROR(INDEX(출고현황!$H$3:$H$302,MATCH($C$3&amp;"|"&amp;16,출고현황!$M$3:$M$302,0)),""))</f>
        <v/>
      </c>
      <c r="F26" s="19" t="str">
        <f aca="false">IF($B26="","",IFERROR(INDEX(출고현황!$G$3:$G$302,MATCH($C$3&amp;"|"&amp;16,출고현황!$M$3:$M$302,0)),""))</f>
        <v/>
      </c>
      <c r="G26" s="19" t="str">
        <f aca="false">IF($B26="","",IFERROR(INDEX(출고현황!$I$3:$I$302,MATCH($C$3&amp;"|"&amp;16,출고현황!$M$3:$M$302,0)),""))</f>
        <v/>
      </c>
    </row>
    <row r="27" customFormat="false" ht="15" hidden="false" customHeight="true" outlineLevel="0" collapsed="false">
      <c r="A27" s="28" t="n">
        <v>17</v>
      </c>
      <c r="B27" s="18" t="str">
        <f aca="false">IFERROR(INDEX(출고현황!$D$3:$D$302,MATCH($C$3&amp;"|"&amp;17,출고현황!$M$3:$M$302,0)),"")</f>
        <v/>
      </c>
      <c r="C27" s="18" t="str">
        <f aca="false">IF($B27="","",IFERROR(INDEX(출고현황!$E$3:$E$302,MATCH($C$3&amp;"|"&amp;17,출고현황!$M$3:$M$302,0)),""))</f>
        <v/>
      </c>
      <c r="D27" s="28" t="str">
        <f aca="false">IF($B27="","",IFERROR(INDEX(출고현황!$F$3:$F$302,MATCH($C$3&amp;"|"&amp;17,출고현황!$M$3:$M$302,0)),""))</f>
        <v/>
      </c>
      <c r="E27" s="29" t="str">
        <f aca="false">IF($B27="","",IFERROR(INDEX(출고현황!$H$3:$H$302,MATCH($C$3&amp;"|"&amp;17,출고현황!$M$3:$M$302,0)),""))</f>
        <v/>
      </c>
      <c r="F27" s="19" t="str">
        <f aca="false">IF($B27="","",IFERROR(INDEX(출고현황!$G$3:$G$302,MATCH($C$3&amp;"|"&amp;17,출고현황!$M$3:$M$302,0)),""))</f>
        <v/>
      </c>
      <c r="G27" s="19" t="str">
        <f aca="false">IF($B27="","",IFERROR(INDEX(출고현황!$I$3:$I$302,MATCH($C$3&amp;"|"&amp;17,출고현황!$M$3:$M$302,0)),""))</f>
        <v/>
      </c>
    </row>
    <row r="28" customFormat="false" ht="15" hidden="false" customHeight="true" outlineLevel="0" collapsed="false">
      <c r="A28" s="28" t="n">
        <v>18</v>
      </c>
      <c r="B28" s="18" t="str">
        <f aca="false">IFERROR(INDEX(출고현황!$D$3:$D$302,MATCH($C$3&amp;"|"&amp;18,출고현황!$M$3:$M$302,0)),"")</f>
        <v/>
      </c>
      <c r="C28" s="18" t="str">
        <f aca="false">IF($B28="","",IFERROR(INDEX(출고현황!$E$3:$E$302,MATCH($C$3&amp;"|"&amp;18,출고현황!$M$3:$M$302,0)),""))</f>
        <v/>
      </c>
      <c r="D28" s="28" t="str">
        <f aca="false">IF($B28="","",IFERROR(INDEX(출고현황!$F$3:$F$302,MATCH($C$3&amp;"|"&amp;18,출고현황!$M$3:$M$302,0)),""))</f>
        <v/>
      </c>
      <c r="E28" s="29" t="str">
        <f aca="false">IF($B28="","",IFERROR(INDEX(출고현황!$H$3:$H$302,MATCH($C$3&amp;"|"&amp;18,출고현황!$M$3:$M$302,0)),""))</f>
        <v/>
      </c>
      <c r="F28" s="19" t="str">
        <f aca="false">IF($B28="","",IFERROR(INDEX(출고현황!$G$3:$G$302,MATCH($C$3&amp;"|"&amp;18,출고현황!$M$3:$M$302,0)),""))</f>
        <v/>
      </c>
      <c r="G28" s="19" t="str">
        <f aca="false">IF($B28="","",IFERROR(INDEX(출고현황!$I$3:$I$302,MATCH($C$3&amp;"|"&amp;18,출고현황!$M$3:$M$302,0)),""))</f>
        <v/>
      </c>
    </row>
    <row r="29" customFormat="false" ht="15" hidden="false" customHeight="true" outlineLevel="0" collapsed="false">
      <c r="B29" s="25" t="s">
        <v>81</v>
      </c>
      <c r="C29" s="25"/>
      <c r="D29" s="25"/>
      <c r="E29" s="25"/>
      <c r="F29" s="25"/>
      <c r="G29" s="30" t="n">
        <f aca="false">SUM(G11:G28)</f>
        <v>0</v>
      </c>
    </row>
    <row r="30" customFormat="false" ht="15" hidden="false" customHeight="true" outlineLevel="0" collapsed="false">
      <c r="B30" s="25" t="s">
        <v>82</v>
      </c>
      <c r="C30" s="25"/>
      <c r="D30" s="25"/>
      <c r="E30" s="25"/>
      <c r="F30" s="25"/>
      <c r="G30" s="30" t="n">
        <f aca="false">ROUND(G29*기초정보!$C$11,0)</f>
        <v>0</v>
      </c>
    </row>
    <row r="31" customFormat="false" ht="15" hidden="false" customHeight="true" outlineLevel="0" collapsed="false">
      <c r="B31" s="31" t="s">
        <v>83</v>
      </c>
      <c r="C31" s="31"/>
      <c r="D31" s="31"/>
      <c r="E31" s="31"/>
      <c r="F31" s="31"/>
      <c r="G31" s="32" t="n">
        <f aca="false">G29+G30</f>
        <v>0</v>
      </c>
    </row>
    <row r="34" customFormat="false" ht="15" hidden="false" customHeight="true" outlineLevel="0" collapsed="false">
      <c r="A34" s="6" t="s">
        <v>84</v>
      </c>
    </row>
  </sheetData>
  <mergeCells count="17">
    <mergeCell ref="A1:G1"/>
    <mergeCell ref="A3:B3"/>
    <mergeCell ref="C3:D3"/>
    <mergeCell ref="F3:G3"/>
    <mergeCell ref="A4:G4"/>
    <mergeCell ref="A6:B6"/>
    <mergeCell ref="C6:D6"/>
    <mergeCell ref="F6:G6"/>
    <mergeCell ref="A7:B7"/>
    <mergeCell ref="C7:D7"/>
    <mergeCell ref="F7:G7"/>
    <mergeCell ref="A8:B8"/>
    <mergeCell ref="C8:D8"/>
    <mergeCell ref="F8:G8"/>
    <mergeCell ref="B29:F29"/>
    <mergeCell ref="B30:F30"/>
    <mergeCell ref="B31:F31"/>
  </mergeCells>
  <dataValidations count="1">
    <dataValidation allowBlank="true" errorStyle="stop" operator="between" showDropDown="false" showErrorMessage="false" showInputMessage="false" sqref="C3" type="list">
      <formula1>출고현황!$A$3:$A$302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37.5" hidden="false" customHeight="true" outlineLevel="0" collapsed="false">
      <c r="A1" s="20" t="s">
        <v>85</v>
      </c>
      <c r="B1" s="20"/>
      <c r="C1" s="20"/>
      <c r="D1" s="20"/>
      <c r="E1" s="20"/>
      <c r="F1" s="20"/>
      <c r="G1" s="20"/>
    </row>
    <row r="3" customFormat="false" ht="15" hidden="false" customHeight="true" outlineLevel="0" collapsed="false">
      <c r="A3" s="21" t="s">
        <v>61</v>
      </c>
      <c r="B3" s="21"/>
      <c r="C3" s="22" t="s">
        <v>74</v>
      </c>
      <c r="D3" s="22"/>
      <c r="E3" s="21" t="s">
        <v>62</v>
      </c>
      <c r="F3" s="23" t="str">
        <f aca="false">IFERROR(INDEX(출고현황!$B$3:$B$302,MATCH($C$3,출고현황!$A$3:$A$302,0)),"")</f>
        <v/>
      </c>
      <c r="G3" s="23"/>
    </row>
    <row r="4" customFormat="false" ht="13.5" hidden="false" customHeight="true" outlineLevel="0" collapsed="false">
      <c r="A4" s="24" t="s">
        <v>75</v>
      </c>
      <c r="B4" s="24"/>
      <c r="C4" s="24"/>
      <c r="D4" s="24"/>
      <c r="E4" s="24"/>
      <c r="F4" s="24"/>
      <c r="G4" s="24"/>
    </row>
    <row r="6" customFormat="false" ht="21.75" hidden="false" customHeight="true" outlineLevel="0" collapsed="false">
      <c r="A6" s="25" t="s">
        <v>76</v>
      </c>
      <c r="B6" s="25"/>
      <c r="C6" s="18" t="str">
        <f aca="false">IFERROR(INDEX(출고현황!$C$3:$C$302,MATCH($C$3,출고현황!$A$3:$A$302,0)),"")</f>
        <v/>
      </c>
      <c r="D6" s="18"/>
      <c r="E6" s="25" t="s">
        <v>20</v>
      </c>
      <c r="F6" s="18" t="str">
        <f aca="false">기초정보!$C$4</f>
        <v>○○산업</v>
      </c>
      <c r="G6" s="18"/>
    </row>
    <row r="7" customFormat="false" ht="21.75" hidden="false" customHeight="true" outlineLevel="0" collapsed="false">
      <c r="A7" s="25" t="s">
        <v>38</v>
      </c>
      <c r="B7" s="25"/>
      <c r="C7" s="18" t="str">
        <f aca="false">IFERROR(INDEX(거래처목록!$B$3:$B$62,MATCH($C$6,거래처목록!$A$3:$A$62,0)),"")</f>
        <v/>
      </c>
      <c r="D7" s="18"/>
      <c r="E7" s="25" t="s">
        <v>38</v>
      </c>
      <c r="F7" s="18" t="str">
        <f aca="false">기초정보!$C$5</f>
        <v>000-00-00000</v>
      </c>
      <c r="G7" s="18"/>
    </row>
    <row r="8" customFormat="false" ht="21.75" hidden="false" customHeight="true" outlineLevel="0" collapsed="false">
      <c r="A8" s="25" t="s">
        <v>32</v>
      </c>
      <c r="B8" s="25"/>
      <c r="C8" s="18" t="str">
        <f aca="false">IFERROR(INDEX(거래처목록!$E$3:$E$62,MATCH($C$6,거래처목록!$A$3:$A$62,0)),"")</f>
        <v/>
      </c>
      <c r="D8" s="18"/>
      <c r="E8" s="25" t="s">
        <v>32</v>
      </c>
      <c r="F8" s="18" t="str">
        <f aca="false">기초정보!$C$10</f>
        <v>김담당</v>
      </c>
      <c r="G8" s="18"/>
    </row>
    <row r="10" customFormat="false" ht="15" hidden="false" customHeight="true" outlineLevel="0" collapsed="false">
      <c r="A10" s="26" t="s">
        <v>77</v>
      </c>
      <c r="B10" s="27" t="s">
        <v>78</v>
      </c>
      <c r="C10" s="27" t="s">
        <v>79</v>
      </c>
      <c r="D10" s="27" t="s">
        <v>49</v>
      </c>
      <c r="E10" s="27" t="s">
        <v>66</v>
      </c>
      <c r="F10" s="27" t="s">
        <v>65</v>
      </c>
      <c r="G10" s="27" t="s">
        <v>86</v>
      </c>
    </row>
    <row r="11" customFormat="false" ht="15" hidden="false" customHeight="true" outlineLevel="0" collapsed="false">
      <c r="A11" s="28" t="n">
        <v>1</v>
      </c>
      <c r="B11" s="18" t="str">
        <f aca="false">IFERROR(INDEX(출고현황!$D$3:$D$302,MATCH($C$3&amp;"|"&amp;1,출고현황!$M$3:$M$302,0)),"")</f>
        <v/>
      </c>
      <c r="C11" s="18" t="str">
        <f aca="false">IF($B11="","",IFERROR(INDEX(출고현황!$E$3:$E$302,MATCH($C$3&amp;"|"&amp;1,출고현황!$M$3:$M$302,0)),""))</f>
        <v/>
      </c>
      <c r="D11" s="28" t="str">
        <f aca="false">IF($B11="","",IFERROR(INDEX(출고현황!$F$3:$F$302,MATCH($C$3&amp;"|"&amp;1,출고현황!$M$3:$M$302,0)),""))</f>
        <v/>
      </c>
      <c r="E11" s="29" t="str">
        <f aca="false">IF($B11="","",IFERROR(INDEX(출고현황!$H$3:$H$302,MATCH($C$3&amp;"|"&amp;1,출고현황!$M$3:$M$302,0)),""))</f>
        <v/>
      </c>
      <c r="F11" s="19" t="str">
        <f aca="false">IF($B11="","",IFERROR(INDEX(출고현황!$G$3:$G$302,MATCH($C$3&amp;"|"&amp;1,출고현황!$M$3:$M$302,0)),""))</f>
        <v/>
      </c>
      <c r="G11" s="19" t="str">
        <f aca="false">IF($B11="","",IFERROR(INDEX(출고현황!$I$3:$I$302,MATCH($C$3&amp;"|"&amp;1,출고현황!$M$3:$M$302,0)),""))</f>
        <v/>
      </c>
    </row>
    <row r="12" customFormat="false" ht="15" hidden="false" customHeight="true" outlineLevel="0" collapsed="false">
      <c r="A12" s="28" t="n">
        <v>2</v>
      </c>
      <c r="B12" s="18" t="str">
        <f aca="false">IFERROR(INDEX(출고현황!$D$3:$D$302,MATCH($C$3&amp;"|"&amp;2,출고현황!$M$3:$M$302,0)),"")</f>
        <v/>
      </c>
      <c r="C12" s="18" t="str">
        <f aca="false">IF($B12="","",IFERROR(INDEX(출고현황!$E$3:$E$302,MATCH($C$3&amp;"|"&amp;2,출고현황!$M$3:$M$302,0)),""))</f>
        <v/>
      </c>
      <c r="D12" s="28" t="str">
        <f aca="false">IF($B12="","",IFERROR(INDEX(출고현황!$F$3:$F$302,MATCH($C$3&amp;"|"&amp;2,출고현황!$M$3:$M$302,0)),""))</f>
        <v/>
      </c>
      <c r="E12" s="29" t="str">
        <f aca="false">IF($B12="","",IFERROR(INDEX(출고현황!$H$3:$H$302,MATCH($C$3&amp;"|"&amp;2,출고현황!$M$3:$M$302,0)),""))</f>
        <v/>
      </c>
      <c r="F12" s="19" t="str">
        <f aca="false">IF($B12="","",IFERROR(INDEX(출고현황!$G$3:$G$302,MATCH($C$3&amp;"|"&amp;2,출고현황!$M$3:$M$302,0)),""))</f>
        <v/>
      </c>
      <c r="G12" s="19" t="str">
        <f aca="false">IF($B12="","",IFERROR(INDEX(출고현황!$I$3:$I$302,MATCH($C$3&amp;"|"&amp;2,출고현황!$M$3:$M$302,0)),""))</f>
        <v/>
      </c>
    </row>
    <row r="13" customFormat="false" ht="15" hidden="false" customHeight="true" outlineLevel="0" collapsed="false">
      <c r="A13" s="28" t="n">
        <v>3</v>
      </c>
      <c r="B13" s="18" t="str">
        <f aca="false">IFERROR(INDEX(출고현황!$D$3:$D$302,MATCH($C$3&amp;"|"&amp;3,출고현황!$M$3:$M$302,0)),"")</f>
        <v/>
      </c>
      <c r="C13" s="18" t="str">
        <f aca="false">IF($B13="","",IFERROR(INDEX(출고현황!$E$3:$E$302,MATCH($C$3&amp;"|"&amp;3,출고현황!$M$3:$M$302,0)),""))</f>
        <v/>
      </c>
      <c r="D13" s="28" t="str">
        <f aca="false">IF($B13="","",IFERROR(INDEX(출고현황!$F$3:$F$302,MATCH($C$3&amp;"|"&amp;3,출고현황!$M$3:$M$302,0)),""))</f>
        <v/>
      </c>
      <c r="E13" s="29" t="str">
        <f aca="false">IF($B13="","",IFERROR(INDEX(출고현황!$H$3:$H$302,MATCH($C$3&amp;"|"&amp;3,출고현황!$M$3:$M$302,0)),""))</f>
        <v/>
      </c>
      <c r="F13" s="19" t="str">
        <f aca="false">IF($B13="","",IFERROR(INDEX(출고현황!$G$3:$G$302,MATCH($C$3&amp;"|"&amp;3,출고현황!$M$3:$M$302,0)),""))</f>
        <v/>
      </c>
      <c r="G13" s="19" t="str">
        <f aca="false">IF($B13="","",IFERROR(INDEX(출고현황!$I$3:$I$302,MATCH($C$3&amp;"|"&amp;3,출고현황!$M$3:$M$302,0)),""))</f>
        <v/>
      </c>
    </row>
    <row r="14" customFormat="false" ht="15" hidden="false" customHeight="true" outlineLevel="0" collapsed="false">
      <c r="A14" s="28" t="n">
        <v>4</v>
      </c>
      <c r="B14" s="18" t="str">
        <f aca="false">IFERROR(INDEX(출고현황!$D$3:$D$302,MATCH($C$3&amp;"|"&amp;4,출고현황!$M$3:$M$302,0)),"")</f>
        <v/>
      </c>
      <c r="C14" s="18" t="str">
        <f aca="false">IF($B14="","",IFERROR(INDEX(출고현황!$E$3:$E$302,MATCH($C$3&amp;"|"&amp;4,출고현황!$M$3:$M$302,0)),""))</f>
        <v/>
      </c>
      <c r="D14" s="28" t="str">
        <f aca="false">IF($B14="","",IFERROR(INDEX(출고현황!$F$3:$F$302,MATCH($C$3&amp;"|"&amp;4,출고현황!$M$3:$M$302,0)),""))</f>
        <v/>
      </c>
      <c r="E14" s="29" t="str">
        <f aca="false">IF($B14="","",IFERROR(INDEX(출고현황!$H$3:$H$302,MATCH($C$3&amp;"|"&amp;4,출고현황!$M$3:$M$302,0)),""))</f>
        <v/>
      </c>
      <c r="F14" s="19" t="str">
        <f aca="false">IF($B14="","",IFERROR(INDEX(출고현황!$G$3:$G$302,MATCH($C$3&amp;"|"&amp;4,출고현황!$M$3:$M$302,0)),""))</f>
        <v/>
      </c>
      <c r="G14" s="19" t="str">
        <f aca="false">IF($B14="","",IFERROR(INDEX(출고현황!$I$3:$I$302,MATCH($C$3&amp;"|"&amp;4,출고현황!$M$3:$M$302,0)),""))</f>
        <v/>
      </c>
    </row>
    <row r="15" customFormat="false" ht="15" hidden="false" customHeight="true" outlineLevel="0" collapsed="false">
      <c r="A15" s="28" t="n">
        <v>5</v>
      </c>
      <c r="B15" s="18" t="str">
        <f aca="false">IFERROR(INDEX(출고현황!$D$3:$D$302,MATCH($C$3&amp;"|"&amp;5,출고현황!$M$3:$M$302,0)),"")</f>
        <v/>
      </c>
      <c r="C15" s="18" t="str">
        <f aca="false">IF($B15="","",IFERROR(INDEX(출고현황!$E$3:$E$302,MATCH($C$3&amp;"|"&amp;5,출고현황!$M$3:$M$302,0)),""))</f>
        <v/>
      </c>
      <c r="D15" s="28" t="str">
        <f aca="false">IF($B15="","",IFERROR(INDEX(출고현황!$F$3:$F$302,MATCH($C$3&amp;"|"&amp;5,출고현황!$M$3:$M$302,0)),""))</f>
        <v/>
      </c>
      <c r="E15" s="29" t="str">
        <f aca="false">IF($B15="","",IFERROR(INDEX(출고현황!$H$3:$H$302,MATCH($C$3&amp;"|"&amp;5,출고현황!$M$3:$M$302,0)),""))</f>
        <v/>
      </c>
      <c r="F15" s="19" t="str">
        <f aca="false">IF($B15="","",IFERROR(INDEX(출고현황!$G$3:$G$302,MATCH($C$3&amp;"|"&amp;5,출고현황!$M$3:$M$302,0)),""))</f>
        <v/>
      </c>
      <c r="G15" s="19" t="str">
        <f aca="false">IF($B15="","",IFERROR(INDEX(출고현황!$I$3:$I$302,MATCH($C$3&amp;"|"&amp;5,출고현황!$M$3:$M$302,0)),""))</f>
        <v/>
      </c>
    </row>
    <row r="16" customFormat="false" ht="15" hidden="false" customHeight="true" outlineLevel="0" collapsed="false">
      <c r="A16" s="28" t="n">
        <v>6</v>
      </c>
      <c r="B16" s="18" t="str">
        <f aca="false">IFERROR(INDEX(출고현황!$D$3:$D$302,MATCH($C$3&amp;"|"&amp;6,출고현황!$M$3:$M$302,0)),"")</f>
        <v/>
      </c>
      <c r="C16" s="18" t="str">
        <f aca="false">IF($B16="","",IFERROR(INDEX(출고현황!$E$3:$E$302,MATCH($C$3&amp;"|"&amp;6,출고현황!$M$3:$M$302,0)),""))</f>
        <v/>
      </c>
      <c r="D16" s="28" t="str">
        <f aca="false">IF($B16="","",IFERROR(INDEX(출고현황!$F$3:$F$302,MATCH($C$3&amp;"|"&amp;6,출고현황!$M$3:$M$302,0)),""))</f>
        <v/>
      </c>
      <c r="E16" s="29" t="str">
        <f aca="false">IF($B16="","",IFERROR(INDEX(출고현황!$H$3:$H$302,MATCH($C$3&amp;"|"&amp;6,출고현황!$M$3:$M$302,0)),""))</f>
        <v/>
      </c>
      <c r="F16" s="19" t="str">
        <f aca="false">IF($B16="","",IFERROR(INDEX(출고현황!$G$3:$G$302,MATCH($C$3&amp;"|"&amp;6,출고현황!$M$3:$M$302,0)),""))</f>
        <v/>
      </c>
      <c r="G16" s="19" t="str">
        <f aca="false">IF($B16="","",IFERROR(INDEX(출고현황!$I$3:$I$302,MATCH($C$3&amp;"|"&amp;6,출고현황!$M$3:$M$302,0)),""))</f>
        <v/>
      </c>
    </row>
    <row r="17" customFormat="false" ht="15" hidden="false" customHeight="true" outlineLevel="0" collapsed="false">
      <c r="A17" s="28" t="n">
        <v>7</v>
      </c>
      <c r="B17" s="18" t="str">
        <f aca="false">IFERROR(INDEX(출고현황!$D$3:$D$302,MATCH($C$3&amp;"|"&amp;7,출고현황!$M$3:$M$302,0)),"")</f>
        <v/>
      </c>
      <c r="C17" s="18" t="str">
        <f aca="false">IF($B17="","",IFERROR(INDEX(출고현황!$E$3:$E$302,MATCH($C$3&amp;"|"&amp;7,출고현황!$M$3:$M$302,0)),""))</f>
        <v/>
      </c>
      <c r="D17" s="28" t="str">
        <f aca="false">IF($B17="","",IFERROR(INDEX(출고현황!$F$3:$F$302,MATCH($C$3&amp;"|"&amp;7,출고현황!$M$3:$M$302,0)),""))</f>
        <v/>
      </c>
      <c r="E17" s="29" t="str">
        <f aca="false">IF($B17="","",IFERROR(INDEX(출고현황!$H$3:$H$302,MATCH($C$3&amp;"|"&amp;7,출고현황!$M$3:$M$302,0)),""))</f>
        <v/>
      </c>
      <c r="F17" s="19" t="str">
        <f aca="false">IF($B17="","",IFERROR(INDEX(출고현황!$G$3:$G$302,MATCH($C$3&amp;"|"&amp;7,출고현황!$M$3:$M$302,0)),""))</f>
        <v/>
      </c>
      <c r="G17" s="19" t="str">
        <f aca="false">IF($B17="","",IFERROR(INDEX(출고현황!$I$3:$I$302,MATCH($C$3&amp;"|"&amp;7,출고현황!$M$3:$M$302,0)),""))</f>
        <v/>
      </c>
    </row>
    <row r="18" customFormat="false" ht="15" hidden="false" customHeight="true" outlineLevel="0" collapsed="false">
      <c r="A18" s="28" t="n">
        <v>8</v>
      </c>
      <c r="B18" s="18" t="str">
        <f aca="false">IFERROR(INDEX(출고현황!$D$3:$D$302,MATCH($C$3&amp;"|"&amp;8,출고현황!$M$3:$M$302,0)),"")</f>
        <v/>
      </c>
      <c r="C18" s="18" t="str">
        <f aca="false">IF($B18="","",IFERROR(INDEX(출고현황!$E$3:$E$302,MATCH($C$3&amp;"|"&amp;8,출고현황!$M$3:$M$302,0)),""))</f>
        <v/>
      </c>
      <c r="D18" s="28" t="str">
        <f aca="false">IF($B18="","",IFERROR(INDEX(출고현황!$F$3:$F$302,MATCH($C$3&amp;"|"&amp;8,출고현황!$M$3:$M$302,0)),""))</f>
        <v/>
      </c>
      <c r="E18" s="29" t="str">
        <f aca="false">IF($B18="","",IFERROR(INDEX(출고현황!$H$3:$H$302,MATCH($C$3&amp;"|"&amp;8,출고현황!$M$3:$M$302,0)),""))</f>
        <v/>
      </c>
      <c r="F18" s="19" t="str">
        <f aca="false">IF($B18="","",IFERROR(INDEX(출고현황!$G$3:$G$302,MATCH($C$3&amp;"|"&amp;8,출고현황!$M$3:$M$302,0)),""))</f>
        <v/>
      </c>
      <c r="G18" s="19" t="str">
        <f aca="false">IF($B18="","",IFERROR(INDEX(출고현황!$I$3:$I$302,MATCH($C$3&amp;"|"&amp;8,출고현황!$M$3:$M$302,0)),""))</f>
        <v/>
      </c>
    </row>
    <row r="19" customFormat="false" ht="15" hidden="false" customHeight="true" outlineLevel="0" collapsed="false">
      <c r="A19" s="28" t="n">
        <v>9</v>
      </c>
      <c r="B19" s="18" t="str">
        <f aca="false">IFERROR(INDEX(출고현황!$D$3:$D$302,MATCH($C$3&amp;"|"&amp;9,출고현황!$M$3:$M$302,0)),"")</f>
        <v/>
      </c>
      <c r="C19" s="18" t="str">
        <f aca="false">IF($B19="","",IFERROR(INDEX(출고현황!$E$3:$E$302,MATCH($C$3&amp;"|"&amp;9,출고현황!$M$3:$M$302,0)),""))</f>
        <v/>
      </c>
      <c r="D19" s="28" t="str">
        <f aca="false">IF($B19="","",IFERROR(INDEX(출고현황!$F$3:$F$302,MATCH($C$3&amp;"|"&amp;9,출고현황!$M$3:$M$302,0)),""))</f>
        <v/>
      </c>
      <c r="E19" s="29" t="str">
        <f aca="false">IF($B19="","",IFERROR(INDEX(출고현황!$H$3:$H$302,MATCH($C$3&amp;"|"&amp;9,출고현황!$M$3:$M$302,0)),""))</f>
        <v/>
      </c>
      <c r="F19" s="19" t="str">
        <f aca="false">IF($B19="","",IFERROR(INDEX(출고현황!$G$3:$G$302,MATCH($C$3&amp;"|"&amp;9,출고현황!$M$3:$M$302,0)),""))</f>
        <v/>
      </c>
      <c r="G19" s="19" t="str">
        <f aca="false">IF($B19="","",IFERROR(INDEX(출고현황!$I$3:$I$302,MATCH($C$3&amp;"|"&amp;9,출고현황!$M$3:$M$302,0)),""))</f>
        <v/>
      </c>
    </row>
    <row r="20" customFormat="false" ht="15" hidden="false" customHeight="true" outlineLevel="0" collapsed="false">
      <c r="A20" s="28" t="n">
        <v>10</v>
      </c>
      <c r="B20" s="18" t="str">
        <f aca="false">IFERROR(INDEX(출고현황!$D$3:$D$302,MATCH($C$3&amp;"|"&amp;10,출고현황!$M$3:$M$302,0)),"")</f>
        <v/>
      </c>
      <c r="C20" s="18" t="str">
        <f aca="false">IF($B20="","",IFERROR(INDEX(출고현황!$E$3:$E$302,MATCH($C$3&amp;"|"&amp;10,출고현황!$M$3:$M$302,0)),""))</f>
        <v/>
      </c>
      <c r="D20" s="28" t="str">
        <f aca="false">IF($B20="","",IFERROR(INDEX(출고현황!$F$3:$F$302,MATCH($C$3&amp;"|"&amp;10,출고현황!$M$3:$M$302,0)),""))</f>
        <v/>
      </c>
      <c r="E20" s="29" t="str">
        <f aca="false">IF($B20="","",IFERROR(INDEX(출고현황!$H$3:$H$302,MATCH($C$3&amp;"|"&amp;10,출고현황!$M$3:$M$302,0)),""))</f>
        <v/>
      </c>
      <c r="F20" s="19" t="str">
        <f aca="false">IF($B20="","",IFERROR(INDEX(출고현황!$G$3:$G$302,MATCH($C$3&amp;"|"&amp;10,출고현황!$M$3:$M$302,0)),""))</f>
        <v/>
      </c>
      <c r="G20" s="19" t="str">
        <f aca="false">IF($B20="","",IFERROR(INDEX(출고현황!$I$3:$I$302,MATCH($C$3&amp;"|"&amp;10,출고현황!$M$3:$M$302,0)),""))</f>
        <v/>
      </c>
    </row>
    <row r="21" customFormat="false" ht="15" hidden="false" customHeight="true" outlineLevel="0" collapsed="false">
      <c r="A21" s="28" t="n">
        <v>11</v>
      </c>
      <c r="B21" s="18" t="str">
        <f aca="false">IFERROR(INDEX(출고현황!$D$3:$D$302,MATCH($C$3&amp;"|"&amp;11,출고현황!$M$3:$M$302,0)),"")</f>
        <v/>
      </c>
      <c r="C21" s="18" t="str">
        <f aca="false">IF($B21="","",IFERROR(INDEX(출고현황!$E$3:$E$302,MATCH($C$3&amp;"|"&amp;11,출고현황!$M$3:$M$302,0)),""))</f>
        <v/>
      </c>
      <c r="D21" s="28" t="str">
        <f aca="false">IF($B21="","",IFERROR(INDEX(출고현황!$F$3:$F$302,MATCH($C$3&amp;"|"&amp;11,출고현황!$M$3:$M$302,0)),""))</f>
        <v/>
      </c>
      <c r="E21" s="29" t="str">
        <f aca="false">IF($B21="","",IFERROR(INDEX(출고현황!$H$3:$H$302,MATCH($C$3&amp;"|"&amp;11,출고현황!$M$3:$M$302,0)),""))</f>
        <v/>
      </c>
      <c r="F21" s="19" t="str">
        <f aca="false">IF($B21="","",IFERROR(INDEX(출고현황!$G$3:$G$302,MATCH($C$3&amp;"|"&amp;11,출고현황!$M$3:$M$302,0)),""))</f>
        <v/>
      </c>
      <c r="G21" s="19" t="str">
        <f aca="false">IF($B21="","",IFERROR(INDEX(출고현황!$I$3:$I$302,MATCH($C$3&amp;"|"&amp;11,출고현황!$M$3:$M$302,0)),""))</f>
        <v/>
      </c>
    </row>
    <row r="22" customFormat="false" ht="15" hidden="false" customHeight="true" outlineLevel="0" collapsed="false">
      <c r="A22" s="28" t="n">
        <v>12</v>
      </c>
      <c r="B22" s="18" t="str">
        <f aca="false">IFERROR(INDEX(출고현황!$D$3:$D$302,MATCH($C$3&amp;"|"&amp;12,출고현황!$M$3:$M$302,0)),"")</f>
        <v/>
      </c>
      <c r="C22" s="18" t="str">
        <f aca="false">IF($B22="","",IFERROR(INDEX(출고현황!$E$3:$E$302,MATCH($C$3&amp;"|"&amp;12,출고현황!$M$3:$M$302,0)),""))</f>
        <v/>
      </c>
      <c r="D22" s="28" t="str">
        <f aca="false">IF($B22="","",IFERROR(INDEX(출고현황!$F$3:$F$302,MATCH($C$3&amp;"|"&amp;12,출고현황!$M$3:$M$302,0)),""))</f>
        <v/>
      </c>
      <c r="E22" s="29" t="str">
        <f aca="false">IF($B22="","",IFERROR(INDEX(출고현황!$H$3:$H$302,MATCH($C$3&amp;"|"&amp;12,출고현황!$M$3:$M$302,0)),""))</f>
        <v/>
      </c>
      <c r="F22" s="19" t="str">
        <f aca="false">IF($B22="","",IFERROR(INDEX(출고현황!$G$3:$G$302,MATCH($C$3&amp;"|"&amp;12,출고현황!$M$3:$M$302,0)),""))</f>
        <v/>
      </c>
      <c r="G22" s="19" t="str">
        <f aca="false">IF($B22="","",IFERROR(INDEX(출고현황!$I$3:$I$302,MATCH($C$3&amp;"|"&amp;12,출고현황!$M$3:$M$302,0)),""))</f>
        <v/>
      </c>
    </row>
    <row r="23" customFormat="false" ht="15" hidden="false" customHeight="true" outlineLevel="0" collapsed="false">
      <c r="A23" s="28" t="n">
        <v>13</v>
      </c>
      <c r="B23" s="18" t="str">
        <f aca="false">IFERROR(INDEX(출고현황!$D$3:$D$302,MATCH($C$3&amp;"|"&amp;13,출고현황!$M$3:$M$302,0)),"")</f>
        <v/>
      </c>
      <c r="C23" s="18" t="str">
        <f aca="false">IF($B23="","",IFERROR(INDEX(출고현황!$E$3:$E$302,MATCH($C$3&amp;"|"&amp;13,출고현황!$M$3:$M$302,0)),""))</f>
        <v/>
      </c>
      <c r="D23" s="28" t="str">
        <f aca="false">IF($B23="","",IFERROR(INDEX(출고현황!$F$3:$F$302,MATCH($C$3&amp;"|"&amp;13,출고현황!$M$3:$M$302,0)),""))</f>
        <v/>
      </c>
      <c r="E23" s="29" t="str">
        <f aca="false">IF($B23="","",IFERROR(INDEX(출고현황!$H$3:$H$302,MATCH($C$3&amp;"|"&amp;13,출고현황!$M$3:$M$302,0)),""))</f>
        <v/>
      </c>
      <c r="F23" s="19" t="str">
        <f aca="false">IF($B23="","",IFERROR(INDEX(출고현황!$G$3:$G$302,MATCH($C$3&amp;"|"&amp;13,출고현황!$M$3:$M$302,0)),""))</f>
        <v/>
      </c>
      <c r="G23" s="19" t="str">
        <f aca="false">IF($B23="","",IFERROR(INDEX(출고현황!$I$3:$I$302,MATCH($C$3&amp;"|"&amp;13,출고현황!$M$3:$M$302,0)),""))</f>
        <v/>
      </c>
    </row>
    <row r="24" customFormat="false" ht="15" hidden="false" customHeight="true" outlineLevel="0" collapsed="false">
      <c r="A24" s="28" t="n">
        <v>14</v>
      </c>
      <c r="B24" s="18" t="str">
        <f aca="false">IFERROR(INDEX(출고현황!$D$3:$D$302,MATCH($C$3&amp;"|"&amp;14,출고현황!$M$3:$M$302,0)),"")</f>
        <v/>
      </c>
      <c r="C24" s="18" t="str">
        <f aca="false">IF($B24="","",IFERROR(INDEX(출고현황!$E$3:$E$302,MATCH($C$3&amp;"|"&amp;14,출고현황!$M$3:$M$302,0)),""))</f>
        <v/>
      </c>
      <c r="D24" s="28" t="str">
        <f aca="false">IF($B24="","",IFERROR(INDEX(출고현황!$F$3:$F$302,MATCH($C$3&amp;"|"&amp;14,출고현황!$M$3:$M$302,0)),""))</f>
        <v/>
      </c>
      <c r="E24" s="29" t="str">
        <f aca="false">IF($B24="","",IFERROR(INDEX(출고현황!$H$3:$H$302,MATCH($C$3&amp;"|"&amp;14,출고현황!$M$3:$M$302,0)),""))</f>
        <v/>
      </c>
      <c r="F24" s="19" t="str">
        <f aca="false">IF($B24="","",IFERROR(INDEX(출고현황!$G$3:$G$302,MATCH($C$3&amp;"|"&amp;14,출고현황!$M$3:$M$302,0)),""))</f>
        <v/>
      </c>
      <c r="G24" s="19" t="str">
        <f aca="false">IF($B24="","",IFERROR(INDEX(출고현황!$I$3:$I$302,MATCH($C$3&amp;"|"&amp;14,출고현황!$M$3:$M$302,0)),""))</f>
        <v/>
      </c>
    </row>
    <row r="25" customFormat="false" ht="15" hidden="false" customHeight="true" outlineLevel="0" collapsed="false">
      <c r="A25" s="28" t="n">
        <v>15</v>
      </c>
      <c r="B25" s="18" t="str">
        <f aca="false">IFERROR(INDEX(출고현황!$D$3:$D$302,MATCH($C$3&amp;"|"&amp;15,출고현황!$M$3:$M$302,0)),"")</f>
        <v/>
      </c>
      <c r="C25" s="18" t="str">
        <f aca="false">IF($B25="","",IFERROR(INDEX(출고현황!$E$3:$E$302,MATCH($C$3&amp;"|"&amp;15,출고현황!$M$3:$M$302,0)),""))</f>
        <v/>
      </c>
      <c r="D25" s="28" t="str">
        <f aca="false">IF($B25="","",IFERROR(INDEX(출고현황!$F$3:$F$302,MATCH($C$3&amp;"|"&amp;15,출고현황!$M$3:$M$302,0)),""))</f>
        <v/>
      </c>
      <c r="E25" s="29" t="str">
        <f aca="false">IF($B25="","",IFERROR(INDEX(출고현황!$H$3:$H$302,MATCH($C$3&amp;"|"&amp;15,출고현황!$M$3:$M$302,0)),""))</f>
        <v/>
      </c>
      <c r="F25" s="19" t="str">
        <f aca="false">IF($B25="","",IFERROR(INDEX(출고현황!$G$3:$G$302,MATCH($C$3&amp;"|"&amp;15,출고현황!$M$3:$M$302,0)),""))</f>
        <v/>
      </c>
      <c r="G25" s="19" t="str">
        <f aca="false">IF($B25="","",IFERROR(INDEX(출고현황!$I$3:$I$302,MATCH($C$3&amp;"|"&amp;15,출고현황!$M$3:$M$302,0)),""))</f>
        <v/>
      </c>
    </row>
    <row r="26" customFormat="false" ht="15" hidden="false" customHeight="true" outlineLevel="0" collapsed="false">
      <c r="A26" s="28" t="n">
        <v>16</v>
      </c>
      <c r="B26" s="18" t="str">
        <f aca="false">IFERROR(INDEX(출고현황!$D$3:$D$302,MATCH($C$3&amp;"|"&amp;16,출고현황!$M$3:$M$302,0)),"")</f>
        <v/>
      </c>
      <c r="C26" s="18" t="str">
        <f aca="false">IF($B26="","",IFERROR(INDEX(출고현황!$E$3:$E$302,MATCH($C$3&amp;"|"&amp;16,출고현황!$M$3:$M$302,0)),""))</f>
        <v/>
      </c>
      <c r="D26" s="28" t="str">
        <f aca="false">IF($B26="","",IFERROR(INDEX(출고현황!$F$3:$F$302,MATCH($C$3&amp;"|"&amp;16,출고현황!$M$3:$M$302,0)),""))</f>
        <v/>
      </c>
      <c r="E26" s="29" t="str">
        <f aca="false">IF($B26="","",IFERROR(INDEX(출고현황!$H$3:$H$302,MATCH($C$3&amp;"|"&amp;16,출고현황!$M$3:$M$302,0)),""))</f>
        <v/>
      </c>
      <c r="F26" s="19" t="str">
        <f aca="false">IF($B26="","",IFERROR(INDEX(출고현황!$G$3:$G$302,MATCH($C$3&amp;"|"&amp;16,출고현황!$M$3:$M$302,0)),""))</f>
        <v/>
      </c>
      <c r="G26" s="19" t="str">
        <f aca="false">IF($B26="","",IFERROR(INDEX(출고현황!$I$3:$I$302,MATCH($C$3&amp;"|"&amp;16,출고현황!$M$3:$M$302,0)),""))</f>
        <v/>
      </c>
    </row>
    <row r="27" customFormat="false" ht="15" hidden="false" customHeight="true" outlineLevel="0" collapsed="false">
      <c r="A27" s="28" t="n">
        <v>17</v>
      </c>
      <c r="B27" s="18" t="str">
        <f aca="false">IFERROR(INDEX(출고현황!$D$3:$D$302,MATCH($C$3&amp;"|"&amp;17,출고현황!$M$3:$M$302,0)),"")</f>
        <v/>
      </c>
      <c r="C27" s="18" t="str">
        <f aca="false">IF($B27="","",IFERROR(INDEX(출고현황!$E$3:$E$302,MATCH($C$3&amp;"|"&amp;17,출고현황!$M$3:$M$302,0)),""))</f>
        <v/>
      </c>
      <c r="D27" s="28" t="str">
        <f aca="false">IF($B27="","",IFERROR(INDEX(출고현황!$F$3:$F$302,MATCH($C$3&amp;"|"&amp;17,출고현황!$M$3:$M$302,0)),""))</f>
        <v/>
      </c>
      <c r="E27" s="29" t="str">
        <f aca="false">IF($B27="","",IFERROR(INDEX(출고현황!$H$3:$H$302,MATCH($C$3&amp;"|"&amp;17,출고현황!$M$3:$M$302,0)),""))</f>
        <v/>
      </c>
      <c r="F27" s="19" t="str">
        <f aca="false">IF($B27="","",IFERROR(INDEX(출고현황!$G$3:$G$302,MATCH($C$3&amp;"|"&amp;17,출고현황!$M$3:$M$302,0)),""))</f>
        <v/>
      </c>
      <c r="G27" s="19" t="str">
        <f aca="false">IF($B27="","",IFERROR(INDEX(출고현황!$I$3:$I$302,MATCH($C$3&amp;"|"&amp;17,출고현황!$M$3:$M$302,0)),""))</f>
        <v/>
      </c>
    </row>
    <row r="28" customFormat="false" ht="15" hidden="false" customHeight="true" outlineLevel="0" collapsed="false">
      <c r="A28" s="28" t="n">
        <v>18</v>
      </c>
      <c r="B28" s="18" t="str">
        <f aca="false">IFERROR(INDEX(출고현황!$D$3:$D$302,MATCH($C$3&amp;"|"&amp;18,출고현황!$M$3:$M$302,0)),"")</f>
        <v/>
      </c>
      <c r="C28" s="18" t="str">
        <f aca="false">IF($B28="","",IFERROR(INDEX(출고현황!$E$3:$E$302,MATCH($C$3&amp;"|"&amp;18,출고현황!$M$3:$M$302,0)),""))</f>
        <v/>
      </c>
      <c r="D28" s="28" t="str">
        <f aca="false">IF($B28="","",IFERROR(INDEX(출고현황!$F$3:$F$302,MATCH($C$3&amp;"|"&amp;18,출고현황!$M$3:$M$302,0)),""))</f>
        <v/>
      </c>
      <c r="E28" s="29" t="str">
        <f aca="false">IF($B28="","",IFERROR(INDEX(출고현황!$H$3:$H$302,MATCH($C$3&amp;"|"&amp;18,출고현황!$M$3:$M$302,0)),""))</f>
        <v/>
      </c>
      <c r="F28" s="19" t="str">
        <f aca="false">IF($B28="","",IFERROR(INDEX(출고현황!$G$3:$G$302,MATCH($C$3&amp;"|"&amp;18,출고현황!$M$3:$M$302,0)),""))</f>
        <v/>
      </c>
      <c r="G28" s="19" t="str">
        <f aca="false">IF($B28="","",IFERROR(INDEX(출고현황!$I$3:$I$302,MATCH($C$3&amp;"|"&amp;18,출고현황!$M$3:$M$302,0)),""))</f>
        <v/>
      </c>
    </row>
    <row r="29" customFormat="false" ht="15" hidden="false" customHeight="true" outlineLevel="0" collapsed="false">
      <c r="B29" s="25" t="s">
        <v>81</v>
      </c>
      <c r="C29" s="25"/>
      <c r="D29" s="25"/>
      <c r="E29" s="25"/>
      <c r="F29" s="25"/>
      <c r="G29" s="30" t="n">
        <f aca="false">SUM(G11:G28)</f>
        <v>0</v>
      </c>
    </row>
    <row r="30" customFormat="false" ht="15" hidden="false" customHeight="true" outlineLevel="0" collapsed="false">
      <c r="B30" s="25" t="s">
        <v>82</v>
      </c>
      <c r="C30" s="25"/>
      <c r="D30" s="25"/>
      <c r="E30" s="25"/>
      <c r="F30" s="25"/>
      <c r="G30" s="30" t="n">
        <f aca="false">ROUND(G29*기초정보!$C$11,0)</f>
        <v>0</v>
      </c>
    </row>
    <row r="31" customFormat="false" ht="15" hidden="false" customHeight="true" outlineLevel="0" collapsed="false">
      <c r="B31" s="31" t="s">
        <v>83</v>
      </c>
      <c r="C31" s="31"/>
      <c r="D31" s="31"/>
      <c r="E31" s="31"/>
      <c r="F31" s="31"/>
      <c r="G31" s="32" t="n">
        <f aca="false">G29+G30</f>
        <v>0</v>
      </c>
    </row>
    <row r="34" customFormat="false" ht="15" hidden="false" customHeight="true" outlineLevel="0" collapsed="false">
      <c r="A34" s="6" t="s">
        <v>84</v>
      </c>
    </row>
  </sheetData>
  <mergeCells count="17">
    <mergeCell ref="A1:G1"/>
    <mergeCell ref="A3:B3"/>
    <mergeCell ref="C3:D3"/>
    <mergeCell ref="F3:G3"/>
    <mergeCell ref="A4:G4"/>
    <mergeCell ref="A6:B6"/>
    <mergeCell ref="C6:D6"/>
    <mergeCell ref="F6:G6"/>
    <mergeCell ref="A7:B7"/>
    <mergeCell ref="C7:D7"/>
    <mergeCell ref="F7:G7"/>
    <mergeCell ref="A8:B8"/>
    <mergeCell ref="C8:D8"/>
    <mergeCell ref="F8:G8"/>
    <mergeCell ref="B29:F29"/>
    <mergeCell ref="B30:F30"/>
    <mergeCell ref="B31:F31"/>
  </mergeCells>
  <dataValidations count="1">
    <dataValidation allowBlank="true" errorStyle="stop" operator="between" showDropDown="false" showErrorMessage="false" showInputMessage="false" sqref="C3" type="list">
      <formula1>출고현황!$A$3:$A$302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37.5" hidden="false" customHeight="true" outlineLevel="0" collapsed="false">
      <c r="A1" s="33" t="s">
        <v>87</v>
      </c>
      <c r="B1" s="33"/>
      <c r="C1" s="33"/>
      <c r="D1" s="33"/>
      <c r="E1" s="33"/>
      <c r="F1" s="33"/>
      <c r="G1" s="33"/>
    </row>
    <row r="3" customFormat="false" ht="15" hidden="false" customHeight="true" outlineLevel="0" collapsed="false">
      <c r="A3" s="21" t="s">
        <v>61</v>
      </c>
      <c r="B3" s="21"/>
      <c r="C3" s="22" t="s">
        <v>74</v>
      </c>
      <c r="D3" s="22"/>
      <c r="E3" s="21" t="s">
        <v>62</v>
      </c>
      <c r="F3" s="23" t="str">
        <f aca="false">IFERROR(INDEX(출고현황!$B$3:$B$302,MATCH($C$3,출고현황!$A$3:$A$302,0)),"")</f>
        <v/>
      </c>
      <c r="G3" s="23"/>
    </row>
    <row r="4" customFormat="false" ht="13.5" hidden="false" customHeight="true" outlineLevel="0" collapsed="false">
      <c r="A4" s="24" t="s">
        <v>75</v>
      </c>
      <c r="B4" s="24"/>
      <c r="C4" s="24"/>
      <c r="D4" s="24"/>
      <c r="E4" s="24"/>
      <c r="F4" s="24"/>
      <c r="G4" s="24"/>
    </row>
    <row r="6" customFormat="false" ht="21.75" hidden="false" customHeight="true" outlineLevel="0" collapsed="false">
      <c r="A6" s="25" t="s">
        <v>76</v>
      </c>
      <c r="B6" s="25"/>
      <c r="C6" s="18" t="str">
        <f aca="false">IFERROR(INDEX(출고현황!$C$3:$C$302,MATCH($C$3,출고현황!$A$3:$A$302,0)),"")</f>
        <v/>
      </c>
      <c r="D6" s="18"/>
      <c r="E6" s="25" t="s">
        <v>20</v>
      </c>
      <c r="F6" s="18" t="str">
        <f aca="false">기초정보!$C$4</f>
        <v>○○산업</v>
      </c>
      <c r="G6" s="18"/>
    </row>
    <row r="7" customFormat="false" ht="21.75" hidden="false" customHeight="true" outlineLevel="0" collapsed="false">
      <c r="A7" s="25" t="s">
        <v>38</v>
      </c>
      <c r="B7" s="25"/>
      <c r="C7" s="18" t="str">
        <f aca="false">IFERROR(INDEX(거래처목록!$B$3:$B$62,MATCH($C$6,거래처목록!$A$3:$A$62,0)),"")</f>
        <v/>
      </c>
      <c r="D7" s="18"/>
      <c r="E7" s="25" t="s">
        <v>38</v>
      </c>
      <c r="F7" s="18" t="str">
        <f aca="false">기초정보!$C$5</f>
        <v>000-00-00000</v>
      </c>
      <c r="G7" s="18"/>
    </row>
    <row r="8" customFormat="false" ht="21.75" hidden="false" customHeight="true" outlineLevel="0" collapsed="false">
      <c r="A8" s="25" t="s">
        <v>32</v>
      </c>
      <c r="B8" s="25"/>
      <c r="C8" s="18" t="str">
        <f aca="false">IFERROR(INDEX(거래처목록!$E$3:$E$62,MATCH($C$6,거래처목록!$A$3:$A$62,0)),"")</f>
        <v/>
      </c>
      <c r="D8" s="18"/>
      <c r="E8" s="25" t="s">
        <v>32</v>
      </c>
      <c r="F8" s="18" t="str">
        <f aca="false">기초정보!$C$10</f>
        <v>김담당</v>
      </c>
      <c r="G8" s="18"/>
    </row>
    <row r="10" customFormat="false" ht="15" hidden="false" customHeight="true" outlineLevel="0" collapsed="false">
      <c r="A10" s="26" t="s">
        <v>77</v>
      </c>
      <c r="B10" s="27" t="s">
        <v>78</v>
      </c>
      <c r="C10" s="27" t="s">
        <v>79</v>
      </c>
      <c r="D10" s="27" t="s">
        <v>49</v>
      </c>
      <c r="E10" s="27" t="s">
        <v>66</v>
      </c>
      <c r="F10" s="26" t="s">
        <v>88</v>
      </c>
      <c r="G10" s="27"/>
    </row>
    <row r="11" customFormat="false" ht="15" hidden="false" customHeight="true" outlineLevel="0" collapsed="false">
      <c r="A11" s="28" t="n">
        <v>1</v>
      </c>
      <c r="B11" s="18" t="str">
        <f aca="false">IFERROR(INDEX(출고현황!$D$3:$D$302,MATCH($C$3&amp;"#"&amp;1,출고현황!$N$3:$N$302,0)),"")</f>
        <v/>
      </c>
      <c r="C11" s="18" t="str">
        <f aca="false">IF($B11="","",IFERROR(INDEX(출고현황!$E$3:$E$302,MATCH($C$3&amp;"#"&amp;1,출고현황!$N$3:$N$302,0)),""))</f>
        <v/>
      </c>
      <c r="D11" s="28" t="str">
        <f aca="false">IF($B11="","",IFERROR(INDEX(출고현황!$F$3:$F$302,MATCH($C$3&amp;"#"&amp;1,출고현황!$N$3:$N$302,0)),""))</f>
        <v/>
      </c>
      <c r="E11" s="29" t="str">
        <f aca="false">IF($B11="","",IFERROR(INDEX(출고현황!$H$3:$H$302,MATCH($C$3&amp;"#"&amp;1,출고현황!$N$3:$N$302,0)),""))</f>
        <v/>
      </c>
      <c r="F11" s="18" t="str">
        <f aca="false">IF($B11="","",IFERROR(INDEX(출고현황!$K$3:$K$302,MATCH($C$3&amp;"#"&amp;1,출고현황!$N$3:$N$302,0)),""))</f>
        <v/>
      </c>
      <c r="G11" s="18"/>
    </row>
    <row r="12" customFormat="false" ht="15" hidden="false" customHeight="true" outlineLevel="0" collapsed="false">
      <c r="A12" s="28" t="n">
        <v>2</v>
      </c>
      <c r="B12" s="18" t="str">
        <f aca="false">IFERROR(INDEX(출고현황!$D$3:$D$302,MATCH($C$3&amp;"#"&amp;2,출고현황!$N$3:$N$302,0)),"")</f>
        <v/>
      </c>
      <c r="C12" s="18" t="str">
        <f aca="false">IF($B12="","",IFERROR(INDEX(출고현황!$E$3:$E$302,MATCH($C$3&amp;"#"&amp;2,출고현황!$N$3:$N$302,0)),""))</f>
        <v/>
      </c>
      <c r="D12" s="28" t="str">
        <f aca="false">IF($B12="","",IFERROR(INDEX(출고현황!$F$3:$F$302,MATCH($C$3&amp;"#"&amp;2,출고현황!$N$3:$N$302,0)),""))</f>
        <v/>
      </c>
      <c r="E12" s="29" t="str">
        <f aca="false">IF($B12="","",IFERROR(INDEX(출고현황!$H$3:$H$302,MATCH($C$3&amp;"#"&amp;2,출고현황!$N$3:$N$302,0)),""))</f>
        <v/>
      </c>
      <c r="F12" s="18" t="str">
        <f aca="false">IF($B12="","",IFERROR(INDEX(출고현황!$K$3:$K$302,MATCH($C$3&amp;"#"&amp;2,출고현황!$N$3:$N$302,0)),""))</f>
        <v/>
      </c>
      <c r="G12" s="18"/>
    </row>
    <row r="13" customFormat="false" ht="15" hidden="false" customHeight="true" outlineLevel="0" collapsed="false">
      <c r="A13" s="28" t="n">
        <v>3</v>
      </c>
      <c r="B13" s="18" t="str">
        <f aca="false">IFERROR(INDEX(출고현황!$D$3:$D$302,MATCH($C$3&amp;"#"&amp;3,출고현황!$N$3:$N$302,0)),"")</f>
        <v/>
      </c>
      <c r="C13" s="18" t="str">
        <f aca="false">IF($B13="","",IFERROR(INDEX(출고현황!$E$3:$E$302,MATCH($C$3&amp;"#"&amp;3,출고현황!$N$3:$N$302,0)),""))</f>
        <v/>
      </c>
      <c r="D13" s="28" t="str">
        <f aca="false">IF($B13="","",IFERROR(INDEX(출고현황!$F$3:$F$302,MATCH($C$3&amp;"#"&amp;3,출고현황!$N$3:$N$302,0)),""))</f>
        <v/>
      </c>
      <c r="E13" s="29" t="str">
        <f aca="false">IF($B13="","",IFERROR(INDEX(출고현황!$H$3:$H$302,MATCH($C$3&amp;"#"&amp;3,출고현황!$N$3:$N$302,0)),""))</f>
        <v/>
      </c>
      <c r="F13" s="18" t="str">
        <f aca="false">IF($B13="","",IFERROR(INDEX(출고현황!$K$3:$K$302,MATCH($C$3&amp;"#"&amp;3,출고현황!$N$3:$N$302,0)),""))</f>
        <v/>
      </c>
      <c r="G13" s="18"/>
    </row>
    <row r="14" customFormat="false" ht="15" hidden="false" customHeight="true" outlineLevel="0" collapsed="false">
      <c r="A14" s="28" t="n">
        <v>4</v>
      </c>
      <c r="B14" s="18" t="str">
        <f aca="false">IFERROR(INDEX(출고현황!$D$3:$D$302,MATCH($C$3&amp;"#"&amp;4,출고현황!$N$3:$N$302,0)),"")</f>
        <v/>
      </c>
      <c r="C14" s="18" t="str">
        <f aca="false">IF($B14="","",IFERROR(INDEX(출고현황!$E$3:$E$302,MATCH($C$3&amp;"#"&amp;4,출고현황!$N$3:$N$302,0)),""))</f>
        <v/>
      </c>
      <c r="D14" s="28" t="str">
        <f aca="false">IF($B14="","",IFERROR(INDEX(출고현황!$F$3:$F$302,MATCH($C$3&amp;"#"&amp;4,출고현황!$N$3:$N$302,0)),""))</f>
        <v/>
      </c>
      <c r="E14" s="29" t="str">
        <f aca="false">IF($B14="","",IFERROR(INDEX(출고현황!$H$3:$H$302,MATCH($C$3&amp;"#"&amp;4,출고현황!$N$3:$N$302,0)),""))</f>
        <v/>
      </c>
      <c r="F14" s="18" t="str">
        <f aca="false">IF($B14="","",IFERROR(INDEX(출고현황!$K$3:$K$302,MATCH($C$3&amp;"#"&amp;4,출고현황!$N$3:$N$302,0)),""))</f>
        <v/>
      </c>
      <c r="G14" s="18"/>
    </row>
    <row r="15" customFormat="false" ht="15" hidden="false" customHeight="true" outlineLevel="0" collapsed="false">
      <c r="A15" s="28" t="n">
        <v>5</v>
      </c>
      <c r="B15" s="18" t="str">
        <f aca="false">IFERROR(INDEX(출고현황!$D$3:$D$302,MATCH($C$3&amp;"#"&amp;5,출고현황!$N$3:$N$302,0)),"")</f>
        <v/>
      </c>
      <c r="C15" s="18" t="str">
        <f aca="false">IF($B15="","",IFERROR(INDEX(출고현황!$E$3:$E$302,MATCH($C$3&amp;"#"&amp;5,출고현황!$N$3:$N$302,0)),""))</f>
        <v/>
      </c>
      <c r="D15" s="28" t="str">
        <f aca="false">IF($B15="","",IFERROR(INDEX(출고현황!$F$3:$F$302,MATCH($C$3&amp;"#"&amp;5,출고현황!$N$3:$N$302,0)),""))</f>
        <v/>
      </c>
      <c r="E15" s="29" t="str">
        <f aca="false">IF($B15="","",IFERROR(INDEX(출고현황!$H$3:$H$302,MATCH($C$3&amp;"#"&amp;5,출고현황!$N$3:$N$302,0)),""))</f>
        <v/>
      </c>
      <c r="F15" s="18" t="str">
        <f aca="false">IF($B15="","",IFERROR(INDEX(출고현황!$K$3:$K$302,MATCH($C$3&amp;"#"&amp;5,출고현황!$N$3:$N$302,0)),""))</f>
        <v/>
      </c>
      <c r="G15" s="18"/>
    </row>
    <row r="16" customFormat="false" ht="15" hidden="false" customHeight="true" outlineLevel="0" collapsed="false">
      <c r="A16" s="28" t="n">
        <v>6</v>
      </c>
      <c r="B16" s="18" t="str">
        <f aca="false">IFERROR(INDEX(출고현황!$D$3:$D$302,MATCH($C$3&amp;"#"&amp;6,출고현황!$N$3:$N$302,0)),"")</f>
        <v/>
      </c>
      <c r="C16" s="18" t="str">
        <f aca="false">IF($B16="","",IFERROR(INDEX(출고현황!$E$3:$E$302,MATCH($C$3&amp;"#"&amp;6,출고현황!$N$3:$N$302,0)),""))</f>
        <v/>
      </c>
      <c r="D16" s="28" t="str">
        <f aca="false">IF($B16="","",IFERROR(INDEX(출고현황!$F$3:$F$302,MATCH($C$3&amp;"#"&amp;6,출고현황!$N$3:$N$302,0)),""))</f>
        <v/>
      </c>
      <c r="E16" s="29" t="str">
        <f aca="false">IF($B16="","",IFERROR(INDEX(출고현황!$H$3:$H$302,MATCH($C$3&amp;"#"&amp;6,출고현황!$N$3:$N$302,0)),""))</f>
        <v/>
      </c>
      <c r="F16" s="18" t="str">
        <f aca="false">IF($B16="","",IFERROR(INDEX(출고현황!$K$3:$K$302,MATCH($C$3&amp;"#"&amp;6,출고현황!$N$3:$N$302,0)),""))</f>
        <v/>
      </c>
      <c r="G16" s="18"/>
    </row>
    <row r="17" customFormat="false" ht="15" hidden="false" customHeight="true" outlineLevel="0" collapsed="false">
      <c r="A17" s="28" t="n">
        <v>7</v>
      </c>
      <c r="B17" s="18" t="str">
        <f aca="false">IFERROR(INDEX(출고현황!$D$3:$D$302,MATCH($C$3&amp;"#"&amp;7,출고현황!$N$3:$N$302,0)),"")</f>
        <v/>
      </c>
      <c r="C17" s="18" t="str">
        <f aca="false">IF($B17="","",IFERROR(INDEX(출고현황!$E$3:$E$302,MATCH($C$3&amp;"#"&amp;7,출고현황!$N$3:$N$302,0)),""))</f>
        <v/>
      </c>
      <c r="D17" s="28" t="str">
        <f aca="false">IF($B17="","",IFERROR(INDEX(출고현황!$F$3:$F$302,MATCH($C$3&amp;"#"&amp;7,출고현황!$N$3:$N$302,0)),""))</f>
        <v/>
      </c>
      <c r="E17" s="29" t="str">
        <f aca="false">IF($B17="","",IFERROR(INDEX(출고현황!$H$3:$H$302,MATCH($C$3&amp;"#"&amp;7,출고현황!$N$3:$N$302,0)),""))</f>
        <v/>
      </c>
      <c r="F17" s="18" t="str">
        <f aca="false">IF($B17="","",IFERROR(INDEX(출고현황!$K$3:$K$302,MATCH($C$3&amp;"#"&amp;7,출고현황!$N$3:$N$302,0)),""))</f>
        <v/>
      </c>
      <c r="G17" s="18"/>
    </row>
    <row r="18" customFormat="false" ht="15" hidden="false" customHeight="true" outlineLevel="0" collapsed="false">
      <c r="A18" s="28" t="n">
        <v>8</v>
      </c>
      <c r="B18" s="18" t="str">
        <f aca="false">IFERROR(INDEX(출고현황!$D$3:$D$302,MATCH($C$3&amp;"#"&amp;8,출고현황!$N$3:$N$302,0)),"")</f>
        <v/>
      </c>
      <c r="C18" s="18" t="str">
        <f aca="false">IF($B18="","",IFERROR(INDEX(출고현황!$E$3:$E$302,MATCH($C$3&amp;"#"&amp;8,출고현황!$N$3:$N$302,0)),""))</f>
        <v/>
      </c>
      <c r="D18" s="28" t="str">
        <f aca="false">IF($B18="","",IFERROR(INDEX(출고현황!$F$3:$F$302,MATCH($C$3&amp;"#"&amp;8,출고현황!$N$3:$N$302,0)),""))</f>
        <v/>
      </c>
      <c r="E18" s="29" t="str">
        <f aca="false">IF($B18="","",IFERROR(INDEX(출고현황!$H$3:$H$302,MATCH($C$3&amp;"#"&amp;8,출고현황!$N$3:$N$302,0)),""))</f>
        <v/>
      </c>
      <c r="F18" s="18" t="str">
        <f aca="false">IF($B18="","",IFERROR(INDEX(출고현황!$K$3:$K$302,MATCH($C$3&amp;"#"&amp;8,출고현황!$N$3:$N$302,0)),""))</f>
        <v/>
      </c>
      <c r="G18" s="18"/>
    </row>
    <row r="19" customFormat="false" ht="15" hidden="false" customHeight="true" outlineLevel="0" collapsed="false">
      <c r="A19" s="28" t="n">
        <v>9</v>
      </c>
      <c r="B19" s="18" t="str">
        <f aca="false">IFERROR(INDEX(출고현황!$D$3:$D$302,MATCH($C$3&amp;"#"&amp;9,출고현황!$N$3:$N$302,0)),"")</f>
        <v/>
      </c>
      <c r="C19" s="18" t="str">
        <f aca="false">IF($B19="","",IFERROR(INDEX(출고현황!$E$3:$E$302,MATCH($C$3&amp;"#"&amp;9,출고현황!$N$3:$N$302,0)),""))</f>
        <v/>
      </c>
      <c r="D19" s="28" t="str">
        <f aca="false">IF($B19="","",IFERROR(INDEX(출고현황!$F$3:$F$302,MATCH($C$3&amp;"#"&amp;9,출고현황!$N$3:$N$302,0)),""))</f>
        <v/>
      </c>
      <c r="E19" s="29" t="str">
        <f aca="false">IF($B19="","",IFERROR(INDEX(출고현황!$H$3:$H$302,MATCH($C$3&amp;"#"&amp;9,출고현황!$N$3:$N$302,0)),""))</f>
        <v/>
      </c>
      <c r="F19" s="18" t="str">
        <f aca="false">IF($B19="","",IFERROR(INDEX(출고현황!$K$3:$K$302,MATCH($C$3&amp;"#"&amp;9,출고현황!$N$3:$N$302,0)),""))</f>
        <v/>
      </c>
      <c r="G19" s="18"/>
    </row>
    <row r="20" customFormat="false" ht="15" hidden="false" customHeight="true" outlineLevel="0" collapsed="false">
      <c r="A20" s="28" t="n">
        <v>10</v>
      </c>
      <c r="B20" s="18" t="str">
        <f aca="false">IFERROR(INDEX(출고현황!$D$3:$D$302,MATCH($C$3&amp;"#"&amp;10,출고현황!$N$3:$N$302,0)),"")</f>
        <v/>
      </c>
      <c r="C20" s="18" t="str">
        <f aca="false">IF($B20="","",IFERROR(INDEX(출고현황!$E$3:$E$302,MATCH($C$3&amp;"#"&amp;10,출고현황!$N$3:$N$302,0)),""))</f>
        <v/>
      </c>
      <c r="D20" s="28" t="str">
        <f aca="false">IF($B20="","",IFERROR(INDEX(출고현황!$F$3:$F$302,MATCH($C$3&amp;"#"&amp;10,출고현황!$N$3:$N$302,0)),""))</f>
        <v/>
      </c>
      <c r="E20" s="29" t="str">
        <f aca="false">IF($B20="","",IFERROR(INDEX(출고현황!$H$3:$H$302,MATCH($C$3&amp;"#"&amp;10,출고현황!$N$3:$N$302,0)),""))</f>
        <v/>
      </c>
      <c r="F20" s="18" t="str">
        <f aca="false">IF($B20="","",IFERROR(INDEX(출고현황!$K$3:$K$302,MATCH($C$3&amp;"#"&amp;10,출고현황!$N$3:$N$302,0)),""))</f>
        <v/>
      </c>
      <c r="G20" s="18"/>
    </row>
    <row r="21" customFormat="false" ht="15" hidden="false" customHeight="true" outlineLevel="0" collapsed="false">
      <c r="A21" s="28" t="n">
        <v>11</v>
      </c>
      <c r="B21" s="18" t="str">
        <f aca="false">IFERROR(INDEX(출고현황!$D$3:$D$302,MATCH($C$3&amp;"#"&amp;11,출고현황!$N$3:$N$302,0)),"")</f>
        <v/>
      </c>
      <c r="C21" s="18" t="str">
        <f aca="false">IF($B21="","",IFERROR(INDEX(출고현황!$E$3:$E$302,MATCH($C$3&amp;"#"&amp;11,출고현황!$N$3:$N$302,0)),""))</f>
        <v/>
      </c>
      <c r="D21" s="28" t="str">
        <f aca="false">IF($B21="","",IFERROR(INDEX(출고현황!$F$3:$F$302,MATCH($C$3&amp;"#"&amp;11,출고현황!$N$3:$N$302,0)),""))</f>
        <v/>
      </c>
      <c r="E21" s="29" t="str">
        <f aca="false">IF($B21="","",IFERROR(INDEX(출고현황!$H$3:$H$302,MATCH($C$3&amp;"#"&amp;11,출고현황!$N$3:$N$302,0)),""))</f>
        <v/>
      </c>
      <c r="F21" s="18" t="str">
        <f aca="false">IF($B21="","",IFERROR(INDEX(출고현황!$K$3:$K$302,MATCH($C$3&amp;"#"&amp;11,출고현황!$N$3:$N$302,0)),""))</f>
        <v/>
      </c>
      <c r="G21" s="18"/>
    </row>
    <row r="22" customFormat="false" ht="15" hidden="false" customHeight="true" outlineLevel="0" collapsed="false">
      <c r="A22" s="28" t="n">
        <v>12</v>
      </c>
      <c r="B22" s="18" t="str">
        <f aca="false">IFERROR(INDEX(출고현황!$D$3:$D$302,MATCH($C$3&amp;"#"&amp;12,출고현황!$N$3:$N$302,0)),"")</f>
        <v/>
      </c>
      <c r="C22" s="18" t="str">
        <f aca="false">IF($B22="","",IFERROR(INDEX(출고현황!$E$3:$E$302,MATCH($C$3&amp;"#"&amp;12,출고현황!$N$3:$N$302,0)),""))</f>
        <v/>
      </c>
      <c r="D22" s="28" t="str">
        <f aca="false">IF($B22="","",IFERROR(INDEX(출고현황!$F$3:$F$302,MATCH($C$3&amp;"#"&amp;12,출고현황!$N$3:$N$302,0)),""))</f>
        <v/>
      </c>
      <c r="E22" s="29" t="str">
        <f aca="false">IF($B22="","",IFERROR(INDEX(출고현황!$H$3:$H$302,MATCH($C$3&amp;"#"&amp;12,출고현황!$N$3:$N$302,0)),""))</f>
        <v/>
      </c>
      <c r="F22" s="18" t="str">
        <f aca="false">IF($B22="","",IFERROR(INDEX(출고현황!$K$3:$K$302,MATCH($C$3&amp;"#"&amp;12,출고현황!$N$3:$N$302,0)),""))</f>
        <v/>
      </c>
      <c r="G22" s="18"/>
    </row>
    <row r="23" customFormat="false" ht="15" hidden="false" customHeight="true" outlineLevel="0" collapsed="false">
      <c r="A23" s="28" t="n">
        <v>13</v>
      </c>
      <c r="B23" s="18" t="str">
        <f aca="false">IFERROR(INDEX(출고현황!$D$3:$D$302,MATCH($C$3&amp;"#"&amp;13,출고현황!$N$3:$N$302,0)),"")</f>
        <v/>
      </c>
      <c r="C23" s="18" t="str">
        <f aca="false">IF($B23="","",IFERROR(INDEX(출고현황!$E$3:$E$302,MATCH($C$3&amp;"#"&amp;13,출고현황!$N$3:$N$302,0)),""))</f>
        <v/>
      </c>
      <c r="D23" s="28" t="str">
        <f aca="false">IF($B23="","",IFERROR(INDEX(출고현황!$F$3:$F$302,MATCH($C$3&amp;"#"&amp;13,출고현황!$N$3:$N$302,0)),""))</f>
        <v/>
      </c>
      <c r="E23" s="29" t="str">
        <f aca="false">IF($B23="","",IFERROR(INDEX(출고현황!$H$3:$H$302,MATCH($C$3&amp;"#"&amp;13,출고현황!$N$3:$N$302,0)),""))</f>
        <v/>
      </c>
      <c r="F23" s="18" t="str">
        <f aca="false">IF($B23="","",IFERROR(INDEX(출고현황!$K$3:$K$302,MATCH($C$3&amp;"#"&amp;13,출고현황!$N$3:$N$302,0)),""))</f>
        <v/>
      </c>
      <c r="G23" s="18"/>
    </row>
    <row r="24" customFormat="false" ht="15" hidden="false" customHeight="true" outlineLevel="0" collapsed="false">
      <c r="A24" s="28" t="n">
        <v>14</v>
      </c>
      <c r="B24" s="18" t="str">
        <f aca="false">IFERROR(INDEX(출고현황!$D$3:$D$302,MATCH($C$3&amp;"#"&amp;14,출고현황!$N$3:$N$302,0)),"")</f>
        <v/>
      </c>
      <c r="C24" s="18" t="str">
        <f aca="false">IF($B24="","",IFERROR(INDEX(출고현황!$E$3:$E$302,MATCH($C$3&amp;"#"&amp;14,출고현황!$N$3:$N$302,0)),""))</f>
        <v/>
      </c>
      <c r="D24" s="28" t="str">
        <f aca="false">IF($B24="","",IFERROR(INDEX(출고현황!$F$3:$F$302,MATCH($C$3&amp;"#"&amp;14,출고현황!$N$3:$N$302,0)),""))</f>
        <v/>
      </c>
      <c r="E24" s="29" t="str">
        <f aca="false">IF($B24="","",IFERROR(INDEX(출고현황!$H$3:$H$302,MATCH($C$3&amp;"#"&amp;14,출고현황!$N$3:$N$302,0)),""))</f>
        <v/>
      </c>
      <c r="F24" s="18" t="str">
        <f aca="false">IF($B24="","",IFERROR(INDEX(출고현황!$K$3:$K$302,MATCH($C$3&amp;"#"&amp;14,출고현황!$N$3:$N$302,0)),""))</f>
        <v/>
      </c>
      <c r="G24" s="18"/>
    </row>
    <row r="25" customFormat="false" ht="15" hidden="false" customHeight="true" outlineLevel="0" collapsed="false">
      <c r="A25" s="28" t="n">
        <v>15</v>
      </c>
      <c r="B25" s="18" t="str">
        <f aca="false">IFERROR(INDEX(출고현황!$D$3:$D$302,MATCH($C$3&amp;"#"&amp;15,출고현황!$N$3:$N$302,0)),"")</f>
        <v/>
      </c>
      <c r="C25" s="18" t="str">
        <f aca="false">IF($B25="","",IFERROR(INDEX(출고현황!$E$3:$E$302,MATCH($C$3&amp;"#"&amp;15,출고현황!$N$3:$N$302,0)),""))</f>
        <v/>
      </c>
      <c r="D25" s="28" t="str">
        <f aca="false">IF($B25="","",IFERROR(INDEX(출고현황!$F$3:$F$302,MATCH($C$3&amp;"#"&amp;15,출고현황!$N$3:$N$302,0)),""))</f>
        <v/>
      </c>
      <c r="E25" s="29" t="str">
        <f aca="false">IF($B25="","",IFERROR(INDEX(출고현황!$H$3:$H$302,MATCH($C$3&amp;"#"&amp;15,출고현황!$N$3:$N$302,0)),""))</f>
        <v/>
      </c>
      <c r="F25" s="18" t="str">
        <f aca="false">IF($B25="","",IFERROR(INDEX(출고현황!$K$3:$K$302,MATCH($C$3&amp;"#"&amp;15,출고현황!$N$3:$N$302,0)),""))</f>
        <v/>
      </c>
      <c r="G25" s="18"/>
    </row>
    <row r="26" customFormat="false" ht="15" hidden="false" customHeight="true" outlineLevel="0" collapsed="false">
      <c r="A26" s="28" t="n">
        <v>16</v>
      </c>
      <c r="B26" s="18" t="str">
        <f aca="false">IFERROR(INDEX(출고현황!$D$3:$D$302,MATCH($C$3&amp;"#"&amp;16,출고현황!$N$3:$N$302,0)),"")</f>
        <v/>
      </c>
      <c r="C26" s="18" t="str">
        <f aca="false">IF($B26="","",IFERROR(INDEX(출고현황!$E$3:$E$302,MATCH($C$3&amp;"#"&amp;16,출고현황!$N$3:$N$302,0)),""))</f>
        <v/>
      </c>
      <c r="D26" s="28" t="str">
        <f aca="false">IF($B26="","",IFERROR(INDEX(출고현황!$F$3:$F$302,MATCH($C$3&amp;"#"&amp;16,출고현황!$N$3:$N$302,0)),""))</f>
        <v/>
      </c>
      <c r="E26" s="29" t="str">
        <f aca="false">IF($B26="","",IFERROR(INDEX(출고현황!$H$3:$H$302,MATCH($C$3&amp;"#"&amp;16,출고현황!$N$3:$N$302,0)),""))</f>
        <v/>
      </c>
      <c r="F26" s="18" t="str">
        <f aca="false">IF($B26="","",IFERROR(INDEX(출고현황!$K$3:$K$302,MATCH($C$3&amp;"#"&amp;16,출고현황!$N$3:$N$302,0)),""))</f>
        <v/>
      </c>
      <c r="G26" s="18"/>
    </row>
    <row r="27" customFormat="false" ht="15" hidden="false" customHeight="true" outlineLevel="0" collapsed="false">
      <c r="A27" s="28" t="n">
        <v>17</v>
      </c>
      <c r="B27" s="18" t="str">
        <f aca="false">IFERROR(INDEX(출고현황!$D$3:$D$302,MATCH($C$3&amp;"#"&amp;17,출고현황!$N$3:$N$302,0)),"")</f>
        <v/>
      </c>
      <c r="C27" s="18" t="str">
        <f aca="false">IF($B27="","",IFERROR(INDEX(출고현황!$E$3:$E$302,MATCH($C$3&amp;"#"&amp;17,출고현황!$N$3:$N$302,0)),""))</f>
        <v/>
      </c>
      <c r="D27" s="28" t="str">
        <f aca="false">IF($B27="","",IFERROR(INDEX(출고현황!$F$3:$F$302,MATCH($C$3&amp;"#"&amp;17,출고현황!$N$3:$N$302,0)),""))</f>
        <v/>
      </c>
      <c r="E27" s="29" t="str">
        <f aca="false">IF($B27="","",IFERROR(INDEX(출고현황!$H$3:$H$302,MATCH($C$3&amp;"#"&amp;17,출고현황!$N$3:$N$302,0)),""))</f>
        <v/>
      </c>
      <c r="F27" s="18" t="str">
        <f aca="false">IF($B27="","",IFERROR(INDEX(출고현황!$K$3:$K$302,MATCH($C$3&amp;"#"&amp;17,출고현황!$N$3:$N$302,0)),""))</f>
        <v/>
      </c>
      <c r="G27" s="18"/>
    </row>
    <row r="28" customFormat="false" ht="15" hidden="false" customHeight="true" outlineLevel="0" collapsed="false">
      <c r="A28" s="28" t="n">
        <v>18</v>
      </c>
      <c r="B28" s="18" t="str">
        <f aca="false">IFERROR(INDEX(출고현황!$D$3:$D$302,MATCH($C$3&amp;"#"&amp;18,출고현황!$N$3:$N$302,0)),"")</f>
        <v/>
      </c>
      <c r="C28" s="18" t="str">
        <f aca="false">IF($B28="","",IFERROR(INDEX(출고현황!$E$3:$E$302,MATCH($C$3&amp;"#"&amp;18,출고현황!$N$3:$N$302,0)),""))</f>
        <v/>
      </c>
      <c r="D28" s="28" t="str">
        <f aca="false">IF($B28="","",IFERROR(INDEX(출고현황!$F$3:$F$302,MATCH($C$3&amp;"#"&amp;18,출고현황!$N$3:$N$302,0)),""))</f>
        <v/>
      </c>
      <c r="E28" s="29" t="str">
        <f aca="false">IF($B28="","",IFERROR(INDEX(출고현황!$H$3:$H$302,MATCH($C$3&amp;"#"&amp;18,출고현황!$N$3:$N$302,0)),""))</f>
        <v/>
      </c>
      <c r="F28" s="18" t="str">
        <f aca="false">IF($B28="","",IFERROR(INDEX(출고현황!$K$3:$K$302,MATCH($C$3&amp;"#"&amp;18,출고현황!$N$3:$N$302,0)),""))</f>
        <v/>
      </c>
      <c r="G28" s="18"/>
    </row>
    <row r="31" customFormat="false" ht="15" hidden="false" customHeight="true" outlineLevel="0" collapsed="false">
      <c r="A31" s="6" t="s">
        <v>84</v>
      </c>
    </row>
  </sheetData>
  <mergeCells count="14">
    <mergeCell ref="A1:G1"/>
    <mergeCell ref="A3:B3"/>
    <mergeCell ref="C3:D3"/>
    <mergeCell ref="F3:G3"/>
    <mergeCell ref="A4:G4"/>
    <mergeCell ref="A6:B6"/>
    <mergeCell ref="C6:D6"/>
    <mergeCell ref="F6:G6"/>
    <mergeCell ref="A7:B7"/>
    <mergeCell ref="C7:D7"/>
    <mergeCell ref="F7:G7"/>
    <mergeCell ref="A8:B8"/>
    <mergeCell ref="C8:D8"/>
    <mergeCell ref="F8:G8"/>
  </mergeCells>
  <dataValidations count="1">
    <dataValidation allowBlank="true" errorStyle="stop" operator="between" showDropDown="false" showErrorMessage="false" showInputMessage="false" sqref="C3" type="list">
      <formula1>출고현황!$A$3:$A$302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2026-09-13T14:22:33Z</dcterms:created>
  <dc:creator>openpyxl</dc:creator>
  <dc:description/>
  <dc:language>en-US</dc:language>
  <cp:lastModifiedBy/>
  <dcterms:modified xsi:type="dcterms:W3CDTF">2026-09-13T14:22:59Z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