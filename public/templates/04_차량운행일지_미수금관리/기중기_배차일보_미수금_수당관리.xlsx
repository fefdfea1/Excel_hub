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차량목록" sheetId="2" state="visible" r:id="rId4"/>
    <sheet name="거래처목록" sheetId="3" state="visible" r:id="rId5"/>
    <sheet name="배차일보" sheetId="4" state="visible" r:id="rId6"/>
    <sheet name="차량별집계" sheetId="5" state="visible" r:id="rId7"/>
    <sheet name="업체별미수금" sheetId="6" state="visible" r:id="rId8"/>
    <sheet name="기사수당내역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<sst xmlns="http://schemas.openxmlformats.org/spreadsheetml/2006/main" count="93" uniqueCount="77">
  <si>
    <t xml:space="preserve">기중기 배차일보 · 미수금 · 기사수당 관리</t>
  </si>
  <si>
    <t xml:space="preserve">핵심</t>
  </si>
  <si>
    <t xml:space="preserve">배차일보에 한 줄 쓰면 차량별 실적·업체별 미수금·기사 수당이 동시에 자동 집계됩니다.</t>
  </si>
  <si>
    <t xml:space="preserve">입력 규칙</t>
  </si>
  <si>
    <t xml:space="preserve">파란색 글씨 칸만 입력하세요. 검은색은 자동 계산입니다.</t>
  </si>
  <si>
    <t xml:space="preserve">① 차량목록</t>
  </si>
  <si>
    <t xml:space="preserve">차량번호·기사명·수당률을 등록합니다. 수당률은 차량마다 다르게 줄 수 있습니다.</t>
  </si>
  <si>
    <t xml:space="preserve">② 거래처목록</t>
  </si>
  <si>
    <t xml:space="preserve">업체명과 연락처를 등록합니다.</t>
  </si>
  <si>
    <t xml:space="preserve">③ 배차일보</t>
  </si>
  <si>
    <t xml:space="preserve">배차할 때마다 한 줄씩. 날짜·차량·업체·작업시간·단가만 넣으면 됩니다.</t>
  </si>
  <si>
    <t xml:space="preserve">입금액을 넣으면 미수금이 자동으로 줄어듭니다. 입금 전이면 비워두세요.</t>
  </si>
  <si>
    <t xml:space="preserve">④ 차량별집계 / 업체별미수금 / 기사수당내역</t>
  </si>
  <si>
    <t xml:space="preserve">전부 자동입니다. 입력할 것이 없습니다.</t>
  </si>
  <si>
    <t xml:space="preserve">미수 경과일</t>
  </si>
  <si>
    <t xml:space="preserve">오늘 기준으로 며칠 지났는지 자동 계산됩니다. 30일 넘으면 빨간 배경으로 표시됩니다.</t>
  </si>
  <si>
    <t xml:space="preserve">수당 계산 방식</t>
  </si>
  <si>
    <t xml:space="preserve">청구금액 × 차량별 수당률. 입금 여부와 무관하게 계산됩니다.</t>
  </si>
  <si>
    <t xml:space="preserve">시각 입력 방법</t>
  </si>
  <si>
    <t xml:space="preserve">콜론(:) 없이 숫자 네 자리로 입력하세요.  오전 8시 → 800,  오후 5시 30분 → 1730</t>
  </si>
  <si>
    <t xml:space="preserve">입력하면 화면에는 08:00 처럼 보입니다. 분 단위까지 그대로 반영됩니다.</t>
  </si>
  <si>
    <t xml:space="preserve">설정</t>
  </si>
  <si>
    <t xml:space="preserve">값을 바꾸면 모든 계산에 반영됩니다</t>
  </si>
  <si>
    <t xml:space="preserve">미수 경고 기준(일)</t>
  </si>
  <si>
    <t xml:space="preserve">※ 수당이 시간당 정액이거나 별도 기준이면 [차량목록]의 수당률 대신 직접 수정이 필요합니다.</t>
  </si>
  <si>
    <t xml:space="preserve">차량목록  (수당률은 0.1 = 10% 형식으로 입력)</t>
  </si>
  <si>
    <t xml:space="preserve">차량번호</t>
  </si>
  <si>
    <t xml:space="preserve">기사명</t>
  </si>
  <si>
    <t xml:space="preserve">연락처</t>
  </si>
  <si>
    <t xml:space="preserve">수당률</t>
  </si>
  <si>
    <t xml:space="preserve">비고</t>
  </si>
  <si>
    <t xml:space="preserve">경기00가1234</t>
  </si>
  <si>
    <t xml:space="preserve">김기사</t>
  </si>
  <si>
    <t xml:space="preserve">010-0000-0001</t>
  </si>
  <si>
    <t xml:space="preserve">← 예시 행</t>
  </si>
  <si>
    <t xml:space="preserve">경기00가5678</t>
  </si>
  <si>
    <t xml:space="preserve">이기사</t>
  </si>
  <si>
    <t xml:space="preserve">010-0000-0002</t>
  </si>
  <si>
    <t xml:space="preserve">거래처목록</t>
  </si>
  <si>
    <t xml:space="preserve">업체명</t>
  </si>
  <si>
    <t xml:space="preserve">담당자</t>
  </si>
  <si>
    <t xml:space="preserve">○○종합건설</t>
  </si>
  <si>
    <t xml:space="preserve">박소장</t>
  </si>
  <si>
    <t xml:space="preserve">010-0000-1111</t>
  </si>
  <si>
    <t xml:space="preserve">배차일보  (날짜·차량·업체·시간·단가·입금액만 입력)</t>
  </si>
  <si>
    <t xml:space="preserve">날짜</t>
  </si>
  <si>
    <t xml:space="preserve">기사명(자동)</t>
  </si>
  <si>
    <t xml:space="preserve">현장/작업내용</t>
  </si>
  <si>
    <t xml:space="preserve">시작시각
(예: 800)</t>
  </si>
  <si>
    <t xml:space="preserve">종료시각
(예: 1730)</t>
  </si>
  <si>
    <t xml:space="preserve">가동시간(자동)</t>
  </si>
  <si>
    <t xml:space="preserve">시간당단가</t>
  </si>
  <si>
    <t xml:space="preserve">청구금액(자동)</t>
  </si>
  <si>
    <t xml:space="preserve">입금일</t>
  </si>
  <si>
    <t xml:space="preserve">입금액</t>
  </si>
  <si>
    <t xml:space="preserve">미수금(자동)</t>
  </si>
  <si>
    <t xml:space="preserve">경과일(자동)</t>
  </si>
  <si>
    <t xml:space="preserve">수당률(자동)</t>
  </si>
  <si>
    <t xml:space="preserve">기사수당(자동)</t>
  </si>
  <si>
    <t xml:space="preserve">차량별집계  (전부 자동)</t>
  </si>
  <si>
    <t xml:space="preserve">운행건수</t>
  </si>
  <si>
    <t xml:space="preserve">총 가동시간(h)</t>
  </si>
  <si>
    <t xml:space="preserve">총 청구금액</t>
  </si>
  <si>
    <t xml:space="preserve">총 입금액</t>
  </si>
  <si>
    <t xml:space="preserve">미수금</t>
  </si>
  <si>
    <t xml:space="preserve">합계</t>
  </si>
  <si>
    <t xml:space="preserve">업체별미수금  (전부 자동)</t>
  </si>
  <si>
    <t xml:space="preserve">거래건수</t>
  </si>
  <si>
    <t xml:space="preserve">미수 건수</t>
  </si>
  <si>
    <t xml:space="preserve">최장 경과일</t>
  </si>
  <si>
    <r>
      <rPr>
        <sz val="9"/>
        <color rgb="FF808080"/>
        <rFont val="맑은 고딕"/>
        <family val="0"/>
        <charset val="1"/>
      </rPr>
      <t xml:space="preserve">※ '</t>
    </r>
    <r>
      <rPr>
        <sz val="9"/>
        <color rgb="FF808080"/>
        <rFont val="Noto Sans CJK SC"/>
        <family val="2"/>
      </rPr>
      <t xml:space="preserve">최장 경과일</t>
    </r>
    <r>
      <rPr>
        <sz val="9"/>
        <color rgb="FF808080"/>
        <rFont val="맑은 고딕"/>
        <family val="0"/>
        <charset val="1"/>
      </rPr>
      <t xml:space="preserve">'</t>
    </r>
    <r>
      <rPr>
        <sz val="9"/>
        <color rgb="FF808080"/>
        <rFont val="Noto Sans CJK SC"/>
        <family val="2"/>
      </rPr>
      <t xml:space="preserve">은 미수 건 중 가장 오래된 배차일 기준입니다</t>
    </r>
    <r>
      <rPr>
        <sz val="9"/>
        <color rgb="FF808080"/>
        <rFont val="맑은 고딕"/>
        <family val="0"/>
        <charset val="1"/>
      </rPr>
      <t xml:space="preserve">.</t>
    </r>
  </si>
  <si>
    <t xml:space="preserve">기사수당내역  (월 단위)</t>
  </si>
  <si>
    <t xml:space="preserve">대상 연도</t>
  </si>
  <si>
    <t xml:space="preserve">대상 월</t>
  </si>
  <si>
    <t xml:space="preserve">← 두 칸만 바꾸면 아래가 바뀝니다</t>
  </si>
  <si>
    <t xml:space="preserve">청구금액</t>
  </si>
  <si>
    <t xml:space="preserve">기사수당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</si>
</sst>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%"/>
    <numFmt numFmtId="167" formatCode="yyyy\-mm\-dd"/>
    <numFmt numFmtId="168" formatCode="00\:00"/>
    <numFmt numFmtId="169" formatCode="0.00"/>
    <numFmt numFmtId="170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9"/>
      <color rgb="FF808080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  <charset val="1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sz val="9"/>
      <color rgb="FF808080"/>
      <name val="맑은 고딕"/>
      <family val="0"/>
      <charset val="1"/>
    </font>
    <font>
      <sz val="9"/>
      <color rgb="FF80808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B9A"/>
        <bgColor rgb="FF0066CC"/>
      </patternFill>
    </fill>
    <fill>
      <patternFill patternType="solid">
        <fgColor rgb="FFFFF2CC"/>
        <bgColor rgb="FFFCE4E4"/>
      </patternFill>
    </fill>
    <fill>
      <patternFill patternType="solid">
        <fgColor rgb="FF6B7A8F"/>
        <bgColor rgb="FF808080"/>
      </patternFill>
    </fill>
    <fill>
      <patternFill patternType="solid">
        <fgColor rgb="FFF2F2F2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/>
      <c r="C9" s="4" t="s">
        <v>11</v>
      </c>
    </row>
    <row r="10" customFormat="false" ht="15" hidden="false" customHeight="true" outlineLevel="0" collapsed="false">
      <c r="B10" s="3" t="s">
        <v>12</v>
      </c>
      <c r="C10" s="4" t="s">
        <v>13</v>
      </c>
    </row>
    <row r="11" customFormat="false" ht="15" hidden="false" customHeight="true" outlineLevel="0" collapsed="false">
      <c r="B11" s="3" t="s">
        <v>14</v>
      </c>
      <c r="C11" s="4" t="s">
        <v>15</v>
      </c>
    </row>
    <row r="12" customFormat="false" ht="15" hidden="false" customHeight="true" outlineLevel="0" collapsed="false">
      <c r="B12" s="3" t="s">
        <v>16</v>
      </c>
      <c r="C12" s="4" t="s">
        <v>17</v>
      </c>
    </row>
    <row r="13" customFormat="false" ht="15" hidden="false" customHeight="true" outlineLevel="0" collapsed="false">
      <c r="B13" s="3" t="s">
        <v>18</v>
      </c>
      <c r="C13" s="4" t="s">
        <v>19</v>
      </c>
    </row>
    <row r="14" customFormat="false" ht="15" hidden="false" customHeight="true" outlineLevel="0" collapsed="false">
      <c r="B14" s="3"/>
      <c r="C14" s="4" t="s">
        <v>20</v>
      </c>
    </row>
    <row r="16" customFormat="false" ht="15" hidden="false" customHeight="true" outlineLevel="0" collapsed="false">
      <c r="B16" s="5" t="s">
        <v>21</v>
      </c>
      <c r="C16" s="6" t="s">
        <v>22</v>
      </c>
    </row>
    <row r="17" customFormat="false" ht="15" hidden="false" customHeight="true" outlineLevel="0" collapsed="false">
      <c r="B17" s="4" t="s">
        <v>23</v>
      </c>
      <c r="C17" s="7" t="n">
        <v>30</v>
      </c>
    </row>
    <row r="19" customFormat="false" ht="15" hidden="false" customHeight="true" outlineLevel="0" collapsed="false">
      <c r="B19" s="6" t="s">
        <v>24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24"/>
  </cols>
  <sheetData>
    <row r="1" customFormat="false" ht="25.5" hidden="false" customHeight="true" outlineLevel="0" collapsed="false">
      <c r="A1" s="2" t="s">
        <v>25</v>
      </c>
      <c r="B1" s="2"/>
      <c r="C1" s="2"/>
      <c r="D1" s="2"/>
      <c r="E1" s="2"/>
    </row>
    <row r="2" customFormat="false" ht="15" hidden="false" customHeight="true" outlineLevel="0" collapsed="false">
      <c r="A2" s="8" t="s">
        <v>26</v>
      </c>
      <c r="B2" s="8" t="s">
        <v>27</v>
      </c>
      <c r="C2" s="8" t="s">
        <v>28</v>
      </c>
      <c r="D2" s="8" t="s">
        <v>29</v>
      </c>
      <c r="E2" s="8" t="s">
        <v>30</v>
      </c>
    </row>
    <row r="3" customFormat="false" ht="15" hidden="false" customHeight="true" outlineLevel="0" collapsed="false">
      <c r="A3" s="9" t="s">
        <v>31</v>
      </c>
      <c r="B3" s="9" t="s">
        <v>32</v>
      </c>
      <c r="C3" s="10" t="s">
        <v>33</v>
      </c>
      <c r="D3" s="11" t="n">
        <v>0.25</v>
      </c>
      <c r="E3" s="9" t="s">
        <v>34</v>
      </c>
    </row>
    <row r="4" customFormat="false" ht="15" hidden="false" customHeight="true" outlineLevel="0" collapsed="false">
      <c r="A4" s="9" t="s">
        <v>35</v>
      </c>
      <c r="B4" s="9" t="s">
        <v>36</v>
      </c>
      <c r="C4" s="10" t="s">
        <v>37</v>
      </c>
      <c r="D4" s="11" t="n">
        <v>0.2</v>
      </c>
      <c r="E4" s="10"/>
    </row>
    <row r="5" customFormat="false" ht="15" hidden="false" customHeight="true" outlineLevel="0" collapsed="false">
      <c r="A5" s="10"/>
      <c r="B5" s="10"/>
      <c r="C5" s="10"/>
      <c r="D5" s="11"/>
      <c r="E5" s="10"/>
    </row>
    <row r="6" customFormat="false" ht="15" hidden="false" customHeight="true" outlineLevel="0" collapsed="false">
      <c r="A6" s="10"/>
      <c r="B6" s="10"/>
      <c r="C6" s="10"/>
      <c r="D6" s="11"/>
      <c r="E6" s="10"/>
    </row>
    <row r="7" customFormat="false" ht="15" hidden="false" customHeight="true" outlineLevel="0" collapsed="false">
      <c r="A7" s="10"/>
      <c r="B7" s="10"/>
      <c r="C7" s="10"/>
      <c r="D7" s="11"/>
      <c r="E7" s="10"/>
    </row>
    <row r="8" customFormat="false" ht="15" hidden="false" customHeight="true" outlineLevel="0" collapsed="false">
      <c r="A8" s="10"/>
      <c r="B8" s="10"/>
      <c r="C8" s="10"/>
      <c r="D8" s="11"/>
      <c r="E8" s="10"/>
    </row>
    <row r="9" customFormat="false" ht="15" hidden="false" customHeight="true" outlineLevel="0" collapsed="false">
      <c r="A9" s="10"/>
      <c r="B9" s="10"/>
      <c r="C9" s="10"/>
      <c r="D9" s="11"/>
      <c r="E9" s="10"/>
    </row>
    <row r="10" customFormat="false" ht="15" hidden="false" customHeight="true" outlineLevel="0" collapsed="false">
      <c r="A10" s="10"/>
      <c r="B10" s="10"/>
      <c r="C10" s="10"/>
      <c r="D10" s="11"/>
      <c r="E10" s="10"/>
    </row>
    <row r="11" customFormat="false" ht="15" hidden="false" customHeight="true" outlineLevel="0" collapsed="false">
      <c r="A11" s="10"/>
      <c r="B11" s="10"/>
      <c r="C11" s="10"/>
      <c r="D11" s="11"/>
      <c r="E11" s="10"/>
    </row>
    <row r="12" customFormat="false" ht="15" hidden="false" customHeight="true" outlineLevel="0" collapsed="false">
      <c r="A12" s="10"/>
      <c r="B12" s="10"/>
      <c r="C12" s="10"/>
      <c r="D12" s="11"/>
      <c r="E12" s="10"/>
    </row>
    <row r="13" customFormat="false" ht="15" hidden="false" customHeight="true" outlineLevel="0" collapsed="false">
      <c r="A13" s="10"/>
      <c r="B13" s="10"/>
      <c r="C13" s="10"/>
      <c r="D13" s="11"/>
      <c r="E13" s="10"/>
    </row>
    <row r="14" customFormat="false" ht="15" hidden="false" customHeight="true" outlineLevel="0" collapsed="false">
      <c r="A14" s="10"/>
      <c r="B14" s="10"/>
      <c r="C14" s="10"/>
      <c r="D14" s="11"/>
      <c r="E14" s="10"/>
    </row>
    <row r="15" customFormat="false" ht="15" hidden="false" customHeight="true" outlineLevel="0" collapsed="false">
      <c r="A15" s="10"/>
      <c r="B15" s="10"/>
      <c r="C15" s="10"/>
      <c r="D15" s="11"/>
      <c r="E15" s="10"/>
    </row>
    <row r="16" customFormat="false" ht="15" hidden="false" customHeight="true" outlineLevel="0" collapsed="false">
      <c r="A16" s="10"/>
      <c r="B16" s="10"/>
      <c r="C16" s="10"/>
      <c r="D16" s="11"/>
      <c r="E16" s="10"/>
    </row>
    <row r="17" customFormat="false" ht="15" hidden="false" customHeight="true" outlineLevel="0" collapsed="false">
      <c r="A17" s="10"/>
      <c r="B17" s="10"/>
      <c r="C17" s="10"/>
      <c r="D17" s="11"/>
      <c r="E17" s="10"/>
    </row>
    <row r="18" customFormat="false" ht="15" hidden="false" customHeight="true" outlineLevel="0" collapsed="false">
      <c r="A18" s="10"/>
      <c r="B18" s="10"/>
      <c r="C18" s="10"/>
      <c r="D18" s="11"/>
      <c r="E18" s="10"/>
    </row>
    <row r="19" customFormat="false" ht="15" hidden="false" customHeight="true" outlineLevel="0" collapsed="false">
      <c r="A19" s="10"/>
      <c r="B19" s="10"/>
      <c r="C19" s="10"/>
      <c r="D19" s="11"/>
      <c r="E19" s="10"/>
    </row>
    <row r="20" customFormat="false" ht="15" hidden="false" customHeight="true" outlineLevel="0" collapsed="false">
      <c r="A20" s="10"/>
      <c r="B20" s="10"/>
      <c r="C20" s="10"/>
      <c r="D20" s="11"/>
      <c r="E20" s="10"/>
    </row>
    <row r="21" customFormat="false" ht="15" hidden="false" customHeight="true" outlineLevel="0" collapsed="false">
      <c r="A21" s="10"/>
      <c r="B21" s="10"/>
      <c r="C21" s="10"/>
      <c r="D21" s="11"/>
      <c r="E21" s="10"/>
    </row>
    <row r="22" customFormat="false" ht="15" hidden="false" customHeight="true" outlineLevel="0" collapsed="false">
      <c r="A22" s="10"/>
      <c r="B22" s="10"/>
      <c r="C22" s="10"/>
      <c r="D22" s="11"/>
      <c r="E22" s="10"/>
    </row>
    <row r="23" customFormat="false" ht="15" hidden="false" customHeight="true" outlineLevel="0" collapsed="false">
      <c r="A23" s="10"/>
      <c r="B23" s="10"/>
      <c r="C23" s="10"/>
      <c r="D23" s="11"/>
      <c r="E23" s="10"/>
    </row>
    <row r="24" customFormat="false" ht="15" hidden="false" customHeight="true" outlineLevel="0" collapsed="false">
      <c r="A24" s="10"/>
      <c r="B24" s="10"/>
      <c r="C24" s="10"/>
      <c r="D24" s="11"/>
      <c r="E24" s="10"/>
    </row>
    <row r="25" customFormat="false" ht="15" hidden="false" customHeight="true" outlineLevel="0" collapsed="false">
      <c r="A25" s="10"/>
      <c r="B25" s="10"/>
      <c r="C25" s="10"/>
      <c r="D25" s="11"/>
      <c r="E25" s="10"/>
    </row>
    <row r="26" customFormat="false" ht="15" hidden="false" customHeight="true" outlineLevel="0" collapsed="false">
      <c r="A26" s="10"/>
      <c r="B26" s="10"/>
      <c r="C26" s="10"/>
      <c r="D26" s="11"/>
      <c r="E26" s="10"/>
    </row>
    <row r="27" customFormat="false" ht="15" hidden="false" customHeight="true" outlineLevel="0" collapsed="false">
      <c r="A27" s="10"/>
      <c r="B27" s="10"/>
      <c r="C27" s="10"/>
      <c r="D27" s="11"/>
      <c r="E27" s="10"/>
    </row>
    <row r="28" customFormat="false" ht="15" hidden="false" customHeight="true" outlineLevel="0" collapsed="false">
      <c r="A28" s="10"/>
      <c r="B28" s="10"/>
      <c r="C28" s="10"/>
      <c r="D28" s="11"/>
      <c r="E28" s="10"/>
    </row>
    <row r="29" customFormat="false" ht="15" hidden="false" customHeight="true" outlineLevel="0" collapsed="false">
      <c r="A29" s="10"/>
      <c r="B29" s="10"/>
      <c r="C29" s="10"/>
      <c r="D29" s="11"/>
      <c r="E29" s="10"/>
    </row>
    <row r="30" customFormat="false" ht="15" hidden="false" customHeight="true" outlineLevel="0" collapsed="false">
      <c r="A30" s="10"/>
      <c r="B30" s="10"/>
      <c r="C30" s="10"/>
      <c r="D30" s="11"/>
      <c r="E30" s="10"/>
    </row>
    <row r="31" customFormat="false" ht="15" hidden="false" customHeight="true" outlineLevel="0" collapsed="false">
      <c r="A31" s="10"/>
      <c r="B31" s="10"/>
      <c r="C31" s="10"/>
      <c r="D31" s="11"/>
      <c r="E31" s="10"/>
    </row>
    <row r="32" customFormat="false" ht="15" hidden="false" customHeight="true" outlineLevel="0" collapsed="false">
      <c r="A32" s="10"/>
      <c r="B32" s="10"/>
      <c r="C32" s="10"/>
      <c r="D32" s="11"/>
      <c r="E32" s="10"/>
    </row>
    <row r="33" customFormat="false" ht="15" hidden="false" customHeight="true" outlineLevel="0" collapsed="false">
      <c r="A33" s="10"/>
      <c r="B33" s="10"/>
      <c r="C33" s="10"/>
      <c r="D33" s="11"/>
      <c r="E33" s="10"/>
    </row>
    <row r="34" customFormat="false" ht="15" hidden="false" customHeight="true" outlineLevel="0" collapsed="false">
      <c r="A34" s="10"/>
      <c r="B34" s="10"/>
      <c r="C34" s="10"/>
      <c r="D34" s="11"/>
      <c r="E34" s="10"/>
    </row>
    <row r="35" customFormat="false" ht="15" hidden="false" customHeight="true" outlineLevel="0" collapsed="false">
      <c r="A35" s="10"/>
      <c r="B35" s="10"/>
      <c r="C35" s="10"/>
      <c r="D35" s="11"/>
      <c r="E35" s="10"/>
    </row>
    <row r="36" customFormat="false" ht="15" hidden="false" customHeight="true" outlineLevel="0" collapsed="false">
      <c r="A36" s="10"/>
      <c r="B36" s="10"/>
      <c r="C36" s="10"/>
      <c r="D36" s="11"/>
      <c r="E36" s="10"/>
    </row>
    <row r="37" customFormat="false" ht="15" hidden="false" customHeight="true" outlineLevel="0" collapsed="false">
      <c r="A37" s="10"/>
      <c r="B37" s="10"/>
      <c r="C37" s="10"/>
      <c r="D37" s="11"/>
      <c r="E37" s="10"/>
    </row>
    <row r="38" customFormat="false" ht="15" hidden="false" customHeight="true" outlineLevel="0" collapsed="false">
      <c r="A38" s="10"/>
      <c r="B38" s="10"/>
      <c r="C38" s="10"/>
      <c r="D38" s="11"/>
      <c r="E38" s="10"/>
    </row>
    <row r="39" customFormat="false" ht="15" hidden="false" customHeight="true" outlineLevel="0" collapsed="false">
      <c r="A39" s="10"/>
      <c r="B39" s="10"/>
      <c r="C39" s="10"/>
      <c r="D39" s="11"/>
      <c r="E39" s="10"/>
    </row>
    <row r="40" customFormat="false" ht="15" hidden="false" customHeight="true" outlineLevel="0" collapsed="false">
      <c r="A40" s="10"/>
      <c r="B40" s="10"/>
      <c r="C40" s="10"/>
      <c r="D40" s="11"/>
      <c r="E40" s="10"/>
    </row>
    <row r="41" customFormat="false" ht="15" hidden="false" customHeight="true" outlineLevel="0" collapsed="false">
      <c r="A41" s="10"/>
      <c r="B41" s="10"/>
      <c r="C41" s="10"/>
      <c r="D41" s="11"/>
      <c r="E41" s="10"/>
    </row>
    <row r="42" customFormat="false" ht="15" hidden="false" customHeight="true" outlineLevel="0" collapsed="false">
      <c r="A42" s="10"/>
      <c r="B42" s="10"/>
      <c r="C42" s="10"/>
      <c r="D42" s="11"/>
      <c r="E42" s="10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26"/>
  </cols>
  <sheetData>
    <row r="1" customFormat="false" ht="25.5" hidden="false" customHeight="true" outlineLevel="0" collapsed="false">
      <c r="A1" s="2" t="s">
        <v>38</v>
      </c>
      <c r="B1" s="2"/>
      <c r="C1" s="2"/>
      <c r="D1" s="2"/>
    </row>
    <row r="2" customFormat="false" ht="15" hidden="false" customHeight="true" outlineLevel="0" collapsed="false">
      <c r="A2" s="8" t="s">
        <v>39</v>
      </c>
      <c r="B2" s="8" t="s">
        <v>40</v>
      </c>
      <c r="C2" s="8" t="s">
        <v>28</v>
      </c>
      <c r="D2" s="8" t="s">
        <v>30</v>
      </c>
    </row>
    <row r="3" customFormat="false" ht="15" hidden="false" customHeight="true" outlineLevel="0" collapsed="false">
      <c r="A3" s="9" t="s">
        <v>41</v>
      </c>
      <c r="B3" s="9" t="s">
        <v>42</v>
      </c>
      <c r="C3" s="10" t="s">
        <v>43</v>
      </c>
      <c r="D3" s="10"/>
    </row>
    <row r="4" customFormat="false" ht="15" hidden="false" customHeight="true" outlineLevel="0" collapsed="false">
      <c r="A4" s="10" t="inlineStr">
        <is>
          <t>△△건설</t>
        </is>
      </c>
      <c r="B4" s="10" t="inlineStr">
        <is>
          <t>최소장</t>
        </is>
      </c>
      <c r="C4" s="10" t="inlineStr">
        <is>
          <t>010-0000-2222</t>
        </is>
      </c>
      <c r="D4" s="10"/>
    </row>
    <row r="5" customFormat="false" ht="15" hidden="false" customHeight="true" outlineLevel="0" collapsed="false">
      <c r="A5" s="10"/>
      <c r="B5" s="10"/>
      <c r="C5" s="10"/>
      <c r="D5" s="10"/>
    </row>
    <row r="6" customFormat="false" ht="15" hidden="false" customHeight="true" outlineLevel="0" collapsed="false">
      <c r="A6" s="10"/>
      <c r="B6" s="10"/>
      <c r="C6" s="10"/>
      <c r="D6" s="10"/>
    </row>
    <row r="7" customFormat="false" ht="15" hidden="false" customHeight="true" outlineLevel="0" collapsed="false">
      <c r="A7" s="10"/>
      <c r="B7" s="10"/>
      <c r="C7" s="10"/>
      <c r="D7" s="10"/>
    </row>
    <row r="8" customFormat="false" ht="15" hidden="false" customHeight="true" outlineLevel="0" collapsed="false">
      <c r="A8" s="10"/>
      <c r="B8" s="10"/>
      <c r="C8" s="10"/>
      <c r="D8" s="10"/>
    </row>
    <row r="9" customFormat="false" ht="15" hidden="false" customHeight="true" outlineLevel="0" collapsed="false">
      <c r="A9" s="10"/>
      <c r="B9" s="10"/>
      <c r="C9" s="10"/>
      <c r="D9" s="10"/>
    </row>
    <row r="10" customFormat="false" ht="15" hidden="false" customHeight="true" outlineLevel="0" collapsed="false">
      <c r="A10" s="10"/>
      <c r="B10" s="10"/>
      <c r="C10" s="10"/>
      <c r="D10" s="10"/>
    </row>
    <row r="11" customFormat="false" ht="15" hidden="false" customHeight="true" outlineLevel="0" collapsed="false">
      <c r="A11" s="10"/>
      <c r="B11" s="10"/>
      <c r="C11" s="10"/>
      <c r="D11" s="10"/>
    </row>
    <row r="12" customFormat="false" ht="15" hidden="false" customHeight="true" outlineLevel="0" collapsed="false">
      <c r="A12" s="10"/>
      <c r="B12" s="10"/>
      <c r="C12" s="10"/>
      <c r="D12" s="10"/>
    </row>
    <row r="13" customFormat="false" ht="15" hidden="false" customHeight="true" outlineLevel="0" collapsed="false">
      <c r="A13" s="10"/>
      <c r="B13" s="10"/>
      <c r="C13" s="10"/>
      <c r="D13" s="10"/>
    </row>
    <row r="14" customFormat="false" ht="15" hidden="false" customHeight="true" outlineLevel="0" collapsed="false">
      <c r="A14" s="10"/>
      <c r="B14" s="10"/>
      <c r="C14" s="10"/>
      <c r="D14" s="10"/>
    </row>
    <row r="15" customFormat="false" ht="15" hidden="false" customHeight="true" outlineLevel="0" collapsed="false">
      <c r="A15" s="10"/>
      <c r="B15" s="10"/>
      <c r="C15" s="10"/>
      <c r="D15" s="10"/>
    </row>
    <row r="16" customFormat="false" ht="15" hidden="false" customHeight="true" outlineLevel="0" collapsed="false">
      <c r="A16" s="10"/>
      <c r="B16" s="10"/>
      <c r="C16" s="10"/>
      <c r="D16" s="10"/>
    </row>
    <row r="17" customFormat="false" ht="15" hidden="false" customHeight="true" outlineLevel="0" collapsed="false">
      <c r="A17" s="10"/>
      <c r="B17" s="10"/>
      <c r="C17" s="10"/>
      <c r="D17" s="10"/>
    </row>
    <row r="18" customFormat="false" ht="15" hidden="false" customHeight="true" outlineLevel="0" collapsed="false">
      <c r="A18" s="10"/>
      <c r="B18" s="10"/>
      <c r="C18" s="10"/>
      <c r="D18" s="10"/>
    </row>
    <row r="19" customFormat="false" ht="15" hidden="false" customHeight="true" outlineLevel="0" collapsed="false">
      <c r="A19" s="10"/>
      <c r="B19" s="10"/>
      <c r="C19" s="10"/>
      <c r="D19" s="10"/>
    </row>
    <row r="20" customFormat="false" ht="15" hidden="false" customHeight="true" outlineLevel="0" collapsed="false">
      <c r="A20" s="10"/>
      <c r="B20" s="10"/>
      <c r="C20" s="10"/>
      <c r="D20" s="10"/>
    </row>
    <row r="21" customFormat="false" ht="15" hidden="false" customHeight="true" outlineLevel="0" collapsed="false">
      <c r="A21" s="10"/>
      <c r="B21" s="10"/>
      <c r="C21" s="10"/>
      <c r="D21" s="10"/>
    </row>
    <row r="22" customFormat="false" ht="15" hidden="false" customHeight="true" outlineLevel="0" collapsed="false">
      <c r="A22" s="10"/>
      <c r="B22" s="10"/>
      <c r="C22" s="10"/>
      <c r="D22" s="10"/>
    </row>
    <row r="23" customFormat="false" ht="15" hidden="false" customHeight="true" outlineLevel="0" collapsed="false">
      <c r="A23" s="10"/>
      <c r="B23" s="10"/>
      <c r="C23" s="10"/>
      <c r="D23" s="10"/>
    </row>
    <row r="24" customFormat="false" ht="15" hidden="false" customHeight="true" outlineLevel="0" collapsed="false">
      <c r="A24" s="10"/>
      <c r="B24" s="10"/>
      <c r="C24" s="10"/>
      <c r="D24" s="10"/>
    </row>
    <row r="25" customFormat="false" ht="15" hidden="false" customHeight="true" outlineLevel="0" collapsed="false">
      <c r="A25" s="10"/>
      <c r="B25" s="10"/>
      <c r="C25" s="10"/>
      <c r="D25" s="10"/>
    </row>
    <row r="26" customFormat="false" ht="15" hidden="false" customHeight="true" outlineLevel="0" collapsed="false">
      <c r="A26" s="10"/>
      <c r="B26" s="10"/>
      <c r="C26" s="10"/>
      <c r="D26" s="10"/>
    </row>
    <row r="27" customFormat="false" ht="15" hidden="false" customHeight="true" outlineLevel="0" collapsed="false">
      <c r="A27" s="10"/>
      <c r="B27" s="10"/>
      <c r="C27" s="10"/>
      <c r="D27" s="10"/>
    </row>
    <row r="28" customFormat="false" ht="15" hidden="false" customHeight="true" outlineLevel="0" collapsed="false">
      <c r="A28" s="10"/>
      <c r="B28" s="10"/>
      <c r="C28" s="10"/>
      <c r="D28" s="10"/>
    </row>
    <row r="29" customFormat="false" ht="15" hidden="false" customHeight="true" outlineLevel="0" collapsed="false">
      <c r="A29" s="10"/>
      <c r="B29" s="10"/>
      <c r="C29" s="10"/>
      <c r="D29" s="10"/>
    </row>
    <row r="30" customFormat="false" ht="15" hidden="false" customHeight="true" outlineLevel="0" collapsed="false">
      <c r="A30" s="10"/>
      <c r="B30" s="10"/>
      <c r="C30" s="10"/>
      <c r="D30" s="10"/>
    </row>
    <row r="31" customFormat="false" ht="15" hidden="false" customHeight="true" outlineLevel="0" collapsed="false">
      <c r="A31" s="10"/>
      <c r="B31" s="10"/>
      <c r="C31" s="10"/>
      <c r="D31" s="10"/>
    </row>
    <row r="32" customFormat="false" ht="15" hidden="false" customHeight="true" outlineLevel="0" collapsed="false">
      <c r="A32" s="10"/>
      <c r="B32" s="10"/>
      <c r="C32" s="10"/>
      <c r="D32" s="10"/>
    </row>
    <row r="33" customFormat="false" ht="15" hidden="false" customHeight="true" outlineLevel="0" collapsed="false">
      <c r="A33" s="10"/>
      <c r="B33" s="10"/>
      <c r="C33" s="10"/>
      <c r="D33" s="10"/>
    </row>
    <row r="34" customFormat="false" ht="15" hidden="false" customHeight="true" outlineLevel="0" collapsed="false">
      <c r="A34" s="10"/>
      <c r="B34" s="10"/>
      <c r="C34" s="10"/>
      <c r="D34" s="10"/>
    </row>
    <row r="35" customFormat="false" ht="15" hidden="false" customHeight="true" outlineLevel="0" collapsed="false">
      <c r="A35" s="10"/>
      <c r="B35" s="10"/>
      <c r="C35" s="10"/>
      <c r="D35" s="10"/>
    </row>
    <row r="36" customFormat="false" ht="15" hidden="false" customHeight="true" outlineLevel="0" collapsed="false">
      <c r="A36" s="10"/>
      <c r="B36" s="10"/>
      <c r="C36" s="10"/>
      <c r="D36" s="10"/>
    </row>
    <row r="37" customFormat="false" ht="15" hidden="false" customHeight="true" outlineLevel="0" collapsed="false">
      <c r="A37" s="10"/>
      <c r="B37" s="10"/>
      <c r="C37" s="10"/>
      <c r="D37" s="10"/>
    </row>
    <row r="38" customFormat="false" ht="15" hidden="false" customHeight="true" outlineLevel="0" collapsed="false">
      <c r="A38" s="10"/>
      <c r="B38" s="10"/>
      <c r="C38" s="10"/>
      <c r="D38" s="10"/>
    </row>
    <row r="39" customFormat="false" ht="15" hidden="false" customHeight="true" outlineLevel="0" collapsed="false">
      <c r="A39" s="10"/>
      <c r="B39" s="10"/>
      <c r="C39" s="10"/>
      <c r="D39" s="10"/>
    </row>
    <row r="40" customFormat="false" ht="15" hidden="false" customHeight="true" outlineLevel="0" collapsed="false">
      <c r="A40" s="10"/>
      <c r="B40" s="10"/>
      <c r="C40" s="10"/>
      <c r="D40" s="10"/>
    </row>
    <row r="41" customFormat="false" ht="15" hidden="false" customHeight="true" outlineLevel="0" collapsed="false">
      <c r="A41" s="10"/>
      <c r="B41" s="10"/>
      <c r="C41" s="10"/>
      <c r="D41" s="10"/>
    </row>
    <row r="42" customFormat="false" ht="15" hidden="false" customHeight="true" outlineLevel="0" collapsed="false">
      <c r="A42" s="10"/>
      <c r="B42" s="10"/>
      <c r="C42" s="10"/>
      <c r="D42" s="10"/>
    </row>
    <row r="43" customFormat="false" ht="15" hidden="false" customHeight="true" outlineLevel="0" collapsed="false">
      <c r="A43" s="10"/>
      <c r="B43" s="10"/>
      <c r="C43" s="10"/>
      <c r="D43" s="10"/>
    </row>
    <row r="44" customFormat="false" ht="15" hidden="false" customHeight="true" outlineLevel="0" collapsed="false">
      <c r="A44" s="10"/>
      <c r="B44" s="10"/>
      <c r="C44" s="10"/>
      <c r="D44" s="10"/>
    </row>
    <row r="45" customFormat="false" ht="15" hidden="false" customHeight="true" outlineLevel="0" collapsed="false">
      <c r="A45" s="10"/>
      <c r="B45" s="10"/>
      <c r="C45" s="10"/>
      <c r="D45" s="10"/>
    </row>
    <row r="46" customFormat="false" ht="15" hidden="false" customHeight="true" outlineLevel="0" collapsed="false">
      <c r="A46" s="10"/>
      <c r="B46" s="10"/>
      <c r="C46" s="10"/>
      <c r="D46" s="10"/>
    </row>
    <row r="47" customFormat="false" ht="15" hidden="false" customHeight="true" outlineLevel="0" collapsed="false">
      <c r="A47" s="10"/>
      <c r="B47" s="10"/>
      <c r="C47" s="10"/>
      <c r="D47" s="10"/>
    </row>
    <row r="48" customFormat="false" ht="15" hidden="false" customHeight="true" outlineLevel="0" collapsed="false">
      <c r="A48" s="10"/>
      <c r="B48" s="10"/>
      <c r="C48" s="10"/>
      <c r="D48" s="10"/>
    </row>
    <row r="49" customFormat="false" ht="15" hidden="false" customHeight="true" outlineLevel="0" collapsed="false">
      <c r="A49" s="10"/>
      <c r="B49" s="10"/>
      <c r="C49" s="10"/>
      <c r="D49" s="10"/>
    </row>
    <row r="50" customFormat="false" ht="15" hidden="false" customHeight="true" outlineLevel="0" collapsed="false">
      <c r="A50" s="10"/>
      <c r="B50" s="10"/>
      <c r="C50" s="10"/>
      <c r="D50" s="10"/>
    </row>
    <row r="51" customFormat="false" ht="15" hidden="false" customHeight="true" outlineLevel="0" collapsed="false">
      <c r="A51" s="10"/>
      <c r="B51" s="10"/>
      <c r="C51" s="10"/>
      <c r="D51" s="10"/>
    </row>
    <row r="52" customFormat="false" ht="15" hidden="false" customHeight="true" outlineLevel="0" collapsed="false">
      <c r="A52" s="10"/>
      <c r="B52" s="10"/>
      <c r="C52" s="10"/>
      <c r="D52" s="10"/>
    </row>
    <row r="53" customFormat="false" ht="15" hidden="false" customHeight="true" outlineLevel="0" collapsed="false">
      <c r="A53" s="10"/>
      <c r="B53" s="10"/>
      <c r="C53" s="10"/>
      <c r="D53" s="10"/>
    </row>
    <row r="54" customFormat="false" ht="15" hidden="false" customHeight="true" outlineLevel="0" collapsed="false">
      <c r="A54" s="10"/>
      <c r="B54" s="10"/>
      <c r="C54" s="10"/>
      <c r="D54" s="10"/>
    </row>
    <row r="55" customFormat="false" ht="15" hidden="false" customHeight="true" outlineLevel="0" collapsed="false">
      <c r="A55" s="10"/>
      <c r="B55" s="10"/>
      <c r="C55" s="10"/>
      <c r="D55" s="10"/>
    </row>
    <row r="56" customFormat="false" ht="15" hidden="false" customHeight="true" outlineLevel="0" collapsed="false">
      <c r="A56" s="10"/>
      <c r="B56" s="10"/>
      <c r="C56" s="10"/>
      <c r="D56" s="10"/>
    </row>
    <row r="57" customFormat="false" ht="15" hidden="false" customHeight="true" outlineLevel="0" collapsed="false">
      <c r="A57" s="10"/>
      <c r="B57" s="10"/>
      <c r="C57" s="10"/>
      <c r="D57" s="10"/>
    </row>
    <row r="58" customFormat="false" ht="15" hidden="false" customHeight="true" outlineLevel="0" collapsed="false">
      <c r="A58" s="10"/>
      <c r="B58" s="10"/>
      <c r="C58" s="10"/>
      <c r="D58" s="10"/>
    </row>
    <row r="59" customFormat="false" ht="15" hidden="false" customHeight="true" outlineLevel="0" collapsed="false">
      <c r="A59" s="10"/>
      <c r="B59" s="10"/>
      <c r="C59" s="10"/>
      <c r="D59" s="10"/>
    </row>
    <row r="60" customFormat="false" ht="15" hidden="false" customHeight="true" outlineLevel="0" collapsed="false">
      <c r="A60" s="10"/>
      <c r="B60" s="10"/>
      <c r="C60" s="10"/>
      <c r="D60" s="10"/>
    </row>
    <row r="61" customFormat="false" ht="15" hidden="false" customHeight="true" outlineLevel="0" collapsed="false">
      <c r="A61" s="10"/>
      <c r="B61" s="10"/>
      <c r="C61" s="10"/>
      <c r="D61" s="10"/>
    </row>
    <row r="62" customFormat="false" ht="15" hidden="false" customHeight="true" outlineLevel="0" collapsed="false">
      <c r="A62" s="10"/>
      <c r="B62" s="10"/>
      <c r="C62" s="10"/>
      <c r="D62" s="10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24"/>
    <col collapsed="false" customWidth="true" hidden="false" outlineLevel="0" max="7" min="6" style="1" width="11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2"/>
    <col collapsed="false" customWidth="true" hidden="false" outlineLevel="0" max="15" min="12" style="1" width="14"/>
    <col collapsed="false" customWidth="true" hidden="false" outlineLevel="0" max="16" min="16" style="1" width="16"/>
  </cols>
  <sheetData>
    <row r="1" customFormat="false" ht="25.5" hidden="false" customHeight="true" outlineLevel="0" collapsed="false">
      <c r="A1" s="2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31.5" hidden="false" customHeight="true" outlineLevel="0" collapsed="false">
      <c r="A2" s="8" t="s">
        <v>45</v>
      </c>
      <c r="B2" s="8" t="s">
        <v>26</v>
      </c>
      <c r="C2" s="12" t="s">
        <v>46</v>
      </c>
      <c r="D2" s="8" t="s">
        <v>39</v>
      </c>
      <c r="E2" s="8" t="s">
        <v>47</v>
      </c>
      <c r="F2" s="8" t="s">
        <v>48</v>
      </c>
      <c r="G2" s="8" t="s">
        <v>49</v>
      </c>
      <c r="H2" s="12" t="s">
        <v>50</v>
      </c>
      <c r="I2" s="8" t="s">
        <v>51</v>
      </c>
      <c r="J2" s="12" t="s">
        <v>52</v>
      </c>
      <c r="K2" s="8" t="s">
        <v>53</v>
      </c>
      <c r="L2" s="8" t="s">
        <v>54</v>
      </c>
      <c r="M2" s="12" t="s">
        <v>55</v>
      </c>
      <c r="N2" s="12" t="s">
        <v>56</v>
      </c>
      <c r="O2" s="12" t="s">
        <v>57</v>
      </c>
      <c r="P2" s="12" t="s">
        <v>58</v>
      </c>
    </row>
    <row r="3" customFormat="false" ht="15" hidden="false" customHeight="true" outlineLevel="0" collapsed="false">
      <c r="A3" s="13" t="n">
        <v>46239</v>
      </c>
      <c r="B3" s="10" t="inlineStr">
        <is>
          <t>경기00가1234</t>
        </is>
      </c>
      <c r="C3" s="14" t="str">
        <f aca="false">IF($B3="","",IFERROR(INDEX(차량목록!$B$3:$B$42,MATCH($B3,차량목록!$A$3:$A$42,0)),"미등록차량"))</f>
        <v>김기사</v>
      </c>
      <c r="D3" s="10" t="inlineStr">
        <is>
          <t>○○종합건설</t>
        </is>
      </c>
      <c r="E3" s="10" t="inlineStr">
        <is>
          <t>○○아파트 신축 자재 양중</t>
        </is>
      </c>
      <c r="F3" s="15" t="n">
        <v>800</v>
      </c>
      <c r="G3" s="15" t="n">
        <v>1730</v>
      </c>
      <c r="H3" s="16" t="n">
        <f aca="false">IF(OR($F3="",$G3=""),"",ROUND(IF($G3&lt;1,$G3*24,INT($G3/100)+MOD($G3,100)/60)-IF($F3&lt;1,$F3*24,INT($F3/100)+MOD($F3,100)/60),2))</f>
        <v>9.5</v>
      </c>
      <c r="I3" s="17" t="n">
        <v>120000</v>
      </c>
      <c r="J3" s="18" t="n">
        <f aca="false">IF(OR($H3="",$I3=""),"",ROUND($H3*$I3,0))</f>
        <v>1140000</v>
      </c>
      <c r="K3" s="13" t="n">
        <v>46265</v>
      </c>
      <c r="L3" s="17" t="n">
        <v>1140000</v>
      </c>
      <c r="M3" s="18" t="n">
        <f aca="false">IF($J3="","",$J3-IF($L3="",0,$L3))</f>
        <v>0</v>
      </c>
      <c r="N3" s="19" t="str">
        <f aca="true">IF(OR($A3="",$M3="",$M3&lt;=0),"",TODAY()-$A3)</f>
        <v/>
      </c>
      <c r="O3" s="20" t="n">
        <f aca="false">IF($B3="","",IFERROR(INDEX(차량목록!$D$3:$D$42,MATCH($B3,차량목록!$A$3:$A$42,0)),0))</f>
        <v>0.25</v>
      </c>
      <c r="P3" s="18" t="n">
        <f aca="false">IF($J3="","",ROUND($J3*$O3,0))</f>
        <v>285000</v>
      </c>
    </row>
    <row r="4" customFormat="false" ht="15" hidden="false" customHeight="true" outlineLevel="0" collapsed="false">
      <c r="A4" s="13" t="n">
        <v>46246</v>
      </c>
      <c r="B4" s="10" t="inlineStr">
        <is>
          <t>경기00가5678</t>
        </is>
      </c>
      <c r="C4" s="14" t="str">
        <f aca="false">IF($B4="","",IFERROR(INDEX(차량목록!$B$3:$B$42,MATCH($B4,차량목록!$A$3:$A$42,0)),"미등록차량"))</f>
        <v>이기사</v>
      </c>
      <c r="D4" s="10" t="inlineStr">
        <is>
          <t>○○종합건설</t>
        </is>
      </c>
      <c r="E4" s="10" t="inlineStr">
        <is>
          <t>철골 설치</t>
        </is>
      </c>
      <c r="F4" s="15" t="n">
        <v>900</v>
      </c>
      <c r="G4" s="15" t="n">
        <v>1800</v>
      </c>
      <c r="H4" s="16" t="n">
        <f aca="false">IF(OR($F4="",$G4=""),"",ROUND(IF($G4&lt;1,$G4*24,INT($G4/100)+MOD($G4,100)/60)-IF($F4&lt;1,$F4*24,INT($F4/100)+MOD($F4,100)/60),2))</f>
        <v>9</v>
      </c>
      <c r="I4" s="17" t="n">
        <v>150000</v>
      </c>
      <c r="J4" s="18" t="n">
        <f aca="false">IF(OR($H4="",$I4=""),"",ROUND($H4*$I4,0))</f>
        <v>1350000</v>
      </c>
      <c r="K4" s="13"/>
      <c r="L4" s="17"/>
      <c r="M4" s="18" t="n">
        <f aca="false">IF($J4="","",$J4-IF($L4="",0,$L4))</f>
        <v>1350000</v>
      </c>
      <c r="N4" s="19" t="n">
        <f aca="true">IF(OR($A4="",$M4="",$M4&lt;=0),"",TODAY()-$A4)</f>
        <v>33</v>
      </c>
      <c r="O4" s="20" t="n">
        <f aca="false">IF($B4="","",IFERROR(INDEX(차량목록!$D$3:$D$42,MATCH($B4,차량목록!$A$3:$A$42,0)),0))</f>
        <v>0.2</v>
      </c>
      <c r="P4" s="18" t="n">
        <f aca="false">IF($J4="","",ROUND($J4*$O4,0))</f>
        <v>270000</v>
      </c>
    </row>
    <row r="5" customFormat="false" ht="15" hidden="false" customHeight="true" outlineLevel="0" collapsed="false">
      <c r="A5" s="13" t="n">
        <v>46254</v>
      </c>
      <c r="B5" s="10" t="inlineStr">
        <is>
          <t>경기00가1234</t>
        </is>
      </c>
      <c r="C5" s="14" t="str">
        <f aca="false">IF($B5="","",IFERROR(INDEX(차량목록!$B$3:$B$42,MATCH($B5,차량목록!$A$3:$A$42,0)),"미등록차량"))</f>
        <v>김기사</v>
      </c>
      <c r="D5" s="10" t="inlineStr">
        <is>
          <t>△△건설</t>
        </is>
      </c>
      <c r="E5" s="10" t="inlineStr">
        <is>
          <t>창호 양중</t>
        </is>
      </c>
      <c r="F5" s="15" t="n">
        <v>800</v>
      </c>
      <c r="G5" s="15" t="n">
        <v>1200</v>
      </c>
      <c r="H5" s="16" t="n">
        <f aca="false">IF(OR($F5="",$G5=""),"",ROUND(IF($G5&lt;1,$G5*24,INT($G5/100)+MOD($G5,100)/60)-IF($F5&lt;1,$F5*24,INT($F5/100)+MOD($F5,100)/60),2))</f>
        <v>4</v>
      </c>
      <c r="I5" s="17" t="n">
        <v>120000</v>
      </c>
      <c r="J5" s="18" t="n">
        <f aca="false">IF(OR($H5="",$I5=""),"",ROUND($H5*$I5,0))</f>
        <v>480000</v>
      </c>
      <c r="K5" s="13"/>
      <c r="L5" s="17"/>
      <c r="M5" s="18" t="n">
        <f aca="false">IF($J5="","",$J5-IF($L5="",0,$L5))</f>
        <v>480000</v>
      </c>
      <c r="N5" s="19" t="n">
        <f aca="true">IF(OR($A5="",$M5="",$M5&lt;=0),"",TODAY()-$A5)</f>
        <v>25</v>
      </c>
      <c r="O5" s="20" t="n">
        <f aca="false">IF($B5="","",IFERROR(INDEX(차량목록!$D$3:$D$42,MATCH($B5,차량목록!$A$3:$A$42,0)),0))</f>
        <v>0.25</v>
      </c>
      <c r="P5" s="18" t="n">
        <f aca="false">IF($J5="","",ROUND($J5*$O5,0))</f>
        <v>120000</v>
      </c>
    </row>
    <row r="6" customFormat="false" ht="15" hidden="false" customHeight="true" outlineLevel="0" collapsed="false">
      <c r="A6" s="13" t="n">
        <v>46268</v>
      </c>
      <c r="B6" s="10" t="inlineStr">
        <is>
          <t>경기00가5678</t>
        </is>
      </c>
      <c r="C6" s="14" t="str">
        <f aca="false">IF($B6="","",IFERROR(INDEX(차량목록!$B$3:$B$42,MATCH($B6,차량목록!$A$3:$A$42,0)),"미등록차량"))</f>
        <v>이기사</v>
      </c>
      <c r="D6" s="10" t="inlineStr">
        <is>
          <t>△△건설</t>
        </is>
      </c>
      <c r="E6" s="10" t="inlineStr">
        <is>
          <t>PC 슬래브 설치</t>
        </is>
      </c>
      <c r="F6" s="15" t="n">
        <v>830</v>
      </c>
      <c r="G6" s="15" t="n">
        <v>1730</v>
      </c>
      <c r="H6" s="16" t="n">
        <f aca="false">IF(OR($F6="",$G6=""),"",ROUND(IF($G6&lt;1,$G6*24,INT($G6/100)+MOD($G6,100)/60)-IF($F6&lt;1,$F6*24,INT($F6/100)+MOD($F6,100)/60),2))</f>
        <v>9</v>
      </c>
      <c r="I6" s="17" t="n">
        <v>150000</v>
      </c>
      <c r="J6" s="18" t="n">
        <f aca="false">IF(OR($H6="",$I6=""),"",ROUND($H6*$I6,0))</f>
        <v>1350000</v>
      </c>
      <c r="K6" s="13"/>
      <c r="L6" s="17"/>
      <c r="M6" s="18" t="n">
        <f aca="false">IF($J6="","",$J6-IF($L6="",0,$L6))</f>
        <v>1350000</v>
      </c>
      <c r="N6" s="19" t="n">
        <f aca="true">IF(OR($A6="",$M6="",$M6&lt;=0),"",TODAY()-$A6)</f>
        <v>11</v>
      </c>
      <c r="O6" s="20" t="n">
        <f aca="false">IF($B6="","",IFERROR(INDEX(차량목록!$D$3:$D$42,MATCH($B6,차량목록!$A$3:$A$42,0)),0))</f>
        <v>0.2</v>
      </c>
      <c r="P6" s="18" t="n">
        <f aca="false">IF($J6="","",ROUND($J6*$O6,0))</f>
        <v>270000</v>
      </c>
    </row>
    <row r="7" customFormat="false" ht="15" hidden="false" customHeight="true" outlineLevel="0" collapsed="false">
      <c r="A7" s="13" t="n">
        <v>46275</v>
      </c>
      <c r="B7" s="10" t="inlineStr">
        <is>
          <t>경기00가1234</t>
        </is>
      </c>
      <c r="C7" s="14" t="str">
        <f aca="false">IF($B7="","",IFERROR(INDEX(차량목록!$B$3:$B$42,MATCH($B7,차량목록!$A$3:$A$42,0)),"미등록차량"))</f>
        <v>김기사</v>
      </c>
      <c r="D7" s="10" t="inlineStr">
        <is>
          <t>○○종합건설</t>
        </is>
      </c>
      <c r="E7" s="10" t="inlineStr">
        <is>
          <t>외벽 패널 양중</t>
        </is>
      </c>
      <c r="F7" s="15" t="n">
        <v>900</v>
      </c>
      <c r="G7" s="15" t="n">
        <v>1600</v>
      </c>
      <c r="H7" s="16" t="n">
        <f aca="false">IF(OR($F7="",$G7=""),"",ROUND(IF($G7&lt;1,$G7*24,INT($G7/100)+MOD($G7,100)/60)-IF($F7&lt;1,$F7*24,INT($F7/100)+MOD($F7,100)/60),2))</f>
        <v>7</v>
      </c>
      <c r="I7" s="17" t="n">
        <v>120000</v>
      </c>
      <c r="J7" s="18" t="n">
        <f aca="false">IF(OR($H7="",$I7=""),"",ROUND($H7*$I7,0))</f>
        <v>840000</v>
      </c>
      <c r="K7" s="13"/>
      <c r="L7" s="17"/>
      <c r="M7" s="18" t="n">
        <f aca="false">IF($J7="","",$J7-IF($L7="",0,$L7))</f>
        <v>840000</v>
      </c>
      <c r="N7" s="19" t="n">
        <f aca="true">IF(OR($A7="",$M7="",$M7&lt;=0),"",TODAY()-$A7)</f>
        <v>4</v>
      </c>
      <c r="O7" s="20" t="n">
        <f aca="false">IF($B7="","",IFERROR(INDEX(차량목록!$D$3:$D$42,MATCH($B7,차량목록!$A$3:$A$42,0)),0))</f>
        <v>0.25</v>
      </c>
      <c r="P7" s="18" t="n">
        <f aca="false">IF($J7="","",ROUND($J7*$O7,0))</f>
        <v>210000</v>
      </c>
    </row>
    <row r="8" customFormat="false" ht="15" hidden="false" customHeight="true" outlineLevel="0" collapsed="false">
      <c r="A8" s="13"/>
      <c r="B8" s="10"/>
      <c r="C8" s="14" t="str">
        <f aca="false">IF($B8="","",IFERROR(INDEX(차량목록!$B$3:$B$42,MATCH($B8,차량목록!$A$3:$A$42,0)),"미등록차량"))</f>
        <v/>
      </c>
      <c r="D8" s="10"/>
      <c r="E8" s="10"/>
      <c r="F8" s="15"/>
      <c r="G8" s="15"/>
      <c r="H8" s="16" t="str">
        <f aca="false">IF(OR($F8="",$G8=""),"",ROUND(IF($G8&lt;1,$G8*24,INT($G8/100)+MOD($G8,100)/60)-IF($F8&lt;1,$F8*24,INT($F8/100)+MOD($F8,100)/60),2))</f>
        <v/>
      </c>
      <c r="I8" s="17"/>
      <c r="J8" s="18" t="str">
        <f aca="false">IF(OR($H8="",$I8=""),"",ROUND($H8*$I8,0))</f>
        <v/>
      </c>
      <c r="K8" s="13"/>
      <c r="L8" s="17"/>
      <c r="M8" s="18" t="str">
        <f aca="false">IF($J8="","",$J8-IF($L8="",0,$L8))</f>
        <v/>
      </c>
      <c r="N8" s="19" t="str">
        <f aca="true">IF(OR($A8="",$M8="",$M8&lt;=0),"",TODAY()-$A8)</f>
        <v/>
      </c>
      <c r="O8" s="20" t="str">
        <f aca="false">IF($B8="","",IFERROR(INDEX(차량목록!$D$3:$D$42,MATCH($B8,차량목록!$A$3:$A$42,0)),0))</f>
        <v/>
      </c>
      <c r="P8" s="18" t="str">
        <f aca="false">IF($J8="","",ROUND($J8*$O8,0))</f>
        <v/>
      </c>
    </row>
    <row r="9" customFormat="false" ht="15" hidden="false" customHeight="true" outlineLevel="0" collapsed="false">
      <c r="A9" s="13"/>
      <c r="B9" s="10"/>
      <c r="C9" s="14" t="str">
        <f aca="false">IF($B9="","",IFERROR(INDEX(차량목록!$B$3:$B$42,MATCH($B9,차량목록!$A$3:$A$42,0)),"미등록차량"))</f>
        <v/>
      </c>
      <c r="D9" s="10"/>
      <c r="E9" s="10"/>
      <c r="F9" s="15"/>
      <c r="G9" s="15"/>
      <c r="H9" s="16" t="str">
        <f aca="false">IF(OR($F9="",$G9=""),"",ROUND(IF($G9&lt;1,$G9*24,INT($G9/100)+MOD($G9,100)/60)-IF($F9&lt;1,$F9*24,INT($F9/100)+MOD($F9,100)/60),2))</f>
        <v/>
      </c>
      <c r="I9" s="17"/>
      <c r="J9" s="18" t="str">
        <f aca="false">IF(OR($H9="",$I9=""),"",ROUND($H9*$I9,0))</f>
        <v/>
      </c>
      <c r="K9" s="13"/>
      <c r="L9" s="17"/>
      <c r="M9" s="18" t="str">
        <f aca="false">IF($J9="","",$J9-IF($L9="",0,$L9))</f>
        <v/>
      </c>
      <c r="N9" s="19" t="str">
        <f aca="true">IF(OR($A9="",$M9="",$M9&lt;=0),"",TODAY()-$A9)</f>
        <v/>
      </c>
      <c r="O9" s="20" t="str">
        <f aca="false">IF($B9="","",IFERROR(INDEX(차량목록!$D$3:$D$42,MATCH($B9,차량목록!$A$3:$A$42,0)),0))</f>
        <v/>
      </c>
      <c r="P9" s="18" t="str">
        <f aca="false">IF($J9="","",ROUND($J9*$O9,0))</f>
        <v/>
      </c>
    </row>
    <row r="10" customFormat="false" ht="15" hidden="false" customHeight="true" outlineLevel="0" collapsed="false">
      <c r="A10" s="13"/>
      <c r="B10" s="10"/>
      <c r="C10" s="14" t="str">
        <f aca="false">IF($B10="","",IFERROR(INDEX(차량목록!$B$3:$B$42,MATCH($B10,차량목록!$A$3:$A$42,0)),"미등록차량"))</f>
        <v/>
      </c>
      <c r="D10" s="10"/>
      <c r="E10" s="10"/>
      <c r="F10" s="15"/>
      <c r="G10" s="15"/>
      <c r="H10" s="16" t="str">
        <f aca="false">IF(OR($F10="",$G10=""),"",ROUND(IF($G10&lt;1,$G10*24,INT($G10/100)+MOD($G10,100)/60)-IF($F10&lt;1,$F10*24,INT($F10/100)+MOD($F10,100)/60),2))</f>
        <v/>
      </c>
      <c r="I10" s="17"/>
      <c r="J10" s="18" t="str">
        <f aca="false">IF(OR($H10="",$I10=""),"",ROUND($H10*$I10,0))</f>
        <v/>
      </c>
      <c r="K10" s="13"/>
      <c r="L10" s="17"/>
      <c r="M10" s="18" t="str">
        <f aca="false">IF($J10="","",$J10-IF($L10="",0,$L10))</f>
        <v/>
      </c>
      <c r="N10" s="19" t="str">
        <f aca="true">IF(OR($A10="",$M10="",$M10&lt;=0),"",TODAY()-$A10)</f>
        <v/>
      </c>
      <c r="O10" s="20" t="str">
        <f aca="false">IF($B10="","",IFERROR(INDEX(차량목록!$D$3:$D$42,MATCH($B10,차량목록!$A$3:$A$42,0)),0))</f>
        <v/>
      </c>
      <c r="P10" s="18" t="str">
        <f aca="false">IF($J10="","",ROUND($J10*$O10,0))</f>
        <v/>
      </c>
    </row>
    <row r="11" customFormat="false" ht="15" hidden="false" customHeight="true" outlineLevel="0" collapsed="false">
      <c r="A11" s="13"/>
      <c r="B11" s="10"/>
      <c r="C11" s="14" t="str">
        <f aca="false">IF($B11="","",IFERROR(INDEX(차량목록!$B$3:$B$42,MATCH($B11,차량목록!$A$3:$A$42,0)),"미등록차량"))</f>
        <v/>
      </c>
      <c r="D11" s="10"/>
      <c r="E11" s="10"/>
      <c r="F11" s="15"/>
      <c r="G11" s="15"/>
      <c r="H11" s="16" t="str">
        <f aca="false">IF(OR($F11="",$G11=""),"",ROUND(IF($G11&lt;1,$G11*24,INT($G11/100)+MOD($G11,100)/60)-IF($F11&lt;1,$F11*24,INT($F11/100)+MOD($F11,100)/60),2))</f>
        <v/>
      </c>
      <c r="I11" s="17"/>
      <c r="J11" s="18" t="str">
        <f aca="false">IF(OR($H11="",$I11=""),"",ROUND($H11*$I11,0))</f>
        <v/>
      </c>
      <c r="K11" s="13"/>
      <c r="L11" s="17"/>
      <c r="M11" s="18" t="str">
        <f aca="false">IF($J11="","",$J11-IF($L11="",0,$L11))</f>
        <v/>
      </c>
      <c r="N11" s="19" t="str">
        <f aca="true">IF(OR($A11="",$M11="",$M11&lt;=0),"",TODAY()-$A11)</f>
        <v/>
      </c>
      <c r="O11" s="20" t="str">
        <f aca="false">IF($B11="","",IFERROR(INDEX(차량목록!$D$3:$D$42,MATCH($B11,차량목록!$A$3:$A$42,0)),0))</f>
        <v/>
      </c>
      <c r="P11" s="18" t="str">
        <f aca="false">IF($J11="","",ROUND($J11*$O11,0))</f>
        <v/>
      </c>
    </row>
    <row r="12" customFormat="false" ht="15" hidden="false" customHeight="true" outlineLevel="0" collapsed="false">
      <c r="A12" s="13"/>
      <c r="B12" s="10"/>
      <c r="C12" s="14" t="str">
        <f aca="false">IF($B12="","",IFERROR(INDEX(차량목록!$B$3:$B$42,MATCH($B12,차량목록!$A$3:$A$42,0)),"미등록차량"))</f>
        <v/>
      </c>
      <c r="D12" s="10"/>
      <c r="E12" s="10"/>
      <c r="F12" s="15"/>
      <c r="G12" s="15"/>
      <c r="H12" s="16" t="str">
        <f aca="false">IF(OR($F12="",$G12=""),"",ROUND(IF($G12&lt;1,$G12*24,INT($G12/100)+MOD($G12,100)/60)-IF($F12&lt;1,$F12*24,INT($F12/100)+MOD($F12,100)/60),2))</f>
        <v/>
      </c>
      <c r="I12" s="17"/>
      <c r="J12" s="18" t="str">
        <f aca="false">IF(OR($H12="",$I12=""),"",ROUND($H12*$I12,0))</f>
        <v/>
      </c>
      <c r="K12" s="13"/>
      <c r="L12" s="17"/>
      <c r="M12" s="18" t="str">
        <f aca="false">IF($J12="","",$J12-IF($L12="",0,$L12))</f>
        <v/>
      </c>
      <c r="N12" s="19" t="str">
        <f aca="true">IF(OR($A12="",$M12="",$M12&lt;=0),"",TODAY()-$A12)</f>
        <v/>
      </c>
      <c r="O12" s="20" t="str">
        <f aca="false">IF($B12="","",IFERROR(INDEX(차량목록!$D$3:$D$42,MATCH($B12,차량목록!$A$3:$A$42,0)),0))</f>
        <v/>
      </c>
      <c r="P12" s="18" t="str">
        <f aca="false">IF($J12="","",ROUND($J12*$O12,0))</f>
        <v/>
      </c>
    </row>
    <row r="13" customFormat="false" ht="15" hidden="false" customHeight="true" outlineLevel="0" collapsed="false">
      <c r="A13" s="13"/>
      <c r="B13" s="10"/>
      <c r="C13" s="14" t="str">
        <f aca="false">IF($B13="","",IFERROR(INDEX(차량목록!$B$3:$B$42,MATCH($B13,차량목록!$A$3:$A$42,0)),"미등록차량"))</f>
        <v/>
      </c>
      <c r="D13" s="10"/>
      <c r="E13" s="10"/>
      <c r="F13" s="15"/>
      <c r="G13" s="15"/>
      <c r="H13" s="16" t="str">
        <f aca="false">IF(OR($F13="",$G13=""),"",ROUND(IF($G13&lt;1,$G13*24,INT($G13/100)+MOD($G13,100)/60)-IF($F13&lt;1,$F13*24,INT($F13/100)+MOD($F13,100)/60),2))</f>
        <v/>
      </c>
      <c r="I13" s="17"/>
      <c r="J13" s="18" t="str">
        <f aca="false">IF(OR($H13="",$I13=""),"",ROUND($H13*$I13,0))</f>
        <v/>
      </c>
      <c r="K13" s="13"/>
      <c r="L13" s="17"/>
      <c r="M13" s="18" t="str">
        <f aca="false">IF($J13="","",$J13-IF($L13="",0,$L13))</f>
        <v/>
      </c>
      <c r="N13" s="19" t="str">
        <f aca="true">IF(OR($A13="",$M13="",$M13&lt;=0),"",TODAY()-$A13)</f>
        <v/>
      </c>
      <c r="O13" s="20" t="str">
        <f aca="false">IF($B13="","",IFERROR(INDEX(차량목록!$D$3:$D$42,MATCH($B13,차량목록!$A$3:$A$42,0)),0))</f>
        <v/>
      </c>
      <c r="P13" s="18" t="str">
        <f aca="false">IF($J13="","",ROUND($J13*$O13,0))</f>
        <v/>
      </c>
    </row>
    <row r="14" customFormat="false" ht="15" hidden="false" customHeight="true" outlineLevel="0" collapsed="false">
      <c r="A14" s="13"/>
      <c r="B14" s="10"/>
      <c r="C14" s="14" t="str">
        <f aca="false">IF($B14="","",IFERROR(INDEX(차량목록!$B$3:$B$42,MATCH($B14,차량목록!$A$3:$A$42,0)),"미등록차량"))</f>
        <v/>
      </c>
      <c r="D14" s="10"/>
      <c r="E14" s="10"/>
      <c r="F14" s="15"/>
      <c r="G14" s="15"/>
      <c r="H14" s="16" t="str">
        <f aca="false">IF(OR($F14="",$G14=""),"",ROUND(IF($G14&lt;1,$G14*24,INT($G14/100)+MOD($G14,100)/60)-IF($F14&lt;1,$F14*24,INT($F14/100)+MOD($F14,100)/60),2))</f>
        <v/>
      </c>
      <c r="I14" s="17"/>
      <c r="J14" s="18" t="str">
        <f aca="false">IF(OR($H14="",$I14=""),"",ROUND($H14*$I14,0))</f>
        <v/>
      </c>
      <c r="K14" s="13"/>
      <c r="L14" s="17"/>
      <c r="M14" s="18" t="str">
        <f aca="false">IF($J14="","",$J14-IF($L14="",0,$L14))</f>
        <v/>
      </c>
      <c r="N14" s="19" t="str">
        <f aca="true">IF(OR($A14="",$M14="",$M14&lt;=0),"",TODAY()-$A14)</f>
        <v/>
      </c>
      <c r="O14" s="20" t="str">
        <f aca="false">IF($B14="","",IFERROR(INDEX(차량목록!$D$3:$D$42,MATCH($B14,차량목록!$A$3:$A$42,0)),0))</f>
        <v/>
      </c>
      <c r="P14" s="18" t="str">
        <f aca="false">IF($J14="","",ROUND($J14*$O14,0))</f>
        <v/>
      </c>
    </row>
    <row r="15" customFormat="false" ht="15" hidden="false" customHeight="true" outlineLevel="0" collapsed="false">
      <c r="A15" s="13"/>
      <c r="B15" s="10"/>
      <c r="C15" s="14" t="str">
        <f aca="false">IF($B15="","",IFERROR(INDEX(차량목록!$B$3:$B$42,MATCH($B15,차량목록!$A$3:$A$42,0)),"미등록차량"))</f>
        <v/>
      </c>
      <c r="D15" s="10"/>
      <c r="E15" s="10"/>
      <c r="F15" s="15"/>
      <c r="G15" s="15"/>
      <c r="H15" s="16" t="str">
        <f aca="false">IF(OR($F15="",$G15=""),"",ROUND(IF($G15&lt;1,$G15*24,INT($G15/100)+MOD($G15,100)/60)-IF($F15&lt;1,$F15*24,INT($F15/100)+MOD($F15,100)/60),2))</f>
        <v/>
      </c>
      <c r="I15" s="17"/>
      <c r="J15" s="18" t="str">
        <f aca="false">IF(OR($H15="",$I15=""),"",ROUND($H15*$I15,0))</f>
        <v/>
      </c>
      <c r="K15" s="13"/>
      <c r="L15" s="17"/>
      <c r="M15" s="18" t="str">
        <f aca="false">IF($J15="","",$J15-IF($L15="",0,$L15))</f>
        <v/>
      </c>
      <c r="N15" s="19" t="str">
        <f aca="true">IF(OR($A15="",$M15="",$M15&lt;=0),"",TODAY()-$A15)</f>
        <v/>
      </c>
      <c r="O15" s="20" t="str">
        <f aca="false">IF($B15="","",IFERROR(INDEX(차량목록!$D$3:$D$42,MATCH($B15,차량목록!$A$3:$A$42,0)),0))</f>
        <v/>
      </c>
      <c r="P15" s="18" t="str">
        <f aca="false">IF($J15="","",ROUND($J15*$O15,0))</f>
        <v/>
      </c>
    </row>
    <row r="16" customFormat="false" ht="15" hidden="false" customHeight="true" outlineLevel="0" collapsed="false">
      <c r="A16" s="13"/>
      <c r="B16" s="10"/>
      <c r="C16" s="14" t="str">
        <f aca="false">IF($B16="","",IFERROR(INDEX(차량목록!$B$3:$B$42,MATCH($B16,차량목록!$A$3:$A$42,0)),"미등록차량"))</f>
        <v/>
      </c>
      <c r="D16" s="10"/>
      <c r="E16" s="10"/>
      <c r="F16" s="15"/>
      <c r="G16" s="15"/>
      <c r="H16" s="16" t="str">
        <f aca="false">IF(OR($F16="",$G16=""),"",ROUND(IF($G16&lt;1,$G16*24,INT($G16/100)+MOD($G16,100)/60)-IF($F16&lt;1,$F16*24,INT($F16/100)+MOD($F16,100)/60),2))</f>
        <v/>
      </c>
      <c r="I16" s="17"/>
      <c r="J16" s="18" t="str">
        <f aca="false">IF(OR($H16="",$I16=""),"",ROUND($H16*$I16,0))</f>
        <v/>
      </c>
      <c r="K16" s="13"/>
      <c r="L16" s="17"/>
      <c r="M16" s="18" t="str">
        <f aca="false">IF($J16="","",$J16-IF($L16="",0,$L16))</f>
        <v/>
      </c>
      <c r="N16" s="19" t="str">
        <f aca="true">IF(OR($A16="",$M16="",$M16&lt;=0),"",TODAY()-$A16)</f>
        <v/>
      </c>
      <c r="O16" s="20" t="str">
        <f aca="false">IF($B16="","",IFERROR(INDEX(차량목록!$D$3:$D$42,MATCH($B16,차량목록!$A$3:$A$42,0)),0))</f>
        <v/>
      </c>
      <c r="P16" s="18" t="str">
        <f aca="false">IF($J16="","",ROUND($J16*$O16,0))</f>
        <v/>
      </c>
    </row>
    <row r="17" customFormat="false" ht="15" hidden="false" customHeight="true" outlineLevel="0" collapsed="false">
      <c r="A17" s="13"/>
      <c r="B17" s="10"/>
      <c r="C17" s="14" t="str">
        <f aca="false">IF($B17="","",IFERROR(INDEX(차량목록!$B$3:$B$42,MATCH($B17,차량목록!$A$3:$A$42,0)),"미등록차량"))</f>
        <v/>
      </c>
      <c r="D17" s="10"/>
      <c r="E17" s="10"/>
      <c r="F17" s="15"/>
      <c r="G17" s="15"/>
      <c r="H17" s="16" t="str">
        <f aca="false">IF(OR($F17="",$G17=""),"",ROUND(IF($G17&lt;1,$G17*24,INT($G17/100)+MOD($G17,100)/60)-IF($F17&lt;1,$F17*24,INT($F17/100)+MOD($F17,100)/60),2))</f>
        <v/>
      </c>
      <c r="I17" s="17"/>
      <c r="J17" s="18" t="str">
        <f aca="false">IF(OR($H17="",$I17=""),"",ROUND($H17*$I17,0))</f>
        <v/>
      </c>
      <c r="K17" s="13"/>
      <c r="L17" s="17"/>
      <c r="M17" s="18" t="str">
        <f aca="false">IF($J17="","",$J17-IF($L17="",0,$L17))</f>
        <v/>
      </c>
      <c r="N17" s="19" t="str">
        <f aca="true">IF(OR($A17="",$M17="",$M17&lt;=0),"",TODAY()-$A17)</f>
        <v/>
      </c>
      <c r="O17" s="20" t="str">
        <f aca="false">IF($B17="","",IFERROR(INDEX(차량목록!$D$3:$D$42,MATCH($B17,차량목록!$A$3:$A$42,0)),0))</f>
        <v/>
      </c>
      <c r="P17" s="18" t="str">
        <f aca="false">IF($J17="","",ROUND($J17*$O17,0))</f>
        <v/>
      </c>
    </row>
    <row r="18" customFormat="false" ht="15" hidden="false" customHeight="true" outlineLevel="0" collapsed="false">
      <c r="A18" s="13"/>
      <c r="B18" s="10"/>
      <c r="C18" s="14" t="str">
        <f aca="false">IF($B18="","",IFERROR(INDEX(차량목록!$B$3:$B$42,MATCH($B18,차량목록!$A$3:$A$42,0)),"미등록차량"))</f>
        <v/>
      </c>
      <c r="D18" s="10"/>
      <c r="E18" s="10"/>
      <c r="F18" s="15"/>
      <c r="G18" s="15"/>
      <c r="H18" s="16" t="str">
        <f aca="false">IF(OR($F18="",$G18=""),"",ROUND(IF($G18&lt;1,$G18*24,INT($G18/100)+MOD($G18,100)/60)-IF($F18&lt;1,$F18*24,INT($F18/100)+MOD($F18,100)/60),2))</f>
        <v/>
      </c>
      <c r="I18" s="17"/>
      <c r="J18" s="18" t="str">
        <f aca="false">IF(OR($H18="",$I18=""),"",ROUND($H18*$I18,0))</f>
        <v/>
      </c>
      <c r="K18" s="13"/>
      <c r="L18" s="17"/>
      <c r="M18" s="18" t="str">
        <f aca="false">IF($J18="","",$J18-IF($L18="",0,$L18))</f>
        <v/>
      </c>
      <c r="N18" s="19" t="str">
        <f aca="true">IF(OR($A18="",$M18="",$M18&lt;=0),"",TODAY()-$A18)</f>
        <v/>
      </c>
      <c r="O18" s="20" t="str">
        <f aca="false">IF($B18="","",IFERROR(INDEX(차량목록!$D$3:$D$42,MATCH($B18,차량목록!$A$3:$A$42,0)),0))</f>
        <v/>
      </c>
      <c r="P18" s="18" t="str">
        <f aca="false">IF($J18="","",ROUND($J18*$O18,0))</f>
        <v/>
      </c>
    </row>
    <row r="19" customFormat="false" ht="15" hidden="false" customHeight="true" outlineLevel="0" collapsed="false">
      <c r="A19" s="13"/>
      <c r="B19" s="10"/>
      <c r="C19" s="14" t="str">
        <f aca="false">IF($B19="","",IFERROR(INDEX(차량목록!$B$3:$B$42,MATCH($B19,차량목록!$A$3:$A$42,0)),"미등록차량"))</f>
        <v/>
      </c>
      <c r="D19" s="10"/>
      <c r="E19" s="10"/>
      <c r="F19" s="15"/>
      <c r="G19" s="15"/>
      <c r="H19" s="16" t="str">
        <f aca="false">IF(OR($F19="",$G19=""),"",ROUND(IF($G19&lt;1,$G19*24,INT($G19/100)+MOD($G19,100)/60)-IF($F19&lt;1,$F19*24,INT($F19/100)+MOD($F19,100)/60),2))</f>
        <v/>
      </c>
      <c r="I19" s="17"/>
      <c r="J19" s="18" t="str">
        <f aca="false">IF(OR($H19="",$I19=""),"",ROUND($H19*$I19,0))</f>
        <v/>
      </c>
      <c r="K19" s="13"/>
      <c r="L19" s="17"/>
      <c r="M19" s="18" t="str">
        <f aca="false">IF($J19="","",$J19-IF($L19="",0,$L19))</f>
        <v/>
      </c>
      <c r="N19" s="19" t="str">
        <f aca="true">IF(OR($A19="",$M19="",$M19&lt;=0),"",TODAY()-$A19)</f>
        <v/>
      </c>
      <c r="O19" s="20" t="str">
        <f aca="false">IF($B19="","",IFERROR(INDEX(차량목록!$D$3:$D$42,MATCH($B19,차량목록!$A$3:$A$42,0)),0))</f>
        <v/>
      </c>
      <c r="P19" s="18" t="str">
        <f aca="false">IF($J19="","",ROUND($J19*$O19,0))</f>
        <v/>
      </c>
    </row>
    <row r="20" customFormat="false" ht="15" hidden="false" customHeight="true" outlineLevel="0" collapsed="false">
      <c r="A20" s="13"/>
      <c r="B20" s="10"/>
      <c r="C20" s="14" t="str">
        <f aca="false">IF($B20="","",IFERROR(INDEX(차량목록!$B$3:$B$42,MATCH($B20,차량목록!$A$3:$A$42,0)),"미등록차량"))</f>
        <v/>
      </c>
      <c r="D20" s="10"/>
      <c r="E20" s="10"/>
      <c r="F20" s="15"/>
      <c r="G20" s="15"/>
      <c r="H20" s="16" t="str">
        <f aca="false">IF(OR($F20="",$G20=""),"",ROUND(IF($G20&lt;1,$G20*24,INT($G20/100)+MOD($G20,100)/60)-IF($F20&lt;1,$F20*24,INT($F20/100)+MOD($F20,100)/60),2))</f>
        <v/>
      </c>
      <c r="I20" s="17"/>
      <c r="J20" s="18" t="str">
        <f aca="false">IF(OR($H20="",$I20=""),"",ROUND($H20*$I20,0))</f>
        <v/>
      </c>
      <c r="K20" s="13"/>
      <c r="L20" s="17"/>
      <c r="M20" s="18" t="str">
        <f aca="false">IF($J20="","",$J20-IF($L20="",0,$L20))</f>
        <v/>
      </c>
      <c r="N20" s="19" t="str">
        <f aca="true">IF(OR($A20="",$M20="",$M20&lt;=0),"",TODAY()-$A20)</f>
        <v/>
      </c>
      <c r="O20" s="20" t="str">
        <f aca="false">IF($B20="","",IFERROR(INDEX(차량목록!$D$3:$D$42,MATCH($B20,차량목록!$A$3:$A$42,0)),0))</f>
        <v/>
      </c>
      <c r="P20" s="18" t="str">
        <f aca="false">IF($J20="","",ROUND($J20*$O20,0))</f>
        <v/>
      </c>
    </row>
    <row r="21" customFormat="false" ht="15" hidden="false" customHeight="true" outlineLevel="0" collapsed="false">
      <c r="A21" s="13"/>
      <c r="B21" s="10"/>
      <c r="C21" s="14" t="str">
        <f aca="false">IF($B21="","",IFERROR(INDEX(차량목록!$B$3:$B$42,MATCH($B21,차량목록!$A$3:$A$42,0)),"미등록차량"))</f>
        <v/>
      </c>
      <c r="D21" s="10"/>
      <c r="E21" s="10"/>
      <c r="F21" s="15"/>
      <c r="G21" s="15"/>
      <c r="H21" s="16" t="str">
        <f aca="false">IF(OR($F21="",$G21=""),"",ROUND(IF($G21&lt;1,$G21*24,INT($G21/100)+MOD($G21,100)/60)-IF($F21&lt;1,$F21*24,INT($F21/100)+MOD($F21,100)/60),2))</f>
        <v/>
      </c>
      <c r="I21" s="17"/>
      <c r="J21" s="18" t="str">
        <f aca="false">IF(OR($H21="",$I21=""),"",ROUND($H21*$I21,0))</f>
        <v/>
      </c>
      <c r="K21" s="13"/>
      <c r="L21" s="17"/>
      <c r="M21" s="18" t="str">
        <f aca="false">IF($J21="","",$J21-IF($L21="",0,$L21))</f>
        <v/>
      </c>
      <c r="N21" s="19" t="str">
        <f aca="true">IF(OR($A21="",$M21="",$M21&lt;=0),"",TODAY()-$A21)</f>
        <v/>
      </c>
      <c r="O21" s="20" t="str">
        <f aca="false">IF($B21="","",IFERROR(INDEX(차량목록!$D$3:$D$42,MATCH($B21,차량목록!$A$3:$A$42,0)),0))</f>
        <v/>
      </c>
      <c r="P21" s="18" t="str">
        <f aca="false">IF($J21="","",ROUND($J21*$O21,0))</f>
        <v/>
      </c>
    </row>
    <row r="22" customFormat="false" ht="15" hidden="false" customHeight="true" outlineLevel="0" collapsed="false">
      <c r="A22" s="13"/>
      <c r="B22" s="10"/>
      <c r="C22" s="14" t="str">
        <f aca="false">IF($B22="","",IFERROR(INDEX(차량목록!$B$3:$B$42,MATCH($B22,차량목록!$A$3:$A$42,0)),"미등록차량"))</f>
        <v/>
      </c>
      <c r="D22" s="10"/>
      <c r="E22" s="10"/>
      <c r="F22" s="15"/>
      <c r="G22" s="15"/>
      <c r="H22" s="16" t="str">
        <f aca="false">IF(OR($F22="",$G22=""),"",ROUND(IF($G22&lt;1,$G22*24,INT($G22/100)+MOD($G22,100)/60)-IF($F22&lt;1,$F22*24,INT($F22/100)+MOD($F22,100)/60),2))</f>
        <v/>
      </c>
      <c r="I22" s="17"/>
      <c r="J22" s="18" t="str">
        <f aca="false">IF(OR($H22="",$I22=""),"",ROUND($H22*$I22,0))</f>
        <v/>
      </c>
      <c r="K22" s="13"/>
      <c r="L22" s="17"/>
      <c r="M22" s="18" t="str">
        <f aca="false">IF($J22="","",$J22-IF($L22="",0,$L22))</f>
        <v/>
      </c>
      <c r="N22" s="19" t="str">
        <f aca="true">IF(OR($A22="",$M22="",$M22&lt;=0),"",TODAY()-$A22)</f>
        <v/>
      </c>
      <c r="O22" s="20" t="str">
        <f aca="false">IF($B22="","",IFERROR(INDEX(차량목록!$D$3:$D$42,MATCH($B22,차량목록!$A$3:$A$42,0)),0))</f>
        <v/>
      </c>
      <c r="P22" s="18" t="str">
        <f aca="false">IF($J22="","",ROUND($J22*$O22,0))</f>
        <v/>
      </c>
    </row>
    <row r="23" customFormat="false" ht="15" hidden="false" customHeight="true" outlineLevel="0" collapsed="false">
      <c r="A23" s="13"/>
      <c r="B23" s="10"/>
      <c r="C23" s="14" t="str">
        <f aca="false">IF($B23="","",IFERROR(INDEX(차량목록!$B$3:$B$42,MATCH($B23,차량목록!$A$3:$A$42,0)),"미등록차량"))</f>
        <v/>
      </c>
      <c r="D23" s="10"/>
      <c r="E23" s="10"/>
      <c r="F23" s="15"/>
      <c r="G23" s="15"/>
      <c r="H23" s="16" t="str">
        <f aca="false">IF(OR($F23="",$G23=""),"",ROUND(IF($G23&lt;1,$G23*24,INT($G23/100)+MOD($G23,100)/60)-IF($F23&lt;1,$F23*24,INT($F23/100)+MOD($F23,100)/60),2))</f>
        <v/>
      </c>
      <c r="I23" s="17"/>
      <c r="J23" s="18" t="str">
        <f aca="false">IF(OR($H23="",$I23=""),"",ROUND($H23*$I23,0))</f>
        <v/>
      </c>
      <c r="K23" s="13"/>
      <c r="L23" s="17"/>
      <c r="M23" s="18" t="str">
        <f aca="false">IF($J23="","",$J23-IF($L23="",0,$L23))</f>
        <v/>
      </c>
      <c r="N23" s="19" t="str">
        <f aca="true">IF(OR($A23="",$M23="",$M23&lt;=0),"",TODAY()-$A23)</f>
        <v/>
      </c>
      <c r="O23" s="20" t="str">
        <f aca="false">IF($B23="","",IFERROR(INDEX(차량목록!$D$3:$D$42,MATCH($B23,차량목록!$A$3:$A$42,0)),0))</f>
        <v/>
      </c>
      <c r="P23" s="18" t="str">
        <f aca="false">IF($J23="","",ROUND($J23*$O23,0))</f>
        <v/>
      </c>
    </row>
    <row r="24" customFormat="false" ht="15" hidden="false" customHeight="true" outlineLevel="0" collapsed="false">
      <c r="A24" s="13"/>
      <c r="B24" s="10"/>
      <c r="C24" s="14" t="str">
        <f aca="false">IF($B24="","",IFERROR(INDEX(차량목록!$B$3:$B$42,MATCH($B24,차량목록!$A$3:$A$42,0)),"미등록차량"))</f>
        <v/>
      </c>
      <c r="D24" s="10"/>
      <c r="E24" s="10"/>
      <c r="F24" s="15"/>
      <c r="G24" s="15"/>
      <c r="H24" s="16" t="str">
        <f aca="false">IF(OR($F24="",$G24=""),"",ROUND(IF($G24&lt;1,$G24*24,INT($G24/100)+MOD($G24,100)/60)-IF($F24&lt;1,$F24*24,INT($F24/100)+MOD($F24,100)/60),2))</f>
        <v/>
      </c>
      <c r="I24" s="17"/>
      <c r="J24" s="18" t="str">
        <f aca="false">IF(OR($H24="",$I24=""),"",ROUND($H24*$I24,0))</f>
        <v/>
      </c>
      <c r="K24" s="13"/>
      <c r="L24" s="17"/>
      <c r="M24" s="18" t="str">
        <f aca="false">IF($J24="","",$J24-IF($L24="",0,$L24))</f>
        <v/>
      </c>
      <c r="N24" s="19" t="str">
        <f aca="true">IF(OR($A24="",$M24="",$M24&lt;=0),"",TODAY()-$A24)</f>
        <v/>
      </c>
      <c r="O24" s="20" t="str">
        <f aca="false">IF($B24="","",IFERROR(INDEX(차량목록!$D$3:$D$42,MATCH($B24,차량목록!$A$3:$A$42,0)),0))</f>
        <v/>
      </c>
      <c r="P24" s="18" t="str">
        <f aca="false">IF($J24="","",ROUND($J24*$O24,0))</f>
        <v/>
      </c>
    </row>
    <row r="25" customFormat="false" ht="15" hidden="false" customHeight="true" outlineLevel="0" collapsed="false">
      <c r="A25" s="13"/>
      <c r="B25" s="10"/>
      <c r="C25" s="14" t="str">
        <f aca="false">IF($B25="","",IFERROR(INDEX(차량목록!$B$3:$B$42,MATCH($B25,차량목록!$A$3:$A$42,0)),"미등록차량"))</f>
        <v/>
      </c>
      <c r="D25" s="10"/>
      <c r="E25" s="10"/>
      <c r="F25" s="15"/>
      <c r="G25" s="15"/>
      <c r="H25" s="16" t="str">
        <f aca="false">IF(OR($F25="",$G25=""),"",ROUND(IF($G25&lt;1,$G25*24,INT($G25/100)+MOD($G25,100)/60)-IF($F25&lt;1,$F25*24,INT($F25/100)+MOD($F25,100)/60),2))</f>
        <v/>
      </c>
      <c r="I25" s="17"/>
      <c r="J25" s="18" t="str">
        <f aca="false">IF(OR($H25="",$I25=""),"",ROUND($H25*$I25,0))</f>
        <v/>
      </c>
      <c r="K25" s="13"/>
      <c r="L25" s="17"/>
      <c r="M25" s="18" t="str">
        <f aca="false">IF($J25="","",$J25-IF($L25="",0,$L25))</f>
        <v/>
      </c>
      <c r="N25" s="19" t="str">
        <f aca="true">IF(OR($A25="",$M25="",$M25&lt;=0),"",TODAY()-$A25)</f>
        <v/>
      </c>
      <c r="O25" s="20" t="str">
        <f aca="false">IF($B25="","",IFERROR(INDEX(차량목록!$D$3:$D$42,MATCH($B25,차량목록!$A$3:$A$42,0)),0))</f>
        <v/>
      </c>
      <c r="P25" s="18" t="str">
        <f aca="false">IF($J25="","",ROUND($J25*$O25,0))</f>
        <v/>
      </c>
    </row>
    <row r="26" customFormat="false" ht="15" hidden="false" customHeight="true" outlineLevel="0" collapsed="false">
      <c r="A26" s="13"/>
      <c r="B26" s="10"/>
      <c r="C26" s="14" t="str">
        <f aca="false">IF($B26="","",IFERROR(INDEX(차량목록!$B$3:$B$42,MATCH($B26,차량목록!$A$3:$A$42,0)),"미등록차량"))</f>
        <v/>
      </c>
      <c r="D26" s="10"/>
      <c r="E26" s="10"/>
      <c r="F26" s="15"/>
      <c r="G26" s="15"/>
      <c r="H26" s="16" t="str">
        <f aca="false">IF(OR($F26="",$G26=""),"",ROUND(IF($G26&lt;1,$G26*24,INT($G26/100)+MOD($G26,100)/60)-IF($F26&lt;1,$F26*24,INT($F26/100)+MOD($F26,100)/60),2))</f>
        <v/>
      </c>
      <c r="I26" s="17"/>
      <c r="J26" s="18" t="str">
        <f aca="false">IF(OR($H26="",$I26=""),"",ROUND($H26*$I26,0))</f>
        <v/>
      </c>
      <c r="K26" s="13"/>
      <c r="L26" s="17"/>
      <c r="M26" s="18" t="str">
        <f aca="false">IF($J26="","",$J26-IF($L26="",0,$L26))</f>
        <v/>
      </c>
      <c r="N26" s="19" t="str">
        <f aca="true">IF(OR($A26="",$M26="",$M26&lt;=0),"",TODAY()-$A26)</f>
        <v/>
      </c>
      <c r="O26" s="20" t="str">
        <f aca="false">IF($B26="","",IFERROR(INDEX(차량목록!$D$3:$D$42,MATCH($B26,차량목록!$A$3:$A$42,0)),0))</f>
        <v/>
      </c>
      <c r="P26" s="18" t="str">
        <f aca="false">IF($J26="","",ROUND($J26*$O26,0))</f>
        <v/>
      </c>
    </row>
    <row r="27" customFormat="false" ht="15" hidden="false" customHeight="true" outlineLevel="0" collapsed="false">
      <c r="A27" s="13"/>
      <c r="B27" s="10"/>
      <c r="C27" s="14" t="str">
        <f aca="false">IF($B27="","",IFERROR(INDEX(차량목록!$B$3:$B$42,MATCH($B27,차량목록!$A$3:$A$42,0)),"미등록차량"))</f>
        <v/>
      </c>
      <c r="D27" s="10"/>
      <c r="E27" s="10"/>
      <c r="F27" s="15"/>
      <c r="G27" s="15"/>
      <c r="H27" s="16" t="str">
        <f aca="false">IF(OR($F27="",$G27=""),"",ROUND(IF($G27&lt;1,$G27*24,INT($G27/100)+MOD($G27,100)/60)-IF($F27&lt;1,$F27*24,INT($F27/100)+MOD($F27,100)/60),2))</f>
        <v/>
      </c>
      <c r="I27" s="17"/>
      <c r="J27" s="18" t="str">
        <f aca="false">IF(OR($H27="",$I27=""),"",ROUND($H27*$I27,0))</f>
        <v/>
      </c>
      <c r="K27" s="13"/>
      <c r="L27" s="17"/>
      <c r="M27" s="18" t="str">
        <f aca="false">IF($J27="","",$J27-IF($L27="",0,$L27))</f>
        <v/>
      </c>
      <c r="N27" s="19" t="str">
        <f aca="true">IF(OR($A27="",$M27="",$M27&lt;=0),"",TODAY()-$A27)</f>
        <v/>
      </c>
      <c r="O27" s="20" t="str">
        <f aca="false">IF($B27="","",IFERROR(INDEX(차량목록!$D$3:$D$42,MATCH($B27,차량목록!$A$3:$A$42,0)),0))</f>
        <v/>
      </c>
      <c r="P27" s="18" t="str">
        <f aca="false">IF($J27="","",ROUND($J27*$O27,0))</f>
        <v/>
      </c>
    </row>
    <row r="28" customFormat="false" ht="15" hidden="false" customHeight="true" outlineLevel="0" collapsed="false">
      <c r="A28" s="13"/>
      <c r="B28" s="10"/>
      <c r="C28" s="14" t="str">
        <f aca="false">IF($B28="","",IFERROR(INDEX(차량목록!$B$3:$B$42,MATCH($B28,차량목록!$A$3:$A$42,0)),"미등록차량"))</f>
        <v/>
      </c>
      <c r="D28" s="10"/>
      <c r="E28" s="10"/>
      <c r="F28" s="15"/>
      <c r="G28" s="15"/>
      <c r="H28" s="16" t="str">
        <f aca="false">IF(OR($F28="",$G28=""),"",ROUND(IF($G28&lt;1,$G28*24,INT($G28/100)+MOD($G28,100)/60)-IF($F28&lt;1,$F28*24,INT($F28/100)+MOD($F28,100)/60),2))</f>
        <v/>
      </c>
      <c r="I28" s="17"/>
      <c r="J28" s="18" t="str">
        <f aca="false">IF(OR($H28="",$I28=""),"",ROUND($H28*$I28,0))</f>
        <v/>
      </c>
      <c r="K28" s="13"/>
      <c r="L28" s="17"/>
      <c r="M28" s="18" t="str">
        <f aca="false">IF($J28="","",$J28-IF($L28="",0,$L28))</f>
        <v/>
      </c>
      <c r="N28" s="19" t="str">
        <f aca="true">IF(OR($A28="",$M28="",$M28&lt;=0),"",TODAY()-$A28)</f>
        <v/>
      </c>
      <c r="O28" s="20" t="str">
        <f aca="false">IF($B28="","",IFERROR(INDEX(차량목록!$D$3:$D$42,MATCH($B28,차량목록!$A$3:$A$42,0)),0))</f>
        <v/>
      </c>
      <c r="P28" s="18" t="str">
        <f aca="false">IF($J28="","",ROUND($J28*$O28,0))</f>
        <v/>
      </c>
    </row>
    <row r="29" customFormat="false" ht="15" hidden="false" customHeight="true" outlineLevel="0" collapsed="false">
      <c r="A29" s="13"/>
      <c r="B29" s="10"/>
      <c r="C29" s="14" t="str">
        <f aca="false">IF($B29="","",IFERROR(INDEX(차량목록!$B$3:$B$42,MATCH($B29,차량목록!$A$3:$A$42,0)),"미등록차량"))</f>
        <v/>
      </c>
      <c r="D29" s="10"/>
      <c r="E29" s="10"/>
      <c r="F29" s="15"/>
      <c r="G29" s="15"/>
      <c r="H29" s="16" t="str">
        <f aca="false">IF(OR($F29="",$G29=""),"",ROUND(IF($G29&lt;1,$G29*24,INT($G29/100)+MOD($G29,100)/60)-IF($F29&lt;1,$F29*24,INT($F29/100)+MOD($F29,100)/60),2))</f>
        <v/>
      </c>
      <c r="I29" s="17"/>
      <c r="J29" s="18" t="str">
        <f aca="false">IF(OR($H29="",$I29=""),"",ROUND($H29*$I29,0))</f>
        <v/>
      </c>
      <c r="K29" s="13"/>
      <c r="L29" s="17"/>
      <c r="M29" s="18" t="str">
        <f aca="false">IF($J29="","",$J29-IF($L29="",0,$L29))</f>
        <v/>
      </c>
      <c r="N29" s="19" t="str">
        <f aca="true">IF(OR($A29="",$M29="",$M29&lt;=0),"",TODAY()-$A29)</f>
        <v/>
      </c>
      <c r="O29" s="20" t="str">
        <f aca="false">IF($B29="","",IFERROR(INDEX(차량목록!$D$3:$D$42,MATCH($B29,차량목록!$A$3:$A$42,0)),0))</f>
        <v/>
      </c>
      <c r="P29" s="18" t="str">
        <f aca="false">IF($J29="","",ROUND($J29*$O29,0))</f>
        <v/>
      </c>
    </row>
    <row r="30" customFormat="false" ht="15" hidden="false" customHeight="true" outlineLevel="0" collapsed="false">
      <c r="A30" s="13"/>
      <c r="B30" s="10"/>
      <c r="C30" s="14" t="str">
        <f aca="false">IF($B30="","",IFERROR(INDEX(차량목록!$B$3:$B$42,MATCH($B30,차량목록!$A$3:$A$42,0)),"미등록차량"))</f>
        <v/>
      </c>
      <c r="D30" s="10"/>
      <c r="E30" s="10"/>
      <c r="F30" s="15"/>
      <c r="G30" s="15"/>
      <c r="H30" s="16" t="str">
        <f aca="false">IF(OR($F30="",$G30=""),"",ROUND(IF($G30&lt;1,$G30*24,INT($G30/100)+MOD($G30,100)/60)-IF($F30&lt;1,$F30*24,INT($F30/100)+MOD($F30,100)/60),2))</f>
        <v/>
      </c>
      <c r="I30" s="17"/>
      <c r="J30" s="18" t="str">
        <f aca="false">IF(OR($H30="",$I30=""),"",ROUND($H30*$I30,0))</f>
        <v/>
      </c>
      <c r="K30" s="13"/>
      <c r="L30" s="17"/>
      <c r="M30" s="18" t="str">
        <f aca="false">IF($J30="","",$J30-IF($L30="",0,$L30))</f>
        <v/>
      </c>
      <c r="N30" s="19" t="str">
        <f aca="true">IF(OR($A30="",$M30="",$M30&lt;=0),"",TODAY()-$A30)</f>
        <v/>
      </c>
      <c r="O30" s="20" t="str">
        <f aca="false">IF($B30="","",IFERROR(INDEX(차량목록!$D$3:$D$42,MATCH($B30,차량목록!$A$3:$A$42,0)),0))</f>
        <v/>
      </c>
      <c r="P30" s="18" t="str">
        <f aca="false">IF($J30="","",ROUND($J30*$O30,0))</f>
        <v/>
      </c>
    </row>
    <row r="31" customFormat="false" ht="15" hidden="false" customHeight="true" outlineLevel="0" collapsed="false">
      <c r="A31" s="13"/>
      <c r="B31" s="10"/>
      <c r="C31" s="14" t="str">
        <f aca="false">IF($B31="","",IFERROR(INDEX(차량목록!$B$3:$B$42,MATCH($B31,차량목록!$A$3:$A$42,0)),"미등록차량"))</f>
        <v/>
      </c>
      <c r="D31" s="10"/>
      <c r="E31" s="10"/>
      <c r="F31" s="15"/>
      <c r="G31" s="15"/>
      <c r="H31" s="16" t="str">
        <f aca="false">IF(OR($F31="",$G31=""),"",ROUND(IF($G31&lt;1,$G31*24,INT($G31/100)+MOD($G31,100)/60)-IF($F31&lt;1,$F31*24,INT($F31/100)+MOD($F31,100)/60),2))</f>
        <v/>
      </c>
      <c r="I31" s="17"/>
      <c r="J31" s="18" t="str">
        <f aca="false">IF(OR($H31="",$I31=""),"",ROUND($H31*$I31,0))</f>
        <v/>
      </c>
      <c r="K31" s="13"/>
      <c r="L31" s="17"/>
      <c r="M31" s="18" t="str">
        <f aca="false">IF($J31="","",$J31-IF($L31="",0,$L31))</f>
        <v/>
      </c>
      <c r="N31" s="19" t="str">
        <f aca="true">IF(OR($A31="",$M31="",$M31&lt;=0),"",TODAY()-$A31)</f>
        <v/>
      </c>
      <c r="O31" s="20" t="str">
        <f aca="false">IF($B31="","",IFERROR(INDEX(차량목록!$D$3:$D$42,MATCH($B31,차량목록!$A$3:$A$42,0)),0))</f>
        <v/>
      </c>
      <c r="P31" s="18" t="str">
        <f aca="false">IF($J31="","",ROUND($J31*$O31,0))</f>
        <v/>
      </c>
    </row>
    <row r="32" customFormat="false" ht="15" hidden="false" customHeight="true" outlineLevel="0" collapsed="false">
      <c r="A32" s="13"/>
      <c r="B32" s="10"/>
      <c r="C32" s="14" t="str">
        <f aca="false">IF($B32="","",IFERROR(INDEX(차량목록!$B$3:$B$42,MATCH($B32,차량목록!$A$3:$A$42,0)),"미등록차량"))</f>
        <v/>
      </c>
      <c r="D32" s="10"/>
      <c r="E32" s="10"/>
      <c r="F32" s="15"/>
      <c r="G32" s="15"/>
      <c r="H32" s="16" t="str">
        <f aca="false">IF(OR($F32="",$G32=""),"",ROUND(IF($G32&lt;1,$G32*24,INT($G32/100)+MOD($G32,100)/60)-IF($F32&lt;1,$F32*24,INT($F32/100)+MOD($F32,100)/60),2))</f>
        <v/>
      </c>
      <c r="I32" s="17"/>
      <c r="J32" s="18" t="str">
        <f aca="false">IF(OR($H32="",$I32=""),"",ROUND($H32*$I32,0))</f>
        <v/>
      </c>
      <c r="K32" s="13"/>
      <c r="L32" s="17"/>
      <c r="M32" s="18" t="str">
        <f aca="false">IF($J32="","",$J32-IF($L32="",0,$L32))</f>
        <v/>
      </c>
      <c r="N32" s="19" t="str">
        <f aca="true">IF(OR($A32="",$M32="",$M32&lt;=0),"",TODAY()-$A32)</f>
        <v/>
      </c>
      <c r="O32" s="20" t="str">
        <f aca="false">IF($B32="","",IFERROR(INDEX(차량목록!$D$3:$D$42,MATCH($B32,차량목록!$A$3:$A$42,0)),0))</f>
        <v/>
      </c>
      <c r="P32" s="18" t="str">
        <f aca="false">IF($J32="","",ROUND($J32*$O32,0))</f>
        <v/>
      </c>
    </row>
    <row r="33" customFormat="false" ht="15" hidden="false" customHeight="true" outlineLevel="0" collapsed="false">
      <c r="A33" s="13"/>
      <c r="B33" s="10"/>
      <c r="C33" s="14" t="str">
        <f aca="false">IF($B33="","",IFERROR(INDEX(차량목록!$B$3:$B$42,MATCH($B33,차량목록!$A$3:$A$42,0)),"미등록차량"))</f>
        <v/>
      </c>
      <c r="D33" s="10"/>
      <c r="E33" s="10"/>
      <c r="F33" s="15"/>
      <c r="G33" s="15"/>
      <c r="H33" s="16" t="str">
        <f aca="false">IF(OR($F33="",$G33=""),"",ROUND(IF($G33&lt;1,$G33*24,INT($G33/100)+MOD($G33,100)/60)-IF($F33&lt;1,$F33*24,INT($F33/100)+MOD($F33,100)/60),2))</f>
        <v/>
      </c>
      <c r="I33" s="17"/>
      <c r="J33" s="18" t="str">
        <f aca="false">IF(OR($H33="",$I33=""),"",ROUND($H33*$I33,0))</f>
        <v/>
      </c>
      <c r="K33" s="13"/>
      <c r="L33" s="17"/>
      <c r="M33" s="18" t="str">
        <f aca="false">IF($J33="","",$J33-IF($L33="",0,$L33))</f>
        <v/>
      </c>
      <c r="N33" s="19" t="str">
        <f aca="true">IF(OR($A33="",$M33="",$M33&lt;=0),"",TODAY()-$A33)</f>
        <v/>
      </c>
      <c r="O33" s="20" t="str">
        <f aca="false">IF($B33="","",IFERROR(INDEX(차량목록!$D$3:$D$42,MATCH($B33,차량목록!$A$3:$A$42,0)),0))</f>
        <v/>
      </c>
      <c r="P33" s="18" t="str">
        <f aca="false">IF($J33="","",ROUND($J33*$O33,0))</f>
        <v/>
      </c>
    </row>
    <row r="34" customFormat="false" ht="15" hidden="false" customHeight="true" outlineLevel="0" collapsed="false">
      <c r="A34" s="13"/>
      <c r="B34" s="10"/>
      <c r="C34" s="14" t="str">
        <f aca="false">IF($B34="","",IFERROR(INDEX(차량목록!$B$3:$B$42,MATCH($B34,차량목록!$A$3:$A$42,0)),"미등록차량"))</f>
        <v/>
      </c>
      <c r="D34" s="10"/>
      <c r="E34" s="10"/>
      <c r="F34" s="15"/>
      <c r="G34" s="15"/>
      <c r="H34" s="16" t="str">
        <f aca="false">IF(OR($F34="",$G34=""),"",ROUND(IF($G34&lt;1,$G34*24,INT($G34/100)+MOD($G34,100)/60)-IF($F34&lt;1,$F34*24,INT($F34/100)+MOD($F34,100)/60),2))</f>
        <v/>
      </c>
      <c r="I34" s="17"/>
      <c r="J34" s="18" t="str">
        <f aca="false">IF(OR($H34="",$I34=""),"",ROUND($H34*$I34,0))</f>
        <v/>
      </c>
      <c r="K34" s="13"/>
      <c r="L34" s="17"/>
      <c r="M34" s="18" t="str">
        <f aca="false">IF($J34="","",$J34-IF($L34="",0,$L34))</f>
        <v/>
      </c>
      <c r="N34" s="19" t="str">
        <f aca="true">IF(OR($A34="",$M34="",$M34&lt;=0),"",TODAY()-$A34)</f>
        <v/>
      </c>
      <c r="O34" s="20" t="str">
        <f aca="false">IF($B34="","",IFERROR(INDEX(차량목록!$D$3:$D$42,MATCH($B34,차량목록!$A$3:$A$42,0)),0))</f>
        <v/>
      </c>
      <c r="P34" s="18" t="str">
        <f aca="false">IF($J34="","",ROUND($J34*$O34,0))</f>
        <v/>
      </c>
    </row>
    <row r="35" customFormat="false" ht="15" hidden="false" customHeight="true" outlineLevel="0" collapsed="false">
      <c r="A35" s="13"/>
      <c r="B35" s="10"/>
      <c r="C35" s="14" t="str">
        <f aca="false">IF($B35="","",IFERROR(INDEX(차량목록!$B$3:$B$42,MATCH($B35,차량목록!$A$3:$A$42,0)),"미등록차량"))</f>
        <v/>
      </c>
      <c r="D35" s="10"/>
      <c r="E35" s="10"/>
      <c r="F35" s="15"/>
      <c r="G35" s="15"/>
      <c r="H35" s="16" t="str">
        <f aca="false">IF(OR($F35="",$G35=""),"",ROUND(IF($G35&lt;1,$G35*24,INT($G35/100)+MOD($G35,100)/60)-IF($F35&lt;1,$F35*24,INT($F35/100)+MOD($F35,100)/60),2))</f>
        <v/>
      </c>
      <c r="I35" s="17"/>
      <c r="J35" s="18" t="str">
        <f aca="false">IF(OR($H35="",$I35=""),"",ROUND($H35*$I35,0))</f>
        <v/>
      </c>
      <c r="K35" s="13"/>
      <c r="L35" s="17"/>
      <c r="M35" s="18" t="str">
        <f aca="false">IF($J35="","",$J35-IF($L35="",0,$L35))</f>
        <v/>
      </c>
      <c r="N35" s="19" t="str">
        <f aca="true">IF(OR($A35="",$M35="",$M35&lt;=0),"",TODAY()-$A35)</f>
        <v/>
      </c>
      <c r="O35" s="20" t="str">
        <f aca="false">IF($B35="","",IFERROR(INDEX(차량목록!$D$3:$D$42,MATCH($B35,차량목록!$A$3:$A$42,0)),0))</f>
        <v/>
      </c>
      <c r="P35" s="18" t="str">
        <f aca="false">IF($J35="","",ROUND($J35*$O35,0))</f>
        <v/>
      </c>
    </row>
    <row r="36" customFormat="false" ht="15" hidden="false" customHeight="true" outlineLevel="0" collapsed="false">
      <c r="A36" s="13"/>
      <c r="B36" s="10"/>
      <c r="C36" s="14" t="str">
        <f aca="false">IF($B36="","",IFERROR(INDEX(차량목록!$B$3:$B$42,MATCH($B36,차량목록!$A$3:$A$42,0)),"미등록차량"))</f>
        <v/>
      </c>
      <c r="D36" s="10"/>
      <c r="E36" s="10"/>
      <c r="F36" s="15"/>
      <c r="G36" s="15"/>
      <c r="H36" s="16" t="str">
        <f aca="false">IF(OR($F36="",$G36=""),"",ROUND(IF($G36&lt;1,$G36*24,INT($G36/100)+MOD($G36,100)/60)-IF($F36&lt;1,$F36*24,INT($F36/100)+MOD($F36,100)/60),2))</f>
        <v/>
      </c>
      <c r="I36" s="17"/>
      <c r="J36" s="18" t="str">
        <f aca="false">IF(OR($H36="",$I36=""),"",ROUND($H36*$I36,0))</f>
        <v/>
      </c>
      <c r="K36" s="13"/>
      <c r="L36" s="17"/>
      <c r="M36" s="18" t="str">
        <f aca="false">IF($J36="","",$J36-IF($L36="",0,$L36))</f>
        <v/>
      </c>
      <c r="N36" s="19" t="str">
        <f aca="true">IF(OR($A36="",$M36="",$M36&lt;=0),"",TODAY()-$A36)</f>
        <v/>
      </c>
      <c r="O36" s="20" t="str">
        <f aca="false">IF($B36="","",IFERROR(INDEX(차량목록!$D$3:$D$42,MATCH($B36,차량목록!$A$3:$A$42,0)),0))</f>
        <v/>
      </c>
      <c r="P36" s="18" t="str">
        <f aca="false">IF($J36="","",ROUND($J36*$O36,0))</f>
        <v/>
      </c>
    </row>
    <row r="37" customFormat="false" ht="15" hidden="false" customHeight="true" outlineLevel="0" collapsed="false">
      <c r="A37" s="13"/>
      <c r="B37" s="10"/>
      <c r="C37" s="14" t="str">
        <f aca="false">IF($B37="","",IFERROR(INDEX(차량목록!$B$3:$B$42,MATCH($B37,차량목록!$A$3:$A$42,0)),"미등록차량"))</f>
        <v/>
      </c>
      <c r="D37" s="10"/>
      <c r="E37" s="10"/>
      <c r="F37" s="15"/>
      <c r="G37" s="15"/>
      <c r="H37" s="16" t="str">
        <f aca="false">IF(OR($F37="",$G37=""),"",ROUND(IF($G37&lt;1,$G37*24,INT($G37/100)+MOD($G37,100)/60)-IF($F37&lt;1,$F37*24,INT($F37/100)+MOD($F37,100)/60),2))</f>
        <v/>
      </c>
      <c r="I37" s="17"/>
      <c r="J37" s="18" t="str">
        <f aca="false">IF(OR($H37="",$I37=""),"",ROUND($H37*$I37,0))</f>
        <v/>
      </c>
      <c r="K37" s="13"/>
      <c r="L37" s="17"/>
      <c r="M37" s="18" t="str">
        <f aca="false">IF($J37="","",$J37-IF($L37="",0,$L37))</f>
        <v/>
      </c>
      <c r="N37" s="19" t="str">
        <f aca="true">IF(OR($A37="",$M37="",$M37&lt;=0),"",TODAY()-$A37)</f>
        <v/>
      </c>
      <c r="O37" s="20" t="str">
        <f aca="false">IF($B37="","",IFERROR(INDEX(차량목록!$D$3:$D$42,MATCH($B37,차량목록!$A$3:$A$42,0)),0))</f>
        <v/>
      </c>
      <c r="P37" s="18" t="str">
        <f aca="false">IF($J37="","",ROUND($J37*$O37,0))</f>
        <v/>
      </c>
    </row>
    <row r="38" customFormat="false" ht="15" hidden="false" customHeight="true" outlineLevel="0" collapsed="false">
      <c r="A38" s="13"/>
      <c r="B38" s="10"/>
      <c r="C38" s="14" t="str">
        <f aca="false">IF($B38="","",IFERROR(INDEX(차량목록!$B$3:$B$42,MATCH($B38,차량목록!$A$3:$A$42,0)),"미등록차량"))</f>
        <v/>
      </c>
      <c r="D38" s="10"/>
      <c r="E38" s="10"/>
      <c r="F38" s="15"/>
      <c r="G38" s="15"/>
      <c r="H38" s="16" t="str">
        <f aca="false">IF(OR($F38="",$G38=""),"",ROUND(IF($G38&lt;1,$G38*24,INT($G38/100)+MOD($G38,100)/60)-IF($F38&lt;1,$F38*24,INT($F38/100)+MOD($F38,100)/60),2))</f>
        <v/>
      </c>
      <c r="I38" s="17"/>
      <c r="J38" s="18" t="str">
        <f aca="false">IF(OR($H38="",$I38=""),"",ROUND($H38*$I38,0))</f>
        <v/>
      </c>
      <c r="K38" s="13"/>
      <c r="L38" s="17"/>
      <c r="M38" s="18" t="str">
        <f aca="false">IF($J38="","",$J38-IF($L38="",0,$L38))</f>
        <v/>
      </c>
      <c r="N38" s="19" t="str">
        <f aca="true">IF(OR($A38="",$M38="",$M38&lt;=0),"",TODAY()-$A38)</f>
        <v/>
      </c>
      <c r="O38" s="20" t="str">
        <f aca="false">IF($B38="","",IFERROR(INDEX(차량목록!$D$3:$D$42,MATCH($B38,차량목록!$A$3:$A$42,0)),0))</f>
        <v/>
      </c>
      <c r="P38" s="18" t="str">
        <f aca="false">IF($J38="","",ROUND($J38*$O38,0))</f>
        <v/>
      </c>
    </row>
    <row r="39" customFormat="false" ht="15" hidden="false" customHeight="true" outlineLevel="0" collapsed="false">
      <c r="A39" s="13"/>
      <c r="B39" s="10"/>
      <c r="C39" s="14" t="str">
        <f aca="false">IF($B39="","",IFERROR(INDEX(차량목록!$B$3:$B$42,MATCH($B39,차량목록!$A$3:$A$42,0)),"미등록차량"))</f>
        <v/>
      </c>
      <c r="D39" s="10"/>
      <c r="E39" s="10"/>
      <c r="F39" s="15"/>
      <c r="G39" s="15"/>
      <c r="H39" s="16" t="str">
        <f aca="false">IF(OR($F39="",$G39=""),"",ROUND(IF($G39&lt;1,$G39*24,INT($G39/100)+MOD($G39,100)/60)-IF($F39&lt;1,$F39*24,INT($F39/100)+MOD($F39,100)/60),2))</f>
        <v/>
      </c>
      <c r="I39" s="17"/>
      <c r="J39" s="18" t="str">
        <f aca="false">IF(OR($H39="",$I39=""),"",ROUND($H39*$I39,0))</f>
        <v/>
      </c>
      <c r="K39" s="13"/>
      <c r="L39" s="17"/>
      <c r="M39" s="18" t="str">
        <f aca="false">IF($J39="","",$J39-IF($L39="",0,$L39))</f>
        <v/>
      </c>
      <c r="N39" s="19" t="str">
        <f aca="true">IF(OR($A39="",$M39="",$M39&lt;=0),"",TODAY()-$A39)</f>
        <v/>
      </c>
      <c r="O39" s="20" t="str">
        <f aca="false">IF($B39="","",IFERROR(INDEX(차량목록!$D$3:$D$42,MATCH($B39,차량목록!$A$3:$A$42,0)),0))</f>
        <v/>
      </c>
      <c r="P39" s="18" t="str">
        <f aca="false">IF($J39="","",ROUND($J39*$O39,0))</f>
        <v/>
      </c>
    </row>
    <row r="40" customFormat="false" ht="15" hidden="false" customHeight="true" outlineLevel="0" collapsed="false">
      <c r="A40" s="13"/>
      <c r="B40" s="10"/>
      <c r="C40" s="14" t="str">
        <f aca="false">IF($B40="","",IFERROR(INDEX(차량목록!$B$3:$B$42,MATCH($B40,차량목록!$A$3:$A$42,0)),"미등록차량"))</f>
        <v/>
      </c>
      <c r="D40" s="10"/>
      <c r="E40" s="10"/>
      <c r="F40" s="15"/>
      <c r="G40" s="15"/>
      <c r="H40" s="16" t="str">
        <f aca="false">IF(OR($F40="",$G40=""),"",ROUND(IF($G40&lt;1,$G40*24,INT($G40/100)+MOD($G40,100)/60)-IF($F40&lt;1,$F40*24,INT($F40/100)+MOD($F40,100)/60),2))</f>
        <v/>
      </c>
      <c r="I40" s="17"/>
      <c r="J40" s="18" t="str">
        <f aca="false">IF(OR($H40="",$I40=""),"",ROUND($H40*$I40,0))</f>
        <v/>
      </c>
      <c r="K40" s="13"/>
      <c r="L40" s="17"/>
      <c r="M40" s="18" t="str">
        <f aca="false">IF($J40="","",$J40-IF($L40="",0,$L40))</f>
        <v/>
      </c>
      <c r="N40" s="19" t="str">
        <f aca="true">IF(OR($A40="",$M40="",$M40&lt;=0),"",TODAY()-$A40)</f>
        <v/>
      </c>
      <c r="O40" s="20" t="str">
        <f aca="false">IF($B40="","",IFERROR(INDEX(차량목록!$D$3:$D$42,MATCH($B40,차량목록!$A$3:$A$42,0)),0))</f>
        <v/>
      </c>
      <c r="P40" s="18" t="str">
        <f aca="false">IF($J40="","",ROUND($J40*$O40,0))</f>
        <v/>
      </c>
    </row>
    <row r="41" customFormat="false" ht="15" hidden="false" customHeight="true" outlineLevel="0" collapsed="false">
      <c r="A41" s="13"/>
      <c r="B41" s="10"/>
      <c r="C41" s="14" t="str">
        <f aca="false">IF($B41="","",IFERROR(INDEX(차량목록!$B$3:$B$42,MATCH($B41,차량목록!$A$3:$A$42,0)),"미등록차량"))</f>
        <v/>
      </c>
      <c r="D41" s="10"/>
      <c r="E41" s="10"/>
      <c r="F41" s="15"/>
      <c r="G41" s="15"/>
      <c r="H41" s="16" t="str">
        <f aca="false">IF(OR($F41="",$G41=""),"",ROUND(IF($G41&lt;1,$G41*24,INT($G41/100)+MOD($G41,100)/60)-IF($F41&lt;1,$F41*24,INT($F41/100)+MOD($F41,100)/60),2))</f>
        <v/>
      </c>
      <c r="I41" s="17"/>
      <c r="J41" s="18" t="str">
        <f aca="false">IF(OR($H41="",$I41=""),"",ROUND($H41*$I41,0))</f>
        <v/>
      </c>
      <c r="K41" s="13"/>
      <c r="L41" s="17"/>
      <c r="M41" s="18" t="str">
        <f aca="false">IF($J41="","",$J41-IF($L41="",0,$L41))</f>
        <v/>
      </c>
      <c r="N41" s="19" t="str">
        <f aca="true">IF(OR($A41="",$M41="",$M41&lt;=0),"",TODAY()-$A41)</f>
        <v/>
      </c>
      <c r="O41" s="20" t="str">
        <f aca="false">IF($B41="","",IFERROR(INDEX(차량목록!$D$3:$D$42,MATCH($B41,차량목록!$A$3:$A$42,0)),0))</f>
        <v/>
      </c>
      <c r="P41" s="18" t="str">
        <f aca="false">IF($J41="","",ROUND($J41*$O41,0))</f>
        <v/>
      </c>
    </row>
    <row r="42" customFormat="false" ht="15" hidden="false" customHeight="true" outlineLevel="0" collapsed="false">
      <c r="A42" s="13"/>
      <c r="B42" s="10"/>
      <c r="C42" s="14" t="str">
        <f aca="false">IF($B42="","",IFERROR(INDEX(차량목록!$B$3:$B$42,MATCH($B42,차량목록!$A$3:$A$42,0)),"미등록차량"))</f>
        <v/>
      </c>
      <c r="D42" s="10"/>
      <c r="E42" s="10"/>
      <c r="F42" s="15"/>
      <c r="G42" s="15"/>
      <c r="H42" s="16" t="str">
        <f aca="false">IF(OR($F42="",$G42=""),"",ROUND(IF($G42&lt;1,$G42*24,INT($G42/100)+MOD($G42,100)/60)-IF($F42&lt;1,$F42*24,INT($F42/100)+MOD($F42,100)/60),2))</f>
        <v/>
      </c>
      <c r="I42" s="17"/>
      <c r="J42" s="18" t="str">
        <f aca="false">IF(OR($H42="",$I42=""),"",ROUND($H42*$I42,0))</f>
        <v/>
      </c>
      <c r="K42" s="13"/>
      <c r="L42" s="17"/>
      <c r="M42" s="18" t="str">
        <f aca="false">IF($J42="","",$J42-IF($L42="",0,$L42))</f>
        <v/>
      </c>
      <c r="N42" s="19" t="str">
        <f aca="true">IF(OR($A42="",$M42="",$M42&lt;=0),"",TODAY()-$A42)</f>
        <v/>
      </c>
      <c r="O42" s="20" t="str">
        <f aca="false">IF($B42="","",IFERROR(INDEX(차량목록!$D$3:$D$42,MATCH($B42,차량목록!$A$3:$A$42,0)),0))</f>
        <v/>
      </c>
      <c r="P42" s="18" t="str">
        <f aca="false">IF($J42="","",ROUND($J42*$O42,0))</f>
        <v/>
      </c>
    </row>
    <row r="43" customFormat="false" ht="15" hidden="false" customHeight="true" outlineLevel="0" collapsed="false">
      <c r="A43" s="13"/>
      <c r="B43" s="10"/>
      <c r="C43" s="14" t="str">
        <f aca="false">IF($B43="","",IFERROR(INDEX(차량목록!$B$3:$B$42,MATCH($B43,차량목록!$A$3:$A$42,0)),"미등록차량"))</f>
        <v/>
      </c>
      <c r="D43" s="10"/>
      <c r="E43" s="10"/>
      <c r="F43" s="15"/>
      <c r="G43" s="15"/>
      <c r="H43" s="16" t="str">
        <f aca="false">IF(OR($F43="",$G43=""),"",ROUND(IF($G43&lt;1,$G43*24,INT($G43/100)+MOD($G43,100)/60)-IF($F43&lt;1,$F43*24,INT($F43/100)+MOD($F43,100)/60),2))</f>
        <v/>
      </c>
      <c r="I43" s="17"/>
      <c r="J43" s="18" t="str">
        <f aca="false">IF(OR($H43="",$I43=""),"",ROUND($H43*$I43,0))</f>
        <v/>
      </c>
      <c r="K43" s="13"/>
      <c r="L43" s="17"/>
      <c r="M43" s="18" t="str">
        <f aca="false">IF($J43="","",$J43-IF($L43="",0,$L43))</f>
        <v/>
      </c>
      <c r="N43" s="19" t="str">
        <f aca="true">IF(OR($A43="",$M43="",$M43&lt;=0),"",TODAY()-$A43)</f>
        <v/>
      </c>
      <c r="O43" s="20" t="str">
        <f aca="false">IF($B43="","",IFERROR(INDEX(차량목록!$D$3:$D$42,MATCH($B43,차량목록!$A$3:$A$42,0)),0))</f>
        <v/>
      </c>
      <c r="P43" s="18" t="str">
        <f aca="false">IF($J43="","",ROUND($J43*$O43,0))</f>
        <v/>
      </c>
    </row>
    <row r="44" customFormat="false" ht="15" hidden="false" customHeight="true" outlineLevel="0" collapsed="false">
      <c r="A44" s="13"/>
      <c r="B44" s="10"/>
      <c r="C44" s="14" t="str">
        <f aca="false">IF($B44="","",IFERROR(INDEX(차량목록!$B$3:$B$42,MATCH($B44,차량목록!$A$3:$A$42,0)),"미등록차량"))</f>
        <v/>
      </c>
      <c r="D44" s="10"/>
      <c r="E44" s="10"/>
      <c r="F44" s="15"/>
      <c r="G44" s="15"/>
      <c r="H44" s="16" t="str">
        <f aca="false">IF(OR($F44="",$G44=""),"",ROUND(IF($G44&lt;1,$G44*24,INT($G44/100)+MOD($G44,100)/60)-IF($F44&lt;1,$F44*24,INT($F44/100)+MOD($F44,100)/60),2))</f>
        <v/>
      </c>
      <c r="I44" s="17"/>
      <c r="J44" s="18" t="str">
        <f aca="false">IF(OR($H44="",$I44=""),"",ROUND($H44*$I44,0))</f>
        <v/>
      </c>
      <c r="K44" s="13"/>
      <c r="L44" s="17"/>
      <c r="M44" s="18" t="str">
        <f aca="false">IF($J44="","",$J44-IF($L44="",0,$L44))</f>
        <v/>
      </c>
      <c r="N44" s="19" t="str">
        <f aca="true">IF(OR($A44="",$M44="",$M44&lt;=0),"",TODAY()-$A44)</f>
        <v/>
      </c>
      <c r="O44" s="20" t="str">
        <f aca="false">IF($B44="","",IFERROR(INDEX(차량목록!$D$3:$D$42,MATCH($B44,차량목록!$A$3:$A$42,0)),0))</f>
        <v/>
      </c>
      <c r="P44" s="18" t="str">
        <f aca="false">IF($J44="","",ROUND($J44*$O44,0))</f>
        <v/>
      </c>
    </row>
    <row r="45" customFormat="false" ht="15" hidden="false" customHeight="true" outlineLevel="0" collapsed="false">
      <c r="A45" s="13"/>
      <c r="B45" s="10"/>
      <c r="C45" s="14" t="str">
        <f aca="false">IF($B45="","",IFERROR(INDEX(차량목록!$B$3:$B$42,MATCH($B45,차량목록!$A$3:$A$42,0)),"미등록차량"))</f>
        <v/>
      </c>
      <c r="D45" s="10"/>
      <c r="E45" s="10"/>
      <c r="F45" s="15"/>
      <c r="G45" s="15"/>
      <c r="H45" s="16" t="str">
        <f aca="false">IF(OR($F45="",$G45=""),"",ROUND(IF($G45&lt;1,$G45*24,INT($G45/100)+MOD($G45,100)/60)-IF($F45&lt;1,$F45*24,INT($F45/100)+MOD($F45,100)/60),2))</f>
        <v/>
      </c>
      <c r="I45" s="17"/>
      <c r="J45" s="18" t="str">
        <f aca="false">IF(OR($H45="",$I45=""),"",ROUND($H45*$I45,0))</f>
        <v/>
      </c>
      <c r="K45" s="13"/>
      <c r="L45" s="17"/>
      <c r="M45" s="18" t="str">
        <f aca="false">IF($J45="","",$J45-IF($L45="",0,$L45))</f>
        <v/>
      </c>
      <c r="N45" s="19" t="str">
        <f aca="true">IF(OR($A45="",$M45="",$M45&lt;=0),"",TODAY()-$A45)</f>
        <v/>
      </c>
      <c r="O45" s="20" t="str">
        <f aca="false">IF($B45="","",IFERROR(INDEX(차량목록!$D$3:$D$42,MATCH($B45,차량목록!$A$3:$A$42,0)),0))</f>
        <v/>
      </c>
      <c r="P45" s="18" t="str">
        <f aca="false">IF($J45="","",ROUND($J45*$O45,0))</f>
        <v/>
      </c>
    </row>
    <row r="46" customFormat="false" ht="15" hidden="false" customHeight="true" outlineLevel="0" collapsed="false">
      <c r="A46" s="13"/>
      <c r="B46" s="10"/>
      <c r="C46" s="14" t="str">
        <f aca="false">IF($B46="","",IFERROR(INDEX(차량목록!$B$3:$B$42,MATCH($B46,차량목록!$A$3:$A$42,0)),"미등록차량"))</f>
        <v/>
      </c>
      <c r="D46" s="10"/>
      <c r="E46" s="10"/>
      <c r="F46" s="15"/>
      <c r="G46" s="15"/>
      <c r="H46" s="16" t="str">
        <f aca="false">IF(OR($F46="",$G46=""),"",ROUND(IF($G46&lt;1,$G46*24,INT($G46/100)+MOD($G46,100)/60)-IF($F46&lt;1,$F46*24,INT($F46/100)+MOD($F46,100)/60),2))</f>
        <v/>
      </c>
      <c r="I46" s="17"/>
      <c r="J46" s="18" t="str">
        <f aca="false">IF(OR($H46="",$I46=""),"",ROUND($H46*$I46,0))</f>
        <v/>
      </c>
      <c r="K46" s="13"/>
      <c r="L46" s="17"/>
      <c r="M46" s="18" t="str">
        <f aca="false">IF($J46="","",$J46-IF($L46="",0,$L46))</f>
        <v/>
      </c>
      <c r="N46" s="19" t="str">
        <f aca="true">IF(OR($A46="",$M46="",$M46&lt;=0),"",TODAY()-$A46)</f>
        <v/>
      </c>
      <c r="O46" s="20" t="str">
        <f aca="false">IF($B46="","",IFERROR(INDEX(차량목록!$D$3:$D$42,MATCH($B46,차량목록!$A$3:$A$42,0)),0))</f>
        <v/>
      </c>
      <c r="P46" s="18" t="str">
        <f aca="false">IF($J46="","",ROUND($J46*$O46,0))</f>
        <v/>
      </c>
    </row>
    <row r="47" customFormat="false" ht="15" hidden="false" customHeight="true" outlineLevel="0" collapsed="false">
      <c r="A47" s="13"/>
      <c r="B47" s="10"/>
      <c r="C47" s="14" t="str">
        <f aca="false">IF($B47="","",IFERROR(INDEX(차량목록!$B$3:$B$42,MATCH($B47,차량목록!$A$3:$A$42,0)),"미등록차량"))</f>
        <v/>
      </c>
      <c r="D47" s="10"/>
      <c r="E47" s="10"/>
      <c r="F47" s="15"/>
      <c r="G47" s="15"/>
      <c r="H47" s="16" t="str">
        <f aca="false">IF(OR($F47="",$G47=""),"",ROUND(IF($G47&lt;1,$G47*24,INT($G47/100)+MOD($G47,100)/60)-IF($F47&lt;1,$F47*24,INT($F47/100)+MOD($F47,100)/60),2))</f>
        <v/>
      </c>
      <c r="I47" s="17"/>
      <c r="J47" s="18" t="str">
        <f aca="false">IF(OR($H47="",$I47=""),"",ROUND($H47*$I47,0))</f>
        <v/>
      </c>
      <c r="K47" s="13"/>
      <c r="L47" s="17"/>
      <c r="M47" s="18" t="str">
        <f aca="false">IF($J47="","",$J47-IF($L47="",0,$L47))</f>
        <v/>
      </c>
      <c r="N47" s="19" t="str">
        <f aca="true">IF(OR($A47="",$M47="",$M47&lt;=0),"",TODAY()-$A47)</f>
        <v/>
      </c>
      <c r="O47" s="20" t="str">
        <f aca="false">IF($B47="","",IFERROR(INDEX(차량목록!$D$3:$D$42,MATCH($B47,차량목록!$A$3:$A$42,0)),0))</f>
        <v/>
      </c>
      <c r="P47" s="18" t="str">
        <f aca="false">IF($J47="","",ROUND($J47*$O47,0))</f>
        <v/>
      </c>
    </row>
    <row r="48" customFormat="false" ht="15" hidden="false" customHeight="true" outlineLevel="0" collapsed="false">
      <c r="A48" s="13"/>
      <c r="B48" s="10"/>
      <c r="C48" s="14" t="str">
        <f aca="false">IF($B48="","",IFERROR(INDEX(차량목록!$B$3:$B$42,MATCH($B48,차량목록!$A$3:$A$42,0)),"미등록차량"))</f>
        <v/>
      </c>
      <c r="D48" s="10"/>
      <c r="E48" s="10"/>
      <c r="F48" s="15"/>
      <c r="G48" s="15"/>
      <c r="H48" s="16" t="str">
        <f aca="false">IF(OR($F48="",$G48=""),"",ROUND(IF($G48&lt;1,$G48*24,INT($G48/100)+MOD($G48,100)/60)-IF($F48&lt;1,$F48*24,INT($F48/100)+MOD($F48,100)/60),2))</f>
        <v/>
      </c>
      <c r="I48" s="17"/>
      <c r="J48" s="18" t="str">
        <f aca="false">IF(OR($H48="",$I48=""),"",ROUND($H48*$I48,0))</f>
        <v/>
      </c>
      <c r="K48" s="13"/>
      <c r="L48" s="17"/>
      <c r="M48" s="18" t="str">
        <f aca="false">IF($J48="","",$J48-IF($L48="",0,$L48))</f>
        <v/>
      </c>
      <c r="N48" s="19" t="str">
        <f aca="true">IF(OR($A48="",$M48="",$M48&lt;=0),"",TODAY()-$A48)</f>
        <v/>
      </c>
      <c r="O48" s="20" t="str">
        <f aca="false">IF($B48="","",IFERROR(INDEX(차량목록!$D$3:$D$42,MATCH($B48,차량목록!$A$3:$A$42,0)),0))</f>
        <v/>
      </c>
      <c r="P48" s="18" t="str">
        <f aca="false">IF($J48="","",ROUND($J48*$O48,0))</f>
        <v/>
      </c>
    </row>
    <row r="49" customFormat="false" ht="15" hidden="false" customHeight="true" outlineLevel="0" collapsed="false">
      <c r="A49" s="13"/>
      <c r="B49" s="10"/>
      <c r="C49" s="14" t="str">
        <f aca="false">IF($B49="","",IFERROR(INDEX(차량목록!$B$3:$B$42,MATCH($B49,차량목록!$A$3:$A$42,0)),"미등록차량"))</f>
        <v/>
      </c>
      <c r="D49" s="10"/>
      <c r="E49" s="10"/>
      <c r="F49" s="15"/>
      <c r="G49" s="15"/>
      <c r="H49" s="16" t="str">
        <f aca="false">IF(OR($F49="",$G49=""),"",ROUND(IF($G49&lt;1,$G49*24,INT($G49/100)+MOD($G49,100)/60)-IF($F49&lt;1,$F49*24,INT($F49/100)+MOD($F49,100)/60),2))</f>
        <v/>
      </c>
      <c r="I49" s="17"/>
      <c r="J49" s="18" t="str">
        <f aca="false">IF(OR($H49="",$I49=""),"",ROUND($H49*$I49,0))</f>
        <v/>
      </c>
      <c r="K49" s="13"/>
      <c r="L49" s="17"/>
      <c r="M49" s="18" t="str">
        <f aca="false">IF($J49="","",$J49-IF($L49="",0,$L49))</f>
        <v/>
      </c>
      <c r="N49" s="19" t="str">
        <f aca="true">IF(OR($A49="",$M49="",$M49&lt;=0),"",TODAY()-$A49)</f>
        <v/>
      </c>
      <c r="O49" s="20" t="str">
        <f aca="false">IF($B49="","",IFERROR(INDEX(차량목록!$D$3:$D$42,MATCH($B49,차량목록!$A$3:$A$42,0)),0))</f>
        <v/>
      </c>
      <c r="P49" s="18" t="str">
        <f aca="false">IF($J49="","",ROUND($J49*$O49,0))</f>
        <v/>
      </c>
    </row>
    <row r="50" customFormat="false" ht="15" hidden="false" customHeight="true" outlineLevel="0" collapsed="false">
      <c r="A50" s="13"/>
      <c r="B50" s="10"/>
      <c r="C50" s="14" t="str">
        <f aca="false">IF($B50="","",IFERROR(INDEX(차량목록!$B$3:$B$42,MATCH($B50,차량목록!$A$3:$A$42,0)),"미등록차량"))</f>
        <v/>
      </c>
      <c r="D50" s="10"/>
      <c r="E50" s="10"/>
      <c r="F50" s="15"/>
      <c r="G50" s="15"/>
      <c r="H50" s="16" t="str">
        <f aca="false">IF(OR($F50="",$G50=""),"",ROUND(IF($G50&lt;1,$G50*24,INT($G50/100)+MOD($G50,100)/60)-IF($F50&lt;1,$F50*24,INT($F50/100)+MOD($F50,100)/60),2))</f>
        <v/>
      </c>
      <c r="I50" s="17"/>
      <c r="J50" s="18" t="str">
        <f aca="false">IF(OR($H50="",$I50=""),"",ROUND($H50*$I50,0))</f>
        <v/>
      </c>
      <c r="K50" s="13"/>
      <c r="L50" s="17"/>
      <c r="M50" s="18" t="str">
        <f aca="false">IF($J50="","",$J50-IF($L50="",0,$L50))</f>
        <v/>
      </c>
      <c r="N50" s="19" t="str">
        <f aca="true">IF(OR($A50="",$M50="",$M50&lt;=0),"",TODAY()-$A50)</f>
        <v/>
      </c>
      <c r="O50" s="20" t="str">
        <f aca="false">IF($B50="","",IFERROR(INDEX(차량목록!$D$3:$D$42,MATCH($B50,차량목록!$A$3:$A$42,0)),0))</f>
        <v/>
      </c>
      <c r="P50" s="18" t="str">
        <f aca="false">IF($J50="","",ROUND($J50*$O50,0))</f>
        <v/>
      </c>
    </row>
    <row r="51" customFormat="false" ht="15" hidden="false" customHeight="true" outlineLevel="0" collapsed="false">
      <c r="A51" s="13"/>
      <c r="B51" s="10"/>
      <c r="C51" s="14" t="str">
        <f aca="false">IF($B51="","",IFERROR(INDEX(차량목록!$B$3:$B$42,MATCH($B51,차량목록!$A$3:$A$42,0)),"미등록차량"))</f>
        <v/>
      </c>
      <c r="D51" s="10"/>
      <c r="E51" s="10"/>
      <c r="F51" s="15"/>
      <c r="G51" s="15"/>
      <c r="H51" s="16" t="str">
        <f aca="false">IF(OR($F51="",$G51=""),"",ROUND(IF($G51&lt;1,$G51*24,INT($G51/100)+MOD($G51,100)/60)-IF($F51&lt;1,$F51*24,INT($F51/100)+MOD($F51,100)/60),2))</f>
        <v/>
      </c>
      <c r="I51" s="17"/>
      <c r="J51" s="18" t="str">
        <f aca="false">IF(OR($H51="",$I51=""),"",ROUND($H51*$I51,0))</f>
        <v/>
      </c>
      <c r="K51" s="13"/>
      <c r="L51" s="17"/>
      <c r="M51" s="18" t="str">
        <f aca="false">IF($J51="","",$J51-IF($L51="",0,$L51))</f>
        <v/>
      </c>
      <c r="N51" s="19" t="str">
        <f aca="true">IF(OR($A51="",$M51="",$M51&lt;=0),"",TODAY()-$A51)</f>
        <v/>
      </c>
      <c r="O51" s="20" t="str">
        <f aca="false">IF($B51="","",IFERROR(INDEX(차량목록!$D$3:$D$42,MATCH($B51,차량목록!$A$3:$A$42,0)),0))</f>
        <v/>
      </c>
      <c r="P51" s="18" t="str">
        <f aca="false">IF($J51="","",ROUND($J51*$O51,0))</f>
        <v/>
      </c>
    </row>
    <row r="52" customFormat="false" ht="15" hidden="false" customHeight="true" outlineLevel="0" collapsed="false">
      <c r="A52" s="13"/>
      <c r="B52" s="10"/>
      <c r="C52" s="14" t="str">
        <f aca="false">IF($B52="","",IFERROR(INDEX(차량목록!$B$3:$B$42,MATCH($B52,차량목록!$A$3:$A$42,0)),"미등록차량"))</f>
        <v/>
      </c>
      <c r="D52" s="10"/>
      <c r="E52" s="10"/>
      <c r="F52" s="15"/>
      <c r="G52" s="15"/>
      <c r="H52" s="16" t="str">
        <f aca="false">IF(OR($F52="",$G52=""),"",ROUND(IF($G52&lt;1,$G52*24,INT($G52/100)+MOD($G52,100)/60)-IF($F52&lt;1,$F52*24,INT($F52/100)+MOD($F52,100)/60),2))</f>
        <v/>
      </c>
      <c r="I52" s="17"/>
      <c r="J52" s="18" t="str">
        <f aca="false">IF(OR($H52="",$I52=""),"",ROUND($H52*$I52,0))</f>
        <v/>
      </c>
      <c r="K52" s="13"/>
      <c r="L52" s="17"/>
      <c r="M52" s="18" t="str">
        <f aca="false">IF($J52="","",$J52-IF($L52="",0,$L52))</f>
        <v/>
      </c>
      <c r="N52" s="19" t="str">
        <f aca="true">IF(OR($A52="",$M52="",$M52&lt;=0),"",TODAY()-$A52)</f>
        <v/>
      </c>
      <c r="O52" s="20" t="str">
        <f aca="false">IF($B52="","",IFERROR(INDEX(차량목록!$D$3:$D$42,MATCH($B52,차량목록!$A$3:$A$42,0)),0))</f>
        <v/>
      </c>
      <c r="P52" s="18" t="str">
        <f aca="false">IF($J52="","",ROUND($J52*$O52,0))</f>
        <v/>
      </c>
    </row>
    <row r="53" customFormat="false" ht="15" hidden="false" customHeight="true" outlineLevel="0" collapsed="false">
      <c r="A53" s="13"/>
      <c r="B53" s="10"/>
      <c r="C53" s="14" t="str">
        <f aca="false">IF($B53="","",IFERROR(INDEX(차량목록!$B$3:$B$42,MATCH($B53,차량목록!$A$3:$A$42,0)),"미등록차량"))</f>
        <v/>
      </c>
      <c r="D53" s="10"/>
      <c r="E53" s="10"/>
      <c r="F53" s="15"/>
      <c r="G53" s="15"/>
      <c r="H53" s="16" t="str">
        <f aca="false">IF(OR($F53="",$G53=""),"",ROUND(IF($G53&lt;1,$G53*24,INT($G53/100)+MOD($G53,100)/60)-IF($F53&lt;1,$F53*24,INT($F53/100)+MOD($F53,100)/60),2))</f>
        <v/>
      </c>
      <c r="I53" s="17"/>
      <c r="J53" s="18" t="str">
        <f aca="false">IF(OR($H53="",$I53=""),"",ROUND($H53*$I53,0))</f>
        <v/>
      </c>
      <c r="K53" s="13"/>
      <c r="L53" s="17"/>
      <c r="M53" s="18" t="str">
        <f aca="false">IF($J53="","",$J53-IF($L53="",0,$L53))</f>
        <v/>
      </c>
      <c r="N53" s="19" t="str">
        <f aca="true">IF(OR($A53="",$M53="",$M53&lt;=0),"",TODAY()-$A53)</f>
        <v/>
      </c>
      <c r="O53" s="20" t="str">
        <f aca="false">IF($B53="","",IFERROR(INDEX(차량목록!$D$3:$D$42,MATCH($B53,차량목록!$A$3:$A$42,0)),0))</f>
        <v/>
      </c>
      <c r="P53" s="18" t="str">
        <f aca="false">IF($J53="","",ROUND($J53*$O53,0))</f>
        <v/>
      </c>
    </row>
    <row r="54" customFormat="false" ht="15" hidden="false" customHeight="true" outlineLevel="0" collapsed="false">
      <c r="A54" s="13"/>
      <c r="B54" s="10"/>
      <c r="C54" s="14" t="str">
        <f aca="false">IF($B54="","",IFERROR(INDEX(차량목록!$B$3:$B$42,MATCH($B54,차량목록!$A$3:$A$42,0)),"미등록차량"))</f>
        <v/>
      </c>
      <c r="D54" s="10"/>
      <c r="E54" s="10"/>
      <c r="F54" s="15"/>
      <c r="G54" s="15"/>
      <c r="H54" s="16" t="str">
        <f aca="false">IF(OR($F54="",$G54=""),"",ROUND(IF($G54&lt;1,$G54*24,INT($G54/100)+MOD($G54,100)/60)-IF($F54&lt;1,$F54*24,INT($F54/100)+MOD($F54,100)/60),2))</f>
        <v/>
      </c>
      <c r="I54" s="17"/>
      <c r="J54" s="18" t="str">
        <f aca="false">IF(OR($H54="",$I54=""),"",ROUND($H54*$I54,0))</f>
        <v/>
      </c>
      <c r="K54" s="13"/>
      <c r="L54" s="17"/>
      <c r="M54" s="18" t="str">
        <f aca="false">IF($J54="","",$J54-IF($L54="",0,$L54))</f>
        <v/>
      </c>
      <c r="N54" s="19" t="str">
        <f aca="true">IF(OR($A54="",$M54="",$M54&lt;=0),"",TODAY()-$A54)</f>
        <v/>
      </c>
      <c r="O54" s="20" t="str">
        <f aca="false">IF($B54="","",IFERROR(INDEX(차량목록!$D$3:$D$42,MATCH($B54,차량목록!$A$3:$A$42,0)),0))</f>
        <v/>
      </c>
      <c r="P54" s="18" t="str">
        <f aca="false">IF($J54="","",ROUND($J54*$O54,0))</f>
        <v/>
      </c>
    </row>
    <row r="55" customFormat="false" ht="15" hidden="false" customHeight="true" outlineLevel="0" collapsed="false">
      <c r="A55" s="13"/>
      <c r="B55" s="10"/>
      <c r="C55" s="14" t="str">
        <f aca="false">IF($B55="","",IFERROR(INDEX(차량목록!$B$3:$B$42,MATCH($B55,차량목록!$A$3:$A$42,0)),"미등록차량"))</f>
        <v/>
      </c>
      <c r="D55" s="10"/>
      <c r="E55" s="10"/>
      <c r="F55" s="15"/>
      <c r="G55" s="15"/>
      <c r="H55" s="16" t="str">
        <f aca="false">IF(OR($F55="",$G55=""),"",ROUND(IF($G55&lt;1,$G55*24,INT($G55/100)+MOD($G55,100)/60)-IF($F55&lt;1,$F55*24,INT($F55/100)+MOD($F55,100)/60),2))</f>
        <v/>
      </c>
      <c r="I55" s="17"/>
      <c r="J55" s="18" t="str">
        <f aca="false">IF(OR($H55="",$I55=""),"",ROUND($H55*$I55,0))</f>
        <v/>
      </c>
      <c r="K55" s="13"/>
      <c r="L55" s="17"/>
      <c r="M55" s="18" t="str">
        <f aca="false">IF($J55="","",$J55-IF($L55="",0,$L55))</f>
        <v/>
      </c>
      <c r="N55" s="19" t="str">
        <f aca="true">IF(OR($A55="",$M55="",$M55&lt;=0),"",TODAY()-$A55)</f>
        <v/>
      </c>
      <c r="O55" s="20" t="str">
        <f aca="false">IF($B55="","",IFERROR(INDEX(차량목록!$D$3:$D$42,MATCH($B55,차량목록!$A$3:$A$42,0)),0))</f>
        <v/>
      </c>
      <c r="P55" s="18" t="str">
        <f aca="false">IF($J55="","",ROUND($J55*$O55,0))</f>
        <v/>
      </c>
    </row>
    <row r="56" customFormat="false" ht="15" hidden="false" customHeight="true" outlineLevel="0" collapsed="false">
      <c r="A56" s="13"/>
      <c r="B56" s="10"/>
      <c r="C56" s="14" t="str">
        <f aca="false">IF($B56="","",IFERROR(INDEX(차량목록!$B$3:$B$42,MATCH($B56,차량목록!$A$3:$A$42,0)),"미등록차량"))</f>
        <v/>
      </c>
      <c r="D56" s="10"/>
      <c r="E56" s="10"/>
      <c r="F56" s="15"/>
      <c r="G56" s="15"/>
      <c r="H56" s="16" t="str">
        <f aca="false">IF(OR($F56="",$G56=""),"",ROUND(IF($G56&lt;1,$G56*24,INT($G56/100)+MOD($G56,100)/60)-IF($F56&lt;1,$F56*24,INT($F56/100)+MOD($F56,100)/60),2))</f>
        <v/>
      </c>
      <c r="I56" s="17"/>
      <c r="J56" s="18" t="str">
        <f aca="false">IF(OR($H56="",$I56=""),"",ROUND($H56*$I56,0))</f>
        <v/>
      </c>
      <c r="K56" s="13"/>
      <c r="L56" s="17"/>
      <c r="M56" s="18" t="str">
        <f aca="false">IF($J56="","",$J56-IF($L56="",0,$L56))</f>
        <v/>
      </c>
      <c r="N56" s="19" t="str">
        <f aca="true">IF(OR($A56="",$M56="",$M56&lt;=0),"",TODAY()-$A56)</f>
        <v/>
      </c>
      <c r="O56" s="20" t="str">
        <f aca="false">IF($B56="","",IFERROR(INDEX(차량목록!$D$3:$D$42,MATCH($B56,차량목록!$A$3:$A$42,0)),0))</f>
        <v/>
      </c>
      <c r="P56" s="18" t="str">
        <f aca="false">IF($J56="","",ROUND($J56*$O56,0))</f>
        <v/>
      </c>
    </row>
    <row r="57" customFormat="false" ht="15" hidden="false" customHeight="true" outlineLevel="0" collapsed="false">
      <c r="A57" s="13"/>
      <c r="B57" s="10"/>
      <c r="C57" s="14" t="str">
        <f aca="false">IF($B57="","",IFERROR(INDEX(차량목록!$B$3:$B$42,MATCH($B57,차량목록!$A$3:$A$42,0)),"미등록차량"))</f>
        <v/>
      </c>
      <c r="D57" s="10"/>
      <c r="E57" s="10"/>
      <c r="F57" s="15"/>
      <c r="G57" s="15"/>
      <c r="H57" s="16" t="str">
        <f aca="false">IF(OR($F57="",$G57=""),"",ROUND(IF($G57&lt;1,$G57*24,INT($G57/100)+MOD($G57,100)/60)-IF($F57&lt;1,$F57*24,INT($F57/100)+MOD($F57,100)/60),2))</f>
        <v/>
      </c>
      <c r="I57" s="17"/>
      <c r="J57" s="18" t="str">
        <f aca="false">IF(OR($H57="",$I57=""),"",ROUND($H57*$I57,0))</f>
        <v/>
      </c>
      <c r="K57" s="13"/>
      <c r="L57" s="17"/>
      <c r="M57" s="18" t="str">
        <f aca="false">IF($J57="","",$J57-IF($L57="",0,$L57))</f>
        <v/>
      </c>
      <c r="N57" s="19" t="str">
        <f aca="true">IF(OR($A57="",$M57="",$M57&lt;=0),"",TODAY()-$A57)</f>
        <v/>
      </c>
      <c r="O57" s="20" t="str">
        <f aca="false">IF($B57="","",IFERROR(INDEX(차량목록!$D$3:$D$42,MATCH($B57,차량목록!$A$3:$A$42,0)),0))</f>
        <v/>
      </c>
      <c r="P57" s="18" t="str">
        <f aca="false">IF($J57="","",ROUND($J57*$O57,0))</f>
        <v/>
      </c>
    </row>
    <row r="58" customFormat="false" ht="15" hidden="false" customHeight="true" outlineLevel="0" collapsed="false">
      <c r="A58" s="13"/>
      <c r="B58" s="10"/>
      <c r="C58" s="14" t="str">
        <f aca="false">IF($B58="","",IFERROR(INDEX(차량목록!$B$3:$B$42,MATCH($B58,차량목록!$A$3:$A$42,0)),"미등록차량"))</f>
        <v/>
      </c>
      <c r="D58" s="10"/>
      <c r="E58" s="10"/>
      <c r="F58" s="15"/>
      <c r="G58" s="15"/>
      <c r="H58" s="16" t="str">
        <f aca="false">IF(OR($F58="",$G58=""),"",ROUND(IF($G58&lt;1,$G58*24,INT($G58/100)+MOD($G58,100)/60)-IF($F58&lt;1,$F58*24,INT($F58/100)+MOD($F58,100)/60),2))</f>
        <v/>
      </c>
      <c r="I58" s="17"/>
      <c r="J58" s="18" t="str">
        <f aca="false">IF(OR($H58="",$I58=""),"",ROUND($H58*$I58,0))</f>
        <v/>
      </c>
      <c r="K58" s="13"/>
      <c r="L58" s="17"/>
      <c r="M58" s="18" t="str">
        <f aca="false">IF($J58="","",$J58-IF($L58="",0,$L58))</f>
        <v/>
      </c>
      <c r="N58" s="19" t="str">
        <f aca="true">IF(OR($A58="",$M58="",$M58&lt;=0),"",TODAY()-$A58)</f>
        <v/>
      </c>
      <c r="O58" s="20" t="str">
        <f aca="false">IF($B58="","",IFERROR(INDEX(차량목록!$D$3:$D$42,MATCH($B58,차량목록!$A$3:$A$42,0)),0))</f>
        <v/>
      </c>
      <c r="P58" s="18" t="str">
        <f aca="false">IF($J58="","",ROUND($J58*$O58,0))</f>
        <v/>
      </c>
    </row>
    <row r="59" customFormat="false" ht="15" hidden="false" customHeight="true" outlineLevel="0" collapsed="false">
      <c r="A59" s="13"/>
      <c r="B59" s="10"/>
      <c r="C59" s="14" t="str">
        <f aca="false">IF($B59="","",IFERROR(INDEX(차량목록!$B$3:$B$42,MATCH($B59,차량목록!$A$3:$A$42,0)),"미등록차량"))</f>
        <v/>
      </c>
      <c r="D59" s="10"/>
      <c r="E59" s="10"/>
      <c r="F59" s="15"/>
      <c r="G59" s="15"/>
      <c r="H59" s="16" t="str">
        <f aca="false">IF(OR($F59="",$G59=""),"",ROUND(IF($G59&lt;1,$G59*24,INT($G59/100)+MOD($G59,100)/60)-IF($F59&lt;1,$F59*24,INT($F59/100)+MOD($F59,100)/60),2))</f>
        <v/>
      </c>
      <c r="I59" s="17"/>
      <c r="J59" s="18" t="str">
        <f aca="false">IF(OR($H59="",$I59=""),"",ROUND($H59*$I59,0))</f>
        <v/>
      </c>
      <c r="K59" s="13"/>
      <c r="L59" s="17"/>
      <c r="M59" s="18" t="str">
        <f aca="false">IF($J59="","",$J59-IF($L59="",0,$L59))</f>
        <v/>
      </c>
      <c r="N59" s="19" t="str">
        <f aca="true">IF(OR($A59="",$M59="",$M59&lt;=0),"",TODAY()-$A59)</f>
        <v/>
      </c>
      <c r="O59" s="20" t="str">
        <f aca="false">IF($B59="","",IFERROR(INDEX(차량목록!$D$3:$D$42,MATCH($B59,차량목록!$A$3:$A$42,0)),0))</f>
        <v/>
      </c>
      <c r="P59" s="18" t="str">
        <f aca="false">IF($J59="","",ROUND($J59*$O59,0))</f>
        <v/>
      </c>
    </row>
    <row r="60" customFormat="false" ht="15" hidden="false" customHeight="true" outlineLevel="0" collapsed="false">
      <c r="A60" s="13"/>
      <c r="B60" s="10"/>
      <c r="C60" s="14" t="str">
        <f aca="false">IF($B60="","",IFERROR(INDEX(차량목록!$B$3:$B$42,MATCH($B60,차량목록!$A$3:$A$42,0)),"미등록차량"))</f>
        <v/>
      </c>
      <c r="D60" s="10"/>
      <c r="E60" s="10"/>
      <c r="F60" s="15"/>
      <c r="G60" s="15"/>
      <c r="H60" s="16" t="str">
        <f aca="false">IF(OR($F60="",$G60=""),"",ROUND(IF($G60&lt;1,$G60*24,INT($G60/100)+MOD($G60,100)/60)-IF($F60&lt;1,$F60*24,INT($F60/100)+MOD($F60,100)/60),2))</f>
        <v/>
      </c>
      <c r="I60" s="17"/>
      <c r="J60" s="18" t="str">
        <f aca="false">IF(OR($H60="",$I60=""),"",ROUND($H60*$I60,0))</f>
        <v/>
      </c>
      <c r="K60" s="13"/>
      <c r="L60" s="17"/>
      <c r="M60" s="18" t="str">
        <f aca="false">IF($J60="","",$J60-IF($L60="",0,$L60))</f>
        <v/>
      </c>
      <c r="N60" s="19" t="str">
        <f aca="true">IF(OR($A60="",$M60="",$M60&lt;=0),"",TODAY()-$A60)</f>
        <v/>
      </c>
      <c r="O60" s="20" t="str">
        <f aca="false">IF($B60="","",IFERROR(INDEX(차량목록!$D$3:$D$42,MATCH($B60,차량목록!$A$3:$A$42,0)),0))</f>
        <v/>
      </c>
      <c r="P60" s="18" t="str">
        <f aca="false">IF($J60="","",ROUND($J60*$O60,0))</f>
        <v/>
      </c>
    </row>
    <row r="61" customFormat="false" ht="15" hidden="false" customHeight="true" outlineLevel="0" collapsed="false">
      <c r="A61" s="13"/>
      <c r="B61" s="10"/>
      <c r="C61" s="14" t="str">
        <f aca="false">IF($B61="","",IFERROR(INDEX(차량목록!$B$3:$B$42,MATCH($B61,차량목록!$A$3:$A$42,0)),"미등록차량"))</f>
        <v/>
      </c>
      <c r="D61" s="10"/>
      <c r="E61" s="10"/>
      <c r="F61" s="15"/>
      <c r="G61" s="15"/>
      <c r="H61" s="16" t="str">
        <f aca="false">IF(OR($F61="",$G61=""),"",ROUND(IF($G61&lt;1,$G61*24,INT($G61/100)+MOD($G61,100)/60)-IF($F61&lt;1,$F61*24,INT($F61/100)+MOD($F61,100)/60),2))</f>
        <v/>
      </c>
      <c r="I61" s="17"/>
      <c r="J61" s="18" t="str">
        <f aca="false">IF(OR($H61="",$I61=""),"",ROUND($H61*$I61,0))</f>
        <v/>
      </c>
      <c r="K61" s="13"/>
      <c r="L61" s="17"/>
      <c r="M61" s="18" t="str">
        <f aca="false">IF($J61="","",$J61-IF($L61="",0,$L61))</f>
        <v/>
      </c>
      <c r="N61" s="19" t="str">
        <f aca="true">IF(OR($A61="",$M61="",$M61&lt;=0),"",TODAY()-$A61)</f>
        <v/>
      </c>
      <c r="O61" s="20" t="str">
        <f aca="false">IF($B61="","",IFERROR(INDEX(차량목록!$D$3:$D$42,MATCH($B61,차량목록!$A$3:$A$42,0)),0))</f>
        <v/>
      </c>
      <c r="P61" s="18" t="str">
        <f aca="false">IF($J61="","",ROUND($J61*$O61,0))</f>
        <v/>
      </c>
    </row>
    <row r="62" customFormat="false" ht="15" hidden="false" customHeight="true" outlineLevel="0" collapsed="false">
      <c r="A62" s="13"/>
      <c r="B62" s="10"/>
      <c r="C62" s="14" t="str">
        <f aca="false">IF($B62="","",IFERROR(INDEX(차량목록!$B$3:$B$42,MATCH($B62,차량목록!$A$3:$A$42,0)),"미등록차량"))</f>
        <v/>
      </c>
      <c r="D62" s="10"/>
      <c r="E62" s="10"/>
      <c r="F62" s="15"/>
      <c r="G62" s="15"/>
      <c r="H62" s="16" t="str">
        <f aca="false">IF(OR($F62="",$G62=""),"",ROUND(IF($G62&lt;1,$G62*24,INT($G62/100)+MOD($G62,100)/60)-IF($F62&lt;1,$F62*24,INT($F62/100)+MOD($F62,100)/60),2))</f>
        <v/>
      </c>
      <c r="I62" s="17"/>
      <c r="J62" s="18" t="str">
        <f aca="false">IF(OR($H62="",$I62=""),"",ROUND($H62*$I62,0))</f>
        <v/>
      </c>
      <c r="K62" s="13"/>
      <c r="L62" s="17"/>
      <c r="M62" s="18" t="str">
        <f aca="false">IF($J62="","",$J62-IF($L62="",0,$L62))</f>
        <v/>
      </c>
      <c r="N62" s="19" t="str">
        <f aca="true">IF(OR($A62="",$M62="",$M62&lt;=0),"",TODAY()-$A62)</f>
        <v/>
      </c>
      <c r="O62" s="20" t="str">
        <f aca="false">IF($B62="","",IFERROR(INDEX(차량목록!$D$3:$D$42,MATCH($B62,차량목록!$A$3:$A$42,0)),0))</f>
        <v/>
      </c>
      <c r="P62" s="18" t="str">
        <f aca="false">IF($J62="","",ROUND($J62*$O62,0))</f>
        <v/>
      </c>
    </row>
    <row r="63" customFormat="false" ht="15" hidden="false" customHeight="true" outlineLevel="0" collapsed="false">
      <c r="A63" s="13"/>
      <c r="B63" s="10"/>
      <c r="C63" s="14" t="str">
        <f aca="false">IF($B63="","",IFERROR(INDEX(차량목록!$B$3:$B$42,MATCH($B63,차량목록!$A$3:$A$42,0)),"미등록차량"))</f>
        <v/>
      </c>
      <c r="D63" s="10"/>
      <c r="E63" s="10"/>
      <c r="F63" s="15"/>
      <c r="G63" s="15"/>
      <c r="H63" s="16" t="str">
        <f aca="false">IF(OR($F63="",$G63=""),"",ROUND(IF($G63&lt;1,$G63*24,INT($G63/100)+MOD($G63,100)/60)-IF($F63&lt;1,$F63*24,INT($F63/100)+MOD($F63,100)/60),2))</f>
        <v/>
      </c>
      <c r="I63" s="17"/>
      <c r="J63" s="18" t="str">
        <f aca="false">IF(OR($H63="",$I63=""),"",ROUND($H63*$I63,0))</f>
        <v/>
      </c>
      <c r="K63" s="13"/>
      <c r="L63" s="17"/>
      <c r="M63" s="18" t="str">
        <f aca="false">IF($J63="","",$J63-IF($L63="",0,$L63))</f>
        <v/>
      </c>
      <c r="N63" s="19" t="str">
        <f aca="true">IF(OR($A63="",$M63="",$M63&lt;=0),"",TODAY()-$A63)</f>
        <v/>
      </c>
      <c r="O63" s="20" t="str">
        <f aca="false">IF($B63="","",IFERROR(INDEX(차량목록!$D$3:$D$42,MATCH($B63,차량목록!$A$3:$A$42,0)),0))</f>
        <v/>
      </c>
      <c r="P63" s="18" t="str">
        <f aca="false">IF($J63="","",ROUND($J63*$O63,0))</f>
        <v/>
      </c>
    </row>
    <row r="64" customFormat="false" ht="15" hidden="false" customHeight="true" outlineLevel="0" collapsed="false">
      <c r="A64" s="13"/>
      <c r="B64" s="10"/>
      <c r="C64" s="14" t="str">
        <f aca="false">IF($B64="","",IFERROR(INDEX(차량목록!$B$3:$B$42,MATCH($B64,차량목록!$A$3:$A$42,0)),"미등록차량"))</f>
        <v/>
      </c>
      <c r="D64" s="10"/>
      <c r="E64" s="10"/>
      <c r="F64" s="15"/>
      <c r="G64" s="15"/>
      <c r="H64" s="16" t="str">
        <f aca="false">IF(OR($F64="",$G64=""),"",ROUND(IF($G64&lt;1,$G64*24,INT($G64/100)+MOD($G64,100)/60)-IF($F64&lt;1,$F64*24,INT($F64/100)+MOD($F64,100)/60),2))</f>
        <v/>
      </c>
      <c r="I64" s="17"/>
      <c r="J64" s="18" t="str">
        <f aca="false">IF(OR($H64="",$I64=""),"",ROUND($H64*$I64,0))</f>
        <v/>
      </c>
      <c r="K64" s="13"/>
      <c r="L64" s="17"/>
      <c r="M64" s="18" t="str">
        <f aca="false">IF($J64="","",$J64-IF($L64="",0,$L64))</f>
        <v/>
      </c>
      <c r="N64" s="19" t="str">
        <f aca="true">IF(OR($A64="",$M64="",$M64&lt;=0),"",TODAY()-$A64)</f>
        <v/>
      </c>
      <c r="O64" s="20" t="str">
        <f aca="false">IF($B64="","",IFERROR(INDEX(차량목록!$D$3:$D$42,MATCH($B64,차량목록!$A$3:$A$42,0)),0))</f>
        <v/>
      </c>
      <c r="P64" s="18" t="str">
        <f aca="false">IF($J64="","",ROUND($J64*$O64,0))</f>
        <v/>
      </c>
    </row>
    <row r="65" customFormat="false" ht="15" hidden="false" customHeight="true" outlineLevel="0" collapsed="false">
      <c r="A65" s="13"/>
      <c r="B65" s="10"/>
      <c r="C65" s="14" t="str">
        <f aca="false">IF($B65="","",IFERROR(INDEX(차량목록!$B$3:$B$42,MATCH($B65,차량목록!$A$3:$A$42,0)),"미등록차량"))</f>
        <v/>
      </c>
      <c r="D65" s="10"/>
      <c r="E65" s="10"/>
      <c r="F65" s="15"/>
      <c r="G65" s="15"/>
      <c r="H65" s="16" t="str">
        <f aca="false">IF(OR($F65="",$G65=""),"",ROUND(IF($G65&lt;1,$G65*24,INT($G65/100)+MOD($G65,100)/60)-IF($F65&lt;1,$F65*24,INT($F65/100)+MOD($F65,100)/60),2))</f>
        <v/>
      </c>
      <c r="I65" s="17"/>
      <c r="J65" s="18" t="str">
        <f aca="false">IF(OR($H65="",$I65=""),"",ROUND($H65*$I65,0))</f>
        <v/>
      </c>
      <c r="K65" s="13"/>
      <c r="L65" s="17"/>
      <c r="M65" s="18" t="str">
        <f aca="false">IF($J65="","",$J65-IF($L65="",0,$L65))</f>
        <v/>
      </c>
      <c r="N65" s="19" t="str">
        <f aca="true">IF(OR($A65="",$M65="",$M65&lt;=0),"",TODAY()-$A65)</f>
        <v/>
      </c>
      <c r="O65" s="20" t="str">
        <f aca="false">IF($B65="","",IFERROR(INDEX(차량목록!$D$3:$D$42,MATCH($B65,차량목록!$A$3:$A$42,0)),0))</f>
        <v/>
      </c>
      <c r="P65" s="18" t="str">
        <f aca="false">IF($J65="","",ROUND($J65*$O65,0))</f>
        <v/>
      </c>
    </row>
    <row r="66" customFormat="false" ht="15" hidden="false" customHeight="true" outlineLevel="0" collapsed="false">
      <c r="A66" s="13"/>
      <c r="B66" s="10"/>
      <c r="C66" s="14" t="str">
        <f aca="false">IF($B66="","",IFERROR(INDEX(차량목록!$B$3:$B$42,MATCH($B66,차량목록!$A$3:$A$42,0)),"미등록차량"))</f>
        <v/>
      </c>
      <c r="D66" s="10"/>
      <c r="E66" s="10"/>
      <c r="F66" s="15"/>
      <c r="G66" s="15"/>
      <c r="H66" s="16" t="str">
        <f aca="false">IF(OR($F66="",$G66=""),"",ROUND(IF($G66&lt;1,$G66*24,INT($G66/100)+MOD($G66,100)/60)-IF($F66&lt;1,$F66*24,INT($F66/100)+MOD($F66,100)/60),2))</f>
        <v/>
      </c>
      <c r="I66" s="17"/>
      <c r="J66" s="18" t="str">
        <f aca="false">IF(OR($H66="",$I66=""),"",ROUND($H66*$I66,0))</f>
        <v/>
      </c>
      <c r="K66" s="13"/>
      <c r="L66" s="17"/>
      <c r="M66" s="18" t="str">
        <f aca="false">IF($J66="","",$J66-IF($L66="",0,$L66))</f>
        <v/>
      </c>
      <c r="N66" s="19" t="str">
        <f aca="true">IF(OR($A66="",$M66="",$M66&lt;=0),"",TODAY()-$A66)</f>
        <v/>
      </c>
      <c r="O66" s="20" t="str">
        <f aca="false">IF($B66="","",IFERROR(INDEX(차량목록!$D$3:$D$42,MATCH($B66,차량목록!$A$3:$A$42,0)),0))</f>
        <v/>
      </c>
      <c r="P66" s="18" t="str">
        <f aca="false">IF($J66="","",ROUND($J66*$O66,0))</f>
        <v/>
      </c>
    </row>
    <row r="67" customFormat="false" ht="15" hidden="false" customHeight="true" outlineLevel="0" collapsed="false">
      <c r="A67" s="13"/>
      <c r="B67" s="10"/>
      <c r="C67" s="14" t="str">
        <f aca="false">IF($B67="","",IFERROR(INDEX(차량목록!$B$3:$B$42,MATCH($B67,차량목록!$A$3:$A$42,0)),"미등록차량"))</f>
        <v/>
      </c>
      <c r="D67" s="10"/>
      <c r="E67" s="10"/>
      <c r="F67" s="15"/>
      <c r="G67" s="15"/>
      <c r="H67" s="16" t="str">
        <f aca="false">IF(OR($F67="",$G67=""),"",ROUND(IF($G67&lt;1,$G67*24,INT($G67/100)+MOD($G67,100)/60)-IF($F67&lt;1,$F67*24,INT($F67/100)+MOD($F67,100)/60),2))</f>
        <v/>
      </c>
      <c r="I67" s="17"/>
      <c r="J67" s="18" t="str">
        <f aca="false">IF(OR($H67="",$I67=""),"",ROUND($H67*$I67,0))</f>
        <v/>
      </c>
      <c r="K67" s="13"/>
      <c r="L67" s="17"/>
      <c r="M67" s="18" t="str">
        <f aca="false">IF($J67="","",$J67-IF($L67="",0,$L67))</f>
        <v/>
      </c>
      <c r="N67" s="19" t="str">
        <f aca="true">IF(OR($A67="",$M67="",$M67&lt;=0),"",TODAY()-$A67)</f>
        <v/>
      </c>
      <c r="O67" s="20" t="str">
        <f aca="false">IF($B67="","",IFERROR(INDEX(차량목록!$D$3:$D$42,MATCH($B67,차량목록!$A$3:$A$42,0)),0))</f>
        <v/>
      </c>
      <c r="P67" s="18" t="str">
        <f aca="false">IF($J67="","",ROUND($J67*$O67,0))</f>
        <v/>
      </c>
    </row>
    <row r="68" customFormat="false" ht="15" hidden="false" customHeight="true" outlineLevel="0" collapsed="false">
      <c r="A68" s="13"/>
      <c r="B68" s="10"/>
      <c r="C68" s="14" t="str">
        <f aca="false">IF($B68="","",IFERROR(INDEX(차량목록!$B$3:$B$42,MATCH($B68,차량목록!$A$3:$A$42,0)),"미등록차량"))</f>
        <v/>
      </c>
      <c r="D68" s="10"/>
      <c r="E68" s="10"/>
      <c r="F68" s="15"/>
      <c r="G68" s="15"/>
      <c r="H68" s="16" t="str">
        <f aca="false">IF(OR($F68="",$G68=""),"",ROUND(IF($G68&lt;1,$G68*24,INT($G68/100)+MOD($G68,100)/60)-IF($F68&lt;1,$F68*24,INT($F68/100)+MOD($F68,100)/60),2))</f>
        <v/>
      </c>
      <c r="I68" s="17"/>
      <c r="J68" s="18" t="str">
        <f aca="false">IF(OR($H68="",$I68=""),"",ROUND($H68*$I68,0))</f>
        <v/>
      </c>
      <c r="K68" s="13"/>
      <c r="L68" s="17"/>
      <c r="M68" s="18" t="str">
        <f aca="false">IF($J68="","",$J68-IF($L68="",0,$L68))</f>
        <v/>
      </c>
      <c r="N68" s="19" t="str">
        <f aca="true">IF(OR($A68="",$M68="",$M68&lt;=0),"",TODAY()-$A68)</f>
        <v/>
      </c>
      <c r="O68" s="20" t="str">
        <f aca="false">IF($B68="","",IFERROR(INDEX(차량목록!$D$3:$D$42,MATCH($B68,차량목록!$A$3:$A$42,0)),0))</f>
        <v/>
      </c>
      <c r="P68" s="18" t="str">
        <f aca="false">IF($J68="","",ROUND($J68*$O68,0))</f>
        <v/>
      </c>
    </row>
    <row r="69" customFormat="false" ht="15" hidden="false" customHeight="true" outlineLevel="0" collapsed="false">
      <c r="A69" s="13"/>
      <c r="B69" s="10"/>
      <c r="C69" s="14" t="str">
        <f aca="false">IF($B69="","",IFERROR(INDEX(차량목록!$B$3:$B$42,MATCH($B69,차량목록!$A$3:$A$42,0)),"미등록차량"))</f>
        <v/>
      </c>
      <c r="D69" s="10"/>
      <c r="E69" s="10"/>
      <c r="F69" s="15"/>
      <c r="G69" s="15"/>
      <c r="H69" s="16" t="str">
        <f aca="false">IF(OR($F69="",$G69=""),"",ROUND(IF($G69&lt;1,$G69*24,INT($G69/100)+MOD($G69,100)/60)-IF($F69&lt;1,$F69*24,INT($F69/100)+MOD($F69,100)/60),2))</f>
        <v/>
      </c>
      <c r="I69" s="17"/>
      <c r="J69" s="18" t="str">
        <f aca="false">IF(OR($H69="",$I69=""),"",ROUND($H69*$I69,0))</f>
        <v/>
      </c>
      <c r="K69" s="13"/>
      <c r="L69" s="17"/>
      <c r="M69" s="18" t="str">
        <f aca="false">IF($J69="","",$J69-IF($L69="",0,$L69))</f>
        <v/>
      </c>
      <c r="N69" s="19" t="str">
        <f aca="true">IF(OR($A69="",$M69="",$M69&lt;=0),"",TODAY()-$A69)</f>
        <v/>
      </c>
      <c r="O69" s="20" t="str">
        <f aca="false">IF($B69="","",IFERROR(INDEX(차량목록!$D$3:$D$42,MATCH($B69,차량목록!$A$3:$A$42,0)),0))</f>
        <v/>
      </c>
      <c r="P69" s="18" t="str">
        <f aca="false">IF($J69="","",ROUND($J69*$O69,0))</f>
        <v/>
      </c>
    </row>
    <row r="70" customFormat="false" ht="15" hidden="false" customHeight="true" outlineLevel="0" collapsed="false">
      <c r="A70" s="13"/>
      <c r="B70" s="10"/>
      <c r="C70" s="14" t="str">
        <f aca="false">IF($B70="","",IFERROR(INDEX(차량목록!$B$3:$B$42,MATCH($B70,차량목록!$A$3:$A$42,0)),"미등록차량"))</f>
        <v/>
      </c>
      <c r="D70" s="10"/>
      <c r="E70" s="10"/>
      <c r="F70" s="15"/>
      <c r="G70" s="15"/>
      <c r="H70" s="16" t="str">
        <f aca="false">IF(OR($F70="",$G70=""),"",ROUND(IF($G70&lt;1,$G70*24,INT($G70/100)+MOD($G70,100)/60)-IF($F70&lt;1,$F70*24,INT($F70/100)+MOD($F70,100)/60),2))</f>
        <v/>
      </c>
      <c r="I70" s="17"/>
      <c r="J70" s="18" t="str">
        <f aca="false">IF(OR($H70="",$I70=""),"",ROUND($H70*$I70,0))</f>
        <v/>
      </c>
      <c r="K70" s="13"/>
      <c r="L70" s="17"/>
      <c r="M70" s="18" t="str">
        <f aca="false">IF($J70="","",$J70-IF($L70="",0,$L70))</f>
        <v/>
      </c>
      <c r="N70" s="19" t="str">
        <f aca="true">IF(OR($A70="",$M70="",$M70&lt;=0),"",TODAY()-$A70)</f>
        <v/>
      </c>
      <c r="O70" s="20" t="str">
        <f aca="false">IF($B70="","",IFERROR(INDEX(차량목록!$D$3:$D$42,MATCH($B70,차량목록!$A$3:$A$42,0)),0))</f>
        <v/>
      </c>
      <c r="P70" s="18" t="str">
        <f aca="false">IF($J70="","",ROUND($J70*$O70,0))</f>
        <v/>
      </c>
    </row>
    <row r="71" customFormat="false" ht="15" hidden="false" customHeight="true" outlineLevel="0" collapsed="false">
      <c r="A71" s="13"/>
      <c r="B71" s="10"/>
      <c r="C71" s="14" t="str">
        <f aca="false">IF($B71="","",IFERROR(INDEX(차량목록!$B$3:$B$42,MATCH($B71,차량목록!$A$3:$A$42,0)),"미등록차량"))</f>
        <v/>
      </c>
      <c r="D71" s="10"/>
      <c r="E71" s="10"/>
      <c r="F71" s="15"/>
      <c r="G71" s="15"/>
      <c r="H71" s="16" t="str">
        <f aca="false">IF(OR($F71="",$G71=""),"",ROUND(IF($G71&lt;1,$G71*24,INT($G71/100)+MOD($G71,100)/60)-IF($F71&lt;1,$F71*24,INT($F71/100)+MOD($F71,100)/60),2))</f>
        <v/>
      </c>
      <c r="I71" s="17"/>
      <c r="J71" s="18" t="str">
        <f aca="false">IF(OR($H71="",$I71=""),"",ROUND($H71*$I71,0))</f>
        <v/>
      </c>
      <c r="K71" s="13"/>
      <c r="L71" s="17"/>
      <c r="M71" s="18" t="str">
        <f aca="false">IF($J71="","",$J71-IF($L71="",0,$L71))</f>
        <v/>
      </c>
      <c r="N71" s="19" t="str">
        <f aca="true">IF(OR($A71="",$M71="",$M71&lt;=0),"",TODAY()-$A71)</f>
        <v/>
      </c>
      <c r="O71" s="20" t="str">
        <f aca="false">IF($B71="","",IFERROR(INDEX(차량목록!$D$3:$D$42,MATCH($B71,차량목록!$A$3:$A$42,0)),0))</f>
        <v/>
      </c>
      <c r="P71" s="18" t="str">
        <f aca="false">IF($J71="","",ROUND($J71*$O71,0))</f>
        <v/>
      </c>
    </row>
    <row r="72" customFormat="false" ht="15" hidden="false" customHeight="true" outlineLevel="0" collapsed="false">
      <c r="A72" s="13"/>
      <c r="B72" s="10"/>
      <c r="C72" s="14" t="str">
        <f aca="false">IF($B72="","",IFERROR(INDEX(차량목록!$B$3:$B$42,MATCH($B72,차량목록!$A$3:$A$42,0)),"미등록차량"))</f>
        <v/>
      </c>
      <c r="D72" s="10"/>
      <c r="E72" s="10"/>
      <c r="F72" s="15"/>
      <c r="G72" s="15"/>
      <c r="H72" s="16" t="str">
        <f aca="false">IF(OR($F72="",$G72=""),"",ROUND(IF($G72&lt;1,$G72*24,INT($G72/100)+MOD($G72,100)/60)-IF($F72&lt;1,$F72*24,INT($F72/100)+MOD($F72,100)/60),2))</f>
        <v/>
      </c>
      <c r="I72" s="17"/>
      <c r="J72" s="18" t="str">
        <f aca="false">IF(OR($H72="",$I72=""),"",ROUND($H72*$I72,0))</f>
        <v/>
      </c>
      <c r="K72" s="13"/>
      <c r="L72" s="17"/>
      <c r="M72" s="18" t="str">
        <f aca="false">IF($J72="","",$J72-IF($L72="",0,$L72))</f>
        <v/>
      </c>
      <c r="N72" s="19" t="str">
        <f aca="true">IF(OR($A72="",$M72="",$M72&lt;=0),"",TODAY()-$A72)</f>
        <v/>
      </c>
      <c r="O72" s="20" t="str">
        <f aca="false">IF($B72="","",IFERROR(INDEX(차량목록!$D$3:$D$42,MATCH($B72,차량목록!$A$3:$A$42,0)),0))</f>
        <v/>
      </c>
      <c r="P72" s="18" t="str">
        <f aca="false">IF($J72="","",ROUND($J72*$O72,0))</f>
        <v/>
      </c>
    </row>
    <row r="73" customFormat="false" ht="15" hidden="false" customHeight="true" outlineLevel="0" collapsed="false">
      <c r="A73" s="13"/>
      <c r="B73" s="10"/>
      <c r="C73" s="14" t="str">
        <f aca="false">IF($B73="","",IFERROR(INDEX(차량목록!$B$3:$B$42,MATCH($B73,차량목록!$A$3:$A$42,0)),"미등록차량"))</f>
        <v/>
      </c>
      <c r="D73" s="10"/>
      <c r="E73" s="10"/>
      <c r="F73" s="15"/>
      <c r="G73" s="15"/>
      <c r="H73" s="16" t="str">
        <f aca="false">IF(OR($F73="",$G73=""),"",ROUND(IF($G73&lt;1,$G73*24,INT($G73/100)+MOD($G73,100)/60)-IF($F73&lt;1,$F73*24,INT($F73/100)+MOD($F73,100)/60),2))</f>
        <v/>
      </c>
      <c r="I73" s="17"/>
      <c r="J73" s="18" t="str">
        <f aca="false">IF(OR($H73="",$I73=""),"",ROUND($H73*$I73,0))</f>
        <v/>
      </c>
      <c r="K73" s="13"/>
      <c r="L73" s="17"/>
      <c r="M73" s="18" t="str">
        <f aca="false">IF($J73="","",$J73-IF($L73="",0,$L73))</f>
        <v/>
      </c>
      <c r="N73" s="19" t="str">
        <f aca="true">IF(OR($A73="",$M73="",$M73&lt;=0),"",TODAY()-$A73)</f>
        <v/>
      </c>
      <c r="O73" s="20" t="str">
        <f aca="false">IF($B73="","",IFERROR(INDEX(차량목록!$D$3:$D$42,MATCH($B73,차량목록!$A$3:$A$42,0)),0))</f>
        <v/>
      </c>
      <c r="P73" s="18" t="str">
        <f aca="false">IF($J73="","",ROUND($J73*$O73,0))</f>
        <v/>
      </c>
    </row>
    <row r="74" customFormat="false" ht="15" hidden="false" customHeight="true" outlineLevel="0" collapsed="false">
      <c r="A74" s="13"/>
      <c r="B74" s="10"/>
      <c r="C74" s="14" t="str">
        <f aca="false">IF($B74="","",IFERROR(INDEX(차량목록!$B$3:$B$42,MATCH($B74,차량목록!$A$3:$A$42,0)),"미등록차량"))</f>
        <v/>
      </c>
      <c r="D74" s="10"/>
      <c r="E74" s="10"/>
      <c r="F74" s="15"/>
      <c r="G74" s="15"/>
      <c r="H74" s="16" t="str">
        <f aca="false">IF(OR($F74="",$G74=""),"",ROUND(IF($G74&lt;1,$G74*24,INT($G74/100)+MOD($G74,100)/60)-IF($F74&lt;1,$F74*24,INT($F74/100)+MOD($F74,100)/60),2))</f>
        <v/>
      </c>
      <c r="I74" s="17"/>
      <c r="J74" s="18" t="str">
        <f aca="false">IF(OR($H74="",$I74=""),"",ROUND($H74*$I74,0))</f>
        <v/>
      </c>
      <c r="K74" s="13"/>
      <c r="L74" s="17"/>
      <c r="M74" s="18" t="str">
        <f aca="false">IF($J74="","",$J74-IF($L74="",0,$L74))</f>
        <v/>
      </c>
      <c r="N74" s="19" t="str">
        <f aca="true">IF(OR($A74="",$M74="",$M74&lt;=0),"",TODAY()-$A74)</f>
        <v/>
      </c>
      <c r="O74" s="20" t="str">
        <f aca="false">IF($B74="","",IFERROR(INDEX(차량목록!$D$3:$D$42,MATCH($B74,차량목록!$A$3:$A$42,0)),0))</f>
        <v/>
      </c>
      <c r="P74" s="18" t="str">
        <f aca="false">IF($J74="","",ROUND($J74*$O74,0))</f>
        <v/>
      </c>
    </row>
    <row r="75" customFormat="false" ht="15" hidden="false" customHeight="true" outlineLevel="0" collapsed="false">
      <c r="A75" s="13"/>
      <c r="B75" s="10"/>
      <c r="C75" s="14" t="str">
        <f aca="false">IF($B75="","",IFERROR(INDEX(차량목록!$B$3:$B$42,MATCH($B75,차량목록!$A$3:$A$42,0)),"미등록차량"))</f>
        <v/>
      </c>
      <c r="D75" s="10"/>
      <c r="E75" s="10"/>
      <c r="F75" s="15"/>
      <c r="G75" s="15"/>
      <c r="H75" s="16" t="str">
        <f aca="false">IF(OR($F75="",$G75=""),"",ROUND(IF($G75&lt;1,$G75*24,INT($G75/100)+MOD($G75,100)/60)-IF($F75&lt;1,$F75*24,INT($F75/100)+MOD($F75,100)/60),2))</f>
        <v/>
      </c>
      <c r="I75" s="17"/>
      <c r="J75" s="18" t="str">
        <f aca="false">IF(OR($H75="",$I75=""),"",ROUND($H75*$I75,0))</f>
        <v/>
      </c>
      <c r="K75" s="13"/>
      <c r="L75" s="17"/>
      <c r="M75" s="18" t="str">
        <f aca="false">IF($J75="","",$J75-IF($L75="",0,$L75))</f>
        <v/>
      </c>
      <c r="N75" s="19" t="str">
        <f aca="true">IF(OR($A75="",$M75="",$M75&lt;=0),"",TODAY()-$A75)</f>
        <v/>
      </c>
      <c r="O75" s="20" t="str">
        <f aca="false">IF($B75="","",IFERROR(INDEX(차량목록!$D$3:$D$42,MATCH($B75,차량목록!$A$3:$A$42,0)),0))</f>
        <v/>
      </c>
      <c r="P75" s="18" t="str">
        <f aca="false">IF($J75="","",ROUND($J75*$O75,0))</f>
        <v/>
      </c>
    </row>
    <row r="76" customFormat="false" ht="15" hidden="false" customHeight="true" outlineLevel="0" collapsed="false">
      <c r="A76" s="13"/>
      <c r="B76" s="10"/>
      <c r="C76" s="14" t="str">
        <f aca="false">IF($B76="","",IFERROR(INDEX(차량목록!$B$3:$B$42,MATCH($B76,차량목록!$A$3:$A$42,0)),"미등록차량"))</f>
        <v/>
      </c>
      <c r="D76" s="10"/>
      <c r="E76" s="10"/>
      <c r="F76" s="15"/>
      <c r="G76" s="15"/>
      <c r="H76" s="16" t="str">
        <f aca="false">IF(OR($F76="",$G76=""),"",ROUND(IF($G76&lt;1,$G76*24,INT($G76/100)+MOD($G76,100)/60)-IF($F76&lt;1,$F76*24,INT($F76/100)+MOD($F76,100)/60),2))</f>
        <v/>
      </c>
      <c r="I76" s="17"/>
      <c r="J76" s="18" t="str">
        <f aca="false">IF(OR($H76="",$I76=""),"",ROUND($H76*$I76,0))</f>
        <v/>
      </c>
      <c r="K76" s="13"/>
      <c r="L76" s="17"/>
      <c r="M76" s="18" t="str">
        <f aca="false">IF($J76="","",$J76-IF($L76="",0,$L76))</f>
        <v/>
      </c>
      <c r="N76" s="19" t="str">
        <f aca="true">IF(OR($A76="",$M76="",$M76&lt;=0),"",TODAY()-$A76)</f>
        <v/>
      </c>
      <c r="O76" s="20" t="str">
        <f aca="false">IF($B76="","",IFERROR(INDEX(차량목록!$D$3:$D$42,MATCH($B76,차량목록!$A$3:$A$42,0)),0))</f>
        <v/>
      </c>
      <c r="P76" s="18" t="str">
        <f aca="false">IF($J76="","",ROUND($J76*$O76,0))</f>
        <v/>
      </c>
    </row>
    <row r="77" customFormat="false" ht="15" hidden="false" customHeight="true" outlineLevel="0" collapsed="false">
      <c r="A77" s="13"/>
      <c r="B77" s="10"/>
      <c r="C77" s="14" t="str">
        <f aca="false">IF($B77="","",IFERROR(INDEX(차량목록!$B$3:$B$42,MATCH($B77,차량목록!$A$3:$A$42,0)),"미등록차량"))</f>
        <v/>
      </c>
      <c r="D77" s="10"/>
      <c r="E77" s="10"/>
      <c r="F77" s="15"/>
      <c r="G77" s="15"/>
      <c r="H77" s="16" t="str">
        <f aca="false">IF(OR($F77="",$G77=""),"",ROUND(IF($G77&lt;1,$G77*24,INT($G77/100)+MOD($G77,100)/60)-IF($F77&lt;1,$F77*24,INT($F77/100)+MOD($F77,100)/60),2))</f>
        <v/>
      </c>
      <c r="I77" s="17"/>
      <c r="J77" s="18" t="str">
        <f aca="false">IF(OR($H77="",$I77=""),"",ROUND($H77*$I77,0))</f>
        <v/>
      </c>
      <c r="K77" s="13"/>
      <c r="L77" s="17"/>
      <c r="M77" s="18" t="str">
        <f aca="false">IF($J77="","",$J77-IF($L77="",0,$L77))</f>
        <v/>
      </c>
      <c r="N77" s="19" t="str">
        <f aca="true">IF(OR($A77="",$M77="",$M77&lt;=0),"",TODAY()-$A77)</f>
        <v/>
      </c>
      <c r="O77" s="20" t="str">
        <f aca="false">IF($B77="","",IFERROR(INDEX(차량목록!$D$3:$D$42,MATCH($B77,차량목록!$A$3:$A$42,0)),0))</f>
        <v/>
      </c>
      <c r="P77" s="18" t="str">
        <f aca="false">IF($J77="","",ROUND($J77*$O77,0))</f>
        <v/>
      </c>
    </row>
    <row r="78" customFormat="false" ht="15" hidden="false" customHeight="true" outlineLevel="0" collapsed="false">
      <c r="A78" s="13"/>
      <c r="B78" s="10"/>
      <c r="C78" s="14" t="str">
        <f aca="false">IF($B78="","",IFERROR(INDEX(차량목록!$B$3:$B$42,MATCH($B78,차량목록!$A$3:$A$42,0)),"미등록차량"))</f>
        <v/>
      </c>
      <c r="D78" s="10"/>
      <c r="E78" s="10"/>
      <c r="F78" s="15"/>
      <c r="G78" s="15"/>
      <c r="H78" s="16" t="str">
        <f aca="false">IF(OR($F78="",$G78=""),"",ROUND(IF($G78&lt;1,$G78*24,INT($G78/100)+MOD($G78,100)/60)-IF($F78&lt;1,$F78*24,INT($F78/100)+MOD($F78,100)/60),2))</f>
        <v/>
      </c>
      <c r="I78" s="17"/>
      <c r="J78" s="18" t="str">
        <f aca="false">IF(OR($H78="",$I78=""),"",ROUND($H78*$I78,0))</f>
        <v/>
      </c>
      <c r="K78" s="13"/>
      <c r="L78" s="17"/>
      <c r="M78" s="18" t="str">
        <f aca="false">IF($J78="","",$J78-IF($L78="",0,$L78))</f>
        <v/>
      </c>
      <c r="N78" s="19" t="str">
        <f aca="true">IF(OR($A78="",$M78="",$M78&lt;=0),"",TODAY()-$A78)</f>
        <v/>
      </c>
      <c r="O78" s="20" t="str">
        <f aca="false">IF($B78="","",IFERROR(INDEX(차량목록!$D$3:$D$42,MATCH($B78,차량목록!$A$3:$A$42,0)),0))</f>
        <v/>
      </c>
      <c r="P78" s="18" t="str">
        <f aca="false">IF($J78="","",ROUND($J78*$O78,0))</f>
        <v/>
      </c>
    </row>
    <row r="79" customFormat="false" ht="15" hidden="false" customHeight="true" outlineLevel="0" collapsed="false">
      <c r="A79" s="13"/>
      <c r="B79" s="10"/>
      <c r="C79" s="14" t="str">
        <f aca="false">IF($B79="","",IFERROR(INDEX(차량목록!$B$3:$B$42,MATCH($B79,차량목록!$A$3:$A$42,0)),"미등록차량"))</f>
        <v/>
      </c>
      <c r="D79" s="10"/>
      <c r="E79" s="10"/>
      <c r="F79" s="15"/>
      <c r="G79" s="15"/>
      <c r="H79" s="16" t="str">
        <f aca="false">IF(OR($F79="",$G79=""),"",ROUND(IF($G79&lt;1,$G79*24,INT($G79/100)+MOD($G79,100)/60)-IF($F79&lt;1,$F79*24,INT($F79/100)+MOD($F79,100)/60),2))</f>
        <v/>
      </c>
      <c r="I79" s="17"/>
      <c r="J79" s="18" t="str">
        <f aca="false">IF(OR($H79="",$I79=""),"",ROUND($H79*$I79,0))</f>
        <v/>
      </c>
      <c r="K79" s="13"/>
      <c r="L79" s="17"/>
      <c r="M79" s="18" t="str">
        <f aca="false">IF($J79="","",$J79-IF($L79="",0,$L79))</f>
        <v/>
      </c>
      <c r="N79" s="19" t="str">
        <f aca="true">IF(OR($A79="",$M79="",$M79&lt;=0),"",TODAY()-$A79)</f>
        <v/>
      </c>
      <c r="O79" s="20" t="str">
        <f aca="false">IF($B79="","",IFERROR(INDEX(차량목록!$D$3:$D$42,MATCH($B79,차량목록!$A$3:$A$42,0)),0))</f>
        <v/>
      </c>
      <c r="P79" s="18" t="str">
        <f aca="false">IF($J79="","",ROUND($J79*$O79,0))</f>
        <v/>
      </c>
    </row>
    <row r="80" customFormat="false" ht="15" hidden="false" customHeight="true" outlineLevel="0" collapsed="false">
      <c r="A80" s="13"/>
      <c r="B80" s="10"/>
      <c r="C80" s="14" t="str">
        <f aca="false">IF($B80="","",IFERROR(INDEX(차량목록!$B$3:$B$42,MATCH($B80,차량목록!$A$3:$A$42,0)),"미등록차량"))</f>
        <v/>
      </c>
      <c r="D80" s="10"/>
      <c r="E80" s="10"/>
      <c r="F80" s="15"/>
      <c r="G80" s="15"/>
      <c r="H80" s="16" t="str">
        <f aca="false">IF(OR($F80="",$G80=""),"",ROUND(IF($G80&lt;1,$G80*24,INT($G80/100)+MOD($G80,100)/60)-IF($F80&lt;1,$F80*24,INT($F80/100)+MOD($F80,100)/60),2))</f>
        <v/>
      </c>
      <c r="I80" s="17"/>
      <c r="J80" s="18" t="str">
        <f aca="false">IF(OR($H80="",$I80=""),"",ROUND($H80*$I80,0))</f>
        <v/>
      </c>
      <c r="K80" s="13"/>
      <c r="L80" s="17"/>
      <c r="M80" s="18" t="str">
        <f aca="false">IF($J80="","",$J80-IF($L80="",0,$L80))</f>
        <v/>
      </c>
      <c r="N80" s="19" t="str">
        <f aca="true">IF(OR($A80="",$M80="",$M80&lt;=0),"",TODAY()-$A80)</f>
        <v/>
      </c>
      <c r="O80" s="20" t="str">
        <f aca="false">IF($B80="","",IFERROR(INDEX(차량목록!$D$3:$D$42,MATCH($B80,차량목록!$A$3:$A$42,0)),0))</f>
        <v/>
      </c>
      <c r="P80" s="18" t="str">
        <f aca="false">IF($J80="","",ROUND($J80*$O80,0))</f>
        <v/>
      </c>
    </row>
    <row r="81" customFormat="false" ht="15" hidden="false" customHeight="true" outlineLevel="0" collapsed="false">
      <c r="A81" s="13"/>
      <c r="B81" s="10"/>
      <c r="C81" s="14" t="str">
        <f aca="false">IF($B81="","",IFERROR(INDEX(차량목록!$B$3:$B$42,MATCH($B81,차량목록!$A$3:$A$42,0)),"미등록차량"))</f>
        <v/>
      </c>
      <c r="D81" s="10"/>
      <c r="E81" s="10"/>
      <c r="F81" s="15"/>
      <c r="G81" s="15"/>
      <c r="H81" s="16" t="str">
        <f aca="false">IF(OR($F81="",$G81=""),"",ROUND(IF($G81&lt;1,$G81*24,INT($G81/100)+MOD($G81,100)/60)-IF($F81&lt;1,$F81*24,INT($F81/100)+MOD($F81,100)/60),2))</f>
        <v/>
      </c>
      <c r="I81" s="17"/>
      <c r="J81" s="18" t="str">
        <f aca="false">IF(OR($H81="",$I81=""),"",ROUND($H81*$I81,0))</f>
        <v/>
      </c>
      <c r="K81" s="13"/>
      <c r="L81" s="17"/>
      <c r="M81" s="18" t="str">
        <f aca="false">IF($J81="","",$J81-IF($L81="",0,$L81))</f>
        <v/>
      </c>
      <c r="N81" s="19" t="str">
        <f aca="true">IF(OR($A81="",$M81="",$M81&lt;=0),"",TODAY()-$A81)</f>
        <v/>
      </c>
      <c r="O81" s="20" t="str">
        <f aca="false">IF($B81="","",IFERROR(INDEX(차량목록!$D$3:$D$42,MATCH($B81,차량목록!$A$3:$A$42,0)),0))</f>
        <v/>
      </c>
      <c r="P81" s="18" t="str">
        <f aca="false">IF($J81="","",ROUND($J81*$O81,0))</f>
        <v/>
      </c>
    </row>
    <row r="82" customFormat="false" ht="15" hidden="false" customHeight="true" outlineLevel="0" collapsed="false">
      <c r="A82" s="13"/>
      <c r="B82" s="10"/>
      <c r="C82" s="14" t="str">
        <f aca="false">IF($B82="","",IFERROR(INDEX(차량목록!$B$3:$B$42,MATCH($B82,차량목록!$A$3:$A$42,0)),"미등록차량"))</f>
        <v/>
      </c>
      <c r="D82" s="10"/>
      <c r="E82" s="10"/>
      <c r="F82" s="15"/>
      <c r="G82" s="15"/>
      <c r="H82" s="16" t="str">
        <f aca="false">IF(OR($F82="",$G82=""),"",ROUND(IF($G82&lt;1,$G82*24,INT($G82/100)+MOD($G82,100)/60)-IF($F82&lt;1,$F82*24,INT($F82/100)+MOD($F82,100)/60),2))</f>
        <v/>
      </c>
      <c r="I82" s="17"/>
      <c r="J82" s="18" t="str">
        <f aca="false">IF(OR($H82="",$I82=""),"",ROUND($H82*$I82,0))</f>
        <v/>
      </c>
      <c r="K82" s="13"/>
      <c r="L82" s="17"/>
      <c r="M82" s="18" t="str">
        <f aca="false">IF($J82="","",$J82-IF($L82="",0,$L82))</f>
        <v/>
      </c>
      <c r="N82" s="19" t="str">
        <f aca="true">IF(OR($A82="",$M82="",$M82&lt;=0),"",TODAY()-$A82)</f>
        <v/>
      </c>
      <c r="O82" s="20" t="str">
        <f aca="false">IF($B82="","",IFERROR(INDEX(차량목록!$D$3:$D$42,MATCH($B82,차량목록!$A$3:$A$42,0)),0))</f>
        <v/>
      </c>
      <c r="P82" s="18" t="str">
        <f aca="false">IF($J82="","",ROUND($J82*$O82,0))</f>
        <v/>
      </c>
    </row>
    <row r="83" customFormat="false" ht="15" hidden="false" customHeight="true" outlineLevel="0" collapsed="false">
      <c r="A83" s="13"/>
      <c r="B83" s="10"/>
      <c r="C83" s="14" t="str">
        <f aca="false">IF($B83="","",IFERROR(INDEX(차량목록!$B$3:$B$42,MATCH($B83,차량목록!$A$3:$A$42,0)),"미등록차량"))</f>
        <v/>
      </c>
      <c r="D83" s="10"/>
      <c r="E83" s="10"/>
      <c r="F83" s="15"/>
      <c r="G83" s="15"/>
      <c r="H83" s="16" t="str">
        <f aca="false">IF(OR($F83="",$G83=""),"",ROUND(IF($G83&lt;1,$G83*24,INT($G83/100)+MOD($G83,100)/60)-IF($F83&lt;1,$F83*24,INT($F83/100)+MOD($F83,100)/60),2))</f>
        <v/>
      </c>
      <c r="I83" s="17"/>
      <c r="J83" s="18" t="str">
        <f aca="false">IF(OR($H83="",$I83=""),"",ROUND($H83*$I83,0))</f>
        <v/>
      </c>
      <c r="K83" s="13"/>
      <c r="L83" s="17"/>
      <c r="M83" s="18" t="str">
        <f aca="false">IF($J83="","",$J83-IF($L83="",0,$L83))</f>
        <v/>
      </c>
      <c r="N83" s="19" t="str">
        <f aca="true">IF(OR($A83="",$M83="",$M83&lt;=0),"",TODAY()-$A83)</f>
        <v/>
      </c>
      <c r="O83" s="20" t="str">
        <f aca="false">IF($B83="","",IFERROR(INDEX(차량목록!$D$3:$D$42,MATCH($B83,차량목록!$A$3:$A$42,0)),0))</f>
        <v/>
      </c>
      <c r="P83" s="18" t="str">
        <f aca="false">IF($J83="","",ROUND($J83*$O83,0))</f>
        <v/>
      </c>
    </row>
    <row r="84" customFormat="false" ht="15" hidden="false" customHeight="true" outlineLevel="0" collapsed="false">
      <c r="A84" s="13"/>
      <c r="B84" s="10"/>
      <c r="C84" s="14" t="str">
        <f aca="false">IF($B84="","",IFERROR(INDEX(차량목록!$B$3:$B$42,MATCH($B84,차량목록!$A$3:$A$42,0)),"미등록차량"))</f>
        <v/>
      </c>
      <c r="D84" s="10"/>
      <c r="E84" s="10"/>
      <c r="F84" s="15"/>
      <c r="G84" s="15"/>
      <c r="H84" s="16" t="str">
        <f aca="false">IF(OR($F84="",$G84=""),"",ROUND(IF($G84&lt;1,$G84*24,INT($G84/100)+MOD($G84,100)/60)-IF($F84&lt;1,$F84*24,INT($F84/100)+MOD($F84,100)/60),2))</f>
        <v/>
      </c>
      <c r="I84" s="17"/>
      <c r="J84" s="18" t="str">
        <f aca="false">IF(OR($H84="",$I84=""),"",ROUND($H84*$I84,0))</f>
        <v/>
      </c>
      <c r="K84" s="13"/>
      <c r="L84" s="17"/>
      <c r="M84" s="18" t="str">
        <f aca="false">IF($J84="","",$J84-IF($L84="",0,$L84))</f>
        <v/>
      </c>
      <c r="N84" s="19" t="str">
        <f aca="true">IF(OR($A84="",$M84="",$M84&lt;=0),"",TODAY()-$A84)</f>
        <v/>
      </c>
      <c r="O84" s="20" t="str">
        <f aca="false">IF($B84="","",IFERROR(INDEX(차량목록!$D$3:$D$42,MATCH($B84,차량목록!$A$3:$A$42,0)),0))</f>
        <v/>
      </c>
      <c r="P84" s="18" t="str">
        <f aca="false">IF($J84="","",ROUND($J84*$O84,0))</f>
        <v/>
      </c>
    </row>
    <row r="85" customFormat="false" ht="15" hidden="false" customHeight="true" outlineLevel="0" collapsed="false">
      <c r="A85" s="13"/>
      <c r="B85" s="10"/>
      <c r="C85" s="14" t="str">
        <f aca="false">IF($B85="","",IFERROR(INDEX(차량목록!$B$3:$B$42,MATCH($B85,차량목록!$A$3:$A$42,0)),"미등록차량"))</f>
        <v/>
      </c>
      <c r="D85" s="10"/>
      <c r="E85" s="10"/>
      <c r="F85" s="15"/>
      <c r="G85" s="15"/>
      <c r="H85" s="16" t="str">
        <f aca="false">IF(OR($F85="",$G85=""),"",ROUND(IF($G85&lt;1,$G85*24,INT($G85/100)+MOD($G85,100)/60)-IF($F85&lt;1,$F85*24,INT($F85/100)+MOD($F85,100)/60),2))</f>
        <v/>
      </c>
      <c r="I85" s="17"/>
      <c r="J85" s="18" t="str">
        <f aca="false">IF(OR($H85="",$I85=""),"",ROUND($H85*$I85,0))</f>
        <v/>
      </c>
      <c r="K85" s="13"/>
      <c r="L85" s="17"/>
      <c r="M85" s="18" t="str">
        <f aca="false">IF($J85="","",$J85-IF($L85="",0,$L85))</f>
        <v/>
      </c>
      <c r="N85" s="19" t="str">
        <f aca="true">IF(OR($A85="",$M85="",$M85&lt;=0),"",TODAY()-$A85)</f>
        <v/>
      </c>
      <c r="O85" s="20" t="str">
        <f aca="false">IF($B85="","",IFERROR(INDEX(차량목록!$D$3:$D$42,MATCH($B85,차량목록!$A$3:$A$42,0)),0))</f>
        <v/>
      </c>
      <c r="P85" s="18" t="str">
        <f aca="false">IF($J85="","",ROUND($J85*$O85,0))</f>
        <v/>
      </c>
    </row>
    <row r="86" customFormat="false" ht="15" hidden="false" customHeight="true" outlineLevel="0" collapsed="false">
      <c r="A86" s="13"/>
      <c r="B86" s="10"/>
      <c r="C86" s="14" t="str">
        <f aca="false">IF($B86="","",IFERROR(INDEX(차량목록!$B$3:$B$42,MATCH($B86,차량목록!$A$3:$A$42,0)),"미등록차량"))</f>
        <v/>
      </c>
      <c r="D86" s="10"/>
      <c r="E86" s="10"/>
      <c r="F86" s="15"/>
      <c r="G86" s="15"/>
      <c r="H86" s="16" t="str">
        <f aca="false">IF(OR($F86="",$G86=""),"",ROUND(IF($G86&lt;1,$G86*24,INT($G86/100)+MOD($G86,100)/60)-IF($F86&lt;1,$F86*24,INT($F86/100)+MOD($F86,100)/60),2))</f>
        <v/>
      </c>
      <c r="I86" s="17"/>
      <c r="J86" s="18" t="str">
        <f aca="false">IF(OR($H86="",$I86=""),"",ROUND($H86*$I86,0))</f>
        <v/>
      </c>
      <c r="K86" s="13"/>
      <c r="L86" s="17"/>
      <c r="M86" s="18" t="str">
        <f aca="false">IF($J86="","",$J86-IF($L86="",0,$L86))</f>
        <v/>
      </c>
      <c r="N86" s="19" t="str">
        <f aca="true">IF(OR($A86="",$M86="",$M86&lt;=0),"",TODAY()-$A86)</f>
        <v/>
      </c>
      <c r="O86" s="20" t="str">
        <f aca="false">IF($B86="","",IFERROR(INDEX(차량목록!$D$3:$D$42,MATCH($B86,차량목록!$A$3:$A$42,0)),0))</f>
        <v/>
      </c>
      <c r="P86" s="18" t="str">
        <f aca="false">IF($J86="","",ROUND($J86*$O86,0))</f>
        <v/>
      </c>
    </row>
    <row r="87" customFormat="false" ht="15" hidden="false" customHeight="true" outlineLevel="0" collapsed="false">
      <c r="A87" s="13"/>
      <c r="B87" s="10"/>
      <c r="C87" s="14" t="str">
        <f aca="false">IF($B87="","",IFERROR(INDEX(차량목록!$B$3:$B$42,MATCH($B87,차량목록!$A$3:$A$42,0)),"미등록차량"))</f>
        <v/>
      </c>
      <c r="D87" s="10"/>
      <c r="E87" s="10"/>
      <c r="F87" s="15"/>
      <c r="G87" s="15"/>
      <c r="H87" s="16" t="str">
        <f aca="false">IF(OR($F87="",$G87=""),"",ROUND(IF($G87&lt;1,$G87*24,INT($G87/100)+MOD($G87,100)/60)-IF($F87&lt;1,$F87*24,INT($F87/100)+MOD($F87,100)/60),2))</f>
        <v/>
      </c>
      <c r="I87" s="17"/>
      <c r="J87" s="18" t="str">
        <f aca="false">IF(OR($H87="",$I87=""),"",ROUND($H87*$I87,0))</f>
        <v/>
      </c>
      <c r="K87" s="13"/>
      <c r="L87" s="17"/>
      <c r="M87" s="18" t="str">
        <f aca="false">IF($J87="","",$J87-IF($L87="",0,$L87))</f>
        <v/>
      </c>
      <c r="N87" s="19" t="str">
        <f aca="true">IF(OR($A87="",$M87="",$M87&lt;=0),"",TODAY()-$A87)</f>
        <v/>
      </c>
      <c r="O87" s="20" t="str">
        <f aca="false">IF($B87="","",IFERROR(INDEX(차량목록!$D$3:$D$42,MATCH($B87,차량목록!$A$3:$A$42,0)),0))</f>
        <v/>
      </c>
      <c r="P87" s="18" t="str">
        <f aca="false">IF($J87="","",ROUND($J87*$O87,0))</f>
        <v/>
      </c>
    </row>
    <row r="88" customFormat="false" ht="15" hidden="false" customHeight="true" outlineLevel="0" collapsed="false">
      <c r="A88" s="13"/>
      <c r="B88" s="10"/>
      <c r="C88" s="14" t="str">
        <f aca="false">IF($B88="","",IFERROR(INDEX(차량목록!$B$3:$B$42,MATCH($B88,차량목록!$A$3:$A$42,0)),"미등록차량"))</f>
        <v/>
      </c>
      <c r="D88" s="10"/>
      <c r="E88" s="10"/>
      <c r="F88" s="15"/>
      <c r="G88" s="15"/>
      <c r="H88" s="16" t="str">
        <f aca="false">IF(OR($F88="",$G88=""),"",ROUND(IF($G88&lt;1,$G88*24,INT($G88/100)+MOD($G88,100)/60)-IF($F88&lt;1,$F88*24,INT($F88/100)+MOD($F88,100)/60),2))</f>
        <v/>
      </c>
      <c r="I88" s="17"/>
      <c r="J88" s="18" t="str">
        <f aca="false">IF(OR($H88="",$I88=""),"",ROUND($H88*$I88,0))</f>
        <v/>
      </c>
      <c r="K88" s="13"/>
      <c r="L88" s="17"/>
      <c r="M88" s="18" t="str">
        <f aca="false">IF($J88="","",$J88-IF($L88="",0,$L88))</f>
        <v/>
      </c>
      <c r="N88" s="19" t="str">
        <f aca="true">IF(OR($A88="",$M88="",$M88&lt;=0),"",TODAY()-$A88)</f>
        <v/>
      </c>
      <c r="O88" s="20" t="str">
        <f aca="false">IF($B88="","",IFERROR(INDEX(차량목록!$D$3:$D$42,MATCH($B88,차량목록!$A$3:$A$42,0)),0))</f>
        <v/>
      </c>
      <c r="P88" s="18" t="str">
        <f aca="false">IF($J88="","",ROUND($J88*$O88,0))</f>
        <v/>
      </c>
    </row>
    <row r="89" customFormat="false" ht="15" hidden="false" customHeight="true" outlineLevel="0" collapsed="false">
      <c r="A89" s="13"/>
      <c r="B89" s="10"/>
      <c r="C89" s="14" t="str">
        <f aca="false">IF($B89="","",IFERROR(INDEX(차량목록!$B$3:$B$42,MATCH($B89,차량목록!$A$3:$A$42,0)),"미등록차량"))</f>
        <v/>
      </c>
      <c r="D89" s="10"/>
      <c r="E89" s="10"/>
      <c r="F89" s="15"/>
      <c r="G89" s="15"/>
      <c r="H89" s="16" t="str">
        <f aca="false">IF(OR($F89="",$G89=""),"",ROUND(IF($G89&lt;1,$G89*24,INT($G89/100)+MOD($G89,100)/60)-IF($F89&lt;1,$F89*24,INT($F89/100)+MOD($F89,100)/60),2))</f>
        <v/>
      </c>
      <c r="I89" s="17"/>
      <c r="J89" s="18" t="str">
        <f aca="false">IF(OR($H89="",$I89=""),"",ROUND($H89*$I89,0))</f>
        <v/>
      </c>
      <c r="K89" s="13"/>
      <c r="L89" s="17"/>
      <c r="M89" s="18" t="str">
        <f aca="false">IF($J89="","",$J89-IF($L89="",0,$L89))</f>
        <v/>
      </c>
      <c r="N89" s="19" t="str">
        <f aca="true">IF(OR($A89="",$M89="",$M89&lt;=0),"",TODAY()-$A89)</f>
        <v/>
      </c>
      <c r="O89" s="20" t="str">
        <f aca="false">IF($B89="","",IFERROR(INDEX(차량목록!$D$3:$D$42,MATCH($B89,차량목록!$A$3:$A$42,0)),0))</f>
        <v/>
      </c>
      <c r="P89" s="18" t="str">
        <f aca="false">IF($J89="","",ROUND($J89*$O89,0))</f>
        <v/>
      </c>
    </row>
    <row r="90" customFormat="false" ht="15" hidden="false" customHeight="true" outlineLevel="0" collapsed="false">
      <c r="A90" s="13"/>
      <c r="B90" s="10"/>
      <c r="C90" s="14" t="str">
        <f aca="false">IF($B90="","",IFERROR(INDEX(차량목록!$B$3:$B$42,MATCH($B90,차량목록!$A$3:$A$42,0)),"미등록차량"))</f>
        <v/>
      </c>
      <c r="D90" s="10"/>
      <c r="E90" s="10"/>
      <c r="F90" s="15"/>
      <c r="G90" s="15"/>
      <c r="H90" s="16" t="str">
        <f aca="false">IF(OR($F90="",$G90=""),"",ROUND(IF($G90&lt;1,$G90*24,INT($G90/100)+MOD($G90,100)/60)-IF($F90&lt;1,$F90*24,INT($F90/100)+MOD($F90,100)/60),2))</f>
        <v/>
      </c>
      <c r="I90" s="17"/>
      <c r="J90" s="18" t="str">
        <f aca="false">IF(OR($H90="",$I90=""),"",ROUND($H90*$I90,0))</f>
        <v/>
      </c>
      <c r="K90" s="13"/>
      <c r="L90" s="17"/>
      <c r="M90" s="18" t="str">
        <f aca="false">IF($J90="","",$J90-IF($L90="",0,$L90))</f>
        <v/>
      </c>
      <c r="N90" s="19" t="str">
        <f aca="true">IF(OR($A90="",$M90="",$M90&lt;=0),"",TODAY()-$A90)</f>
        <v/>
      </c>
      <c r="O90" s="20" t="str">
        <f aca="false">IF($B90="","",IFERROR(INDEX(차량목록!$D$3:$D$42,MATCH($B90,차량목록!$A$3:$A$42,0)),0))</f>
        <v/>
      </c>
      <c r="P90" s="18" t="str">
        <f aca="false">IF($J90="","",ROUND($J90*$O90,0))</f>
        <v/>
      </c>
    </row>
    <row r="91" customFormat="false" ht="15" hidden="false" customHeight="true" outlineLevel="0" collapsed="false">
      <c r="A91" s="13"/>
      <c r="B91" s="10"/>
      <c r="C91" s="14" t="str">
        <f aca="false">IF($B91="","",IFERROR(INDEX(차량목록!$B$3:$B$42,MATCH($B91,차량목록!$A$3:$A$42,0)),"미등록차량"))</f>
        <v/>
      </c>
      <c r="D91" s="10"/>
      <c r="E91" s="10"/>
      <c r="F91" s="15"/>
      <c r="G91" s="15"/>
      <c r="H91" s="16" t="str">
        <f aca="false">IF(OR($F91="",$G91=""),"",ROUND(IF($G91&lt;1,$G91*24,INT($G91/100)+MOD($G91,100)/60)-IF($F91&lt;1,$F91*24,INT($F91/100)+MOD($F91,100)/60),2))</f>
        <v/>
      </c>
      <c r="I91" s="17"/>
      <c r="J91" s="18" t="str">
        <f aca="false">IF(OR($H91="",$I91=""),"",ROUND($H91*$I91,0))</f>
        <v/>
      </c>
      <c r="K91" s="13"/>
      <c r="L91" s="17"/>
      <c r="M91" s="18" t="str">
        <f aca="false">IF($J91="","",$J91-IF($L91="",0,$L91))</f>
        <v/>
      </c>
      <c r="N91" s="19" t="str">
        <f aca="true">IF(OR($A91="",$M91="",$M91&lt;=0),"",TODAY()-$A91)</f>
        <v/>
      </c>
      <c r="O91" s="20" t="str">
        <f aca="false">IF($B91="","",IFERROR(INDEX(차량목록!$D$3:$D$42,MATCH($B91,차량목록!$A$3:$A$42,0)),0))</f>
        <v/>
      </c>
      <c r="P91" s="18" t="str">
        <f aca="false">IF($J91="","",ROUND($J91*$O91,0))</f>
        <v/>
      </c>
    </row>
    <row r="92" customFormat="false" ht="15" hidden="false" customHeight="true" outlineLevel="0" collapsed="false">
      <c r="A92" s="13"/>
      <c r="B92" s="10"/>
      <c r="C92" s="14" t="str">
        <f aca="false">IF($B92="","",IFERROR(INDEX(차량목록!$B$3:$B$42,MATCH($B92,차량목록!$A$3:$A$42,0)),"미등록차량"))</f>
        <v/>
      </c>
      <c r="D92" s="10"/>
      <c r="E92" s="10"/>
      <c r="F92" s="15"/>
      <c r="G92" s="15"/>
      <c r="H92" s="16" t="str">
        <f aca="false">IF(OR($F92="",$G92=""),"",ROUND(IF($G92&lt;1,$G92*24,INT($G92/100)+MOD($G92,100)/60)-IF($F92&lt;1,$F92*24,INT($F92/100)+MOD($F92,100)/60),2))</f>
        <v/>
      </c>
      <c r="I92" s="17"/>
      <c r="J92" s="18" t="str">
        <f aca="false">IF(OR($H92="",$I92=""),"",ROUND($H92*$I92,0))</f>
        <v/>
      </c>
      <c r="K92" s="13"/>
      <c r="L92" s="17"/>
      <c r="M92" s="18" t="str">
        <f aca="false">IF($J92="","",$J92-IF($L92="",0,$L92))</f>
        <v/>
      </c>
      <c r="N92" s="19" t="str">
        <f aca="true">IF(OR($A92="",$M92="",$M92&lt;=0),"",TODAY()-$A92)</f>
        <v/>
      </c>
      <c r="O92" s="20" t="str">
        <f aca="false">IF($B92="","",IFERROR(INDEX(차량목록!$D$3:$D$42,MATCH($B92,차량목록!$A$3:$A$42,0)),0))</f>
        <v/>
      </c>
      <c r="P92" s="18" t="str">
        <f aca="false">IF($J92="","",ROUND($J92*$O92,0))</f>
        <v/>
      </c>
    </row>
    <row r="93" customFormat="false" ht="15" hidden="false" customHeight="true" outlineLevel="0" collapsed="false">
      <c r="A93" s="13"/>
      <c r="B93" s="10"/>
      <c r="C93" s="14" t="str">
        <f aca="false">IF($B93="","",IFERROR(INDEX(차량목록!$B$3:$B$42,MATCH($B93,차량목록!$A$3:$A$42,0)),"미등록차량"))</f>
        <v/>
      </c>
      <c r="D93" s="10"/>
      <c r="E93" s="10"/>
      <c r="F93" s="15"/>
      <c r="G93" s="15"/>
      <c r="H93" s="16" t="str">
        <f aca="false">IF(OR($F93="",$G93=""),"",ROUND(IF($G93&lt;1,$G93*24,INT($G93/100)+MOD($G93,100)/60)-IF($F93&lt;1,$F93*24,INT($F93/100)+MOD($F93,100)/60),2))</f>
        <v/>
      </c>
      <c r="I93" s="17"/>
      <c r="J93" s="18" t="str">
        <f aca="false">IF(OR($H93="",$I93=""),"",ROUND($H93*$I93,0))</f>
        <v/>
      </c>
      <c r="K93" s="13"/>
      <c r="L93" s="17"/>
      <c r="M93" s="18" t="str">
        <f aca="false">IF($J93="","",$J93-IF($L93="",0,$L93))</f>
        <v/>
      </c>
      <c r="N93" s="19" t="str">
        <f aca="true">IF(OR($A93="",$M93="",$M93&lt;=0),"",TODAY()-$A93)</f>
        <v/>
      </c>
      <c r="O93" s="20" t="str">
        <f aca="false">IF($B93="","",IFERROR(INDEX(차량목록!$D$3:$D$42,MATCH($B93,차량목록!$A$3:$A$42,0)),0))</f>
        <v/>
      </c>
      <c r="P93" s="18" t="str">
        <f aca="false">IF($J93="","",ROUND($J93*$O93,0))</f>
        <v/>
      </c>
    </row>
    <row r="94" customFormat="false" ht="15" hidden="false" customHeight="true" outlineLevel="0" collapsed="false">
      <c r="A94" s="13"/>
      <c r="B94" s="10"/>
      <c r="C94" s="14" t="str">
        <f aca="false">IF($B94="","",IFERROR(INDEX(차량목록!$B$3:$B$42,MATCH($B94,차량목록!$A$3:$A$42,0)),"미등록차량"))</f>
        <v/>
      </c>
      <c r="D94" s="10"/>
      <c r="E94" s="10"/>
      <c r="F94" s="15"/>
      <c r="G94" s="15"/>
      <c r="H94" s="16" t="str">
        <f aca="false">IF(OR($F94="",$G94=""),"",ROUND(IF($G94&lt;1,$G94*24,INT($G94/100)+MOD($G94,100)/60)-IF($F94&lt;1,$F94*24,INT($F94/100)+MOD($F94,100)/60),2))</f>
        <v/>
      </c>
      <c r="I94" s="17"/>
      <c r="J94" s="18" t="str">
        <f aca="false">IF(OR($H94="",$I94=""),"",ROUND($H94*$I94,0))</f>
        <v/>
      </c>
      <c r="K94" s="13"/>
      <c r="L94" s="17"/>
      <c r="M94" s="18" t="str">
        <f aca="false">IF($J94="","",$J94-IF($L94="",0,$L94))</f>
        <v/>
      </c>
      <c r="N94" s="19" t="str">
        <f aca="true">IF(OR($A94="",$M94="",$M94&lt;=0),"",TODAY()-$A94)</f>
        <v/>
      </c>
      <c r="O94" s="20" t="str">
        <f aca="false">IF($B94="","",IFERROR(INDEX(차량목록!$D$3:$D$42,MATCH($B94,차량목록!$A$3:$A$42,0)),0))</f>
        <v/>
      </c>
      <c r="P94" s="18" t="str">
        <f aca="false">IF($J94="","",ROUND($J94*$O94,0))</f>
        <v/>
      </c>
    </row>
    <row r="95" customFormat="false" ht="15" hidden="false" customHeight="true" outlineLevel="0" collapsed="false">
      <c r="A95" s="13"/>
      <c r="B95" s="10"/>
      <c r="C95" s="14" t="str">
        <f aca="false">IF($B95="","",IFERROR(INDEX(차량목록!$B$3:$B$42,MATCH($B95,차량목록!$A$3:$A$42,0)),"미등록차량"))</f>
        <v/>
      </c>
      <c r="D95" s="10"/>
      <c r="E95" s="10"/>
      <c r="F95" s="15"/>
      <c r="G95" s="15"/>
      <c r="H95" s="16" t="str">
        <f aca="false">IF(OR($F95="",$G95=""),"",ROUND(IF($G95&lt;1,$G95*24,INT($G95/100)+MOD($G95,100)/60)-IF($F95&lt;1,$F95*24,INT($F95/100)+MOD($F95,100)/60),2))</f>
        <v/>
      </c>
      <c r="I95" s="17"/>
      <c r="J95" s="18" t="str">
        <f aca="false">IF(OR($H95="",$I95=""),"",ROUND($H95*$I95,0))</f>
        <v/>
      </c>
      <c r="K95" s="13"/>
      <c r="L95" s="17"/>
      <c r="M95" s="18" t="str">
        <f aca="false">IF($J95="","",$J95-IF($L95="",0,$L95))</f>
        <v/>
      </c>
      <c r="N95" s="19" t="str">
        <f aca="true">IF(OR($A95="",$M95="",$M95&lt;=0),"",TODAY()-$A95)</f>
        <v/>
      </c>
      <c r="O95" s="20" t="str">
        <f aca="false">IF($B95="","",IFERROR(INDEX(차량목록!$D$3:$D$42,MATCH($B95,차량목록!$A$3:$A$42,0)),0))</f>
        <v/>
      </c>
      <c r="P95" s="18" t="str">
        <f aca="false">IF($J95="","",ROUND($J95*$O95,0))</f>
        <v/>
      </c>
    </row>
    <row r="96" customFormat="false" ht="15" hidden="false" customHeight="true" outlineLevel="0" collapsed="false">
      <c r="A96" s="13"/>
      <c r="B96" s="10"/>
      <c r="C96" s="14" t="str">
        <f aca="false">IF($B96="","",IFERROR(INDEX(차량목록!$B$3:$B$42,MATCH($B96,차량목록!$A$3:$A$42,0)),"미등록차량"))</f>
        <v/>
      </c>
      <c r="D96" s="10"/>
      <c r="E96" s="10"/>
      <c r="F96" s="15"/>
      <c r="G96" s="15"/>
      <c r="H96" s="16" t="str">
        <f aca="false">IF(OR($F96="",$G96=""),"",ROUND(IF($G96&lt;1,$G96*24,INT($G96/100)+MOD($G96,100)/60)-IF($F96&lt;1,$F96*24,INT($F96/100)+MOD($F96,100)/60),2))</f>
        <v/>
      </c>
      <c r="I96" s="17"/>
      <c r="J96" s="18" t="str">
        <f aca="false">IF(OR($H96="",$I96=""),"",ROUND($H96*$I96,0))</f>
        <v/>
      </c>
      <c r="K96" s="13"/>
      <c r="L96" s="17"/>
      <c r="M96" s="18" t="str">
        <f aca="false">IF($J96="","",$J96-IF($L96="",0,$L96))</f>
        <v/>
      </c>
      <c r="N96" s="19" t="str">
        <f aca="true">IF(OR($A96="",$M96="",$M96&lt;=0),"",TODAY()-$A96)</f>
        <v/>
      </c>
      <c r="O96" s="20" t="str">
        <f aca="false">IF($B96="","",IFERROR(INDEX(차량목록!$D$3:$D$42,MATCH($B96,차량목록!$A$3:$A$42,0)),0))</f>
        <v/>
      </c>
      <c r="P96" s="18" t="str">
        <f aca="false">IF($J96="","",ROUND($J96*$O96,0))</f>
        <v/>
      </c>
    </row>
    <row r="97" customFormat="false" ht="15" hidden="false" customHeight="true" outlineLevel="0" collapsed="false">
      <c r="A97" s="13"/>
      <c r="B97" s="10"/>
      <c r="C97" s="14" t="str">
        <f aca="false">IF($B97="","",IFERROR(INDEX(차량목록!$B$3:$B$42,MATCH($B97,차량목록!$A$3:$A$42,0)),"미등록차량"))</f>
        <v/>
      </c>
      <c r="D97" s="10"/>
      <c r="E97" s="10"/>
      <c r="F97" s="15"/>
      <c r="G97" s="15"/>
      <c r="H97" s="16" t="str">
        <f aca="false">IF(OR($F97="",$G97=""),"",ROUND(IF($G97&lt;1,$G97*24,INT($G97/100)+MOD($G97,100)/60)-IF($F97&lt;1,$F97*24,INT($F97/100)+MOD($F97,100)/60),2))</f>
        <v/>
      </c>
      <c r="I97" s="17"/>
      <c r="J97" s="18" t="str">
        <f aca="false">IF(OR($H97="",$I97=""),"",ROUND($H97*$I97,0))</f>
        <v/>
      </c>
      <c r="K97" s="13"/>
      <c r="L97" s="17"/>
      <c r="M97" s="18" t="str">
        <f aca="false">IF($J97="","",$J97-IF($L97="",0,$L97))</f>
        <v/>
      </c>
      <c r="N97" s="19" t="str">
        <f aca="true">IF(OR($A97="",$M97="",$M97&lt;=0),"",TODAY()-$A97)</f>
        <v/>
      </c>
      <c r="O97" s="20" t="str">
        <f aca="false">IF($B97="","",IFERROR(INDEX(차량목록!$D$3:$D$42,MATCH($B97,차량목록!$A$3:$A$42,0)),0))</f>
        <v/>
      </c>
      <c r="P97" s="18" t="str">
        <f aca="false">IF($J97="","",ROUND($J97*$O97,0))</f>
        <v/>
      </c>
    </row>
    <row r="98" customFormat="false" ht="15" hidden="false" customHeight="true" outlineLevel="0" collapsed="false">
      <c r="A98" s="13"/>
      <c r="B98" s="10"/>
      <c r="C98" s="14" t="str">
        <f aca="false">IF($B98="","",IFERROR(INDEX(차량목록!$B$3:$B$42,MATCH($B98,차량목록!$A$3:$A$42,0)),"미등록차량"))</f>
        <v/>
      </c>
      <c r="D98" s="10"/>
      <c r="E98" s="10"/>
      <c r="F98" s="15"/>
      <c r="G98" s="15"/>
      <c r="H98" s="16" t="str">
        <f aca="false">IF(OR($F98="",$G98=""),"",ROUND(IF($G98&lt;1,$G98*24,INT($G98/100)+MOD($G98,100)/60)-IF($F98&lt;1,$F98*24,INT($F98/100)+MOD($F98,100)/60),2))</f>
        <v/>
      </c>
      <c r="I98" s="17"/>
      <c r="J98" s="18" t="str">
        <f aca="false">IF(OR($H98="",$I98=""),"",ROUND($H98*$I98,0))</f>
        <v/>
      </c>
      <c r="K98" s="13"/>
      <c r="L98" s="17"/>
      <c r="M98" s="18" t="str">
        <f aca="false">IF($J98="","",$J98-IF($L98="",0,$L98))</f>
        <v/>
      </c>
      <c r="N98" s="19" t="str">
        <f aca="true">IF(OR($A98="",$M98="",$M98&lt;=0),"",TODAY()-$A98)</f>
        <v/>
      </c>
      <c r="O98" s="20" t="str">
        <f aca="false">IF($B98="","",IFERROR(INDEX(차량목록!$D$3:$D$42,MATCH($B98,차량목록!$A$3:$A$42,0)),0))</f>
        <v/>
      </c>
      <c r="P98" s="18" t="str">
        <f aca="false">IF($J98="","",ROUND($J98*$O98,0))</f>
        <v/>
      </c>
    </row>
    <row r="99" customFormat="false" ht="15" hidden="false" customHeight="true" outlineLevel="0" collapsed="false">
      <c r="A99" s="13"/>
      <c r="B99" s="10"/>
      <c r="C99" s="14" t="str">
        <f aca="false">IF($B99="","",IFERROR(INDEX(차량목록!$B$3:$B$42,MATCH($B99,차량목록!$A$3:$A$42,0)),"미등록차량"))</f>
        <v/>
      </c>
      <c r="D99" s="10"/>
      <c r="E99" s="10"/>
      <c r="F99" s="15"/>
      <c r="G99" s="15"/>
      <c r="H99" s="16" t="str">
        <f aca="false">IF(OR($F99="",$G99=""),"",ROUND(IF($G99&lt;1,$G99*24,INT($G99/100)+MOD($G99,100)/60)-IF($F99&lt;1,$F99*24,INT($F99/100)+MOD($F99,100)/60),2))</f>
        <v/>
      </c>
      <c r="I99" s="17"/>
      <c r="J99" s="18" t="str">
        <f aca="false">IF(OR($H99="",$I99=""),"",ROUND($H99*$I99,0))</f>
        <v/>
      </c>
      <c r="K99" s="13"/>
      <c r="L99" s="17"/>
      <c r="M99" s="18" t="str">
        <f aca="false">IF($J99="","",$J99-IF($L99="",0,$L99))</f>
        <v/>
      </c>
      <c r="N99" s="19" t="str">
        <f aca="true">IF(OR($A99="",$M99="",$M99&lt;=0),"",TODAY()-$A99)</f>
        <v/>
      </c>
      <c r="O99" s="20" t="str">
        <f aca="false">IF($B99="","",IFERROR(INDEX(차량목록!$D$3:$D$42,MATCH($B99,차량목록!$A$3:$A$42,0)),0))</f>
        <v/>
      </c>
      <c r="P99" s="18" t="str">
        <f aca="false">IF($J99="","",ROUND($J99*$O99,0))</f>
        <v/>
      </c>
    </row>
    <row r="100" customFormat="false" ht="15" hidden="false" customHeight="true" outlineLevel="0" collapsed="false">
      <c r="A100" s="13"/>
      <c r="B100" s="10"/>
      <c r="C100" s="14" t="str">
        <f aca="false">IF($B100="","",IFERROR(INDEX(차량목록!$B$3:$B$42,MATCH($B100,차량목록!$A$3:$A$42,0)),"미등록차량"))</f>
        <v/>
      </c>
      <c r="D100" s="10"/>
      <c r="E100" s="10"/>
      <c r="F100" s="15"/>
      <c r="G100" s="15"/>
      <c r="H100" s="16" t="str">
        <f aca="false">IF(OR($F100="",$G100=""),"",ROUND(IF($G100&lt;1,$G100*24,INT($G100/100)+MOD($G100,100)/60)-IF($F100&lt;1,$F100*24,INT($F100/100)+MOD($F100,100)/60),2))</f>
        <v/>
      </c>
      <c r="I100" s="17"/>
      <c r="J100" s="18" t="str">
        <f aca="false">IF(OR($H100="",$I100=""),"",ROUND($H100*$I100,0))</f>
        <v/>
      </c>
      <c r="K100" s="13"/>
      <c r="L100" s="17"/>
      <c r="M100" s="18" t="str">
        <f aca="false">IF($J100="","",$J100-IF($L100="",0,$L100))</f>
        <v/>
      </c>
      <c r="N100" s="19" t="str">
        <f aca="true">IF(OR($A100="",$M100="",$M100&lt;=0),"",TODAY()-$A100)</f>
        <v/>
      </c>
      <c r="O100" s="20" t="str">
        <f aca="false">IF($B100="","",IFERROR(INDEX(차량목록!$D$3:$D$42,MATCH($B100,차량목록!$A$3:$A$42,0)),0))</f>
        <v/>
      </c>
      <c r="P100" s="18" t="str">
        <f aca="false">IF($J100="","",ROUND($J100*$O100,0))</f>
        <v/>
      </c>
    </row>
    <row r="101" customFormat="false" ht="15" hidden="false" customHeight="true" outlineLevel="0" collapsed="false">
      <c r="A101" s="13"/>
      <c r="B101" s="10"/>
      <c r="C101" s="14" t="str">
        <f aca="false">IF($B101="","",IFERROR(INDEX(차량목록!$B$3:$B$42,MATCH($B101,차량목록!$A$3:$A$42,0)),"미등록차량"))</f>
        <v/>
      </c>
      <c r="D101" s="10"/>
      <c r="E101" s="10"/>
      <c r="F101" s="15"/>
      <c r="G101" s="15"/>
      <c r="H101" s="16" t="str">
        <f aca="false">IF(OR($F101="",$G101=""),"",ROUND(IF($G101&lt;1,$G101*24,INT($G101/100)+MOD($G101,100)/60)-IF($F101&lt;1,$F101*24,INT($F101/100)+MOD($F101,100)/60),2))</f>
        <v/>
      </c>
      <c r="I101" s="17"/>
      <c r="J101" s="18" t="str">
        <f aca="false">IF(OR($H101="",$I101=""),"",ROUND($H101*$I101,0))</f>
        <v/>
      </c>
      <c r="K101" s="13"/>
      <c r="L101" s="17"/>
      <c r="M101" s="18" t="str">
        <f aca="false">IF($J101="","",$J101-IF($L101="",0,$L101))</f>
        <v/>
      </c>
      <c r="N101" s="19" t="str">
        <f aca="true">IF(OR($A101="",$M101="",$M101&lt;=0),"",TODAY()-$A101)</f>
        <v/>
      </c>
      <c r="O101" s="20" t="str">
        <f aca="false">IF($B101="","",IFERROR(INDEX(차량목록!$D$3:$D$42,MATCH($B101,차량목록!$A$3:$A$42,0)),0))</f>
        <v/>
      </c>
      <c r="P101" s="18" t="str">
        <f aca="false">IF($J101="","",ROUND($J101*$O101,0))</f>
        <v/>
      </c>
    </row>
    <row r="102" customFormat="false" ht="15" hidden="false" customHeight="true" outlineLevel="0" collapsed="false">
      <c r="A102" s="13"/>
      <c r="B102" s="10"/>
      <c r="C102" s="14" t="str">
        <f aca="false">IF($B102="","",IFERROR(INDEX(차량목록!$B$3:$B$42,MATCH($B102,차량목록!$A$3:$A$42,0)),"미등록차량"))</f>
        <v/>
      </c>
      <c r="D102" s="10"/>
      <c r="E102" s="10"/>
      <c r="F102" s="15"/>
      <c r="G102" s="15"/>
      <c r="H102" s="16" t="str">
        <f aca="false">IF(OR($F102="",$G102=""),"",ROUND(IF($G102&lt;1,$G102*24,INT($G102/100)+MOD($G102,100)/60)-IF($F102&lt;1,$F102*24,INT($F102/100)+MOD($F102,100)/60),2))</f>
        <v/>
      </c>
      <c r="I102" s="17"/>
      <c r="J102" s="18" t="str">
        <f aca="false">IF(OR($H102="",$I102=""),"",ROUND($H102*$I102,0))</f>
        <v/>
      </c>
      <c r="K102" s="13"/>
      <c r="L102" s="17"/>
      <c r="M102" s="18" t="str">
        <f aca="false">IF($J102="","",$J102-IF($L102="",0,$L102))</f>
        <v/>
      </c>
      <c r="N102" s="19" t="str">
        <f aca="true">IF(OR($A102="",$M102="",$M102&lt;=0),"",TODAY()-$A102)</f>
        <v/>
      </c>
      <c r="O102" s="20" t="str">
        <f aca="false">IF($B102="","",IFERROR(INDEX(차량목록!$D$3:$D$42,MATCH($B102,차량목록!$A$3:$A$42,0)),0))</f>
        <v/>
      </c>
      <c r="P102" s="18" t="str">
        <f aca="false">IF($J102="","",ROUND($J102*$O102,0))</f>
        <v/>
      </c>
    </row>
    <row r="103" customFormat="false" ht="15" hidden="false" customHeight="true" outlineLevel="0" collapsed="false">
      <c r="A103" s="13"/>
      <c r="B103" s="10"/>
      <c r="C103" s="14" t="str">
        <f aca="false">IF($B103="","",IFERROR(INDEX(차량목록!$B$3:$B$42,MATCH($B103,차량목록!$A$3:$A$42,0)),"미등록차량"))</f>
        <v/>
      </c>
      <c r="D103" s="10"/>
      <c r="E103" s="10"/>
      <c r="F103" s="15"/>
      <c r="G103" s="15"/>
      <c r="H103" s="16" t="str">
        <f aca="false">IF(OR($F103="",$G103=""),"",ROUND(IF($G103&lt;1,$G103*24,INT($G103/100)+MOD($G103,100)/60)-IF($F103&lt;1,$F103*24,INT($F103/100)+MOD($F103,100)/60),2))</f>
        <v/>
      </c>
      <c r="I103" s="17"/>
      <c r="J103" s="18" t="str">
        <f aca="false">IF(OR($H103="",$I103=""),"",ROUND($H103*$I103,0))</f>
        <v/>
      </c>
      <c r="K103" s="13"/>
      <c r="L103" s="17"/>
      <c r="M103" s="18" t="str">
        <f aca="false">IF($J103="","",$J103-IF($L103="",0,$L103))</f>
        <v/>
      </c>
      <c r="N103" s="19" t="str">
        <f aca="true">IF(OR($A103="",$M103="",$M103&lt;=0),"",TODAY()-$A103)</f>
        <v/>
      </c>
      <c r="O103" s="20" t="str">
        <f aca="false">IF($B103="","",IFERROR(INDEX(차량목록!$D$3:$D$42,MATCH($B103,차량목록!$A$3:$A$42,0)),0))</f>
        <v/>
      </c>
      <c r="P103" s="18" t="str">
        <f aca="false">IF($J103="","",ROUND($J103*$O103,0))</f>
        <v/>
      </c>
    </row>
    <row r="104" customFormat="false" ht="15" hidden="false" customHeight="true" outlineLevel="0" collapsed="false">
      <c r="A104" s="13"/>
      <c r="B104" s="10"/>
      <c r="C104" s="14" t="str">
        <f aca="false">IF($B104="","",IFERROR(INDEX(차량목록!$B$3:$B$42,MATCH($B104,차량목록!$A$3:$A$42,0)),"미등록차량"))</f>
        <v/>
      </c>
      <c r="D104" s="10"/>
      <c r="E104" s="10"/>
      <c r="F104" s="15"/>
      <c r="G104" s="15"/>
      <c r="H104" s="16" t="str">
        <f aca="false">IF(OR($F104="",$G104=""),"",ROUND(IF($G104&lt;1,$G104*24,INT($G104/100)+MOD($G104,100)/60)-IF($F104&lt;1,$F104*24,INT($F104/100)+MOD($F104,100)/60),2))</f>
        <v/>
      </c>
      <c r="I104" s="17"/>
      <c r="J104" s="18" t="str">
        <f aca="false">IF(OR($H104="",$I104=""),"",ROUND($H104*$I104,0))</f>
        <v/>
      </c>
      <c r="K104" s="13"/>
      <c r="L104" s="17"/>
      <c r="M104" s="18" t="str">
        <f aca="false">IF($J104="","",$J104-IF($L104="",0,$L104))</f>
        <v/>
      </c>
      <c r="N104" s="19" t="str">
        <f aca="true">IF(OR($A104="",$M104="",$M104&lt;=0),"",TODAY()-$A104)</f>
        <v/>
      </c>
      <c r="O104" s="20" t="str">
        <f aca="false">IF($B104="","",IFERROR(INDEX(차량목록!$D$3:$D$42,MATCH($B104,차량목록!$A$3:$A$42,0)),0))</f>
        <v/>
      </c>
      <c r="P104" s="18" t="str">
        <f aca="false">IF($J104="","",ROUND($J104*$O104,0))</f>
        <v/>
      </c>
    </row>
    <row r="105" customFormat="false" ht="15" hidden="false" customHeight="true" outlineLevel="0" collapsed="false">
      <c r="A105" s="13"/>
      <c r="B105" s="10"/>
      <c r="C105" s="14" t="str">
        <f aca="false">IF($B105="","",IFERROR(INDEX(차량목록!$B$3:$B$42,MATCH($B105,차량목록!$A$3:$A$42,0)),"미등록차량"))</f>
        <v/>
      </c>
      <c r="D105" s="10"/>
      <c r="E105" s="10"/>
      <c r="F105" s="15"/>
      <c r="G105" s="15"/>
      <c r="H105" s="16" t="str">
        <f aca="false">IF(OR($F105="",$G105=""),"",ROUND(IF($G105&lt;1,$G105*24,INT($G105/100)+MOD($G105,100)/60)-IF($F105&lt;1,$F105*24,INT($F105/100)+MOD($F105,100)/60),2))</f>
        <v/>
      </c>
      <c r="I105" s="17"/>
      <c r="J105" s="18" t="str">
        <f aca="false">IF(OR($H105="",$I105=""),"",ROUND($H105*$I105,0))</f>
        <v/>
      </c>
      <c r="K105" s="13"/>
      <c r="L105" s="17"/>
      <c r="M105" s="18" t="str">
        <f aca="false">IF($J105="","",$J105-IF($L105="",0,$L105))</f>
        <v/>
      </c>
      <c r="N105" s="19" t="str">
        <f aca="true">IF(OR($A105="",$M105="",$M105&lt;=0),"",TODAY()-$A105)</f>
        <v/>
      </c>
      <c r="O105" s="20" t="str">
        <f aca="false">IF($B105="","",IFERROR(INDEX(차량목록!$D$3:$D$42,MATCH($B105,차량목록!$A$3:$A$42,0)),0))</f>
        <v/>
      </c>
      <c r="P105" s="18" t="str">
        <f aca="false">IF($J105="","",ROUND($J105*$O105,0))</f>
        <v/>
      </c>
    </row>
    <row r="106" customFormat="false" ht="15" hidden="false" customHeight="true" outlineLevel="0" collapsed="false">
      <c r="A106" s="13"/>
      <c r="B106" s="10"/>
      <c r="C106" s="14" t="str">
        <f aca="false">IF($B106="","",IFERROR(INDEX(차량목록!$B$3:$B$42,MATCH($B106,차량목록!$A$3:$A$42,0)),"미등록차량"))</f>
        <v/>
      </c>
      <c r="D106" s="10"/>
      <c r="E106" s="10"/>
      <c r="F106" s="15"/>
      <c r="G106" s="15"/>
      <c r="H106" s="16" t="str">
        <f aca="false">IF(OR($F106="",$G106=""),"",ROUND(IF($G106&lt;1,$G106*24,INT($G106/100)+MOD($G106,100)/60)-IF($F106&lt;1,$F106*24,INT($F106/100)+MOD($F106,100)/60),2))</f>
        <v/>
      </c>
      <c r="I106" s="17"/>
      <c r="J106" s="18" t="str">
        <f aca="false">IF(OR($H106="",$I106=""),"",ROUND($H106*$I106,0))</f>
        <v/>
      </c>
      <c r="K106" s="13"/>
      <c r="L106" s="17"/>
      <c r="M106" s="18" t="str">
        <f aca="false">IF($J106="","",$J106-IF($L106="",0,$L106))</f>
        <v/>
      </c>
      <c r="N106" s="19" t="str">
        <f aca="true">IF(OR($A106="",$M106="",$M106&lt;=0),"",TODAY()-$A106)</f>
        <v/>
      </c>
      <c r="O106" s="20" t="str">
        <f aca="false">IF($B106="","",IFERROR(INDEX(차량목록!$D$3:$D$42,MATCH($B106,차량목록!$A$3:$A$42,0)),0))</f>
        <v/>
      </c>
      <c r="P106" s="18" t="str">
        <f aca="false">IF($J106="","",ROUND($J106*$O106,0))</f>
        <v/>
      </c>
    </row>
    <row r="107" customFormat="false" ht="15" hidden="false" customHeight="true" outlineLevel="0" collapsed="false">
      <c r="A107" s="13"/>
      <c r="B107" s="10"/>
      <c r="C107" s="14" t="str">
        <f aca="false">IF($B107="","",IFERROR(INDEX(차량목록!$B$3:$B$42,MATCH($B107,차량목록!$A$3:$A$42,0)),"미등록차량"))</f>
        <v/>
      </c>
      <c r="D107" s="10"/>
      <c r="E107" s="10"/>
      <c r="F107" s="15"/>
      <c r="G107" s="15"/>
      <c r="H107" s="16" t="str">
        <f aca="false">IF(OR($F107="",$G107=""),"",ROUND(IF($G107&lt;1,$G107*24,INT($G107/100)+MOD($G107,100)/60)-IF($F107&lt;1,$F107*24,INT($F107/100)+MOD($F107,100)/60),2))</f>
        <v/>
      </c>
      <c r="I107" s="17"/>
      <c r="J107" s="18" t="str">
        <f aca="false">IF(OR($H107="",$I107=""),"",ROUND($H107*$I107,0))</f>
        <v/>
      </c>
      <c r="K107" s="13"/>
      <c r="L107" s="17"/>
      <c r="M107" s="18" t="str">
        <f aca="false">IF($J107="","",$J107-IF($L107="",0,$L107))</f>
        <v/>
      </c>
      <c r="N107" s="19" t="str">
        <f aca="true">IF(OR($A107="",$M107="",$M107&lt;=0),"",TODAY()-$A107)</f>
        <v/>
      </c>
      <c r="O107" s="20" t="str">
        <f aca="false">IF($B107="","",IFERROR(INDEX(차량목록!$D$3:$D$42,MATCH($B107,차량목록!$A$3:$A$42,0)),0))</f>
        <v/>
      </c>
      <c r="P107" s="18" t="str">
        <f aca="false">IF($J107="","",ROUND($J107*$O107,0))</f>
        <v/>
      </c>
    </row>
    <row r="108" customFormat="false" ht="15" hidden="false" customHeight="true" outlineLevel="0" collapsed="false">
      <c r="A108" s="13"/>
      <c r="B108" s="10"/>
      <c r="C108" s="14" t="str">
        <f aca="false">IF($B108="","",IFERROR(INDEX(차량목록!$B$3:$B$42,MATCH($B108,차량목록!$A$3:$A$42,0)),"미등록차량"))</f>
        <v/>
      </c>
      <c r="D108" s="10"/>
      <c r="E108" s="10"/>
      <c r="F108" s="15"/>
      <c r="G108" s="15"/>
      <c r="H108" s="16" t="str">
        <f aca="false">IF(OR($F108="",$G108=""),"",ROUND(IF($G108&lt;1,$G108*24,INT($G108/100)+MOD($G108,100)/60)-IF($F108&lt;1,$F108*24,INT($F108/100)+MOD($F108,100)/60),2))</f>
        <v/>
      </c>
      <c r="I108" s="17"/>
      <c r="J108" s="18" t="str">
        <f aca="false">IF(OR($H108="",$I108=""),"",ROUND($H108*$I108,0))</f>
        <v/>
      </c>
      <c r="K108" s="13"/>
      <c r="L108" s="17"/>
      <c r="M108" s="18" t="str">
        <f aca="false">IF($J108="","",$J108-IF($L108="",0,$L108))</f>
        <v/>
      </c>
      <c r="N108" s="19" t="str">
        <f aca="true">IF(OR($A108="",$M108="",$M108&lt;=0),"",TODAY()-$A108)</f>
        <v/>
      </c>
      <c r="O108" s="20" t="str">
        <f aca="false">IF($B108="","",IFERROR(INDEX(차량목록!$D$3:$D$42,MATCH($B108,차량목록!$A$3:$A$42,0)),0))</f>
        <v/>
      </c>
      <c r="P108" s="18" t="str">
        <f aca="false">IF($J108="","",ROUND($J108*$O108,0))</f>
        <v/>
      </c>
    </row>
    <row r="109" customFormat="false" ht="15" hidden="false" customHeight="true" outlineLevel="0" collapsed="false">
      <c r="A109" s="13"/>
      <c r="B109" s="10"/>
      <c r="C109" s="14" t="str">
        <f aca="false">IF($B109="","",IFERROR(INDEX(차량목록!$B$3:$B$42,MATCH($B109,차량목록!$A$3:$A$42,0)),"미등록차량"))</f>
        <v/>
      </c>
      <c r="D109" s="10"/>
      <c r="E109" s="10"/>
      <c r="F109" s="15"/>
      <c r="G109" s="15"/>
      <c r="H109" s="16" t="str">
        <f aca="false">IF(OR($F109="",$G109=""),"",ROUND(IF($G109&lt;1,$G109*24,INT($G109/100)+MOD($G109,100)/60)-IF($F109&lt;1,$F109*24,INT($F109/100)+MOD($F109,100)/60),2))</f>
        <v/>
      </c>
      <c r="I109" s="17"/>
      <c r="J109" s="18" t="str">
        <f aca="false">IF(OR($H109="",$I109=""),"",ROUND($H109*$I109,0))</f>
        <v/>
      </c>
      <c r="K109" s="13"/>
      <c r="L109" s="17"/>
      <c r="M109" s="18" t="str">
        <f aca="false">IF($J109="","",$J109-IF($L109="",0,$L109))</f>
        <v/>
      </c>
      <c r="N109" s="19" t="str">
        <f aca="true">IF(OR($A109="",$M109="",$M109&lt;=0),"",TODAY()-$A109)</f>
        <v/>
      </c>
      <c r="O109" s="20" t="str">
        <f aca="false">IF($B109="","",IFERROR(INDEX(차량목록!$D$3:$D$42,MATCH($B109,차량목록!$A$3:$A$42,0)),0))</f>
        <v/>
      </c>
      <c r="P109" s="18" t="str">
        <f aca="false">IF($J109="","",ROUND($J109*$O109,0))</f>
        <v/>
      </c>
    </row>
    <row r="110" customFormat="false" ht="15" hidden="false" customHeight="true" outlineLevel="0" collapsed="false">
      <c r="A110" s="13"/>
      <c r="B110" s="10"/>
      <c r="C110" s="14" t="str">
        <f aca="false">IF($B110="","",IFERROR(INDEX(차량목록!$B$3:$B$42,MATCH($B110,차량목록!$A$3:$A$42,0)),"미등록차량"))</f>
        <v/>
      </c>
      <c r="D110" s="10"/>
      <c r="E110" s="10"/>
      <c r="F110" s="15"/>
      <c r="G110" s="15"/>
      <c r="H110" s="16" t="str">
        <f aca="false">IF(OR($F110="",$G110=""),"",ROUND(IF($G110&lt;1,$G110*24,INT($G110/100)+MOD($G110,100)/60)-IF($F110&lt;1,$F110*24,INT($F110/100)+MOD($F110,100)/60),2))</f>
        <v/>
      </c>
      <c r="I110" s="17"/>
      <c r="J110" s="18" t="str">
        <f aca="false">IF(OR($H110="",$I110=""),"",ROUND($H110*$I110,0))</f>
        <v/>
      </c>
      <c r="K110" s="13"/>
      <c r="L110" s="17"/>
      <c r="M110" s="18" t="str">
        <f aca="false">IF($J110="","",$J110-IF($L110="",0,$L110))</f>
        <v/>
      </c>
      <c r="N110" s="19" t="str">
        <f aca="true">IF(OR($A110="",$M110="",$M110&lt;=0),"",TODAY()-$A110)</f>
        <v/>
      </c>
      <c r="O110" s="20" t="str">
        <f aca="false">IF($B110="","",IFERROR(INDEX(차량목록!$D$3:$D$42,MATCH($B110,차량목록!$A$3:$A$42,0)),0))</f>
        <v/>
      </c>
      <c r="P110" s="18" t="str">
        <f aca="false">IF($J110="","",ROUND($J110*$O110,0))</f>
        <v/>
      </c>
    </row>
    <row r="111" customFormat="false" ht="15" hidden="false" customHeight="true" outlineLevel="0" collapsed="false">
      <c r="A111" s="13"/>
      <c r="B111" s="10"/>
      <c r="C111" s="14" t="str">
        <f aca="false">IF($B111="","",IFERROR(INDEX(차량목록!$B$3:$B$42,MATCH($B111,차량목록!$A$3:$A$42,0)),"미등록차량"))</f>
        <v/>
      </c>
      <c r="D111" s="10"/>
      <c r="E111" s="10"/>
      <c r="F111" s="15"/>
      <c r="G111" s="15"/>
      <c r="H111" s="16" t="str">
        <f aca="false">IF(OR($F111="",$G111=""),"",ROUND(IF($G111&lt;1,$G111*24,INT($G111/100)+MOD($G111,100)/60)-IF($F111&lt;1,$F111*24,INT($F111/100)+MOD($F111,100)/60),2))</f>
        <v/>
      </c>
      <c r="I111" s="17"/>
      <c r="J111" s="18" t="str">
        <f aca="false">IF(OR($H111="",$I111=""),"",ROUND($H111*$I111,0))</f>
        <v/>
      </c>
      <c r="K111" s="13"/>
      <c r="L111" s="17"/>
      <c r="M111" s="18" t="str">
        <f aca="false">IF($J111="","",$J111-IF($L111="",0,$L111))</f>
        <v/>
      </c>
      <c r="N111" s="19" t="str">
        <f aca="true">IF(OR($A111="",$M111="",$M111&lt;=0),"",TODAY()-$A111)</f>
        <v/>
      </c>
      <c r="O111" s="20" t="str">
        <f aca="false">IF($B111="","",IFERROR(INDEX(차량목록!$D$3:$D$42,MATCH($B111,차량목록!$A$3:$A$42,0)),0))</f>
        <v/>
      </c>
      <c r="P111" s="18" t="str">
        <f aca="false">IF($J111="","",ROUND($J111*$O111,0))</f>
        <v/>
      </c>
    </row>
    <row r="112" customFormat="false" ht="15" hidden="false" customHeight="true" outlineLevel="0" collapsed="false">
      <c r="A112" s="13"/>
      <c r="B112" s="10"/>
      <c r="C112" s="14" t="str">
        <f aca="false">IF($B112="","",IFERROR(INDEX(차량목록!$B$3:$B$42,MATCH($B112,차량목록!$A$3:$A$42,0)),"미등록차량"))</f>
        <v/>
      </c>
      <c r="D112" s="10"/>
      <c r="E112" s="10"/>
      <c r="F112" s="15"/>
      <c r="G112" s="15"/>
      <c r="H112" s="16" t="str">
        <f aca="false">IF(OR($F112="",$G112=""),"",ROUND(IF($G112&lt;1,$G112*24,INT($G112/100)+MOD($G112,100)/60)-IF($F112&lt;1,$F112*24,INT($F112/100)+MOD($F112,100)/60),2))</f>
        <v/>
      </c>
      <c r="I112" s="17"/>
      <c r="J112" s="18" t="str">
        <f aca="false">IF(OR($H112="",$I112=""),"",ROUND($H112*$I112,0))</f>
        <v/>
      </c>
      <c r="K112" s="13"/>
      <c r="L112" s="17"/>
      <c r="M112" s="18" t="str">
        <f aca="false">IF($J112="","",$J112-IF($L112="",0,$L112))</f>
        <v/>
      </c>
      <c r="N112" s="19" t="str">
        <f aca="true">IF(OR($A112="",$M112="",$M112&lt;=0),"",TODAY()-$A112)</f>
        <v/>
      </c>
      <c r="O112" s="20" t="str">
        <f aca="false">IF($B112="","",IFERROR(INDEX(차량목록!$D$3:$D$42,MATCH($B112,차량목록!$A$3:$A$42,0)),0))</f>
        <v/>
      </c>
      <c r="P112" s="18" t="str">
        <f aca="false">IF($J112="","",ROUND($J112*$O112,0))</f>
        <v/>
      </c>
    </row>
    <row r="113" customFormat="false" ht="15" hidden="false" customHeight="true" outlineLevel="0" collapsed="false">
      <c r="A113" s="13"/>
      <c r="B113" s="10"/>
      <c r="C113" s="14" t="str">
        <f aca="false">IF($B113="","",IFERROR(INDEX(차량목록!$B$3:$B$42,MATCH($B113,차량목록!$A$3:$A$42,0)),"미등록차량"))</f>
        <v/>
      </c>
      <c r="D113" s="10"/>
      <c r="E113" s="10"/>
      <c r="F113" s="15"/>
      <c r="G113" s="15"/>
      <c r="H113" s="16" t="str">
        <f aca="false">IF(OR($F113="",$G113=""),"",ROUND(IF($G113&lt;1,$G113*24,INT($G113/100)+MOD($G113,100)/60)-IF($F113&lt;1,$F113*24,INT($F113/100)+MOD($F113,100)/60),2))</f>
        <v/>
      </c>
      <c r="I113" s="17"/>
      <c r="J113" s="18" t="str">
        <f aca="false">IF(OR($H113="",$I113=""),"",ROUND($H113*$I113,0))</f>
        <v/>
      </c>
      <c r="K113" s="13"/>
      <c r="L113" s="17"/>
      <c r="M113" s="18" t="str">
        <f aca="false">IF($J113="","",$J113-IF($L113="",0,$L113))</f>
        <v/>
      </c>
      <c r="N113" s="19" t="str">
        <f aca="true">IF(OR($A113="",$M113="",$M113&lt;=0),"",TODAY()-$A113)</f>
        <v/>
      </c>
      <c r="O113" s="20" t="str">
        <f aca="false">IF($B113="","",IFERROR(INDEX(차량목록!$D$3:$D$42,MATCH($B113,차량목록!$A$3:$A$42,0)),0))</f>
        <v/>
      </c>
      <c r="P113" s="18" t="str">
        <f aca="false">IF($J113="","",ROUND($J113*$O113,0))</f>
        <v/>
      </c>
    </row>
    <row r="114" customFormat="false" ht="15" hidden="false" customHeight="true" outlineLevel="0" collapsed="false">
      <c r="A114" s="13"/>
      <c r="B114" s="10"/>
      <c r="C114" s="14" t="str">
        <f aca="false">IF($B114="","",IFERROR(INDEX(차량목록!$B$3:$B$42,MATCH($B114,차량목록!$A$3:$A$42,0)),"미등록차량"))</f>
        <v/>
      </c>
      <c r="D114" s="10"/>
      <c r="E114" s="10"/>
      <c r="F114" s="15"/>
      <c r="G114" s="15"/>
      <c r="H114" s="16" t="str">
        <f aca="false">IF(OR($F114="",$G114=""),"",ROUND(IF($G114&lt;1,$G114*24,INT($G114/100)+MOD($G114,100)/60)-IF($F114&lt;1,$F114*24,INT($F114/100)+MOD($F114,100)/60),2))</f>
        <v/>
      </c>
      <c r="I114" s="17"/>
      <c r="J114" s="18" t="str">
        <f aca="false">IF(OR($H114="",$I114=""),"",ROUND($H114*$I114,0))</f>
        <v/>
      </c>
      <c r="K114" s="13"/>
      <c r="L114" s="17"/>
      <c r="M114" s="18" t="str">
        <f aca="false">IF($J114="","",$J114-IF($L114="",0,$L114))</f>
        <v/>
      </c>
      <c r="N114" s="19" t="str">
        <f aca="true">IF(OR($A114="",$M114="",$M114&lt;=0),"",TODAY()-$A114)</f>
        <v/>
      </c>
      <c r="O114" s="20" t="str">
        <f aca="false">IF($B114="","",IFERROR(INDEX(차량목록!$D$3:$D$42,MATCH($B114,차량목록!$A$3:$A$42,0)),0))</f>
        <v/>
      </c>
      <c r="P114" s="18" t="str">
        <f aca="false">IF($J114="","",ROUND($J114*$O114,0))</f>
        <v/>
      </c>
    </row>
    <row r="115" customFormat="false" ht="15" hidden="false" customHeight="true" outlineLevel="0" collapsed="false">
      <c r="A115" s="13"/>
      <c r="B115" s="10"/>
      <c r="C115" s="14" t="str">
        <f aca="false">IF($B115="","",IFERROR(INDEX(차량목록!$B$3:$B$42,MATCH($B115,차량목록!$A$3:$A$42,0)),"미등록차량"))</f>
        <v/>
      </c>
      <c r="D115" s="10"/>
      <c r="E115" s="10"/>
      <c r="F115" s="15"/>
      <c r="G115" s="15"/>
      <c r="H115" s="16" t="str">
        <f aca="false">IF(OR($F115="",$G115=""),"",ROUND(IF($G115&lt;1,$G115*24,INT($G115/100)+MOD($G115,100)/60)-IF($F115&lt;1,$F115*24,INT($F115/100)+MOD($F115,100)/60),2))</f>
        <v/>
      </c>
      <c r="I115" s="17"/>
      <c r="J115" s="18" t="str">
        <f aca="false">IF(OR($H115="",$I115=""),"",ROUND($H115*$I115,0))</f>
        <v/>
      </c>
      <c r="K115" s="13"/>
      <c r="L115" s="17"/>
      <c r="M115" s="18" t="str">
        <f aca="false">IF($J115="","",$J115-IF($L115="",0,$L115))</f>
        <v/>
      </c>
      <c r="N115" s="19" t="str">
        <f aca="true">IF(OR($A115="",$M115="",$M115&lt;=0),"",TODAY()-$A115)</f>
        <v/>
      </c>
      <c r="O115" s="20" t="str">
        <f aca="false">IF($B115="","",IFERROR(INDEX(차량목록!$D$3:$D$42,MATCH($B115,차량목록!$A$3:$A$42,0)),0))</f>
        <v/>
      </c>
      <c r="P115" s="18" t="str">
        <f aca="false">IF($J115="","",ROUND($J115*$O115,0))</f>
        <v/>
      </c>
    </row>
    <row r="116" customFormat="false" ht="15" hidden="false" customHeight="true" outlineLevel="0" collapsed="false">
      <c r="A116" s="13"/>
      <c r="B116" s="10"/>
      <c r="C116" s="14" t="str">
        <f aca="false">IF($B116="","",IFERROR(INDEX(차량목록!$B$3:$B$42,MATCH($B116,차량목록!$A$3:$A$42,0)),"미등록차량"))</f>
        <v/>
      </c>
      <c r="D116" s="10"/>
      <c r="E116" s="10"/>
      <c r="F116" s="15"/>
      <c r="G116" s="15"/>
      <c r="H116" s="16" t="str">
        <f aca="false">IF(OR($F116="",$G116=""),"",ROUND(IF($G116&lt;1,$G116*24,INT($G116/100)+MOD($G116,100)/60)-IF($F116&lt;1,$F116*24,INT($F116/100)+MOD($F116,100)/60),2))</f>
        <v/>
      </c>
      <c r="I116" s="17"/>
      <c r="J116" s="18" t="str">
        <f aca="false">IF(OR($H116="",$I116=""),"",ROUND($H116*$I116,0))</f>
        <v/>
      </c>
      <c r="K116" s="13"/>
      <c r="L116" s="17"/>
      <c r="M116" s="18" t="str">
        <f aca="false">IF($J116="","",$J116-IF($L116="",0,$L116))</f>
        <v/>
      </c>
      <c r="N116" s="19" t="str">
        <f aca="true">IF(OR($A116="",$M116="",$M116&lt;=0),"",TODAY()-$A116)</f>
        <v/>
      </c>
      <c r="O116" s="20" t="str">
        <f aca="false">IF($B116="","",IFERROR(INDEX(차량목록!$D$3:$D$42,MATCH($B116,차량목록!$A$3:$A$42,0)),0))</f>
        <v/>
      </c>
      <c r="P116" s="18" t="str">
        <f aca="false">IF($J116="","",ROUND($J116*$O116,0))</f>
        <v/>
      </c>
    </row>
    <row r="117" customFormat="false" ht="15" hidden="false" customHeight="true" outlineLevel="0" collapsed="false">
      <c r="A117" s="13"/>
      <c r="B117" s="10"/>
      <c r="C117" s="14" t="str">
        <f aca="false">IF($B117="","",IFERROR(INDEX(차량목록!$B$3:$B$42,MATCH($B117,차량목록!$A$3:$A$42,0)),"미등록차량"))</f>
        <v/>
      </c>
      <c r="D117" s="10"/>
      <c r="E117" s="10"/>
      <c r="F117" s="15"/>
      <c r="G117" s="15"/>
      <c r="H117" s="16" t="str">
        <f aca="false">IF(OR($F117="",$G117=""),"",ROUND(IF($G117&lt;1,$G117*24,INT($G117/100)+MOD($G117,100)/60)-IF($F117&lt;1,$F117*24,INT($F117/100)+MOD($F117,100)/60),2))</f>
        <v/>
      </c>
      <c r="I117" s="17"/>
      <c r="J117" s="18" t="str">
        <f aca="false">IF(OR($H117="",$I117=""),"",ROUND($H117*$I117,0))</f>
        <v/>
      </c>
      <c r="K117" s="13"/>
      <c r="L117" s="17"/>
      <c r="M117" s="18" t="str">
        <f aca="false">IF($J117="","",$J117-IF($L117="",0,$L117))</f>
        <v/>
      </c>
      <c r="N117" s="19" t="str">
        <f aca="true">IF(OR($A117="",$M117="",$M117&lt;=0),"",TODAY()-$A117)</f>
        <v/>
      </c>
      <c r="O117" s="20" t="str">
        <f aca="false">IF($B117="","",IFERROR(INDEX(차량목록!$D$3:$D$42,MATCH($B117,차량목록!$A$3:$A$42,0)),0))</f>
        <v/>
      </c>
      <c r="P117" s="18" t="str">
        <f aca="false">IF($J117="","",ROUND($J117*$O117,0))</f>
        <v/>
      </c>
    </row>
    <row r="118" customFormat="false" ht="15" hidden="false" customHeight="true" outlineLevel="0" collapsed="false">
      <c r="A118" s="13"/>
      <c r="B118" s="10"/>
      <c r="C118" s="14" t="str">
        <f aca="false">IF($B118="","",IFERROR(INDEX(차량목록!$B$3:$B$42,MATCH($B118,차량목록!$A$3:$A$42,0)),"미등록차량"))</f>
        <v/>
      </c>
      <c r="D118" s="10"/>
      <c r="E118" s="10"/>
      <c r="F118" s="15"/>
      <c r="G118" s="15"/>
      <c r="H118" s="16" t="str">
        <f aca="false">IF(OR($F118="",$G118=""),"",ROUND(IF($G118&lt;1,$G118*24,INT($G118/100)+MOD($G118,100)/60)-IF($F118&lt;1,$F118*24,INT($F118/100)+MOD($F118,100)/60),2))</f>
        <v/>
      </c>
      <c r="I118" s="17"/>
      <c r="J118" s="18" t="str">
        <f aca="false">IF(OR($H118="",$I118=""),"",ROUND($H118*$I118,0))</f>
        <v/>
      </c>
      <c r="K118" s="13"/>
      <c r="L118" s="17"/>
      <c r="M118" s="18" t="str">
        <f aca="false">IF($J118="","",$J118-IF($L118="",0,$L118))</f>
        <v/>
      </c>
      <c r="N118" s="19" t="str">
        <f aca="true">IF(OR($A118="",$M118="",$M118&lt;=0),"",TODAY()-$A118)</f>
        <v/>
      </c>
      <c r="O118" s="20" t="str">
        <f aca="false">IF($B118="","",IFERROR(INDEX(차량목록!$D$3:$D$42,MATCH($B118,차량목록!$A$3:$A$42,0)),0))</f>
        <v/>
      </c>
      <c r="P118" s="18" t="str">
        <f aca="false">IF($J118="","",ROUND($J118*$O118,0))</f>
        <v/>
      </c>
    </row>
    <row r="119" customFormat="false" ht="15" hidden="false" customHeight="true" outlineLevel="0" collapsed="false">
      <c r="A119" s="13"/>
      <c r="B119" s="10"/>
      <c r="C119" s="14" t="str">
        <f aca="false">IF($B119="","",IFERROR(INDEX(차량목록!$B$3:$B$42,MATCH($B119,차량목록!$A$3:$A$42,0)),"미등록차량"))</f>
        <v/>
      </c>
      <c r="D119" s="10"/>
      <c r="E119" s="10"/>
      <c r="F119" s="15"/>
      <c r="G119" s="15"/>
      <c r="H119" s="16" t="str">
        <f aca="false">IF(OR($F119="",$G119=""),"",ROUND(IF($G119&lt;1,$G119*24,INT($G119/100)+MOD($G119,100)/60)-IF($F119&lt;1,$F119*24,INT($F119/100)+MOD($F119,100)/60),2))</f>
        <v/>
      </c>
      <c r="I119" s="17"/>
      <c r="J119" s="18" t="str">
        <f aca="false">IF(OR($H119="",$I119=""),"",ROUND($H119*$I119,0))</f>
        <v/>
      </c>
      <c r="K119" s="13"/>
      <c r="L119" s="17"/>
      <c r="M119" s="18" t="str">
        <f aca="false">IF($J119="","",$J119-IF($L119="",0,$L119))</f>
        <v/>
      </c>
      <c r="N119" s="19" t="str">
        <f aca="true">IF(OR($A119="",$M119="",$M119&lt;=0),"",TODAY()-$A119)</f>
        <v/>
      </c>
      <c r="O119" s="20" t="str">
        <f aca="false">IF($B119="","",IFERROR(INDEX(차량목록!$D$3:$D$42,MATCH($B119,차량목록!$A$3:$A$42,0)),0))</f>
        <v/>
      </c>
      <c r="P119" s="18" t="str">
        <f aca="false">IF($J119="","",ROUND($J119*$O119,0))</f>
        <v/>
      </c>
    </row>
    <row r="120" customFormat="false" ht="15" hidden="false" customHeight="true" outlineLevel="0" collapsed="false">
      <c r="A120" s="13"/>
      <c r="B120" s="10"/>
      <c r="C120" s="14" t="str">
        <f aca="false">IF($B120="","",IFERROR(INDEX(차량목록!$B$3:$B$42,MATCH($B120,차량목록!$A$3:$A$42,0)),"미등록차량"))</f>
        <v/>
      </c>
      <c r="D120" s="10"/>
      <c r="E120" s="10"/>
      <c r="F120" s="15"/>
      <c r="G120" s="15"/>
      <c r="H120" s="16" t="str">
        <f aca="false">IF(OR($F120="",$G120=""),"",ROUND(IF($G120&lt;1,$G120*24,INT($G120/100)+MOD($G120,100)/60)-IF($F120&lt;1,$F120*24,INT($F120/100)+MOD($F120,100)/60),2))</f>
        <v/>
      </c>
      <c r="I120" s="17"/>
      <c r="J120" s="18" t="str">
        <f aca="false">IF(OR($H120="",$I120=""),"",ROUND($H120*$I120,0))</f>
        <v/>
      </c>
      <c r="K120" s="13"/>
      <c r="L120" s="17"/>
      <c r="M120" s="18" t="str">
        <f aca="false">IF($J120="","",$J120-IF($L120="",0,$L120))</f>
        <v/>
      </c>
      <c r="N120" s="19" t="str">
        <f aca="true">IF(OR($A120="",$M120="",$M120&lt;=0),"",TODAY()-$A120)</f>
        <v/>
      </c>
      <c r="O120" s="20" t="str">
        <f aca="false">IF($B120="","",IFERROR(INDEX(차량목록!$D$3:$D$42,MATCH($B120,차량목록!$A$3:$A$42,0)),0))</f>
        <v/>
      </c>
      <c r="P120" s="18" t="str">
        <f aca="false">IF($J120="","",ROUND($J120*$O120,0))</f>
        <v/>
      </c>
    </row>
    <row r="121" customFormat="false" ht="15" hidden="false" customHeight="true" outlineLevel="0" collapsed="false">
      <c r="A121" s="13"/>
      <c r="B121" s="10"/>
      <c r="C121" s="14" t="str">
        <f aca="false">IF($B121="","",IFERROR(INDEX(차량목록!$B$3:$B$42,MATCH($B121,차량목록!$A$3:$A$42,0)),"미등록차량"))</f>
        <v/>
      </c>
      <c r="D121" s="10"/>
      <c r="E121" s="10"/>
      <c r="F121" s="15"/>
      <c r="G121" s="15"/>
      <c r="H121" s="16" t="str">
        <f aca="false">IF(OR($F121="",$G121=""),"",ROUND(IF($G121&lt;1,$G121*24,INT($G121/100)+MOD($G121,100)/60)-IF($F121&lt;1,$F121*24,INT($F121/100)+MOD($F121,100)/60),2))</f>
        <v/>
      </c>
      <c r="I121" s="17"/>
      <c r="J121" s="18" t="str">
        <f aca="false">IF(OR($H121="",$I121=""),"",ROUND($H121*$I121,0))</f>
        <v/>
      </c>
      <c r="K121" s="13"/>
      <c r="L121" s="17"/>
      <c r="M121" s="18" t="str">
        <f aca="false">IF($J121="","",$J121-IF($L121="",0,$L121))</f>
        <v/>
      </c>
      <c r="N121" s="19" t="str">
        <f aca="true">IF(OR($A121="",$M121="",$M121&lt;=0),"",TODAY()-$A121)</f>
        <v/>
      </c>
      <c r="O121" s="20" t="str">
        <f aca="false">IF($B121="","",IFERROR(INDEX(차량목록!$D$3:$D$42,MATCH($B121,차량목록!$A$3:$A$42,0)),0))</f>
        <v/>
      </c>
      <c r="P121" s="18" t="str">
        <f aca="false">IF($J121="","",ROUND($J121*$O121,0))</f>
        <v/>
      </c>
    </row>
    <row r="122" customFormat="false" ht="15" hidden="false" customHeight="true" outlineLevel="0" collapsed="false">
      <c r="A122" s="13"/>
      <c r="B122" s="10"/>
      <c r="C122" s="14" t="str">
        <f aca="false">IF($B122="","",IFERROR(INDEX(차량목록!$B$3:$B$42,MATCH($B122,차량목록!$A$3:$A$42,0)),"미등록차량"))</f>
        <v/>
      </c>
      <c r="D122" s="10"/>
      <c r="E122" s="10"/>
      <c r="F122" s="15"/>
      <c r="G122" s="15"/>
      <c r="H122" s="16" t="str">
        <f aca="false">IF(OR($F122="",$G122=""),"",ROUND(IF($G122&lt;1,$G122*24,INT($G122/100)+MOD($G122,100)/60)-IF($F122&lt;1,$F122*24,INT($F122/100)+MOD($F122,100)/60),2))</f>
        <v/>
      </c>
      <c r="I122" s="17"/>
      <c r="J122" s="18" t="str">
        <f aca="false">IF(OR($H122="",$I122=""),"",ROUND($H122*$I122,0))</f>
        <v/>
      </c>
      <c r="K122" s="13"/>
      <c r="L122" s="17"/>
      <c r="M122" s="18" t="str">
        <f aca="false">IF($J122="","",$J122-IF($L122="",0,$L122))</f>
        <v/>
      </c>
      <c r="N122" s="19" t="str">
        <f aca="true">IF(OR($A122="",$M122="",$M122&lt;=0),"",TODAY()-$A122)</f>
        <v/>
      </c>
      <c r="O122" s="20" t="str">
        <f aca="false">IF($B122="","",IFERROR(INDEX(차량목록!$D$3:$D$42,MATCH($B122,차량목록!$A$3:$A$42,0)),0))</f>
        <v/>
      </c>
      <c r="P122" s="18" t="str">
        <f aca="false">IF($J122="","",ROUND($J122*$O122,0))</f>
        <v/>
      </c>
    </row>
    <row r="123" customFormat="false" ht="15" hidden="false" customHeight="true" outlineLevel="0" collapsed="false">
      <c r="A123" s="13"/>
      <c r="B123" s="10"/>
      <c r="C123" s="14" t="str">
        <f aca="false">IF($B123="","",IFERROR(INDEX(차량목록!$B$3:$B$42,MATCH($B123,차량목록!$A$3:$A$42,0)),"미등록차량"))</f>
        <v/>
      </c>
      <c r="D123" s="10"/>
      <c r="E123" s="10"/>
      <c r="F123" s="15"/>
      <c r="G123" s="15"/>
      <c r="H123" s="16" t="str">
        <f aca="false">IF(OR($F123="",$G123=""),"",ROUND(IF($G123&lt;1,$G123*24,INT($G123/100)+MOD($G123,100)/60)-IF($F123&lt;1,$F123*24,INT($F123/100)+MOD($F123,100)/60),2))</f>
        <v/>
      </c>
      <c r="I123" s="17"/>
      <c r="J123" s="18" t="str">
        <f aca="false">IF(OR($H123="",$I123=""),"",ROUND($H123*$I123,0))</f>
        <v/>
      </c>
      <c r="K123" s="13"/>
      <c r="L123" s="17"/>
      <c r="M123" s="18" t="str">
        <f aca="false">IF($J123="","",$J123-IF($L123="",0,$L123))</f>
        <v/>
      </c>
      <c r="N123" s="19" t="str">
        <f aca="true">IF(OR($A123="",$M123="",$M123&lt;=0),"",TODAY()-$A123)</f>
        <v/>
      </c>
      <c r="O123" s="20" t="str">
        <f aca="false">IF($B123="","",IFERROR(INDEX(차량목록!$D$3:$D$42,MATCH($B123,차량목록!$A$3:$A$42,0)),0))</f>
        <v/>
      </c>
      <c r="P123" s="18" t="str">
        <f aca="false">IF($J123="","",ROUND($J123*$O123,0))</f>
        <v/>
      </c>
    </row>
    <row r="124" customFormat="false" ht="15" hidden="false" customHeight="true" outlineLevel="0" collapsed="false">
      <c r="A124" s="13"/>
      <c r="B124" s="10"/>
      <c r="C124" s="14" t="str">
        <f aca="false">IF($B124="","",IFERROR(INDEX(차량목록!$B$3:$B$42,MATCH($B124,차량목록!$A$3:$A$42,0)),"미등록차량"))</f>
        <v/>
      </c>
      <c r="D124" s="10"/>
      <c r="E124" s="10"/>
      <c r="F124" s="15"/>
      <c r="G124" s="15"/>
      <c r="H124" s="16" t="str">
        <f aca="false">IF(OR($F124="",$G124=""),"",ROUND(IF($G124&lt;1,$G124*24,INT($G124/100)+MOD($G124,100)/60)-IF($F124&lt;1,$F124*24,INT($F124/100)+MOD($F124,100)/60),2))</f>
        <v/>
      </c>
      <c r="I124" s="17"/>
      <c r="J124" s="18" t="str">
        <f aca="false">IF(OR($H124="",$I124=""),"",ROUND($H124*$I124,0))</f>
        <v/>
      </c>
      <c r="K124" s="13"/>
      <c r="L124" s="17"/>
      <c r="M124" s="18" t="str">
        <f aca="false">IF($J124="","",$J124-IF($L124="",0,$L124))</f>
        <v/>
      </c>
      <c r="N124" s="19" t="str">
        <f aca="true">IF(OR($A124="",$M124="",$M124&lt;=0),"",TODAY()-$A124)</f>
        <v/>
      </c>
      <c r="O124" s="20" t="str">
        <f aca="false">IF($B124="","",IFERROR(INDEX(차량목록!$D$3:$D$42,MATCH($B124,차량목록!$A$3:$A$42,0)),0))</f>
        <v/>
      </c>
      <c r="P124" s="18" t="str">
        <f aca="false">IF($J124="","",ROUND($J124*$O124,0))</f>
        <v/>
      </c>
    </row>
    <row r="125" customFormat="false" ht="15" hidden="false" customHeight="true" outlineLevel="0" collapsed="false">
      <c r="A125" s="13"/>
      <c r="B125" s="10"/>
      <c r="C125" s="14" t="str">
        <f aca="false">IF($B125="","",IFERROR(INDEX(차량목록!$B$3:$B$42,MATCH($B125,차량목록!$A$3:$A$42,0)),"미등록차량"))</f>
        <v/>
      </c>
      <c r="D125" s="10"/>
      <c r="E125" s="10"/>
      <c r="F125" s="15"/>
      <c r="G125" s="15"/>
      <c r="H125" s="16" t="str">
        <f aca="false">IF(OR($F125="",$G125=""),"",ROUND(IF($G125&lt;1,$G125*24,INT($G125/100)+MOD($G125,100)/60)-IF($F125&lt;1,$F125*24,INT($F125/100)+MOD($F125,100)/60),2))</f>
        <v/>
      </c>
      <c r="I125" s="17"/>
      <c r="J125" s="18" t="str">
        <f aca="false">IF(OR($H125="",$I125=""),"",ROUND($H125*$I125,0))</f>
        <v/>
      </c>
      <c r="K125" s="13"/>
      <c r="L125" s="17"/>
      <c r="M125" s="18" t="str">
        <f aca="false">IF($J125="","",$J125-IF($L125="",0,$L125))</f>
        <v/>
      </c>
      <c r="N125" s="19" t="str">
        <f aca="true">IF(OR($A125="",$M125="",$M125&lt;=0),"",TODAY()-$A125)</f>
        <v/>
      </c>
      <c r="O125" s="20" t="str">
        <f aca="false">IF($B125="","",IFERROR(INDEX(차량목록!$D$3:$D$42,MATCH($B125,차량목록!$A$3:$A$42,0)),0))</f>
        <v/>
      </c>
      <c r="P125" s="18" t="str">
        <f aca="false">IF($J125="","",ROUND($J125*$O125,0))</f>
        <v/>
      </c>
    </row>
    <row r="126" customFormat="false" ht="15" hidden="false" customHeight="true" outlineLevel="0" collapsed="false">
      <c r="A126" s="13"/>
      <c r="B126" s="10"/>
      <c r="C126" s="14" t="str">
        <f aca="false">IF($B126="","",IFERROR(INDEX(차량목록!$B$3:$B$42,MATCH($B126,차량목록!$A$3:$A$42,0)),"미등록차량"))</f>
        <v/>
      </c>
      <c r="D126" s="10"/>
      <c r="E126" s="10"/>
      <c r="F126" s="15"/>
      <c r="G126" s="15"/>
      <c r="H126" s="16" t="str">
        <f aca="false">IF(OR($F126="",$G126=""),"",ROUND(IF($G126&lt;1,$G126*24,INT($G126/100)+MOD($G126,100)/60)-IF($F126&lt;1,$F126*24,INT($F126/100)+MOD($F126,100)/60),2))</f>
        <v/>
      </c>
      <c r="I126" s="17"/>
      <c r="J126" s="18" t="str">
        <f aca="false">IF(OR($H126="",$I126=""),"",ROUND($H126*$I126,0))</f>
        <v/>
      </c>
      <c r="K126" s="13"/>
      <c r="L126" s="17"/>
      <c r="M126" s="18" t="str">
        <f aca="false">IF($J126="","",$J126-IF($L126="",0,$L126))</f>
        <v/>
      </c>
      <c r="N126" s="19" t="str">
        <f aca="true">IF(OR($A126="",$M126="",$M126&lt;=0),"",TODAY()-$A126)</f>
        <v/>
      </c>
      <c r="O126" s="20" t="str">
        <f aca="false">IF($B126="","",IFERROR(INDEX(차량목록!$D$3:$D$42,MATCH($B126,차량목록!$A$3:$A$42,0)),0))</f>
        <v/>
      </c>
      <c r="P126" s="18" t="str">
        <f aca="false">IF($J126="","",ROUND($J126*$O126,0))</f>
        <v/>
      </c>
    </row>
    <row r="127" customFormat="false" ht="15" hidden="false" customHeight="true" outlineLevel="0" collapsed="false">
      <c r="A127" s="13"/>
      <c r="B127" s="10"/>
      <c r="C127" s="14" t="str">
        <f aca="false">IF($B127="","",IFERROR(INDEX(차량목록!$B$3:$B$42,MATCH($B127,차량목록!$A$3:$A$42,0)),"미등록차량"))</f>
        <v/>
      </c>
      <c r="D127" s="10"/>
      <c r="E127" s="10"/>
      <c r="F127" s="15"/>
      <c r="G127" s="15"/>
      <c r="H127" s="16" t="str">
        <f aca="false">IF(OR($F127="",$G127=""),"",ROUND(IF($G127&lt;1,$G127*24,INT($G127/100)+MOD($G127,100)/60)-IF($F127&lt;1,$F127*24,INT($F127/100)+MOD($F127,100)/60),2))</f>
        <v/>
      </c>
      <c r="I127" s="17"/>
      <c r="J127" s="18" t="str">
        <f aca="false">IF(OR($H127="",$I127=""),"",ROUND($H127*$I127,0))</f>
        <v/>
      </c>
      <c r="K127" s="13"/>
      <c r="L127" s="17"/>
      <c r="M127" s="18" t="str">
        <f aca="false">IF($J127="","",$J127-IF($L127="",0,$L127))</f>
        <v/>
      </c>
      <c r="N127" s="19" t="str">
        <f aca="true">IF(OR($A127="",$M127="",$M127&lt;=0),"",TODAY()-$A127)</f>
        <v/>
      </c>
      <c r="O127" s="20" t="str">
        <f aca="false">IF($B127="","",IFERROR(INDEX(차량목록!$D$3:$D$42,MATCH($B127,차량목록!$A$3:$A$42,0)),0))</f>
        <v/>
      </c>
      <c r="P127" s="18" t="str">
        <f aca="false">IF($J127="","",ROUND($J127*$O127,0))</f>
        <v/>
      </c>
    </row>
    <row r="128" customFormat="false" ht="15" hidden="false" customHeight="true" outlineLevel="0" collapsed="false">
      <c r="A128" s="13"/>
      <c r="B128" s="10"/>
      <c r="C128" s="14" t="str">
        <f aca="false">IF($B128="","",IFERROR(INDEX(차량목록!$B$3:$B$42,MATCH($B128,차량목록!$A$3:$A$42,0)),"미등록차량"))</f>
        <v/>
      </c>
      <c r="D128" s="10"/>
      <c r="E128" s="10"/>
      <c r="F128" s="15"/>
      <c r="G128" s="15"/>
      <c r="H128" s="16" t="str">
        <f aca="false">IF(OR($F128="",$G128=""),"",ROUND(IF($G128&lt;1,$G128*24,INT($G128/100)+MOD($G128,100)/60)-IF($F128&lt;1,$F128*24,INT($F128/100)+MOD($F128,100)/60),2))</f>
        <v/>
      </c>
      <c r="I128" s="17"/>
      <c r="J128" s="18" t="str">
        <f aca="false">IF(OR($H128="",$I128=""),"",ROUND($H128*$I128,0))</f>
        <v/>
      </c>
      <c r="K128" s="13"/>
      <c r="L128" s="17"/>
      <c r="M128" s="18" t="str">
        <f aca="false">IF($J128="","",$J128-IF($L128="",0,$L128))</f>
        <v/>
      </c>
      <c r="N128" s="19" t="str">
        <f aca="true">IF(OR($A128="",$M128="",$M128&lt;=0),"",TODAY()-$A128)</f>
        <v/>
      </c>
      <c r="O128" s="20" t="str">
        <f aca="false">IF($B128="","",IFERROR(INDEX(차량목록!$D$3:$D$42,MATCH($B128,차량목록!$A$3:$A$42,0)),0))</f>
        <v/>
      </c>
      <c r="P128" s="18" t="str">
        <f aca="false">IF($J128="","",ROUND($J128*$O128,0))</f>
        <v/>
      </c>
    </row>
    <row r="129" customFormat="false" ht="15" hidden="false" customHeight="true" outlineLevel="0" collapsed="false">
      <c r="A129" s="13"/>
      <c r="B129" s="10"/>
      <c r="C129" s="14" t="str">
        <f aca="false">IF($B129="","",IFERROR(INDEX(차량목록!$B$3:$B$42,MATCH($B129,차량목록!$A$3:$A$42,0)),"미등록차량"))</f>
        <v/>
      </c>
      <c r="D129" s="10"/>
      <c r="E129" s="10"/>
      <c r="F129" s="15"/>
      <c r="G129" s="15"/>
      <c r="H129" s="16" t="str">
        <f aca="false">IF(OR($F129="",$G129=""),"",ROUND(IF($G129&lt;1,$G129*24,INT($G129/100)+MOD($G129,100)/60)-IF($F129&lt;1,$F129*24,INT($F129/100)+MOD($F129,100)/60),2))</f>
        <v/>
      </c>
      <c r="I129" s="17"/>
      <c r="J129" s="18" t="str">
        <f aca="false">IF(OR($H129="",$I129=""),"",ROUND($H129*$I129,0))</f>
        <v/>
      </c>
      <c r="K129" s="13"/>
      <c r="L129" s="17"/>
      <c r="M129" s="18" t="str">
        <f aca="false">IF($J129="","",$J129-IF($L129="",0,$L129))</f>
        <v/>
      </c>
      <c r="N129" s="19" t="str">
        <f aca="true">IF(OR($A129="",$M129="",$M129&lt;=0),"",TODAY()-$A129)</f>
        <v/>
      </c>
      <c r="O129" s="20" t="str">
        <f aca="false">IF($B129="","",IFERROR(INDEX(차량목록!$D$3:$D$42,MATCH($B129,차량목록!$A$3:$A$42,0)),0))</f>
        <v/>
      </c>
      <c r="P129" s="18" t="str">
        <f aca="false">IF($J129="","",ROUND($J129*$O129,0))</f>
        <v/>
      </c>
    </row>
    <row r="130" customFormat="false" ht="15" hidden="false" customHeight="true" outlineLevel="0" collapsed="false">
      <c r="A130" s="13"/>
      <c r="B130" s="10"/>
      <c r="C130" s="14" t="str">
        <f aca="false">IF($B130="","",IFERROR(INDEX(차량목록!$B$3:$B$42,MATCH($B130,차량목록!$A$3:$A$42,0)),"미등록차량"))</f>
        <v/>
      </c>
      <c r="D130" s="10"/>
      <c r="E130" s="10"/>
      <c r="F130" s="15"/>
      <c r="G130" s="15"/>
      <c r="H130" s="16" t="str">
        <f aca="false">IF(OR($F130="",$G130=""),"",ROUND(IF($G130&lt;1,$G130*24,INT($G130/100)+MOD($G130,100)/60)-IF($F130&lt;1,$F130*24,INT($F130/100)+MOD($F130,100)/60),2))</f>
        <v/>
      </c>
      <c r="I130" s="17"/>
      <c r="J130" s="18" t="str">
        <f aca="false">IF(OR($H130="",$I130=""),"",ROUND($H130*$I130,0))</f>
        <v/>
      </c>
      <c r="K130" s="13"/>
      <c r="L130" s="17"/>
      <c r="M130" s="18" t="str">
        <f aca="false">IF($J130="","",$J130-IF($L130="",0,$L130))</f>
        <v/>
      </c>
      <c r="N130" s="19" t="str">
        <f aca="true">IF(OR($A130="",$M130="",$M130&lt;=0),"",TODAY()-$A130)</f>
        <v/>
      </c>
      <c r="O130" s="20" t="str">
        <f aca="false">IF($B130="","",IFERROR(INDEX(차량목록!$D$3:$D$42,MATCH($B130,차량목록!$A$3:$A$42,0)),0))</f>
        <v/>
      </c>
      <c r="P130" s="18" t="str">
        <f aca="false">IF($J130="","",ROUND($J130*$O130,0))</f>
        <v/>
      </c>
    </row>
    <row r="131" customFormat="false" ht="15" hidden="false" customHeight="true" outlineLevel="0" collapsed="false">
      <c r="A131" s="13"/>
      <c r="B131" s="10"/>
      <c r="C131" s="14" t="str">
        <f aca="false">IF($B131="","",IFERROR(INDEX(차량목록!$B$3:$B$42,MATCH($B131,차량목록!$A$3:$A$42,0)),"미등록차량"))</f>
        <v/>
      </c>
      <c r="D131" s="10"/>
      <c r="E131" s="10"/>
      <c r="F131" s="15"/>
      <c r="G131" s="15"/>
      <c r="H131" s="16" t="str">
        <f aca="false">IF(OR($F131="",$G131=""),"",ROUND(IF($G131&lt;1,$G131*24,INT($G131/100)+MOD($G131,100)/60)-IF($F131&lt;1,$F131*24,INT($F131/100)+MOD($F131,100)/60),2))</f>
        <v/>
      </c>
      <c r="I131" s="17"/>
      <c r="J131" s="18" t="str">
        <f aca="false">IF(OR($H131="",$I131=""),"",ROUND($H131*$I131,0))</f>
        <v/>
      </c>
      <c r="K131" s="13"/>
      <c r="L131" s="17"/>
      <c r="M131" s="18" t="str">
        <f aca="false">IF($J131="","",$J131-IF($L131="",0,$L131))</f>
        <v/>
      </c>
      <c r="N131" s="19" t="str">
        <f aca="true">IF(OR($A131="",$M131="",$M131&lt;=0),"",TODAY()-$A131)</f>
        <v/>
      </c>
      <c r="O131" s="20" t="str">
        <f aca="false">IF($B131="","",IFERROR(INDEX(차량목록!$D$3:$D$42,MATCH($B131,차량목록!$A$3:$A$42,0)),0))</f>
        <v/>
      </c>
      <c r="P131" s="18" t="str">
        <f aca="false">IF($J131="","",ROUND($J131*$O131,0))</f>
        <v/>
      </c>
    </row>
    <row r="132" customFormat="false" ht="15" hidden="false" customHeight="true" outlineLevel="0" collapsed="false">
      <c r="A132" s="13"/>
      <c r="B132" s="10"/>
      <c r="C132" s="14" t="str">
        <f aca="false">IF($B132="","",IFERROR(INDEX(차량목록!$B$3:$B$42,MATCH($B132,차량목록!$A$3:$A$42,0)),"미등록차량"))</f>
        <v/>
      </c>
      <c r="D132" s="10"/>
      <c r="E132" s="10"/>
      <c r="F132" s="15"/>
      <c r="G132" s="15"/>
      <c r="H132" s="16" t="str">
        <f aca="false">IF(OR($F132="",$G132=""),"",ROUND(IF($G132&lt;1,$G132*24,INT($G132/100)+MOD($G132,100)/60)-IF($F132&lt;1,$F132*24,INT($F132/100)+MOD($F132,100)/60),2))</f>
        <v/>
      </c>
      <c r="I132" s="17"/>
      <c r="J132" s="18" t="str">
        <f aca="false">IF(OR($H132="",$I132=""),"",ROUND($H132*$I132,0))</f>
        <v/>
      </c>
      <c r="K132" s="13"/>
      <c r="L132" s="17"/>
      <c r="M132" s="18" t="str">
        <f aca="false">IF($J132="","",$J132-IF($L132="",0,$L132))</f>
        <v/>
      </c>
      <c r="N132" s="19" t="str">
        <f aca="true">IF(OR($A132="",$M132="",$M132&lt;=0),"",TODAY()-$A132)</f>
        <v/>
      </c>
      <c r="O132" s="20" t="str">
        <f aca="false">IF($B132="","",IFERROR(INDEX(차량목록!$D$3:$D$42,MATCH($B132,차량목록!$A$3:$A$42,0)),0))</f>
        <v/>
      </c>
      <c r="P132" s="18" t="str">
        <f aca="false">IF($J132="","",ROUND($J132*$O132,0))</f>
        <v/>
      </c>
    </row>
    <row r="133" customFormat="false" ht="15" hidden="false" customHeight="true" outlineLevel="0" collapsed="false">
      <c r="A133" s="13"/>
      <c r="B133" s="10"/>
      <c r="C133" s="14" t="str">
        <f aca="false">IF($B133="","",IFERROR(INDEX(차량목록!$B$3:$B$42,MATCH($B133,차량목록!$A$3:$A$42,0)),"미등록차량"))</f>
        <v/>
      </c>
      <c r="D133" s="10"/>
      <c r="E133" s="10"/>
      <c r="F133" s="15"/>
      <c r="G133" s="15"/>
      <c r="H133" s="16" t="str">
        <f aca="false">IF(OR($F133="",$G133=""),"",ROUND(IF($G133&lt;1,$G133*24,INT($G133/100)+MOD($G133,100)/60)-IF($F133&lt;1,$F133*24,INT($F133/100)+MOD($F133,100)/60),2))</f>
        <v/>
      </c>
      <c r="I133" s="17"/>
      <c r="J133" s="18" t="str">
        <f aca="false">IF(OR($H133="",$I133=""),"",ROUND($H133*$I133,0))</f>
        <v/>
      </c>
      <c r="K133" s="13"/>
      <c r="L133" s="17"/>
      <c r="M133" s="18" t="str">
        <f aca="false">IF($J133="","",$J133-IF($L133="",0,$L133))</f>
        <v/>
      </c>
      <c r="N133" s="19" t="str">
        <f aca="true">IF(OR($A133="",$M133="",$M133&lt;=0),"",TODAY()-$A133)</f>
        <v/>
      </c>
      <c r="O133" s="20" t="str">
        <f aca="false">IF($B133="","",IFERROR(INDEX(차량목록!$D$3:$D$42,MATCH($B133,차량목록!$A$3:$A$42,0)),0))</f>
        <v/>
      </c>
      <c r="P133" s="18" t="str">
        <f aca="false">IF($J133="","",ROUND($J133*$O133,0))</f>
        <v/>
      </c>
    </row>
    <row r="134" customFormat="false" ht="15" hidden="false" customHeight="true" outlineLevel="0" collapsed="false">
      <c r="A134" s="13"/>
      <c r="B134" s="10"/>
      <c r="C134" s="14" t="str">
        <f aca="false">IF($B134="","",IFERROR(INDEX(차량목록!$B$3:$B$42,MATCH($B134,차량목록!$A$3:$A$42,0)),"미등록차량"))</f>
        <v/>
      </c>
      <c r="D134" s="10"/>
      <c r="E134" s="10"/>
      <c r="F134" s="15"/>
      <c r="G134" s="15"/>
      <c r="H134" s="16" t="str">
        <f aca="false">IF(OR($F134="",$G134=""),"",ROUND(IF($G134&lt;1,$G134*24,INT($G134/100)+MOD($G134,100)/60)-IF($F134&lt;1,$F134*24,INT($F134/100)+MOD($F134,100)/60),2))</f>
        <v/>
      </c>
      <c r="I134" s="17"/>
      <c r="J134" s="18" t="str">
        <f aca="false">IF(OR($H134="",$I134=""),"",ROUND($H134*$I134,0))</f>
        <v/>
      </c>
      <c r="K134" s="13"/>
      <c r="L134" s="17"/>
      <c r="M134" s="18" t="str">
        <f aca="false">IF($J134="","",$J134-IF($L134="",0,$L134))</f>
        <v/>
      </c>
      <c r="N134" s="19" t="str">
        <f aca="true">IF(OR($A134="",$M134="",$M134&lt;=0),"",TODAY()-$A134)</f>
        <v/>
      </c>
      <c r="O134" s="20" t="str">
        <f aca="false">IF($B134="","",IFERROR(INDEX(차량목록!$D$3:$D$42,MATCH($B134,차량목록!$A$3:$A$42,0)),0))</f>
        <v/>
      </c>
      <c r="P134" s="18" t="str">
        <f aca="false">IF($J134="","",ROUND($J134*$O134,0))</f>
        <v/>
      </c>
    </row>
    <row r="135" customFormat="false" ht="15" hidden="false" customHeight="true" outlineLevel="0" collapsed="false">
      <c r="A135" s="13"/>
      <c r="B135" s="10"/>
      <c r="C135" s="14" t="str">
        <f aca="false">IF($B135="","",IFERROR(INDEX(차량목록!$B$3:$B$42,MATCH($B135,차량목록!$A$3:$A$42,0)),"미등록차량"))</f>
        <v/>
      </c>
      <c r="D135" s="10"/>
      <c r="E135" s="10"/>
      <c r="F135" s="15"/>
      <c r="G135" s="15"/>
      <c r="H135" s="16" t="str">
        <f aca="false">IF(OR($F135="",$G135=""),"",ROUND(IF($G135&lt;1,$G135*24,INT($G135/100)+MOD($G135,100)/60)-IF($F135&lt;1,$F135*24,INT($F135/100)+MOD($F135,100)/60),2))</f>
        <v/>
      </c>
      <c r="I135" s="17"/>
      <c r="J135" s="18" t="str">
        <f aca="false">IF(OR($H135="",$I135=""),"",ROUND($H135*$I135,0))</f>
        <v/>
      </c>
      <c r="K135" s="13"/>
      <c r="L135" s="17"/>
      <c r="M135" s="18" t="str">
        <f aca="false">IF($J135="","",$J135-IF($L135="",0,$L135))</f>
        <v/>
      </c>
      <c r="N135" s="19" t="str">
        <f aca="true">IF(OR($A135="",$M135="",$M135&lt;=0),"",TODAY()-$A135)</f>
        <v/>
      </c>
      <c r="O135" s="20" t="str">
        <f aca="false">IF($B135="","",IFERROR(INDEX(차량목록!$D$3:$D$42,MATCH($B135,차량목록!$A$3:$A$42,0)),0))</f>
        <v/>
      </c>
      <c r="P135" s="18" t="str">
        <f aca="false">IF($J135="","",ROUND($J135*$O135,0))</f>
        <v/>
      </c>
    </row>
    <row r="136" customFormat="false" ht="15" hidden="false" customHeight="true" outlineLevel="0" collapsed="false">
      <c r="A136" s="13"/>
      <c r="B136" s="10"/>
      <c r="C136" s="14" t="str">
        <f aca="false">IF($B136="","",IFERROR(INDEX(차량목록!$B$3:$B$42,MATCH($B136,차량목록!$A$3:$A$42,0)),"미등록차량"))</f>
        <v/>
      </c>
      <c r="D136" s="10"/>
      <c r="E136" s="10"/>
      <c r="F136" s="15"/>
      <c r="G136" s="15"/>
      <c r="H136" s="16" t="str">
        <f aca="false">IF(OR($F136="",$G136=""),"",ROUND(IF($G136&lt;1,$G136*24,INT($G136/100)+MOD($G136,100)/60)-IF($F136&lt;1,$F136*24,INT($F136/100)+MOD($F136,100)/60),2))</f>
        <v/>
      </c>
      <c r="I136" s="17"/>
      <c r="J136" s="18" t="str">
        <f aca="false">IF(OR($H136="",$I136=""),"",ROUND($H136*$I136,0))</f>
        <v/>
      </c>
      <c r="K136" s="13"/>
      <c r="L136" s="17"/>
      <c r="M136" s="18" t="str">
        <f aca="false">IF($J136="","",$J136-IF($L136="",0,$L136))</f>
        <v/>
      </c>
      <c r="N136" s="19" t="str">
        <f aca="true">IF(OR($A136="",$M136="",$M136&lt;=0),"",TODAY()-$A136)</f>
        <v/>
      </c>
      <c r="O136" s="20" t="str">
        <f aca="false">IF($B136="","",IFERROR(INDEX(차량목록!$D$3:$D$42,MATCH($B136,차량목록!$A$3:$A$42,0)),0))</f>
        <v/>
      </c>
      <c r="P136" s="18" t="str">
        <f aca="false">IF($J136="","",ROUND($J136*$O136,0))</f>
        <v/>
      </c>
    </row>
    <row r="137" customFormat="false" ht="15" hidden="false" customHeight="true" outlineLevel="0" collapsed="false">
      <c r="A137" s="13"/>
      <c r="B137" s="10"/>
      <c r="C137" s="14" t="str">
        <f aca="false">IF($B137="","",IFERROR(INDEX(차량목록!$B$3:$B$42,MATCH($B137,차량목록!$A$3:$A$42,0)),"미등록차량"))</f>
        <v/>
      </c>
      <c r="D137" s="10"/>
      <c r="E137" s="10"/>
      <c r="F137" s="15"/>
      <c r="G137" s="15"/>
      <c r="H137" s="16" t="str">
        <f aca="false">IF(OR($F137="",$G137=""),"",ROUND(IF($G137&lt;1,$G137*24,INT($G137/100)+MOD($G137,100)/60)-IF($F137&lt;1,$F137*24,INT($F137/100)+MOD($F137,100)/60),2))</f>
        <v/>
      </c>
      <c r="I137" s="17"/>
      <c r="J137" s="18" t="str">
        <f aca="false">IF(OR($H137="",$I137=""),"",ROUND($H137*$I137,0))</f>
        <v/>
      </c>
      <c r="K137" s="13"/>
      <c r="L137" s="17"/>
      <c r="M137" s="18" t="str">
        <f aca="false">IF($J137="","",$J137-IF($L137="",0,$L137))</f>
        <v/>
      </c>
      <c r="N137" s="19" t="str">
        <f aca="true">IF(OR($A137="",$M137="",$M137&lt;=0),"",TODAY()-$A137)</f>
        <v/>
      </c>
      <c r="O137" s="20" t="str">
        <f aca="false">IF($B137="","",IFERROR(INDEX(차량목록!$D$3:$D$42,MATCH($B137,차량목록!$A$3:$A$42,0)),0))</f>
        <v/>
      </c>
      <c r="P137" s="18" t="str">
        <f aca="false">IF($J137="","",ROUND($J137*$O137,0))</f>
        <v/>
      </c>
    </row>
    <row r="138" customFormat="false" ht="15" hidden="false" customHeight="true" outlineLevel="0" collapsed="false">
      <c r="A138" s="13"/>
      <c r="B138" s="10"/>
      <c r="C138" s="14" t="str">
        <f aca="false">IF($B138="","",IFERROR(INDEX(차량목록!$B$3:$B$42,MATCH($B138,차량목록!$A$3:$A$42,0)),"미등록차량"))</f>
        <v/>
      </c>
      <c r="D138" s="10"/>
      <c r="E138" s="10"/>
      <c r="F138" s="15"/>
      <c r="G138" s="15"/>
      <c r="H138" s="16" t="str">
        <f aca="false">IF(OR($F138="",$G138=""),"",ROUND(IF($G138&lt;1,$G138*24,INT($G138/100)+MOD($G138,100)/60)-IF($F138&lt;1,$F138*24,INT($F138/100)+MOD($F138,100)/60),2))</f>
        <v/>
      </c>
      <c r="I138" s="17"/>
      <c r="J138" s="18" t="str">
        <f aca="false">IF(OR($H138="",$I138=""),"",ROUND($H138*$I138,0))</f>
        <v/>
      </c>
      <c r="K138" s="13"/>
      <c r="L138" s="17"/>
      <c r="M138" s="18" t="str">
        <f aca="false">IF($J138="","",$J138-IF($L138="",0,$L138))</f>
        <v/>
      </c>
      <c r="N138" s="19" t="str">
        <f aca="true">IF(OR($A138="",$M138="",$M138&lt;=0),"",TODAY()-$A138)</f>
        <v/>
      </c>
      <c r="O138" s="20" t="str">
        <f aca="false">IF($B138="","",IFERROR(INDEX(차량목록!$D$3:$D$42,MATCH($B138,차량목록!$A$3:$A$42,0)),0))</f>
        <v/>
      </c>
      <c r="P138" s="18" t="str">
        <f aca="false">IF($J138="","",ROUND($J138*$O138,0))</f>
        <v/>
      </c>
    </row>
    <row r="139" customFormat="false" ht="15" hidden="false" customHeight="true" outlineLevel="0" collapsed="false">
      <c r="A139" s="13"/>
      <c r="B139" s="10"/>
      <c r="C139" s="14" t="str">
        <f aca="false">IF($B139="","",IFERROR(INDEX(차량목록!$B$3:$B$42,MATCH($B139,차량목록!$A$3:$A$42,0)),"미등록차량"))</f>
        <v/>
      </c>
      <c r="D139" s="10"/>
      <c r="E139" s="10"/>
      <c r="F139" s="15"/>
      <c r="G139" s="15"/>
      <c r="H139" s="16" t="str">
        <f aca="false">IF(OR($F139="",$G139=""),"",ROUND(IF($G139&lt;1,$G139*24,INT($G139/100)+MOD($G139,100)/60)-IF($F139&lt;1,$F139*24,INT($F139/100)+MOD($F139,100)/60),2))</f>
        <v/>
      </c>
      <c r="I139" s="17"/>
      <c r="J139" s="18" t="str">
        <f aca="false">IF(OR($H139="",$I139=""),"",ROUND($H139*$I139,0))</f>
        <v/>
      </c>
      <c r="K139" s="13"/>
      <c r="L139" s="17"/>
      <c r="M139" s="18" t="str">
        <f aca="false">IF($J139="","",$J139-IF($L139="",0,$L139))</f>
        <v/>
      </c>
      <c r="N139" s="19" t="str">
        <f aca="true">IF(OR($A139="",$M139="",$M139&lt;=0),"",TODAY()-$A139)</f>
        <v/>
      </c>
      <c r="O139" s="20" t="str">
        <f aca="false">IF($B139="","",IFERROR(INDEX(차량목록!$D$3:$D$42,MATCH($B139,차량목록!$A$3:$A$42,0)),0))</f>
        <v/>
      </c>
      <c r="P139" s="18" t="str">
        <f aca="false">IF($J139="","",ROUND($J139*$O139,0))</f>
        <v/>
      </c>
    </row>
    <row r="140" customFormat="false" ht="15" hidden="false" customHeight="true" outlineLevel="0" collapsed="false">
      <c r="A140" s="13"/>
      <c r="B140" s="10"/>
      <c r="C140" s="14" t="str">
        <f aca="false">IF($B140="","",IFERROR(INDEX(차량목록!$B$3:$B$42,MATCH($B140,차량목록!$A$3:$A$42,0)),"미등록차량"))</f>
        <v/>
      </c>
      <c r="D140" s="10"/>
      <c r="E140" s="10"/>
      <c r="F140" s="15"/>
      <c r="G140" s="15"/>
      <c r="H140" s="16" t="str">
        <f aca="false">IF(OR($F140="",$G140=""),"",ROUND(IF($G140&lt;1,$G140*24,INT($G140/100)+MOD($G140,100)/60)-IF($F140&lt;1,$F140*24,INT($F140/100)+MOD($F140,100)/60),2))</f>
        <v/>
      </c>
      <c r="I140" s="17"/>
      <c r="J140" s="18" t="str">
        <f aca="false">IF(OR($H140="",$I140=""),"",ROUND($H140*$I140,0))</f>
        <v/>
      </c>
      <c r="K140" s="13"/>
      <c r="L140" s="17"/>
      <c r="M140" s="18" t="str">
        <f aca="false">IF($J140="","",$J140-IF($L140="",0,$L140))</f>
        <v/>
      </c>
      <c r="N140" s="19" t="str">
        <f aca="true">IF(OR($A140="",$M140="",$M140&lt;=0),"",TODAY()-$A140)</f>
        <v/>
      </c>
      <c r="O140" s="20" t="str">
        <f aca="false">IF($B140="","",IFERROR(INDEX(차량목록!$D$3:$D$42,MATCH($B140,차량목록!$A$3:$A$42,0)),0))</f>
        <v/>
      </c>
      <c r="P140" s="18" t="str">
        <f aca="false">IF($J140="","",ROUND($J140*$O140,0))</f>
        <v/>
      </c>
    </row>
    <row r="141" customFormat="false" ht="15" hidden="false" customHeight="true" outlineLevel="0" collapsed="false">
      <c r="A141" s="13"/>
      <c r="B141" s="10"/>
      <c r="C141" s="14" t="str">
        <f aca="false">IF($B141="","",IFERROR(INDEX(차량목록!$B$3:$B$42,MATCH($B141,차량목록!$A$3:$A$42,0)),"미등록차량"))</f>
        <v/>
      </c>
      <c r="D141" s="10"/>
      <c r="E141" s="10"/>
      <c r="F141" s="15"/>
      <c r="G141" s="15"/>
      <c r="H141" s="16" t="str">
        <f aca="false">IF(OR($F141="",$G141=""),"",ROUND(IF($G141&lt;1,$G141*24,INT($G141/100)+MOD($G141,100)/60)-IF($F141&lt;1,$F141*24,INT($F141/100)+MOD($F141,100)/60),2))</f>
        <v/>
      </c>
      <c r="I141" s="17"/>
      <c r="J141" s="18" t="str">
        <f aca="false">IF(OR($H141="",$I141=""),"",ROUND($H141*$I141,0))</f>
        <v/>
      </c>
      <c r="K141" s="13"/>
      <c r="L141" s="17"/>
      <c r="M141" s="18" t="str">
        <f aca="false">IF($J141="","",$J141-IF($L141="",0,$L141))</f>
        <v/>
      </c>
      <c r="N141" s="19" t="str">
        <f aca="true">IF(OR($A141="",$M141="",$M141&lt;=0),"",TODAY()-$A141)</f>
        <v/>
      </c>
      <c r="O141" s="20" t="str">
        <f aca="false">IF($B141="","",IFERROR(INDEX(차량목록!$D$3:$D$42,MATCH($B141,차량목록!$A$3:$A$42,0)),0))</f>
        <v/>
      </c>
      <c r="P141" s="18" t="str">
        <f aca="false">IF($J141="","",ROUND($J141*$O141,0))</f>
        <v/>
      </c>
    </row>
    <row r="142" customFormat="false" ht="15" hidden="false" customHeight="true" outlineLevel="0" collapsed="false">
      <c r="A142" s="13"/>
      <c r="B142" s="10"/>
      <c r="C142" s="14" t="str">
        <f aca="false">IF($B142="","",IFERROR(INDEX(차량목록!$B$3:$B$42,MATCH($B142,차량목록!$A$3:$A$42,0)),"미등록차량"))</f>
        <v/>
      </c>
      <c r="D142" s="10"/>
      <c r="E142" s="10"/>
      <c r="F142" s="15"/>
      <c r="G142" s="15"/>
      <c r="H142" s="16" t="str">
        <f aca="false">IF(OR($F142="",$G142=""),"",ROUND(IF($G142&lt;1,$G142*24,INT($G142/100)+MOD($G142,100)/60)-IF($F142&lt;1,$F142*24,INT($F142/100)+MOD($F142,100)/60),2))</f>
        <v/>
      </c>
      <c r="I142" s="17"/>
      <c r="J142" s="18" t="str">
        <f aca="false">IF(OR($H142="",$I142=""),"",ROUND($H142*$I142,0))</f>
        <v/>
      </c>
      <c r="K142" s="13"/>
      <c r="L142" s="17"/>
      <c r="M142" s="18" t="str">
        <f aca="false">IF($J142="","",$J142-IF($L142="",0,$L142))</f>
        <v/>
      </c>
      <c r="N142" s="19" t="str">
        <f aca="true">IF(OR($A142="",$M142="",$M142&lt;=0),"",TODAY()-$A142)</f>
        <v/>
      </c>
      <c r="O142" s="20" t="str">
        <f aca="false">IF($B142="","",IFERROR(INDEX(차량목록!$D$3:$D$42,MATCH($B142,차량목록!$A$3:$A$42,0)),0))</f>
        <v/>
      </c>
      <c r="P142" s="18" t="str">
        <f aca="false">IF($J142="","",ROUND($J142*$O142,0))</f>
        <v/>
      </c>
    </row>
    <row r="143" customFormat="false" ht="15" hidden="false" customHeight="true" outlineLevel="0" collapsed="false">
      <c r="A143" s="13"/>
      <c r="B143" s="10"/>
      <c r="C143" s="14" t="str">
        <f aca="false">IF($B143="","",IFERROR(INDEX(차량목록!$B$3:$B$42,MATCH($B143,차량목록!$A$3:$A$42,0)),"미등록차량"))</f>
        <v/>
      </c>
      <c r="D143" s="10"/>
      <c r="E143" s="10"/>
      <c r="F143" s="15"/>
      <c r="G143" s="15"/>
      <c r="H143" s="16" t="str">
        <f aca="false">IF(OR($F143="",$G143=""),"",ROUND(IF($G143&lt;1,$G143*24,INT($G143/100)+MOD($G143,100)/60)-IF($F143&lt;1,$F143*24,INT($F143/100)+MOD($F143,100)/60),2))</f>
        <v/>
      </c>
      <c r="I143" s="17"/>
      <c r="J143" s="18" t="str">
        <f aca="false">IF(OR($H143="",$I143=""),"",ROUND($H143*$I143,0))</f>
        <v/>
      </c>
      <c r="K143" s="13"/>
      <c r="L143" s="17"/>
      <c r="M143" s="18" t="str">
        <f aca="false">IF($J143="","",$J143-IF($L143="",0,$L143))</f>
        <v/>
      </c>
      <c r="N143" s="19" t="str">
        <f aca="true">IF(OR($A143="",$M143="",$M143&lt;=0),"",TODAY()-$A143)</f>
        <v/>
      </c>
      <c r="O143" s="20" t="str">
        <f aca="false">IF($B143="","",IFERROR(INDEX(차량목록!$D$3:$D$42,MATCH($B143,차량목록!$A$3:$A$42,0)),0))</f>
        <v/>
      </c>
      <c r="P143" s="18" t="str">
        <f aca="false">IF($J143="","",ROUND($J143*$O143,0))</f>
        <v/>
      </c>
    </row>
    <row r="144" customFormat="false" ht="15" hidden="false" customHeight="true" outlineLevel="0" collapsed="false">
      <c r="A144" s="13"/>
      <c r="B144" s="10"/>
      <c r="C144" s="14" t="str">
        <f aca="false">IF($B144="","",IFERROR(INDEX(차량목록!$B$3:$B$42,MATCH($B144,차량목록!$A$3:$A$42,0)),"미등록차량"))</f>
        <v/>
      </c>
      <c r="D144" s="10"/>
      <c r="E144" s="10"/>
      <c r="F144" s="15"/>
      <c r="G144" s="15"/>
      <c r="H144" s="16" t="str">
        <f aca="false">IF(OR($F144="",$G144=""),"",ROUND(IF($G144&lt;1,$G144*24,INT($G144/100)+MOD($G144,100)/60)-IF($F144&lt;1,$F144*24,INT($F144/100)+MOD($F144,100)/60),2))</f>
        <v/>
      </c>
      <c r="I144" s="17"/>
      <c r="J144" s="18" t="str">
        <f aca="false">IF(OR($H144="",$I144=""),"",ROUND($H144*$I144,0))</f>
        <v/>
      </c>
      <c r="K144" s="13"/>
      <c r="L144" s="17"/>
      <c r="M144" s="18" t="str">
        <f aca="false">IF($J144="","",$J144-IF($L144="",0,$L144))</f>
        <v/>
      </c>
      <c r="N144" s="19" t="str">
        <f aca="true">IF(OR($A144="",$M144="",$M144&lt;=0),"",TODAY()-$A144)</f>
        <v/>
      </c>
      <c r="O144" s="20" t="str">
        <f aca="false">IF($B144="","",IFERROR(INDEX(차량목록!$D$3:$D$42,MATCH($B144,차량목록!$A$3:$A$42,0)),0))</f>
        <v/>
      </c>
      <c r="P144" s="18" t="str">
        <f aca="false">IF($J144="","",ROUND($J144*$O144,0))</f>
        <v/>
      </c>
    </row>
    <row r="145" customFormat="false" ht="15" hidden="false" customHeight="true" outlineLevel="0" collapsed="false">
      <c r="A145" s="13"/>
      <c r="B145" s="10"/>
      <c r="C145" s="14" t="str">
        <f aca="false">IF($B145="","",IFERROR(INDEX(차량목록!$B$3:$B$42,MATCH($B145,차량목록!$A$3:$A$42,0)),"미등록차량"))</f>
        <v/>
      </c>
      <c r="D145" s="10"/>
      <c r="E145" s="10"/>
      <c r="F145" s="15"/>
      <c r="G145" s="15"/>
      <c r="H145" s="16" t="str">
        <f aca="false">IF(OR($F145="",$G145=""),"",ROUND(IF($G145&lt;1,$G145*24,INT($G145/100)+MOD($G145,100)/60)-IF($F145&lt;1,$F145*24,INT($F145/100)+MOD($F145,100)/60),2))</f>
        <v/>
      </c>
      <c r="I145" s="17"/>
      <c r="J145" s="18" t="str">
        <f aca="false">IF(OR($H145="",$I145=""),"",ROUND($H145*$I145,0))</f>
        <v/>
      </c>
      <c r="K145" s="13"/>
      <c r="L145" s="17"/>
      <c r="M145" s="18" t="str">
        <f aca="false">IF($J145="","",$J145-IF($L145="",0,$L145))</f>
        <v/>
      </c>
      <c r="N145" s="19" t="str">
        <f aca="true">IF(OR($A145="",$M145="",$M145&lt;=0),"",TODAY()-$A145)</f>
        <v/>
      </c>
      <c r="O145" s="20" t="str">
        <f aca="false">IF($B145="","",IFERROR(INDEX(차량목록!$D$3:$D$42,MATCH($B145,차량목록!$A$3:$A$42,0)),0))</f>
        <v/>
      </c>
      <c r="P145" s="18" t="str">
        <f aca="false">IF($J145="","",ROUND($J145*$O145,0))</f>
        <v/>
      </c>
    </row>
    <row r="146" customFormat="false" ht="15" hidden="false" customHeight="true" outlineLevel="0" collapsed="false">
      <c r="A146" s="13"/>
      <c r="B146" s="10"/>
      <c r="C146" s="14" t="str">
        <f aca="false">IF($B146="","",IFERROR(INDEX(차량목록!$B$3:$B$42,MATCH($B146,차량목록!$A$3:$A$42,0)),"미등록차량"))</f>
        <v/>
      </c>
      <c r="D146" s="10"/>
      <c r="E146" s="10"/>
      <c r="F146" s="15"/>
      <c r="G146" s="15"/>
      <c r="H146" s="16" t="str">
        <f aca="false">IF(OR($F146="",$G146=""),"",ROUND(IF($G146&lt;1,$G146*24,INT($G146/100)+MOD($G146,100)/60)-IF($F146&lt;1,$F146*24,INT($F146/100)+MOD($F146,100)/60),2))</f>
        <v/>
      </c>
      <c r="I146" s="17"/>
      <c r="J146" s="18" t="str">
        <f aca="false">IF(OR($H146="",$I146=""),"",ROUND($H146*$I146,0))</f>
        <v/>
      </c>
      <c r="K146" s="13"/>
      <c r="L146" s="17"/>
      <c r="M146" s="18" t="str">
        <f aca="false">IF($J146="","",$J146-IF($L146="",0,$L146))</f>
        <v/>
      </c>
      <c r="N146" s="19" t="str">
        <f aca="true">IF(OR($A146="",$M146="",$M146&lt;=0),"",TODAY()-$A146)</f>
        <v/>
      </c>
      <c r="O146" s="20" t="str">
        <f aca="false">IF($B146="","",IFERROR(INDEX(차량목록!$D$3:$D$42,MATCH($B146,차량목록!$A$3:$A$42,0)),0))</f>
        <v/>
      </c>
      <c r="P146" s="18" t="str">
        <f aca="false">IF($J146="","",ROUND($J146*$O146,0))</f>
        <v/>
      </c>
    </row>
    <row r="147" customFormat="false" ht="15" hidden="false" customHeight="true" outlineLevel="0" collapsed="false">
      <c r="A147" s="13"/>
      <c r="B147" s="10"/>
      <c r="C147" s="14" t="str">
        <f aca="false">IF($B147="","",IFERROR(INDEX(차량목록!$B$3:$B$42,MATCH($B147,차량목록!$A$3:$A$42,0)),"미등록차량"))</f>
        <v/>
      </c>
      <c r="D147" s="10"/>
      <c r="E147" s="10"/>
      <c r="F147" s="15"/>
      <c r="G147" s="15"/>
      <c r="H147" s="16" t="str">
        <f aca="false">IF(OR($F147="",$G147=""),"",ROUND(IF($G147&lt;1,$G147*24,INT($G147/100)+MOD($G147,100)/60)-IF($F147&lt;1,$F147*24,INT($F147/100)+MOD($F147,100)/60),2))</f>
        <v/>
      </c>
      <c r="I147" s="17"/>
      <c r="J147" s="18" t="str">
        <f aca="false">IF(OR($H147="",$I147=""),"",ROUND($H147*$I147,0))</f>
        <v/>
      </c>
      <c r="K147" s="13"/>
      <c r="L147" s="17"/>
      <c r="M147" s="18" t="str">
        <f aca="false">IF($J147="","",$J147-IF($L147="",0,$L147))</f>
        <v/>
      </c>
      <c r="N147" s="19" t="str">
        <f aca="true">IF(OR($A147="",$M147="",$M147&lt;=0),"",TODAY()-$A147)</f>
        <v/>
      </c>
      <c r="O147" s="20" t="str">
        <f aca="false">IF($B147="","",IFERROR(INDEX(차량목록!$D$3:$D$42,MATCH($B147,차량목록!$A$3:$A$42,0)),0))</f>
        <v/>
      </c>
      <c r="P147" s="18" t="str">
        <f aca="false">IF($J147="","",ROUND($J147*$O147,0))</f>
        <v/>
      </c>
    </row>
    <row r="148" customFormat="false" ht="15" hidden="false" customHeight="true" outlineLevel="0" collapsed="false">
      <c r="A148" s="13"/>
      <c r="B148" s="10"/>
      <c r="C148" s="14" t="str">
        <f aca="false">IF($B148="","",IFERROR(INDEX(차량목록!$B$3:$B$42,MATCH($B148,차량목록!$A$3:$A$42,0)),"미등록차량"))</f>
        <v/>
      </c>
      <c r="D148" s="10"/>
      <c r="E148" s="10"/>
      <c r="F148" s="15"/>
      <c r="G148" s="15"/>
      <c r="H148" s="16" t="str">
        <f aca="false">IF(OR($F148="",$G148=""),"",ROUND(IF($G148&lt;1,$G148*24,INT($G148/100)+MOD($G148,100)/60)-IF($F148&lt;1,$F148*24,INT($F148/100)+MOD($F148,100)/60),2))</f>
        <v/>
      </c>
      <c r="I148" s="17"/>
      <c r="J148" s="18" t="str">
        <f aca="false">IF(OR($H148="",$I148=""),"",ROUND($H148*$I148,0))</f>
        <v/>
      </c>
      <c r="K148" s="13"/>
      <c r="L148" s="17"/>
      <c r="M148" s="18" t="str">
        <f aca="false">IF($J148="","",$J148-IF($L148="",0,$L148))</f>
        <v/>
      </c>
      <c r="N148" s="19" t="str">
        <f aca="true">IF(OR($A148="",$M148="",$M148&lt;=0),"",TODAY()-$A148)</f>
        <v/>
      </c>
      <c r="O148" s="20" t="str">
        <f aca="false">IF($B148="","",IFERROR(INDEX(차량목록!$D$3:$D$42,MATCH($B148,차량목록!$A$3:$A$42,0)),0))</f>
        <v/>
      </c>
      <c r="P148" s="18" t="str">
        <f aca="false">IF($J148="","",ROUND($J148*$O148,0))</f>
        <v/>
      </c>
    </row>
    <row r="149" customFormat="false" ht="15" hidden="false" customHeight="true" outlineLevel="0" collapsed="false">
      <c r="A149" s="13"/>
      <c r="B149" s="10"/>
      <c r="C149" s="14" t="str">
        <f aca="false">IF($B149="","",IFERROR(INDEX(차량목록!$B$3:$B$42,MATCH($B149,차량목록!$A$3:$A$42,0)),"미등록차량"))</f>
        <v/>
      </c>
      <c r="D149" s="10"/>
      <c r="E149" s="10"/>
      <c r="F149" s="15"/>
      <c r="G149" s="15"/>
      <c r="H149" s="16" t="str">
        <f aca="false">IF(OR($F149="",$G149=""),"",ROUND(IF($G149&lt;1,$G149*24,INT($G149/100)+MOD($G149,100)/60)-IF($F149&lt;1,$F149*24,INT($F149/100)+MOD($F149,100)/60),2))</f>
        <v/>
      </c>
      <c r="I149" s="17"/>
      <c r="J149" s="18" t="str">
        <f aca="false">IF(OR($H149="",$I149=""),"",ROUND($H149*$I149,0))</f>
        <v/>
      </c>
      <c r="K149" s="13"/>
      <c r="L149" s="17"/>
      <c r="M149" s="18" t="str">
        <f aca="false">IF($J149="","",$J149-IF($L149="",0,$L149))</f>
        <v/>
      </c>
      <c r="N149" s="19" t="str">
        <f aca="true">IF(OR($A149="",$M149="",$M149&lt;=0),"",TODAY()-$A149)</f>
        <v/>
      </c>
      <c r="O149" s="20" t="str">
        <f aca="false">IF($B149="","",IFERROR(INDEX(차량목록!$D$3:$D$42,MATCH($B149,차량목록!$A$3:$A$42,0)),0))</f>
        <v/>
      </c>
      <c r="P149" s="18" t="str">
        <f aca="false">IF($J149="","",ROUND($J149*$O149,0))</f>
        <v/>
      </c>
    </row>
    <row r="150" customFormat="false" ht="15" hidden="false" customHeight="true" outlineLevel="0" collapsed="false">
      <c r="A150" s="13"/>
      <c r="B150" s="10"/>
      <c r="C150" s="14" t="str">
        <f aca="false">IF($B150="","",IFERROR(INDEX(차량목록!$B$3:$B$42,MATCH($B150,차량목록!$A$3:$A$42,0)),"미등록차량"))</f>
        <v/>
      </c>
      <c r="D150" s="10"/>
      <c r="E150" s="10"/>
      <c r="F150" s="15"/>
      <c r="G150" s="15"/>
      <c r="H150" s="16" t="str">
        <f aca="false">IF(OR($F150="",$G150=""),"",ROUND(IF($G150&lt;1,$G150*24,INT($G150/100)+MOD($G150,100)/60)-IF($F150&lt;1,$F150*24,INT($F150/100)+MOD($F150,100)/60),2))</f>
        <v/>
      </c>
      <c r="I150" s="17"/>
      <c r="J150" s="18" t="str">
        <f aca="false">IF(OR($H150="",$I150=""),"",ROUND($H150*$I150,0))</f>
        <v/>
      </c>
      <c r="K150" s="13"/>
      <c r="L150" s="17"/>
      <c r="M150" s="18" t="str">
        <f aca="false">IF($J150="","",$J150-IF($L150="",0,$L150))</f>
        <v/>
      </c>
      <c r="N150" s="19" t="str">
        <f aca="true">IF(OR($A150="",$M150="",$M150&lt;=0),"",TODAY()-$A150)</f>
        <v/>
      </c>
      <c r="O150" s="20" t="str">
        <f aca="false">IF($B150="","",IFERROR(INDEX(차량목록!$D$3:$D$42,MATCH($B150,차량목록!$A$3:$A$42,0)),0))</f>
        <v/>
      </c>
      <c r="P150" s="18" t="str">
        <f aca="false">IF($J150="","",ROUND($J150*$O150,0))</f>
        <v/>
      </c>
    </row>
    <row r="151" customFormat="false" ht="15" hidden="false" customHeight="true" outlineLevel="0" collapsed="false">
      <c r="A151" s="13"/>
      <c r="B151" s="10"/>
      <c r="C151" s="14" t="str">
        <f aca="false">IF($B151="","",IFERROR(INDEX(차량목록!$B$3:$B$42,MATCH($B151,차량목록!$A$3:$A$42,0)),"미등록차량"))</f>
        <v/>
      </c>
      <c r="D151" s="10"/>
      <c r="E151" s="10"/>
      <c r="F151" s="15"/>
      <c r="G151" s="15"/>
      <c r="H151" s="16" t="str">
        <f aca="false">IF(OR($F151="",$G151=""),"",ROUND(IF($G151&lt;1,$G151*24,INT($G151/100)+MOD($G151,100)/60)-IF($F151&lt;1,$F151*24,INT($F151/100)+MOD($F151,100)/60),2))</f>
        <v/>
      </c>
      <c r="I151" s="17"/>
      <c r="J151" s="18" t="str">
        <f aca="false">IF(OR($H151="",$I151=""),"",ROUND($H151*$I151,0))</f>
        <v/>
      </c>
      <c r="K151" s="13"/>
      <c r="L151" s="17"/>
      <c r="M151" s="18" t="str">
        <f aca="false">IF($J151="","",$J151-IF($L151="",0,$L151))</f>
        <v/>
      </c>
      <c r="N151" s="19" t="str">
        <f aca="true">IF(OR($A151="",$M151="",$M151&lt;=0),"",TODAY()-$A151)</f>
        <v/>
      </c>
      <c r="O151" s="20" t="str">
        <f aca="false">IF($B151="","",IFERROR(INDEX(차량목록!$D$3:$D$42,MATCH($B151,차량목록!$A$3:$A$42,0)),0))</f>
        <v/>
      </c>
      <c r="P151" s="18" t="str">
        <f aca="false">IF($J151="","",ROUND($J151*$O151,0))</f>
        <v/>
      </c>
    </row>
    <row r="152" customFormat="false" ht="15" hidden="false" customHeight="true" outlineLevel="0" collapsed="false">
      <c r="A152" s="13"/>
      <c r="B152" s="10"/>
      <c r="C152" s="14" t="str">
        <f aca="false">IF($B152="","",IFERROR(INDEX(차량목록!$B$3:$B$42,MATCH($B152,차량목록!$A$3:$A$42,0)),"미등록차량"))</f>
        <v/>
      </c>
      <c r="D152" s="10"/>
      <c r="E152" s="10"/>
      <c r="F152" s="15"/>
      <c r="G152" s="15"/>
      <c r="H152" s="16" t="str">
        <f aca="false">IF(OR($F152="",$G152=""),"",ROUND(IF($G152&lt;1,$G152*24,INT($G152/100)+MOD($G152,100)/60)-IF($F152&lt;1,$F152*24,INT($F152/100)+MOD($F152,100)/60),2))</f>
        <v/>
      </c>
      <c r="I152" s="17"/>
      <c r="J152" s="18" t="str">
        <f aca="false">IF(OR($H152="",$I152=""),"",ROUND($H152*$I152,0))</f>
        <v/>
      </c>
      <c r="K152" s="13"/>
      <c r="L152" s="17"/>
      <c r="M152" s="18" t="str">
        <f aca="false">IF($J152="","",$J152-IF($L152="",0,$L152))</f>
        <v/>
      </c>
      <c r="N152" s="19" t="str">
        <f aca="true">IF(OR($A152="",$M152="",$M152&lt;=0),"",TODAY()-$A152)</f>
        <v/>
      </c>
      <c r="O152" s="20" t="str">
        <f aca="false">IF($B152="","",IFERROR(INDEX(차량목록!$D$3:$D$42,MATCH($B152,차량목록!$A$3:$A$42,0)),0))</f>
        <v/>
      </c>
      <c r="P152" s="18" t="str">
        <f aca="false">IF($J152="","",ROUND($J152*$O152,0))</f>
        <v/>
      </c>
    </row>
    <row r="153" customFormat="false" ht="15" hidden="false" customHeight="true" outlineLevel="0" collapsed="false">
      <c r="A153" s="13"/>
      <c r="B153" s="10"/>
      <c r="C153" s="14" t="str">
        <f aca="false">IF($B153="","",IFERROR(INDEX(차량목록!$B$3:$B$42,MATCH($B153,차량목록!$A$3:$A$42,0)),"미등록차량"))</f>
        <v/>
      </c>
      <c r="D153" s="10"/>
      <c r="E153" s="10"/>
      <c r="F153" s="15"/>
      <c r="G153" s="15"/>
      <c r="H153" s="16" t="str">
        <f aca="false">IF(OR($F153="",$G153=""),"",ROUND(IF($G153&lt;1,$G153*24,INT($G153/100)+MOD($G153,100)/60)-IF($F153&lt;1,$F153*24,INT($F153/100)+MOD($F153,100)/60),2))</f>
        <v/>
      </c>
      <c r="I153" s="17"/>
      <c r="J153" s="18" t="str">
        <f aca="false">IF(OR($H153="",$I153=""),"",ROUND($H153*$I153,0))</f>
        <v/>
      </c>
      <c r="K153" s="13"/>
      <c r="L153" s="17"/>
      <c r="M153" s="18" t="str">
        <f aca="false">IF($J153="","",$J153-IF($L153="",0,$L153))</f>
        <v/>
      </c>
      <c r="N153" s="19" t="str">
        <f aca="true">IF(OR($A153="",$M153="",$M153&lt;=0),"",TODAY()-$A153)</f>
        <v/>
      </c>
      <c r="O153" s="20" t="str">
        <f aca="false">IF($B153="","",IFERROR(INDEX(차량목록!$D$3:$D$42,MATCH($B153,차량목록!$A$3:$A$42,0)),0))</f>
        <v/>
      </c>
      <c r="P153" s="18" t="str">
        <f aca="false">IF($J153="","",ROUND($J153*$O153,0))</f>
        <v/>
      </c>
    </row>
    <row r="154" customFormat="false" ht="15" hidden="false" customHeight="true" outlineLevel="0" collapsed="false">
      <c r="A154" s="13"/>
      <c r="B154" s="10"/>
      <c r="C154" s="14" t="str">
        <f aca="false">IF($B154="","",IFERROR(INDEX(차량목록!$B$3:$B$42,MATCH($B154,차량목록!$A$3:$A$42,0)),"미등록차량"))</f>
        <v/>
      </c>
      <c r="D154" s="10"/>
      <c r="E154" s="10"/>
      <c r="F154" s="15"/>
      <c r="G154" s="15"/>
      <c r="H154" s="16" t="str">
        <f aca="false">IF(OR($F154="",$G154=""),"",ROUND(IF($G154&lt;1,$G154*24,INT($G154/100)+MOD($G154,100)/60)-IF($F154&lt;1,$F154*24,INT($F154/100)+MOD($F154,100)/60),2))</f>
        <v/>
      </c>
      <c r="I154" s="17"/>
      <c r="J154" s="18" t="str">
        <f aca="false">IF(OR($H154="",$I154=""),"",ROUND($H154*$I154,0))</f>
        <v/>
      </c>
      <c r="K154" s="13"/>
      <c r="L154" s="17"/>
      <c r="M154" s="18" t="str">
        <f aca="false">IF($J154="","",$J154-IF($L154="",0,$L154))</f>
        <v/>
      </c>
      <c r="N154" s="19" t="str">
        <f aca="true">IF(OR($A154="",$M154="",$M154&lt;=0),"",TODAY()-$A154)</f>
        <v/>
      </c>
      <c r="O154" s="20" t="str">
        <f aca="false">IF($B154="","",IFERROR(INDEX(차량목록!$D$3:$D$42,MATCH($B154,차량목록!$A$3:$A$42,0)),0))</f>
        <v/>
      </c>
      <c r="P154" s="18" t="str">
        <f aca="false">IF($J154="","",ROUND($J154*$O154,0))</f>
        <v/>
      </c>
    </row>
    <row r="155" customFormat="false" ht="15" hidden="false" customHeight="true" outlineLevel="0" collapsed="false">
      <c r="A155" s="13"/>
      <c r="B155" s="10"/>
      <c r="C155" s="14" t="str">
        <f aca="false">IF($B155="","",IFERROR(INDEX(차량목록!$B$3:$B$42,MATCH($B155,차량목록!$A$3:$A$42,0)),"미등록차량"))</f>
        <v/>
      </c>
      <c r="D155" s="10"/>
      <c r="E155" s="10"/>
      <c r="F155" s="15"/>
      <c r="G155" s="15"/>
      <c r="H155" s="16" t="str">
        <f aca="false">IF(OR($F155="",$G155=""),"",ROUND(IF($G155&lt;1,$G155*24,INT($G155/100)+MOD($G155,100)/60)-IF($F155&lt;1,$F155*24,INT($F155/100)+MOD($F155,100)/60),2))</f>
        <v/>
      </c>
      <c r="I155" s="17"/>
      <c r="J155" s="18" t="str">
        <f aca="false">IF(OR($H155="",$I155=""),"",ROUND($H155*$I155,0))</f>
        <v/>
      </c>
      <c r="K155" s="13"/>
      <c r="L155" s="17"/>
      <c r="M155" s="18" t="str">
        <f aca="false">IF($J155="","",$J155-IF($L155="",0,$L155))</f>
        <v/>
      </c>
      <c r="N155" s="19" t="str">
        <f aca="true">IF(OR($A155="",$M155="",$M155&lt;=0),"",TODAY()-$A155)</f>
        <v/>
      </c>
      <c r="O155" s="20" t="str">
        <f aca="false">IF($B155="","",IFERROR(INDEX(차량목록!$D$3:$D$42,MATCH($B155,차량목록!$A$3:$A$42,0)),0))</f>
        <v/>
      </c>
      <c r="P155" s="18" t="str">
        <f aca="false">IF($J155="","",ROUND($J155*$O155,0))</f>
        <v/>
      </c>
    </row>
    <row r="156" customFormat="false" ht="15" hidden="false" customHeight="true" outlineLevel="0" collapsed="false">
      <c r="A156" s="13"/>
      <c r="B156" s="10"/>
      <c r="C156" s="14" t="str">
        <f aca="false">IF($B156="","",IFERROR(INDEX(차량목록!$B$3:$B$42,MATCH($B156,차량목록!$A$3:$A$42,0)),"미등록차량"))</f>
        <v/>
      </c>
      <c r="D156" s="10"/>
      <c r="E156" s="10"/>
      <c r="F156" s="15"/>
      <c r="G156" s="15"/>
      <c r="H156" s="16" t="str">
        <f aca="false">IF(OR($F156="",$G156=""),"",ROUND(IF($G156&lt;1,$G156*24,INT($G156/100)+MOD($G156,100)/60)-IF($F156&lt;1,$F156*24,INT($F156/100)+MOD($F156,100)/60),2))</f>
        <v/>
      </c>
      <c r="I156" s="17"/>
      <c r="J156" s="18" t="str">
        <f aca="false">IF(OR($H156="",$I156=""),"",ROUND($H156*$I156,0))</f>
        <v/>
      </c>
      <c r="K156" s="13"/>
      <c r="L156" s="17"/>
      <c r="M156" s="18" t="str">
        <f aca="false">IF($J156="","",$J156-IF($L156="",0,$L156))</f>
        <v/>
      </c>
      <c r="N156" s="19" t="str">
        <f aca="true">IF(OR($A156="",$M156="",$M156&lt;=0),"",TODAY()-$A156)</f>
        <v/>
      </c>
      <c r="O156" s="20" t="str">
        <f aca="false">IF($B156="","",IFERROR(INDEX(차량목록!$D$3:$D$42,MATCH($B156,차량목록!$A$3:$A$42,0)),0))</f>
        <v/>
      </c>
      <c r="P156" s="18" t="str">
        <f aca="false">IF($J156="","",ROUND($J156*$O156,0))</f>
        <v/>
      </c>
    </row>
    <row r="157" customFormat="false" ht="15" hidden="false" customHeight="true" outlineLevel="0" collapsed="false">
      <c r="A157" s="13"/>
      <c r="B157" s="10"/>
      <c r="C157" s="14" t="str">
        <f aca="false">IF($B157="","",IFERROR(INDEX(차량목록!$B$3:$B$42,MATCH($B157,차량목록!$A$3:$A$42,0)),"미등록차량"))</f>
        <v/>
      </c>
      <c r="D157" s="10"/>
      <c r="E157" s="10"/>
      <c r="F157" s="15"/>
      <c r="G157" s="15"/>
      <c r="H157" s="16" t="str">
        <f aca="false">IF(OR($F157="",$G157=""),"",ROUND(IF($G157&lt;1,$G157*24,INT($G157/100)+MOD($G157,100)/60)-IF($F157&lt;1,$F157*24,INT($F157/100)+MOD($F157,100)/60),2))</f>
        <v/>
      </c>
      <c r="I157" s="17"/>
      <c r="J157" s="18" t="str">
        <f aca="false">IF(OR($H157="",$I157=""),"",ROUND($H157*$I157,0))</f>
        <v/>
      </c>
      <c r="K157" s="13"/>
      <c r="L157" s="17"/>
      <c r="M157" s="18" t="str">
        <f aca="false">IF($J157="","",$J157-IF($L157="",0,$L157))</f>
        <v/>
      </c>
      <c r="N157" s="19" t="str">
        <f aca="true">IF(OR($A157="",$M157="",$M157&lt;=0),"",TODAY()-$A157)</f>
        <v/>
      </c>
      <c r="O157" s="20" t="str">
        <f aca="false">IF($B157="","",IFERROR(INDEX(차량목록!$D$3:$D$42,MATCH($B157,차량목록!$A$3:$A$42,0)),0))</f>
        <v/>
      </c>
      <c r="P157" s="18" t="str">
        <f aca="false">IF($J157="","",ROUND($J157*$O157,0))</f>
        <v/>
      </c>
    </row>
    <row r="158" customFormat="false" ht="15" hidden="false" customHeight="true" outlineLevel="0" collapsed="false">
      <c r="A158" s="13"/>
      <c r="B158" s="10"/>
      <c r="C158" s="14" t="str">
        <f aca="false">IF($B158="","",IFERROR(INDEX(차량목록!$B$3:$B$42,MATCH($B158,차량목록!$A$3:$A$42,0)),"미등록차량"))</f>
        <v/>
      </c>
      <c r="D158" s="10"/>
      <c r="E158" s="10"/>
      <c r="F158" s="15"/>
      <c r="G158" s="15"/>
      <c r="H158" s="16" t="str">
        <f aca="false">IF(OR($F158="",$G158=""),"",ROUND(IF($G158&lt;1,$G158*24,INT($G158/100)+MOD($G158,100)/60)-IF($F158&lt;1,$F158*24,INT($F158/100)+MOD($F158,100)/60),2))</f>
        <v/>
      </c>
      <c r="I158" s="17"/>
      <c r="J158" s="18" t="str">
        <f aca="false">IF(OR($H158="",$I158=""),"",ROUND($H158*$I158,0))</f>
        <v/>
      </c>
      <c r="K158" s="13"/>
      <c r="L158" s="17"/>
      <c r="M158" s="18" t="str">
        <f aca="false">IF($J158="","",$J158-IF($L158="",0,$L158))</f>
        <v/>
      </c>
      <c r="N158" s="19" t="str">
        <f aca="true">IF(OR($A158="",$M158="",$M158&lt;=0),"",TODAY()-$A158)</f>
        <v/>
      </c>
      <c r="O158" s="20" t="str">
        <f aca="false">IF($B158="","",IFERROR(INDEX(차량목록!$D$3:$D$42,MATCH($B158,차량목록!$A$3:$A$42,0)),0))</f>
        <v/>
      </c>
      <c r="P158" s="18" t="str">
        <f aca="false">IF($J158="","",ROUND($J158*$O158,0))</f>
        <v/>
      </c>
    </row>
    <row r="159" customFormat="false" ht="15" hidden="false" customHeight="true" outlineLevel="0" collapsed="false">
      <c r="A159" s="13"/>
      <c r="B159" s="10"/>
      <c r="C159" s="14" t="str">
        <f aca="false">IF($B159="","",IFERROR(INDEX(차량목록!$B$3:$B$42,MATCH($B159,차량목록!$A$3:$A$42,0)),"미등록차량"))</f>
        <v/>
      </c>
      <c r="D159" s="10"/>
      <c r="E159" s="10"/>
      <c r="F159" s="15"/>
      <c r="G159" s="15"/>
      <c r="H159" s="16" t="str">
        <f aca="false">IF(OR($F159="",$G159=""),"",ROUND(IF($G159&lt;1,$G159*24,INT($G159/100)+MOD($G159,100)/60)-IF($F159&lt;1,$F159*24,INT($F159/100)+MOD($F159,100)/60),2))</f>
        <v/>
      </c>
      <c r="I159" s="17"/>
      <c r="J159" s="18" t="str">
        <f aca="false">IF(OR($H159="",$I159=""),"",ROUND($H159*$I159,0))</f>
        <v/>
      </c>
      <c r="K159" s="13"/>
      <c r="L159" s="17"/>
      <c r="M159" s="18" t="str">
        <f aca="false">IF($J159="","",$J159-IF($L159="",0,$L159))</f>
        <v/>
      </c>
      <c r="N159" s="19" t="str">
        <f aca="true">IF(OR($A159="",$M159="",$M159&lt;=0),"",TODAY()-$A159)</f>
        <v/>
      </c>
      <c r="O159" s="20" t="str">
        <f aca="false">IF($B159="","",IFERROR(INDEX(차량목록!$D$3:$D$42,MATCH($B159,차량목록!$A$3:$A$42,0)),0))</f>
        <v/>
      </c>
      <c r="P159" s="18" t="str">
        <f aca="false">IF($J159="","",ROUND($J159*$O159,0))</f>
        <v/>
      </c>
    </row>
    <row r="160" customFormat="false" ht="15" hidden="false" customHeight="true" outlineLevel="0" collapsed="false">
      <c r="A160" s="13"/>
      <c r="B160" s="10"/>
      <c r="C160" s="14" t="str">
        <f aca="false">IF($B160="","",IFERROR(INDEX(차량목록!$B$3:$B$42,MATCH($B160,차량목록!$A$3:$A$42,0)),"미등록차량"))</f>
        <v/>
      </c>
      <c r="D160" s="10"/>
      <c r="E160" s="10"/>
      <c r="F160" s="15"/>
      <c r="G160" s="15"/>
      <c r="H160" s="16" t="str">
        <f aca="false">IF(OR($F160="",$G160=""),"",ROUND(IF($G160&lt;1,$G160*24,INT($G160/100)+MOD($G160,100)/60)-IF($F160&lt;1,$F160*24,INT($F160/100)+MOD($F160,100)/60),2))</f>
        <v/>
      </c>
      <c r="I160" s="17"/>
      <c r="J160" s="18" t="str">
        <f aca="false">IF(OR($H160="",$I160=""),"",ROUND($H160*$I160,0))</f>
        <v/>
      </c>
      <c r="K160" s="13"/>
      <c r="L160" s="17"/>
      <c r="M160" s="18" t="str">
        <f aca="false">IF($J160="","",$J160-IF($L160="",0,$L160))</f>
        <v/>
      </c>
      <c r="N160" s="19" t="str">
        <f aca="true">IF(OR($A160="",$M160="",$M160&lt;=0),"",TODAY()-$A160)</f>
        <v/>
      </c>
      <c r="O160" s="20" t="str">
        <f aca="false">IF($B160="","",IFERROR(INDEX(차량목록!$D$3:$D$42,MATCH($B160,차량목록!$A$3:$A$42,0)),0))</f>
        <v/>
      </c>
      <c r="P160" s="18" t="str">
        <f aca="false">IF($J160="","",ROUND($J160*$O160,0))</f>
        <v/>
      </c>
    </row>
    <row r="161" customFormat="false" ht="15" hidden="false" customHeight="true" outlineLevel="0" collapsed="false">
      <c r="A161" s="13"/>
      <c r="B161" s="10"/>
      <c r="C161" s="14" t="str">
        <f aca="false">IF($B161="","",IFERROR(INDEX(차량목록!$B$3:$B$42,MATCH($B161,차량목록!$A$3:$A$42,0)),"미등록차량"))</f>
        <v/>
      </c>
      <c r="D161" s="10"/>
      <c r="E161" s="10"/>
      <c r="F161" s="15"/>
      <c r="G161" s="15"/>
      <c r="H161" s="16" t="str">
        <f aca="false">IF(OR($F161="",$G161=""),"",ROUND(IF($G161&lt;1,$G161*24,INT($G161/100)+MOD($G161,100)/60)-IF($F161&lt;1,$F161*24,INT($F161/100)+MOD($F161,100)/60),2))</f>
        <v/>
      </c>
      <c r="I161" s="17"/>
      <c r="J161" s="18" t="str">
        <f aca="false">IF(OR($H161="",$I161=""),"",ROUND($H161*$I161,0))</f>
        <v/>
      </c>
      <c r="K161" s="13"/>
      <c r="L161" s="17"/>
      <c r="M161" s="18" t="str">
        <f aca="false">IF($J161="","",$J161-IF($L161="",0,$L161))</f>
        <v/>
      </c>
      <c r="N161" s="19" t="str">
        <f aca="true">IF(OR($A161="",$M161="",$M161&lt;=0),"",TODAY()-$A161)</f>
        <v/>
      </c>
      <c r="O161" s="20" t="str">
        <f aca="false">IF($B161="","",IFERROR(INDEX(차량목록!$D$3:$D$42,MATCH($B161,차량목록!$A$3:$A$42,0)),0))</f>
        <v/>
      </c>
      <c r="P161" s="18" t="str">
        <f aca="false">IF($J161="","",ROUND($J161*$O161,0))</f>
        <v/>
      </c>
    </row>
    <row r="162" customFormat="false" ht="15" hidden="false" customHeight="true" outlineLevel="0" collapsed="false">
      <c r="A162" s="13"/>
      <c r="B162" s="10"/>
      <c r="C162" s="14" t="str">
        <f aca="false">IF($B162="","",IFERROR(INDEX(차량목록!$B$3:$B$42,MATCH($B162,차량목록!$A$3:$A$42,0)),"미등록차량"))</f>
        <v/>
      </c>
      <c r="D162" s="10"/>
      <c r="E162" s="10"/>
      <c r="F162" s="15"/>
      <c r="G162" s="15"/>
      <c r="H162" s="16" t="str">
        <f aca="false">IF(OR($F162="",$G162=""),"",ROUND(IF($G162&lt;1,$G162*24,INT($G162/100)+MOD($G162,100)/60)-IF($F162&lt;1,$F162*24,INT($F162/100)+MOD($F162,100)/60),2))</f>
        <v/>
      </c>
      <c r="I162" s="17"/>
      <c r="J162" s="18" t="str">
        <f aca="false">IF(OR($H162="",$I162=""),"",ROUND($H162*$I162,0))</f>
        <v/>
      </c>
      <c r="K162" s="13"/>
      <c r="L162" s="17"/>
      <c r="M162" s="18" t="str">
        <f aca="false">IF($J162="","",$J162-IF($L162="",0,$L162))</f>
        <v/>
      </c>
      <c r="N162" s="19" t="str">
        <f aca="true">IF(OR($A162="",$M162="",$M162&lt;=0),"",TODAY()-$A162)</f>
        <v/>
      </c>
      <c r="O162" s="20" t="str">
        <f aca="false">IF($B162="","",IFERROR(INDEX(차량목록!$D$3:$D$42,MATCH($B162,차량목록!$A$3:$A$42,0)),0))</f>
        <v/>
      </c>
      <c r="P162" s="18" t="str">
        <f aca="false">IF($J162="","",ROUND($J162*$O162,0))</f>
        <v/>
      </c>
    </row>
    <row r="163" customFormat="false" ht="15" hidden="false" customHeight="true" outlineLevel="0" collapsed="false">
      <c r="A163" s="13"/>
      <c r="B163" s="10"/>
      <c r="C163" s="14" t="str">
        <f aca="false">IF($B163="","",IFERROR(INDEX(차량목록!$B$3:$B$42,MATCH($B163,차량목록!$A$3:$A$42,0)),"미등록차량"))</f>
        <v/>
      </c>
      <c r="D163" s="10"/>
      <c r="E163" s="10"/>
      <c r="F163" s="15"/>
      <c r="G163" s="15"/>
      <c r="H163" s="16" t="str">
        <f aca="false">IF(OR($F163="",$G163=""),"",ROUND(IF($G163&lt;1,$G163*24,INT($G163/100)+MOD($G163,100)/60)-IF($F163&lt;1,$F163*24,INT($F163/100)+MOD($F163,100)/60),2))</f>
        <v/>
      </c>
      <c r="I163" s="17"/>
      <c r="J163" s="18" t="str">
        <f aca="false">IF(OR($H163="",$I163=""),"",ROUND($H163*$I163,0))</f>
        <v/>
      </c>
      <c r="K163" s="13"/>
      <c r="L163" s="17"/>
      <c r="M163" s="18" t="str">
        <f aca="false">IF($J163="","",$J163-IF($L163="",0,$L163))</f>
        <v/>
      </c>
      <c r="N163" s="19" t="str">
        <f aca="true">IF(OR($A163="",$M163="",$M163&lt;=0),"",TODAY()-$A163)</f>
        <v/>
      </c>
      <c r="O163" s="20" t="str">
        <f aca="false">IF($B163="","",IFERROR(INDEX(차량목록!$D$3:$D$42,MATCH($B163,차량목록!$A$3:$A$42,0)),0))</f>
        <v/>
      </c>
      <c r="P163" s="18" t="str">
        <f aca="false">IF($J163="","",ROUND($J163*$O163,0))</f>
        <v/>
      </c>
    </row>
    <row r="164" customFormat="false" ht="15" hidden="false" customHeight="true" outlineLevel="0" collapsed="false">
      <c r="A164" s="13"/>
      <c r="B164" s="10"/>
      <c r="C164" s="14" t="str">
        <f aca="false">IF($B164="","",IFERROR(INDEX(차량목록!$B$3:$B$42,MATCH($B164,차량목록!$A$3:$A$42,0)),"미등록차량"))</f>
        <v/>
      </c>
      <c r="D164" s="10"/>
      <c r="E164" s="10"/>
      <c r="F164" s="15"/>
      <c r="G164" s="15"/>
      <c r="H164" s="16" t="str">
        <f aca="false">IF(OR($F164="",$G164=""),"",ROUND(IF($G164&lt;1,$G164*24,INT($G164/100)+MOD($G164,100)/60)-IF($F164&lt;1,$F164*24,INT($F164/100)+MOD($F164,100)/60),2))</f>
        <v/>
      </c>
      <c r="I164" s="17"/>
      <c r="J164" s="18" t="str">
        <f aca="false">IF(OR($H164="",$I164=""),"",ROUND($H164*$I164,0))</f>
        <v/>
      </c>
      <c r="K164" s="13"/>
      <c r="L164" s="17"/>
      <c r="M164" s="18" t="str">
        <f aca="false">IF($J164="","",$J164-IF($L164="",0,$L164))</f>
        <v/>
      </c>
      <c r="N164" s="19" t="str">
        <f aca="true">IF(OR($A164="",$M164="",$M164&lt;=0),"",TODAY()-$A164)</f>
        <v/>
      </c>
      <c r="O164" s="20" t="str">
        <f aca="false">IF($B164="","",IFERROR(INDEX(차량목록!$D$3:$D$42,MATCH($B164,차량목록!$A$3:$A$42,0)),0))</f>
        <v/>
      </c>
      <c r="P164" s="18" t="str">
        <f aca="false">IF($J164="","",ROUND($J164*$O164,0))</f>
        <v/>
      </c>
    </row>
    <row r="165" customFormat="false" ht="15" hidden="false" customHeight="true" outlineLevel="0" collapsed="false">
      <c r="A165" s="13"/>
      <c r="B165" s="10"/>
      <c r="C165" s="14" t="str">
        <f aca="false">IF($B165="","",IFERROR(INDEX(차량목록!$B$3:$B$42,MATCH($B165,차량목록!$A$3:$A$42,0)),"미등록차량"))</f>
        <v/>
      </c>
      <c r="D165" s="10"/>
      <c r="E165" s="10"/>
      <c r="F165" s="15"/>
      <c r="G165" s="15"/>
      <c r="H165" s="16" t="str">
        <f aca="false">IF(OR($F165="",$G165=""),"",ROUND(IF($G165&lt;1,$G165*24,INT($G165/100)+MOD($G165,100)/60)-IF($F165&lt;1,$F165*24,INT($F165/100)+MOD($F165,100)/60),2))</f>
        <v/>
      </c>
      <c r="I165" s="17"/>
      <c r="J165" s="18" t="str">
        <f aca="false">IF(OR($H165="",$I165=""),"",ROUND($H165*$I165,0))</f>
        <v/>
      </c>
      <c r="K165" s="13"/>
      <c r="L165" s="17"/>
      <c r="M165" s="18" t="str">
        <f aca="false">IF($J165="","",$J165-IF($L165="",0,$L165))</f>
        <v/>
      </c>
      <c r="N165" s="19" t="str">
        <f aca="true">IF(OR($A165="",$M165="",$M165&lt;=0),"",TODAY()-$A165)</f>
        <v/>
      </c>
      <c r="O165" s="20" t="str">
        <f aca="false">IF($B165="","",IFERROR(INDEX(차량목록!$D$3:$D$42,MATCH($B165,차량목록!$A$3:$A$42,0)),0))</f>
        <v/>
      </c>
      <c r="P165" s="18" t="str">
        <f aca="false">IF($J165="","",ROUND($J165*$O165,0))</f>
        <v/>
      </c>
    </row>
    <row r="166" customFormat="false" ht="15" hidden="false" customHeight="true" outlineLevel="0" collapsed="false">
      <c r="A166" s="13"/>
      <c r="B166" s="10"/>
      <c r="C166" s="14" t="str">
        <f aca="false">IF($B166="","",IFERROR(INDEX(차량목록!$B$3:$B$42,MATCH($B166,차량목록!$A$3:$A$42,0)),"미등록차량"))</f>
        <v/>
      </c>
      <c r="D166" s="10"/>
      <c r="E166" s="10"/>
      <c r="F166" s="15"/>
      <c r="G166" s="15"/>
      <c r="H166" s="16" t="str">
        <f aca="false">IF(OR($F166="",$G166=""),"",ROUND(IF($G166&lt;1,$G166*24,INT($G166/100)+MOD($G166,100)/60)-IF($F166&lt;1,$F166*24,INT($F166/100)+MOD($F166,100)/60),2))</f>
        <v/>
      </c>
      <c r="I166" s="17"/>
      <c r="J166" s="18" t="str">
        <f aca="false">IF(OR($H166="",$I166=""),"",ROUND($H166*$I166,0))</f>
        <v/>
      </c>
      <c r="K166" s="13"/>
      <c r="L166" s="17"/>
      <c r="M166" s="18" t="str">
        <f aca="false">IF($J166="","",$J166-IF($L166="",0,$L166))</f>
        <v/>
      </c>
      <c r="N166" s="19" t="str">
        <f aca="true">IF(OR($A166="",$M166="",$M166&lt;=0),"",TODAY()-$A166)</f>
        <v/>
      </c>
      <c r="O166" s="20" t="str">
        <f aca="false">IF($B166="","",IFERROR(INDEX(차량목록!$D$3:$D$42,MATCH($B166,차량목록!$A$3:$A$42,0)),0))</f>
        <v/>
      </c>
      <c r="P166" s="18" t="str">
        <f aca="false">IF($J166="","",ROUND($J166*$O166,0))</f>
        <v/>
      </c>
    </row>
    <row r="167" customFormat="false" ht="15" hidden="false" customHeight="true" outlineLevel="0" collapsed="false">
      <c r="A167" s="13"/>
      <c r="B167" s="10"/>
      <c r="C167" s="14" t="str">
        <f aca="false">IF($B167="","",IFERROR(INDEX(차량목록!$B$3:$B$42,MATCH($B167,차량목록!$A$3:$A$42,0)),"미등록차량"))</f>
        <v/>
      </c>
      <c r="D167" s="10"/>
      <c r="E167" s="10"/>
      <c r="F167" s="15"/>
      <c r="G167" s="15"/>
      <c r="H167" s="16" t="str">
        <f aca="false">IF(OR($F167="",$G167=""),"",ROUND(IF($G167&lt;1,$G167*24,INT($G167/100)+MOD($G167,100)/60)-IF($F167&lt;1,$F167*24,INT($F167/100)+MOD($F167,100)/60),2))</f>
        <v/>
      </c>
      <c r="I167" s="17"/>
      <c r="J167" s="18" t="str">
        <f aca="false">IF(OR($H167="",$I167=""),"",ROUND($H167*$I167,0))</f>
        <v/>
      </c>
      <c r="K167" s="13"/>
      <c r="L167" s="17"/>
      <c r="M167" s="18" t="str">
        <f aca="false">IF($J167="","",$J167-IF($L167="",0,$L167))</f>
        <v/>
      </c>
      <c r="N167" s="19" t="str">
        <f aca="true">IF(OR($A167="",$M167="",$M167&lt;=0),"",TODAY()-$A167)</f>
        <v/>
      </c>
      <c r="O167" s="20" t="str">
        <f aca="false">IF($B167="","",IFERROR(INDEX(차량목록!$D$3:$D$42,MATCH($B167,차량목록!$A$3:$A$42,0)),0))</f>
        <v/>
      </c>
      <c r="P167" s="18" t="str">
        <f aca="false">IF($J167="","",ROUND($J167*$O167,0))</f>
        <v/>
      </c>
    </row>
    <row r="168" customFormat="false" ht="15" hidden="false" customHeight="true" outlineLevel="0" collapsed="false">
      <c r="A168" s="13"/>
      <c r="B168" s="10"/>
      <c r="C168" s="14" t="str">
        <f aca="false">IF($B168="","",IFERROR(INDEX(차량목록!$B$3:$B$42,MATCH($B168,차량목록!$A$3:$A$42,0)),"미등록차량"))</f>
        <v/>
      </c>
      <c r="D168" s="10"/>
      <c r="E168" s="10"/>
      <c r="F168" s="15"/>
      <c r="G168" s="15"/>
      <c r="H168" s="16" t="str">
        <f aca="false">IF(OR($F168="",$G168=""),"",ROUND(IF($G168&lt;1,$G168*24,INT($G168/100)+MOD($G168,100)/60)-IF($F168&lt;1,$F168*24,INT($F168/100)+MOD($F168,100)/60),2))</f>
        <v/>
      </c>
      <c r="I168" s="17"/>
      <c r="J168" s="18" t="str">
        <f aca="false">IF(OR($H168="",$I168=""),"",ROUND($H168*$I168,0))</f>
        <v/>
      </c>
      <c r="K168" s="13"/>
      <c r="L168" s="17"/>
      <c r="M168" s="18" t="str">
        <f aca="false">IF($J168="","",$J168-IF($L168="",0,$L168))</f>
        <v/>
      </c>
      <c r="N168" s="19" t="str">
        <f aca="true">IF(OR($A168="",$M168="",$M168&lt;=0),"",TODAY()-$A168)</f>
        <v/>
      </c>
      <c r="O168" s="20" t="str">
        <f aca="false">IF($B168="","",IFERROR(INDEX(차량목록!$D$3:$D$42,MATCH($B168,차량목록!$A$3:$A$42,0)),0))</f>
        <v/>
      </c>
      <c r="P168" s="18" t="str">
        <f aca="false">IF($J168="","",ROUND($J168*$O168,0))</f>
        <v/>
      </c>
    </row>
    <row r="169" customFormat="false" ht="15" hidden="false" customHeight="true" outlineLevel="0" collapsed="false">
      <c r="A169" s="13"/>
      <c r="B169" s="10"/>
      <c r="C169" s="14" t="str">
        <f aca="false">IF($B169="","",IFERROR(INDEX(차량목록!$B$3:$B$42,MATCH($B169,차량목록!$A$3:$A$42,0)),"미등록차량"))</f>
        <v/>
      </c>
      <c r="D169" s="10"/>
      <c r="E169" s="10"/>
      <c r="F169" s="15"/>
      <c r="G169" s="15"/>
      <c r="H169" s="16" t="str">
        <f aca="false">IF(OR($F169="",$G169=""),"",ROUND(IF($G169&lt;1,$G169*24,INT($G169/100)+MOD($G169,100)/60)-IF($F169&lt;1,$F169*24,INT($F169/100)+MOD($F169,100)/60),2))</f>
        <v/>
      </c>
      <c r="I169" s="17"/>
      <c r="J169" s="18" t="str">
        <f aca="false">IF(OR($H169="",$I169=""),"",ROUND($H169*$I169,0))</f>
        <v/>
      </c>
      <c r="K169" s="13"/>
      <c r="L169" s="17"/>
      <c r="M169" s="18" t="str">
        <f aca="false">IF($J169="","",$J169-IF($L169="",0,$L169))</f>
        <v/>
      </c>
      <c r="N169" s="19" t="str">
        <f aca="true">IF(OR($A169="",$M169="",$M169&lt;=0),"",TODAY()-$A169)</f>
        <v/>
      </c>
      <c r="O169" s="20" t="str">
        <f aca="false">IF($B169="","",IFERROR(INDEX(차량목록!$D$3:$D$42,MATCH($B169,차량목록!$A$3:$A$42,0)),0))</f>
        <v/>
      </c>
      <c r="P169" s="18" t="str">
        <f aca="false">IF($J169="","",ROUND($J169*$O169,0))</f>
        <v/>
      </c>
    </row>
    <row r="170" customFormat="false" ht="15" hidden="false" customHeight="true" outlineLevel="0" collapsed="false">
      <c r="A170" s="13"/>
      <c r="B170" s="10"/>
      <c r="C170" s="14" t="str">
        <f aca="false">IF($B170="","",IFERROR(INDEX(차량목록!$B$3:$B$42,MATCH($B170,차량목록!$A$3:$A$42,0)),"미등록차량"))</f>
        <v/>
      </c>
      <c r="D170" s="10"/>
      <c r="E170" s="10"/>
      <c r="F170" s="15"/>
      <c r="G170" s="15"/>
      <c r="H170" s="16" t="str">
        <f aca="false">IF(OR($F170="",$G170=""),"",ROUND(IF($G170&lt;1,$G170*24,INT($G170/100)+MOD($G170,100)/60)-IF($F170&lt;1,$F170*24,INT($F170/100)+MOD($F170,100)/60),2))</f>
        <v/>
      </c>
      <c r="I170" s="17"/>
      <c r="J170" s="18" t="str">
        <f aca="false">IF(OR($H170="",$I170=""),"",ROUND($H170*$I170,0))</f>
        <v/>
      </c>
      <c r="K170" s="13"/>
      <c r="L170" s="17"/>
      <c r="M170" s="18" t="str">
        <f aca="false">IF($J170="","",$J170-IF($L170="",0,$L170))</f>
        <v/>
      </c>
      <c r="N170" s="19" t="str">
        <f aca="true">IF(OR($A170="",$M170="",$M170&lt;=0),"",TODAY()-$A170)</f>
        <v/>
      </c>
      <c r="O170" s="20" t="str">
        <f aca="false">IF($B170="","",IFERROR(INDEX(차량목록!$D$3:$D$42,MATCH($B170,차량목록!$A$3:$A$42,0)),0))</f>
        <v/>
      </c>
      <c r="P170" s="18" t="str">
        <f aca="false">IF($J170="","",ROUND($J170*$O170,0))</f>
        <v/>
      </c>
    </row>
    <row r="171" customFormat="false" ht="15" hidden="false" customHeight="true" outlineLevel="0" collapsed="false">
      <c r="A171" s="13"/>
      <c r="B171" s="10"/>
      <c r="C171" s="14" t="str">
        <f aca="false">IF($B171="","",IFERROR(INDEX(차량목록!$B$3:$B$42,MATCH($B171,차량목록!$A$3:$A$42,0)),"미등록차량"))</f>
        <v/>
      </c>
      <c r="D171" s="10"/>
      <c r="E171" s="10"/>
      <c r="F171" s="15"/>
      <c r="G171" s="15"/>
      <c r="H171" s="16" t="str">
        <f aca="false">IF(OR($F171="",$G171=""),"",ROUND(IF($G171&lt;1,$G171*24,INT($G171/100)+MOD($G171,100)/60)-IF($F171&lt;1,$F171*24,INT($F171/100)+MOD($F171,100)/60),2))</f>
        <v/>
      </c>
      <c r="I171" s="17"/>
      <c r="J171" s="18" t="str">
        <f aca="false">IF(OR($H171="",$I171=""),"",ROUND($H171*$I171,0))</f>
        <v/>
      </c>
      <c r="K171" s="13"/>
      <c r="L171" s="17"/>
      <c r="M171" s="18" t="str">
        <f aca="false">IF($J171="","",$J171-IF($L171="",0,$L171))</f>
        <v/>
      </c>
      <c r="N171" s="19" t="str">
        <f aca="true">IF(OR($A171="",$M171="",$M171&lt;=0),"",TODAY()-$A171)</f>
        <v/>
      </c>
      <c r="O171" s="20" t="str">
        <f aca="false">IF($B171="","",IFERROR(INDEX(차량목록!$D$3:$D$42,MATCH($B171,차량목록!$A$3:$A$42,0)),0))</f>
        <v/>
      </c>
      <c r="P171" s="18" t="str">
        <f aca="false">IF($J171="","",ROUND($J171*$O171,0))</f>
        <v/>
      </c>
    </row>
    <row r="172" customFormat="false" ht="15" hidden="false" customHeight="true" outlineLevel="0" collapsed="false">
      <c r="A172" s="13"/>
      <c r="B172" s="10"/>
      <c r="C172" s="14" t="str">
        <f aca="false">IF($B172="","",IFERROR(INDEX(차량목록!$B$3:$B$42,MATCH($B172,차량목록!$A$3:$A$42,0)),"미등록차량"))</f>
        <v/>
      </c>
      <c r="D172" s="10"/>
      <c r="E172" s="10"/>
      <c r="F172" s="15"/>
      <c r="G172" s="15"/>
      <c r="H172" s="16" t="str">
        <f aca="false">IF(OR($F172="",$G172=""),"",ROUND(IF($G172&lt;1,$G172*24,INT($G172/100)+MOD($G172,100)/60)-IF($F172&lt;1,$F172*24,INT($F172/100)+MOD($F172,100)/60),2))</f>
        <v/>
      </c>
      <c r="I172" s="17"/>
      <c r="J172" s="18" t="str">
        <f aca="false">IF(OR($H172="",$I172=""),"",ROUND($H172*$I172,0))</f>
        <v/>
      </c>
      <c r="K172" s="13"/>
      <c r="L172" s="17"/>
      <c r="M172" s="18" t="str">
        <f aca="false">IF($J172="","",$J172-IF($L172="",0,$L172))</f>
        <v/>
      </c>
      <c r="N172" s="19" t="str">
        <f aca="true">IF(OR($A172="",$M172="",$M172&lt;=0),"",TODAY()-$A172)</f>
        <v/>
      </c>
      <c r="O172" s="20" t="str">
        <f aca="false">IF($B172="","",IFERROR(INDEX(차량목록!$D$3:$D$42,MATCH($B172,차량목록!$A$3:$A$42,0)),0))</f>
        <v/>
      </c>
      <c r="P172" s="18" t="str">
        <f aca="false">IF($J172="","",ROUND($J172*$O172,0))</f>
        <v/>
      </c>
    </row>
    <row r="173" customFormat="false" ht="15" hidden="false" customHeight="true" outlineLevel="0" collapsed="false">
      <c r="A173" s="13"/>
      <c r="B173" s="10"/>
      <c r="C173" s="14" t="str">
        <f aca="false">IF($B173="","",IFERROR(INDEX(차량목록!$B$3:$B$42,MATCH($B173,차량목록!$A$3:$A$42,0)),"미등록차량"))</f>
        <v/>
      </c>
      <c r="D173" s="10"/>
      <c r="E173" s="10"/>
      <c r="F173" s="15"/>
      <c r="G173" s="15"/>
      <c r="H173" s="16" t="str">
        <f aca="false">IF(OR($F173="",$G173=""),"",ROUND(IF($G173&lt;1,$G173*24,INT($G173/100)+MOD($G173,100)/60)-IF($F173&lt;1,$F173*24,INT($F173/100)+MOD($F173,100)/60),2))</f>
        <v/>
      </c>
      <c r="I173" s="17"/>
      <c r="J173" s="18" t="str">
        <f aca="false">IF(OR($H173="",$I173=""),"",ROUND($H173*$I173,0))</f>
        <v/>
      </c>
      <c r="K173" s="13"/>
      <c r="L173" s="17"/>
      <c r="M173" s="18" t="str">
        <f aca="false">IF($J173="","",$J173-IF($L173="",0,$L173))</f>
        <v/>
      </c>
      <c r="N173" s="19" t="str">
        <f aca="true">IF(OR($A173="",$M173="",$M173&lt;=0),"",TODAY()-$A173)</f>
        <v/>
      </c>
      <c r="O173" s="20" t="str">
        <f aca="false">IF($B173="","",IFERROR(INDEX(차량목록!$D$3:$D$42,MATCH($B173,차량목록!$A$3:$A$42,0)),0))</f>
        <v/>
      </c>
      <c r="P173" s="18" t="str">
        <f aca="false">IF($J173="","",ROUND($J173*$O173,0))</f>
        <v/>
      </c>
    </row>
    <row r="174" customFormat="false" ht="15" hidden="false" customHeight="true" outlineLevel="0" collapsed="false">
      <c r="A174" s="13"/>
      <c r="B174" s="10"/>
      <c r="C174" s="14" t="str">
        <f aca="false">IF($B174="","",IFERROR(INDEX(차량목록!$B$3:$B$42,MATCH($B174,차량목록!$A$3:$A$42,0)),"미등록차량"))</f>
        <v/>
      </c>
      <c r="D174" s="10"/>
      <c r="E174" s="10"/>
      <c r="F174" s="15"/>
      <c r="G174" s="15"/>
      <c r="H174" s="16" t="str">
        <f aca="false">IF(OR($F174="",$G174=""),"",ROUND(IF($G174&lt;1,$G174*24,INT($G174/100)+MOD($G174,100)/60)-IF($F174&lt;1,$F174*24,INT($F174/100)+MOD($F174,100)/60),2))</f>
        <v/>
      </c>
      <c r="I174" s="17"/>
      <c r="J174" s="18" t="str">
        <f aca="false">IF(OR($H174="",$I174=""),"",ROUND($H174*$I174,0))</f>
        <v/>
      </c>
      <c r="K174" s="13"/>
      <c r="L174" s="17"/>
      <c r="M174" s="18" t="str">
        <f aca="false">IF($J174="","",$J174-IF($L174="",0,$L174))</f>
        <v/>
      </c>
      <c r="N174" s="19" t="str">
        <f aca="true">IF(OR($A174="",$M174="",$M174&lt;=0),"",TODAY()-$A174)</f>
        <v/>
      </c>
      <c r="O174" s="20" t="str">
        <f aca="false">IF($B174="","",IFERROR(INDEX(차량목록!$D$3:$D$42,MATCH($B174,차량목록!$A$3:$A$42,0)),0))</f>
        <v/>
      </c>
      <c r="P174" s="18" t="str">
        <f aca="false">IF($J174="","",ROUND($J174*$O174,0))</f>
        <v/>
      </c>
    </row>
    <row r="175" customFormat="false" ht="15" hidden="false" customHeight="true" outlineLevel="0" collapsed="false">
      <c r="A175" s="13"/>
      <c r="B175" s="10"/>
      <c r="C175" s="14" t="str">
        <f aca="false">IF($B175="","",IFERROR(INDEX(차량목록!$B$3:$B$42,MATCH($B175,차량목록!$A$3:$A$42,0)),"미등록차량"))</f>
        <v/>
      </c>
      <c r="D175" s="10"/>
      <c r="E175" s="10"/>
      <c r="F175" s="15"/>
      <c r="G175" s="15"/>
      <c r="H175" s="16" t="str">
        <f aca="false">IF(OR($F175="",$G175=""),"",ROUND(IF($G175&lt;1,$G175*24,INT($G175/100)+MOD($G175,100)/60)-IF($F175&lt;1,$F175*24,INT($F175/100)+MOD($F175,100)/60),2))</f>
        <v/>
      </c>
      <c r="I175" s="17"/>
      <c r="J175" s="18" t="str">
        <f aca="false">IF(OR($H175="",$I175=""),"",ROUND($H175*$I175,0))</f>
        <v/>
      </c>
      <c r="K175" s="13"/>
      <c r="L175" s="17"/>
      <c r="M175" s="18" t="str">
        <f aca="false">IF($J175="","",$J175-IF($L175="",0,$L175))</f>
        <v/>
      </c>
      <c r="N175" s="19" t="str">
        <f aca="true">IF(OR($A175="",$M175="",$M175&lt;=0),"",TODAY()-$A175)</f>
        <v/>
      </c>
      <c r="O175" s="20" t="str">
        <f aca="false">IF($B175="","",IFERROR(INDEX(차량목록!$D$3:$D$42,MATCH($B175,차량목록!$A$3:$A$42,0)),0))</f>
        <v/>
      </c>
      <c r="P175" s="18" t="str">
        <f aca="false">IF($J175="","",ROUND($J175*$O175,0))</f>
        <v/>
      </c>
    </row>
    <row r="176" customFormat="false" ht="15" hidden="false" customHeight="true" outlineLevel="0" collapsed="false">
      <c r="A176" s="13"/>
      <c r="B176" s="10"/>
      <c r="C176" s="14" t="str">
        <f aca="false">IF($B176="","",IFERROR(INDEX(차량목록!$B$3:$B$42,MATCH($B176,차량목록!$A$3:$A$42,0)),"미등록차량"))</f>
        <v/>
      </c>
      <c r="D176" s="10"/>
      <c r="E176" s="10"/>
      <c r="F176" s="15"/>
      <c r="G176" s="15"/>
      <c r="H176" s="16" t="str">
        <f aca="false">IF(OR($F176="",$G176=""),"",ROUND(IF($G176&lt;1,$G176*24,INT($G176/100)+MOD($G176,100)/60)-IF($F176&lt;1,$F176*24,INT($F176/100)+MOD($F176,100)/60),2))</f>
        <v/>
      </c>
      <c r="I176" s="17"/>
      <c r="J176" s="18" t="str">
        <f aca="false">IF(OR($H176="",$I176=""),"",ROUND($H176*$I176,0))</f>
        <v/>
      </c>
      <c r="K176" s="13"/>
      <c r="L176" s="17"/>
      <c r="M176" s="18" t="str">
        <f aca="false">IF($J176="","",$J176-IF($L176="",0,$L176))</f>
        <v/>
      </c>
      <c r="N176" s="19" t="str">
        <f aca="true">IF(OR($A176="",$M176="",$M176&lt;=0),"",TODAY()-$A176)</f>
        <v/>
      </c>
      <c r="O176" s="20" t="str">
        <f aca="false">IF($B176="","",IFERROR(INDEX(차량목록!$D$3:$D$42,MATCH($B176,차량목록!$A$3:$A$42,0)),0))</f>
        <v/>
      </c>
      <c r="P176" s="18" t="str">
        <f aca="false">IF($J176="","",ROUND($J176*$O176,0))</f>
        <v/>
      </c>
    </row>
    <row r="177" customFormat="false" ht="15" hidden="false" customHeight="true" outlineLevel="0" collapsed="false">
      <c r="A177" s="13"/>
      <c r="B177" s="10"/>
      <c r="C177" s="14" t="str">
        <f aca="false">IF($B177="","",IFERROR(INDEX(차량목록!$B$3:$B$42,MATCH($B177,차량목록!$A$3:$A$42,0)),"미등록차량"))</f>
        <v/>
      </c>
      <c r="D177" s="10"/>
      <c r="E177" s="10"/>
      <c r="F177" s="15"/>
      <c r="G177" s="15"/>
      <c r="H177" s="16" t="str">
        <f aca="false">IF(OR($F177="",$G177=""),"",ROUND(IF($G177&lt;1,$G177*24,INT($G177/100)+MOD($G177,100)/60)-IF($F177&lt;1,$F177*24,INT($F177/100)+MOD($F177,100)/60),2))</f>
        <v/>
      </c>
      <c r="I177" s="17"/>
      <c r="J177" s="18" t="str">
        <f aca="false">IF(OR($H177="",$I177=""),"",ROUND($H177*$I177,0))</f>
        <v/>
      </c>
      <c r="K177" s="13"/>
      <c r="L177" s="17"/>
      <c r="M177" s="18" t="str">
        <f aca="false">IF($J177="","",$J177-IF($L177="",0,$L177))</f>
        <v/>
      </c>
      <c r="N177" s="19" t="str">
        <f aca="true">IF(OR($A177="",$M177="",$M177&lt;=0),"",TODAY()-$A177)</f>
        <v/>
      </c>
      <c r="O177" s="20" t="str">
        <f aca="false">IF($B177="","",IFERROR(INDEX(차량목록!$D$3:$D$42,MATCH($B177,차량목록!$A$3:$A$42,0)),0))</f>
        <v/>
      </c>
      <c r="P177" s="18" t="str">
        <f aca="false">IF($J177="","",ROUND($J177*$O177,0))</f>
        <v/>
      </c>
    </row>
    <row r="178" customFormat="false" ht="15" hidden="false" customHeight="true" outlineLevel="0" collapsed="false">
      <c r="A178" s="13"/>
      <c r="B178" s="10"/>
      <c r="C178" s="14" t="str">
        <f aca="false">IF($B178="","",IFERROR(INDEX(차량목록!$B$3:$B$42,MATCH($B178,차량목록!$A$3:$A$42,0)),"미등록차량"))</f>
        <v/>
      </c>
      <c r="D178" s="10"/>
      <c r="E178" s="10"/>
      <c r="F178" s="15"/>
      <c r="G178" s="15"/>
      <c r="H178" s="16" t="str">
        <f aca="false">IF(OR($F178="",$G178=""),"",ROUND(IF($G178&lt;1,$G178*24,INT($G178/100)+MOD($G178,100)/60)-IF($F178&lt;1,$F178*24,INT($F178/100)+MOD($F178,100)/60),2))</f>
        <v/>
      </c>
      <c r="I178" s="17"/>
      <c r="J178" s="18" t="str">
        <f aca="false">IF(OR($H178="",$I178=""),"",ROUND($H178*$I178,0))</f>
        <v/>
      </c>
      <c r="K178" s="13"/>
      <c r="L178" s="17"/>
      <c r="M178" s="18" t="str">
        <f aca="false">IF($J178="","",$J178-IF($L178="",0,$L178))</f>
        <v/>
      </c>
      <c r="N178" s="19" t="str">
        <f aca="true">IF(OR($A178="",$M178="",$M178&lt;=0),"",TODAY()-$A178)</f>
        <v/>
      </c>
      <c r="O178" s="20" t="str">
        <f aca="false">IF($B178="","",IFERROR(INDEX(차량목록!$D$3:$D$42,MATCH($B178,차량목록!$A$3:$A$42,0)),0))</f>
        <v/>
      </c>
      <c r="P178" s="18" t="str">
        <f aca="false">IF($J178="","",ROUND($J178*$O178,0))</f>
        <v/>
      </c>
    </row>
    <row r="179" customFormat="false" ht="15" hidden="false" customHeight="true" outlineLevel="0" collapsed="false">
      <c r="A179" s="13"/>
      <c r="B179" s="10"/>
      <c r="C179" s="14" t="str">
        <f aca="false">IF($B179="","",IFERROR(INDEX(차량목록!$B$3:$B$42,MATCH($B179,차량목록!$A$3:$A$42,0)),"미등록차량"))</f>
        <v/>
      </c>
      <c r="D179" s="10"/>
      <c r="E179" s="10"/>
      <c r="F179" s="15"/>
      <c r="G179" s="15"/>
      <c r="H179" s="16" t="str">
        <f aca="false">IF(OR($F179="",$G179=""),"",ROUND(IF($G179&lt;1,$G179*24,INT($G179/100)+MOD($G179,100)/60)-IF($F179&lt;1,$F179*24,INT($F179/100)+MOD($F179,100)/60),2))</f>
        <v/>
      </c>
      <c r="I179" s="17"/>
      <c r="J179" s="18" t="str">
        <f aca="false">IF(OR($H179="",$I179=""),"",ROUND($H179*$I179,0))</f>
        <v/>
      </c>
      <c r="K179" s="13"/>
      <c r="L179" s="17"/>
      <c r="M179" s="18" t="str">
        <f aca="false">IF($J179="","",$J179-IF($L179="",0,$L179))</f>
        <v/>
      </c>
      <c r="N179" s="19" t="str">
        <f aca="true">IF(OR($A179="",$M179="",$M179&lt;=0),"",TODAY()-$A179)</f>
        <v/>
      </c>
      <c r="O179" s="20" t="str">
        <f aca="false">IF($B179="","",IFERROR(INDEX(차량목록!$D$3:$D$42,MATCH($B179,차량목록!$A$3:$A$42,0)),0))</f>
        <v/>
      </c>
      <c r="P179" s="18" t="str">
        <f aca="false">IF($J179="","",ROUND($J179*$O179,0))</f>
        <v/>
      </c>
    </row>
    <row r="180" customFormat="false" ht="15" hidden="false" customHeight="true" outlineLevel="0" collapsed="false">
      <c r="A180" s="13"/>
      <c r="B180" s="10"/>
      <c r="C180" s="14" t="str">
        <f aca="false">IF($B180="","",IFERROR(INDEX(차량목록!$B$3:$B$42,MATCH($B180,차량목록!$A$3:$A$42,0)),"미등록차량"))</f>
        <v/>
      </c>
      <c r="D180" s="10"/>
      <c r="E180" s="10"/>
      <c r="F180" s="15"/>
      <c r="G180" s="15"/>
      <c r="H180" s="16" t="str">
        <f aca="false">IF(OR($F180="",$G180=""),"",ROUND(IF($G180&lt;1,$G180*24,INT($G180/100)+MOD($G180,100)/60)-IF($F180&lt;1,$F180*24,INT($F180/100)+MOD($F180,100)/60),2))</f>
        <v/>
      </c>
      <c r="I180" s="17"/>
      <c r="J180" s="18" t="str">
        <f aca="false">IF(OR($H180="",$I180=""),"",ROUND($H180*$I180,0))</f>
        <v/>
      </c>
      <c r="K180" s="13"/>
      <c r="L180" s="17"/>
      <c r="M180" s="18" t="str">
        <f aca="false">IF($J180="","",$J180-IF($L180="",0,$L180))</f>
        <v/>
      </c>
      <c r="N180" s="19" t="str">
        <f aca="true">IF(OR($A180="",$M180="",$M180&lt;=0),"",TODAY()-$A180)</f>
        <v/>
      </c>
      <c r="O180" s="20" t="str">
        <f aca="false">IF($B180="","",IFERROR(INDEX(차량목록!$D$3:$D$42,MATCH($B180,차량목록!$A$3:$A$42,0)),0))</f>
        <v/>
      </c>
      <c r="P180" s="18" t="str">
        <f aca="false">IF($J180="","",ROUND($J180*$O180,0))</f>
        <v/>
      </c>
    </row>
    <row r="181" customFormat="false" ht="15" hidden="false" customHeight="true" outlineLevel="0" collapsed="false">
      <c r="A181" s="13"/>
      <c r="B181" s="10"/>
      <c r="C181" s="14" t="str">
        <f aca="false">IF($B181="","",IFERROR(INDEX(차량목록!$B$3:$B$42,MATCH($B181,차량목록!$A$3:$A$42,0)),"미등록차량"))</f>
        <v/>
      </c>
      <c r="D181" s="10"/>
      <c r="E181" s="10"/>
      <c r="F181" s="15"/>
      <c r="G181" s="15"/>
      <c r="H181" s="16" t="str">
        <f aca="false">IF(OR($F181="",$G181=""),"",ROUND(IF($G181&lt;1,$G181*24,INT($G181/100)+MOD($G181,100)/60)-IF($F181&lt;1,$F181*24,INT($F181/100)+MOD($F181,100)/60),2))</f>
        <v/>
      </c>
      <c r="I181" s="17"/>
      <c r="J181" s="18" t="str">
        <f aca="false">IF(OR($H181="",$I181=""),"",ROUND($H181*$I181,0))</f>
        <v/>
      </c>
      <c r="K181" s="13"/>
      <c r="L181" s="17"/>
      <c r="M181" s="18" t="str">
        <f aca="false">IF($J181="","",$J181-IF($L181="",0,$L181))</f>
        <v/>
      </c>
      <c r="N181" s="19" t="str">
        <f aca="true">IF(OR($A181="",$M181="",$M181&lt;=0),"",TODAY()-$A181)</f>
        <v/>
      </c>
      <c r="O181" s="20" t="str">
        <f aca="false">IF($B181="","",IFERROR(INDEX(차량목록!$D$3:$D$42,MATCH($B181,차량목록!$A$3:$A$42,0)),0))</f>
        <v/>
      </c>
      <c r="P181" s="18" t="str">
        <f aca="false">IF($J181="","",ROUND($J181*$O181,0))</f>
        <v/>
      </c>
    </row>
    <row r="182" customFormat="false" ht="15" hidden="false" customHeight="true" outlineLevel="0" collapsed="false">
      <c r="A182" s="13"/>
      <c r="B182" s="10"/>
      <c r="C182" s="14" t="str">
        <f aca="false">IF($B182="","",IFERROR(INDEX(차량목록!$B$3:$B$42,MATCH($B182,차량목록!$A$3:$A$42,0)),"미등록차량"))</f>
        <v/>
      </c>
      <c r="D182" s="10"/>
      <c r="E182" s="10"/>
      <c r="F182" s="15"/>
      <c r="G182" s="15"/>
      <c r="H182" s="16" t="str">
        <f aca="false">IF(OR($F182="",$G182=""),"",ROUND(IF($G182&lt;1,$G182*24,INT($G182/100)+MOD($G182,100)/60)-IF($F182&lt;1,$F182*24,INT($F182/100)+MOD($F182,100)/60),2))</f>
        <v/>
      </c>
      <c r="I182" s="17"/>
      <c r="J182" s="18" t="str">
        <f aca="false">IF(OR($H182="",$I182=""),"",ROUND($H182*$I182,0))</f>
        <v/>
      </c>
      <c r="K182" s="13"/>
      <c r="L182" s="17"/>
      <c r="M182" s="18" t="str">
        <f aca="false">IF($J182="","",$J182-IF($L182="",0,$L182))</f>
        <v/>
      </c>
      <c r="N182" s="19" t="str">
        <f aca="true">IF(OR($A182="",$M182="",$M182&lt;=0),"",TODAY()-$A182)</f>
        <v/>
      </c>
      <c r="O182" s="20" t="str">
        <f aca="false">IF($B182="","",IFERROR(INDEX(차량목록!$D$3:$D$42,MATCH($B182,차량목록!$A$3:$A$42,0)),0))</f>
        <v/>
      </c>
      <c r="P182" s="18" t="str">
        <f aca="false">IF($J182="","",ROUND($J182*$O182,0))</f>
        <v/>
      </c>
    </row>
    <row r="183" customFormat="false" ht="15" hidden="false" customHeight="true" outlineLevel="0" collapsed="false">
      <c r="A183" s="13"/>
      <c r="B183" s="10"/>
      <c r="C183" s="14" t="str">
        <f aca="false">IF($B183="","",IFERROR(INDEX(차량목록!$B$3:$B$42,MATCH($B183,차량목록!$A$3:$A$42,0)),"미등록차량"))</f>
        <v/>
      </c>
      <c r="D183" s="10"/>
      <c r="E183" s="10"/>
      <c r="F183" s="15"/>
      <c r="G183" s="15"/>
      <c r="H183" s="16" t="str">
        <f aca="false">IF(OR($F183="",$G183=""),"",ROUND(IF($G183&lt;1,$G183*24,INT($G183/100)+MOD($G183,100)/60)-IF($F183&lt;1,$F183*24,INT($F183/100)+MOD($F183,100)/60),2))</f>
        <v/>
      </c>
      <c r="I183" s="17"/>
      <c r="J183" s="18" t="str">
        <f aca="false">IF(OR($H183="",$I183=""),"",ROUND($H183*$I183,0))</f>
        <v/>
      </c>
      <c r="K183" s="13"/>
      <c r="L183" s="17"/>
      <c r="M183" s="18" t="str">
        <f aca="false">IF($J183="","",$J183-IF($L183="",0,$L183))</f>
        <v/>
      </c>
      <c r="N183" s="19" t="str">
        <f aca="true">IF(OR($A183="",$M183="",$M183&lt;=0),"",TODAY()-$A183)</f>
        <v/>
      </c>
      <c r="O183" s="20" t="str">
        <f aca="false">IF($B183="","",IFERROR(INDEX(차량목록!$D$3:$D$42,MATCH($B183,차량목록!$A$3:$A$42,0)),0))</f>
        <v/>
      </c>
      <c r="P183" s="18" t="str">
        <f aca="false">IF($J183="","",ROUND($J183*$O183,0))</f>
        <v/>
      </c>
    </row>
    <row r="184" customFormat="false" ht="15" hidden="false" customHeight="true" outlineLevel="0" collapsed="false">
      <c r="A184" s="13"/>
      <c r="B184" s="10"/>
      <c r="C184" s="14" t="str">
        <f aca="false">IF($B184="","",IFERROR(INDEX(차량목록!$B$3:$B$42,MATCH($B184,차량목록!$A$3:$A$42,0)),"미등록차량"))</f>
        <v/>
      </c>
      <c r="D184" s="10"/>
      <c r="E184" s="10"/>
      <c r="F184" s="15"/>
      <c r="G184" s="15"/>
      <c r="H184" s="16" t="str">
        <f aca="false">IF(OR($F184="",$G184=""),"",ROUND(IF($G184&lt;1,$G184*24,INT($G184/100)+MOD($G184,100)/60)-IF($F184&lt;1,$F184*24,INT($F184/100)+MOD($F184,100)/60),2))</f>
        <v/>
      </c>
      <c r="I184" s="17"/>
      <c r="J184" s="18" t="str">
        <f aca="false">IF(OR($H184="",$I184=""),"",ROUND($H184*$I184,0))</f>
        <v/>
      </c>
      <c r="K184" s="13"/>
      <c r="L184" s="17"/>
      <c r="M184" s="18" t="str">
        <f aca="false">IF($J184="","",$J184-IF($L184="",0,$L184))</f>
        <v/>
      </c>
      <c r="N184" s="19" t="str">
        <f aca="true">IF(OR($A184="",$M184="",$M184&lt;=0),"",TODAY()-$A184)</f>
        <v/>
      </c>
      <c r="O184" s="20" t="str">
        <f aca="false">IF($B184="","",IFERROR(INDEX(차량목록!$D$3:$D$42,MATCH($B184,차량목록!$A$3:$A$42,0)),0))</f>
        <v/>
      </c>
      <c r="P184" s="18" t="str">
        <f aca="false">IF($J184="","",ROUND($J184*$O184,0))</f>
        <v/>
      </c>
    </row>
    <row r="185" customFormat="false" ht="15" hidden="false" customHeight="true" outlineLevel="0" collapsed="false">
      <c r="A185" s="13"/>
      <c r="B185" s="10"/>
      <c r="C185" s="14" t="str">
        <f aca="false">IF($B185="","",IFERROR(INDEX(차량목록!$B$3:$B$42,MATCH($B185,차량목록!$A$3:$A$42,0)),"미등록차량"))</f>
        <v/>
      </c>
      <c r="D185" s="10"/>
      <c r="E185" s="10"/>
      <c r="F185" s="15"/>
      <c r="G185" s="15"/>
      <c r="H185" s="16" t="str">
        <f aca="false">IF(OR($F185="",$G185=""),"",ROUND(IF($G185&lt;1,$G185*24,INT($G185/100)+MOD($G185,100)/60)-IF($F185&lt;1,$F185*24,INT($F185/100)+MOD($F185,100)/60),2))</f>
        <v/>
      </c>
      <c r="I185" s="17"/>
      <c r="J185" s="18" t="str">
        <f aca="false">IF(OR($H185="",$I185=""),"",ROUND($H185*$I185,0))</f>
        <v/>
      </c>
      <c r="K185" s="13"/>
      <c r="L185" s="17"/>
      <c r="M185" s="18" t="str">
        <f aca="false">IF($J185="","",$J185-IF($L185="",0,$L185))</f>
        <v/>
      </c>
      <c r="N185" s="19" t="str">
        <f aca="true">IF(OR($A185="",$M185="",$M185&lt;=0),"",TODAY()-$A185)</f>
        <v/>
      </c>
      <c r="O185" s="20" t="str">
        <f aca="false">IF($B185="","",IFERROR(INDEX(차량목록!$D$3:$D$42,MATCH($B185,차량목록!$A$3:$A$42,0)),0))</f>
        <v/>
      </c>
      <c r="P185" s="18" t="str">
        <f aca="false">IF($J185="","",ROUND($J185*$O185,0))</f>
        <v/>
      </c>
    </row>
    <row r="186" customFormat="false" ht="15" hidden="false" customHeight="true" outlineLevel="0" collapsed="false">
      <c r="A186" s="13"/>
      <c r="B186" s="10"/>
      <c r="C186" s="14" t="str">
        <f aca="false">IF($B186="","",IFERROR(INDEX(차량목록!$B$3:$B$42,MATCH($B186,차량목록!$A$3:$A$42,0)),"미등록차량"))</f>
        <v/>
      </c>
      <c r="D186" s="10"/>
      <c r="E186" s="10"/>
      <c r="F186" s="15"/>
      <c r="G186" s="15"/>
      <c r="H186" s="16" t="str">
        <f aca="false">IF(OR($F186="",$G186=""),"",ROUND(IF($G186&lt;1,$G186*24,INT($G186/100)+MOD($G186,100)/60)-IF($F186&lt;1,$F186*24,INT($F186/100)+MOD($F186,100)/60),2))</f>
        <v/>
      </c>
      <c r="I186" s="17"/>
      <c r="J186" s="18" t="str">
        <f aca="false">IF(OR($H186="",$I186=""),"",ROUND($H186*$I186,0))</f>
        <v/>
      </c>
      <c r="K186" s="13"/>
      <c r="L186" s="17"/>
      <c r="M186" s="18" t="str">
        <f aca="false">IF($J186="","",$J186-IF($L186="",0,$L186))</f>
        <v/>
      </c>
      <c r="N186" s="19" t="str">
        <f aca="true">IF(OR($A186="",$M186="",$M186&lt;=0),"",TODAY()-$A186)</f>
        <v/>
      </c>
      <c r="O186" s="20" t="str">
        <f aca="false">IF($B186="","",IFERROR(INDEX(차량목록!$D$3:$D$42,MATCH($B186,차량목록!$A$3:$A$42,0)),0))</f>
        <v/>
      </c>
      <c r="P186" s="18" t="str">
        <f aca="false">IF($J186="","",ROUND($J186*$O186,0))</f>
        <v/>
      </c>
    </row>
    <row r="187" customFormat="false" ht="15" hidden="false" customHeight="true" outlineLevel="0" collapsed="false">
      <c r="A187" s="13"/>
      <c r="B187" s="10"/>
      <c r="C187" s="14" t="str">
        <f aca="false">IF($B187="","",IFERROR(INDEX(차량목록!$B$3:$B$42,MATCH($B187,차량목록!$A$3:$A$42,0)),"미등록차량"))</f>
        <v/>
      </c>
      <c r="D187" s="10"/>
      <c r="E187" s="10"/>
      <c r="F187" s="15"/>
      <c r="G187" s="15"/>
      <c r="H187" s="16" t="str">
        <f aca="false">IF(OR($F187="",$G187=""),"",ROUND(IF($G187&lt;1,$G187*24,INT($G187/100)+MOD($G187,100)/60)-IF($F187&lt;1,$F187*24,INT($F187/100)+MOD($F187,100)/60),2))</f>
        <v/>
      </c>
      <c r="I187" s="17"/>
      <c r="J187" s="18" t="str">
        <f aca="false">IF(OR($H187="",$I187=""),"",ROUND($H187*$I187,0))</f>
        <v/>
      </c>
      <c r="K187" s="13"/>
      <c r="L187" s="17"/>
      <c r="M187" s="18" t="str">
        <f aca="false">IF($J187="","",$J187-IF($L187="",0,$L187))</f>
        <v/>
      </c>
      <c r="N187" s="19" t="str">
        <f aca="true">IF(OR($A187="",$M187="",$M187&lt;=0),"",TODAY()-$A187)</f>
        <v/>
      </c>
      <c r="O187" s="20" t="str">
        <f aca="false">IF($B187="","",IFERROR(INDEX(차량목록!$D$3:$D$42,MATCH($B187,차량목록!$A$3:$A$42,0)),0))</f>
        <v/>
      </c>
      <c r="P187" s="18" t="str">
        <f aca="false">IF($J187="","",ROUND($J187*$O187,0))</f>
        <v/>
      </c>
    </row>
    <row r="188" customFormat="false" ht="15" hidden="false" customHeight="true" outlineLevel="0" collapsed="false">
      <c r="A188" s="13"/>
      <c r="B188" s="10"/>
      <c r="C188" s="14" t="str">
        <f aca="false">IF($B188="","",IFERROR(INDEX(차량목록!$B$3:$B$42,MATCH($B188,차량목록!$A$3:$A$42,0)),"미등록차량"))</f>
        <v/>
      </c>
      <c r="D188" s="10"/>
      <c r="E188" s="10"/>
      <c r="F188" s="15"/>
      <c r="G188" s="15"/>
      <c r="H188" s="16" t="str">
        <f aca="false">IF(OR($F188="",$G188=""),"",ROUND(IF($G188&lt;1,$G188*24,INT($G188/100)+MOD($G188,100)/60)-IF($F188&lt;1,$F188*24,INT($F188/100)+MOD($F188,100)/60),2))</f>
        <v/>
      </c>
      <c r="I188" s="17"/>
      <c r="J188" s="18" t="str">
        <f aca="false">IF(OR($H188="",$I188=""),"",ROUND($H188*$I188,0))</f>
        <v/>
      </c>
      <c r="K188" s="13"/>
      <c r="L188" s="17"/>
      <c r="M188" s="18" t="str">
        <f aca="false">IF($J188="","",$J188-IF($L188="",0,$L188))</f>
        <v/>
      </c>
      <c r="N188" s="19" t="str">
        <f aca="true">IF(OR($A188="",$M188="",$M188&lt;=0),"",TODAY()-$A188)</f>
        <v/>
      </c>
      <c r="O188" s="20" t="str">
        <f aca="false">IF($B188="","",IFERROR(INDEX(차량목록!$D$3:$D$42,MATCH($B188,차량목록!$A$3:$A$42,0)),0))</f>
        <v/>
      </c>
      <c r="P188" s="18" t="str">
        <f aca="false">IF($J188="","",ROUND($J188*$O188,0))</f>
        <v/>
      </c>
    </row>
    <row r="189" customFormat="false" ht="15" hidden="false" customHeight="true" outlineLevel="0" collapsed="false">
      <c r="A189" s="13"/>
      <c r="B189" s="10"/>
      <c r="C189" s="14" t="str">
        <f aca="false">IF($B189="","",IFERROR(INDEX(차량목록!$B$3:$B$42,MATCH($B189,차량목록!$A$3:$A$42,0)),"미등록차량"))</f>
        <v/>
      </c>
      <c r="D189" s="10"/>
      <c r="E189" s="10"/>
      <c r="F189" s="15"/>
      <c r="G189" s="15"/>
      <c r="H189" s="16" t="str">
        <f aca="false">IF(OR($F189="",$G189=""),"",ROUND(IF($G189&lt;1,$G189*24,INT($G189/100)+MOD($G189,100)/60)-IF($F189&lt;1,$F189*24,INT($F189/100)+MOD($F189,100)/60),2))</f>
        <v/>
      </c>
      <c r="I189" s="17"/>
      <c r="J189" s="18" t="str">
        <f aca="false">IF(OR($H189="",$I189=""),"",ROUND($H189*$I189,0))</f>
        <v/>
      </c>
      <c r="K189" s="13"/>
      <c r="L189" s="17"/>
      <c r="M189" s="18" t="str">
        <f aca="false">IF($J189="","",$J189-IF($L189="",0,$L189))</f>
        <v/>
      </c>
      <c r="N189" s="19" t="str">
        <f aca="true">IF(OR($A189="",$M189="",$M189&lt;=0),"",TODAY()-$A189)</f>
        <v/>
      </c>
      <c r="O189" s="20" t="str">
        <f aca="false">IF($B189="","",IFERROR(INDEX(차량목록!$D$3:$D$42,MATCH($B189,차량목록!$A$3:$A$42,0)),0))</f>
        <v/>
      </c>
      <c r="P189" s="18" t="str">
        <f aca="false">IF($J189="","",ROUND($J189*$O189,0))</f>
        <v/>
      </c>
    </row>
    <row r="190" customFormat="false" ht="15" hidden="false" customHeight="true" outlineLevel="0" collapsed="false">
      <c r="A190" s="13"/>
      <c r="B190" s="10"/>
      <c r="C190" s="14" t="str">
        <f aca="false">IF($B190="","",IFERROR(INDEX(차량목록!$B$3:$B$42,MATCH($B190,차량목록!$A$3:$A$42,0)),"미등록차량"))</f>
        <v/>
      </c>
      <c r="D190" s="10"/>
      <c r="E190" s="10"/>
      <c r="F190" s="15"/>
      <c r="G190" s="15"/>
      <c r="H190" s="16" t="str">
        <f aca="false">IF(OR($F190="",$G190=""),"",ROUND(IF($G190&lt;1,$G190*24,INT($G190/100)+MOD($G190,100)/60)-IF($F190&lt;1,$F190*24,INT($F190/100)+MOD($F190,100)/60),2))</f>
        <v/>
      </c>
      <c r="I190" s="17"/>
      <c r="J190" s="18" t="str">
        <f aca="false">IF(OR($H190="",$I190=""),"",ROUND($H190*$I190,0))</f>
        <v/>
      </c>
      <c r="K190" s="13"/>
      <c r="L190" s="17"/>
      <c r="M190" s="18" t="str">
        <f aca="false">IF($J190="","",$J190-IF($L190="",0,$L190))</f>
        <v/>
      </c>
      <c r="N190" s="19" t="str">
        <f aca="true">IF(OR($A190="",$M190="",$M190&lt;=0),"",TODAY()-$A190)</f>
        <v/>
      </c>
      <c r="O190" s="20" t="str">
        <f aca="false">IF($B190="","",IFERROR(INDEX(차량목록!$D$3:$D$42,MATCH($B190,차량목록!$A$3:$A$42,0)),0))</f>
        <v/>
      </c>
      <c r="P190" s="18" t="str">
        <f aca="false">IF($J190="","",ROUND($J190*$O190,0))</f>
        <v/>
      </c>
    </row>
    <row r="191" customFormat="false" ht="15" hidden="false" customHeight="true" outlineLevel="0" collapsed="false">
      <c r="A191" s="13"/>
      <c r="B191" s="10"/>
      <c r="C191" s="14" t="str">
        <f aca="false">IF($B191="","",IFERROR(INDEX(차량목록!$B$3:$B$42,MATCH($B191,차량목록!$A$3:$A$42,0)),"미등록차량"))</f>
        <v/>
      </c>
      <c r="D191" s="10"/>
      <c r="E191" s="10"/>
      <c r="F191" s="15"/>
      <c r="G191" s="15"/>
      <c r="H191" s="16" t="str">
        <f aca="false">IF(OR($F191="",$G191=""),"",ROUND(IF($G191&lt;1,$G191*24,INT($G191/100)+MOD($G191,100)/60)-IF($F191&lt;1,$F191*24,INT($F191/100)+MOD($F191,100)/60),2))</f>
        <v/>
      </c>
      <c r="I191" s="17"/>
      <c r="J191" s="18" t="str">
        <f aca="false">IF(OR($H191="",$I191=""),"",ROUND($H191*$I191,0))</f>
        <v/>
      </c>
      <c r="K191" s="13"/>
      <c r="L191" s="17"/>
      <c r="M191" s="18" t="str">
        <f aca="false">IF($J191="","",$J191-IF($L191="",0,$L191))</f>
        <v/>
      </c>
      <c r="N191" s="19" t="str">
        <f aca="true">IF(OR($A191="",$M191="",$M191&lt;=0),"",TODAY()-$A191)</f>
        <v/>
      </c>
      <c r="O191" s="20" t="str">
        <f aca="false">IF($B191="","",IFERROR(INDEX(차량목록!$D$3:$D$42,MATCH($B191,차량목록!$A$3:$A$42,0)),0))</f>
        <v/>
      </c>
      <c r="P191" s="18" t="str">
        <f aca="false">IF($J191="","",ROUND($J191*$O191,0))</f>
        <v/>
      </c>
    </row>
    <row r="192" customFormat="false" ht="15" hidden="false" customHeight="true" outlineLevel="0" collapsed="false">
      <c r="A192" s="13"/>
      <c r="B192" s="10"/>
      <c r="C192" s="14" t="str">
        <f aca="false">IF($B192="","",IFERROR(INDEX(차량목록!$B$3:$B$42,MATCH($B192,차량목록!$A$3:$A$42,0)),"미등록차량"))</f>
        <v/>
      </c>
      <c r="D192" s="10"/>
      <c r="E192" s="10"/>
      <c r="F192" s="15"/>
      <c r="G192" s="15"/>
      <c r="H192" s="16" t="str">
        <f aca="false">IF(OR($F192="",$G192=""),"",ROUND(IF($G192&lt;1,$G192*24,INT($G192/100)+MOD($G192,100)/60)-IF($F192&lt;1,$F192*24,INT($F192/100)+MOD($F192,100)/60),2))</f>
        <v/>
      </c>
      <c r="I192" s="17"/>
      <c r="J192" s="18" t="str">
        <f aca="false">IF(OR($H192="",$I192=""),"",ROUND($H192*$I192,0))</f>
        <v/>
      </c>
      <c r="K192" s="13"/>
      <c r="L192" s="17"/>
      <c r="M192" s="18" t="str">
        <f aca="false">IF($J192="","",$J192-IF($L192="",0,$L192))</f>
        <v/>
      </c>
      <c r="N192" s="19" t="str">
        <f aca="true">IF(OR($A192="",$M192="",$M192&lt;=0),"",TODAY()-$A192)</f>
        <v/>
      </c>
      <c r="O192" s="20" t="str">
        <f aca="false">IF($B192="","",IFERROR(INDEX(차량목록!$D$3:$D$42,MATCH($B192,차량목록!$A$3:$A$42,0)),0))</f>
        <v/>
      </c>
      <c r="P192" s="18" t="str">
        <f aca="false">IF($J192="","",ROUND($J192*$O192,0))</f>
        <v/>
      </c>
    </row>
    <row r="193" customFormat="false" ht="15" hidden="false" customHeight="true" outlineLevel="0" collapsed="false">
      <c r="A193" s="13"/>
      <c r="B193" s="10"/>
      <c r="C193" s="14" t="str">
        <f aca="false">IF($B193="","",IFERROR(INDEX(차량목록!$B$3:$B$42,MATCH($B193,차량목록!$A$3:$A$42,0)),"미등록차량"))</f>
        <v/>
      </c>
      <c r="D193" s="10"/>
      <c r="E193" s="10"/>
      <c r="F193" s="15"/>
      <c r="G193" s="15"/>
      <c r="H193" s="16" t="str">
        <f aca="false">IF(OR($F193="",$G193=""),"",ROUND(IF($G193&lt;1,$G193*24,INT($G193/100)+MOD($G193,100)/60)-IF($F193&lt;1,$F193*24,INT($F193/100)+MOD($F193,100)/60),2))</f>
        <v/>
      </c>
      <c r="I193" s="17"/>
      <c r="J193" s="18" t="str">
        <f aca="false">IF(OR($H193="",$I193=""),"",ROUND($H193*$I193,0))</f>
        <v/>
      </c>
      <c r="K193" s="13"/>
      <c r="L193" s="17"/>
      <c r="M193" s="18" t="str">
        <f aca="false">IF($J193="","",$J193-IF($L193="",0,$L193))</f>
        <v/>
      </c>
      <c r="N193" s="19" t="str">
        <f aca="true">IF(OR($A193="",$M193="",$M193&lt;=0),"",TODAY()-$A193)</f>
        <v/>
      </c>
      <c r="O193" s="20" t="str">
        <f aca="false">IF($B193="","",IFERROR(INDEX(차량목록!$D$3:$D$42,MATCH($B193,차량목록!$A$3:$A$42,0)),0))</f>
        <v/>
      </c>
      <c r="P193" s="18" t="str">
        <f aca="false">IF($J193="","",ROUND($J193*$O193,0))</f>
        <v/>
      </c>
    </row>
    <row r="194" customFormat="false" ht="15" hidden="false" customHeight="true" outlineLevel="0" collapsed="false">
      <c r="A194" s="13"/>
      <c r="B194" s="10"/>
      <c r="C194" s="14" t="str">
        <f aca="false">IF($B194="","",IFERROR(INDEX(차량목록!$B$3:$B$42,MATCH($B194,차량목록!$A$3:$A$42,0)),"미등록차량"))</f>
        <v/>
      </c>
      <c r="D194" s="10"/>
      <c r="E194" s="10"/>
      <c r="F194" s="15"/>
      <c r="G194" s="15"/>
      <c r="H194" s="16" t="str">
        <f aca="false">IF(OR($F194="",$G194=""),"",ROUND(IF($G194&lt;1,$G194*24,INT($G194/100)+MOD($G194,100)/60)-IF($F194&lt;1,$F194*24,INT($F194/100)+MOD($F194,100)/60),2))</f>
        <v/>
      </c>
      <c r="I194" s="17"/>
      <c r="J194" s="18" t="str">
        <f aca="false">IF(OR($H194="",$I194=""),"",ROUND($H194*$I194,0))</f>
        <v/>
      </c>
      <c r="K194" s="13"/>
      <c r="L194" s="17"/>
      <c r="M194" s="18" t="str">
        <f aca="false">IF($J194="","",$J194-IF($L194="",0,$L194))</f>
        <v/>
      </c>
      <c r="N194" s="19" t="str">
        <f aca="true">IF(OR($A194="",$M194="",$M194&lt;=0),"",TODAY()-$A194)</f>
        <v/>
      </c>
      <c r="O194" s="20" t="str">
        <f aca="false">IF($B194="","",IFERROR(INDEX(차량목록!$D$3:$D$42,MATCH($B194,차량목록!$A$3:$A$42,0)),0))</f>
        <v/>
      </c>
      <c r="P194" s="18" t="str">
        <f aca="false">IF($J194="","",ROUND($J194*$O194,0))</f>
        <v/>
      </c>
    </row>
    <row r="195" customFormat="false" ht="15" hidden="false" customHeight="true" outlineLevel="0" collapsed="false">
      <c r="A195" s="13"/>
      <c r="B195" s="10"/>
      <c r="C195" s="14" t="str">
        <f aca="false">IF($B195="","",IFERROR(INDEX(차량목록!$B$3:$B$42,MATCH($B195,차량목록!$A$3:$A$42,0)),"미등록차량"))</f>
        <v/>
      </c>
      <c r="D195" s="10"/>
      <c r="E195" s="10"/>
      <c r="F195" s="15"/>
      <c r="G195" s="15"/>
      <c r="H195" s="16" t="str">
        <f aca="false">IF(OR($F195="",$G195=""),"",ROUND(IF($G195&lt;1,$G195*24,INT($G195/100)+MOD($G195,100)/60)-IF($F195&lt;1,$F195*24,INT($F195/100)+MOD($F195,100)/60),2))</f>
        <v/>
      </c>
      <c r="I195" s="17"/>
      <c r="J195" s="18" t="str">
        <f aca="false">IF(OR($H195="",$I195=""),"",ROUND($H195*$I195,0))</f>
        <v/>
      </c>
      <c r="K195" s="13"/>
      <c r="L195" s="17"/>
      <c r="M195" s="18" t="str">
        <f aca="false">IF($J195="","",$J195-IF($L195="",0,$L195))</f>
        <v/>
      </c>
      <c r="N195" s="19" t="str">
        <f aca="true">IF(OR($A195="",$M195="",$M195&lt;=0),"",TODAY()-$A195)</f>
        <v/>
      </c>
      <c r="O195" s="20" t="str">
        <f aca="false">IF($B195="","",IFERROR(INDEX(차량목록!$D$3:$D$42,MATCH($B195,차량목록!$A$3:$A$42,0)),0))</f>
        <v/>
      </c>
      <c r="P195" s="18" t="str">
        <f aca="false">IF($J195="","",ROUND($J195*$O195,0))</f>
        <v/>
      </c>
    </row>
    <row r="196" customFormat="false" ht="15" hidden="false" customHeight="true" outlineLevel="0" collapsed="false">
      <c r="A196" s="13"/>
      <c r="B196" s="10"/>
      <c r="C196" s="14" t="str">
        <f aca="false">IF($B196="","",IFERROR(INDEX(차량목록!$B$3:$B$42,MATCH($B196,차량목록!$A$3:$A$42,0)),"미등록차량"))</f>
        <v/>
      </c>
      <c r="D196" s="10"/>
      <c r="E196" s="10"/>
      <c r="F196" s="15"/>
      <c r="G196" s="15"/>
      <c r="H196" s="16" t="str">
        <f aca="false">IF(OR($F196="",$G196=""),"",ROUND(IF($G196&lt;1,$G196*24,INT($G196/100)+MOD($G196,100)/60)-IF($F196&lt;1,$F196*24,INT($F196/100)+MOD($F196,100)/60),2))</f>
        <v/>
      </c>
      <c r="I196" s="17"/>
      <c r="J196" s="18" t="str">
        <f aca="false">IF(OR($H196="",$I196=""),"",ROUND($H196*$I196,0))</f>
        <v/>
      </c>
      <c r="K196" s="13"/>
      <c r="L196" s="17"/>
      <c r="M196" s="18" t="str">
        <f aca="false">IF($J196="","",$J196-IF($L196="",0,$L196))</f>
        <v/>
      </c>
      <c r="N196" s="19" t="str">
        <f aca="true">IF(OR($A196="",$M196="",$M196&lt;=0),"",TODAY()-$A196)</f>
        <v/>
      </c>
      <c r="O196" s="20" t="str">
        <f aca="false">IF($B196="","",IFERROR(INDEX(차량목록!$D$3:$D$42,MATCH($B196,차량목록!$A$3:$A$42,0)),0))</f>
        <v/>
      </c>
      <c r="P196" s="18" t="str">
        <f aca="false">IF($J196="","",ROUND($J196*$O196,0))</f>
        <v/>
      </c>
    </row>
    <row r="197" customFormat="false" ht="15" hidden="false" customHeight="true" outlineLevel="0" collapsed="false">
      <c r="A197" s="13"/>
      <c r="B197" s="10"/>
      <c r="C197" s="14" t="str">
        <f aca="false">IF($B197="","",IFERROR(INDEX(차량목록!$B$3:$B$42,MATCH($B197,차량목록!$A$3:$A$42,0)),"미등록차량"))</f>
        <v/>
      </c>
      <c r="D197" s="10"/>
      <c r="E197" s="10"/>
      <c r="F197" s="15"/>
      <c r="G197" s="15"/>
      <c r="H197" s="16" t="str">
        <f aca="false">IF(OR($F197="",$G197=""),"",ROUND(IF($G197&lt;1,$G197*24,INT($G197/100)+MOD($G197,100)/60)-IF($F197&lt;1,$F197*24,INT($F197/100)+MOD($F197,100)/60),2))</f>
        <v/>
      </c>
      <c r="I197" s="17"/>
      <c r="J197" s="18" t="str">
        <f aca="false">IF(OR($H197="",$I197=""),"",ROUND($H197*$I197,0))</f>
        <v/>
      </c>
      <c r="K197" s="13"/>
      <c r="L197" s="17"/>
      <c r="M197" s="18" t="str">
        <f aca="false">IF($J197="","",$J197-IF($L197="",0,$L197))</f>
        <v/>
      </c>
      <c r="N197" s="19" t="str">
        <f aca="true">IF(OR($A197="",$M197="",$M197&lt;=0),"",TODAY()-$A197)</f>
        <v/>
      </c>
      <c r="O197" s="20" t="str">
        <f aca="false">IF($B197="","",IFERROR(INDEX(차량목록!$D$3:$D$42,MATCH($B197,차량목록!$A$3:$A$42,0)),0))</f>
        <v/>
      </c>
      <c r="P197" s="18" t="str">
        <f aca="false">IF($J197="","",ROUND($J197*$O197,0))</f>
        <v/>
      </c>
    </row>
    <row r="198" customFormat="false" ht="15" hidden="false" customHeight="true" outlineLevel="0" collapsed="false">
      <c r="A198" s="13"/>
      <c r="B198" s="10"/>
      <c r="C198" s="14" t="str">
        <f aca="false">IF($B198="","",IFERROR(INDEX(차량목록!$B$3:$B$42,MATCH($B198,차량목록!$A$3:$A$42,0)),"미등록차량"))</f>
        <v/>
      </c>
      <c r="D198" s="10"/>
      <c r="E198" s="10"/>
      <c r="F198" s="15"/>
      <c r="G198" s="15"/>
      <c r="H198" s="16" t="str">
        <f aca="false">IF(OR($F198="",$G198=""),"",ROUND(IF($G198&lt;1,$G198*24,INT($G198/100)+MOD($G198,100)/60)-IF($F198&lt;1,$F198*24,INT($F198/100)+MOD($F198,100)/60),2))</f>
        <v/>
      </c>
      <c r="I198" s="17"/>
      <c r="J198" s="18" t="str">
        <f aca="false">IF(OR($H198="",$I198=""),"",ROUND($H198*$I198,0))</f>
        <v/>
      </c>
      <c r="K198" s="13"/>
      <c r="L198" s="17"/>
      <c r="M198" s="18" t="str">
        <f aca="false">IF($J198="","",$J198-IF($L198="",0,$L198))</f>
        <v/>
      </c>
      <c r="N198" s="19" t="str">
        <f aca="true">IF(OR($A198="",$M198="",$M198&lt;=0),"",TODAY()-$A198)</f>
        <v/>
      </c>
      <c r="O198" s="20" t="str">
        <f aca="false">IF($B198="","",IFERROR(INDEX(차량목록!$D$3:$D$42,MATCH($B198,차량목록!$A$3:$A$42,0)),0))</f>
        <v/>
      </c>
      <c r="P198" s="18" t="str">
        <f aca="false">IF($J198="","",ROUND($J198*$O198,0))</f>
        <v/>
      </c>
    </row>
    <row r="199" customFormat="false" ht="15" hidden="false" customHeight="true" outlineLevel="0" collapsed="false">
      <c r="A199" s="13"/>
      <c r="B199" s="10"/>
      <c r="C199" s="14" t="str">
        <f aca="false">IF($B199="","",IFERROR(INDEX(차량목록!$B$3:$B$42,MATCH($B199,차량목록!$A$3:$A$42,0)),"미등록차량"))</f>
        <v/>
      </c>
      <c r="D199" s="10"/>
      <c r="E199" s="10"/>
      <c r="F199" s="15"/>
      <c r="G199" s="15"/>
      <c r="H199" s="16" t="str">
        <f aca="false">IF(OR($F199="",$G199=""),"",ROUND(IF($G199&lt;1,$G199*24,INT($G199/100)+MOD($G199,100)/60)-IF($F199&lt;1,$F199*24,INT($F199/100)+MOD($F199,100)/60),2))</f>
        <v/>
      </c>
      <c r="I199" s="17"/>
      <c r="J199" s="18" t="str">
        <f aca="false">IF(OR($H199="",$I199=""),"",ROUND($H199*$I199,0))</f>
        <v/>
      </c>
      <c r="K199" s="13"/>
      <c r="L199" s="17"/>
      <c r="M199" s="18" t="str">
        <f aca="false">IF($J199="","",$J199-IF($L199="",0,$L199))</f>
        <v/>
      </c>
      <c r="N199" s="19" t="str">
        <f aca="true">IF(OR($A199="",$M199="",$M199&lt;=0),"",TODAY()-$A199)</f>
        <v/>
      </c>
      <c r="O199" s="20" t="str">
        <f aca="false">IF($B199="","",IFERROR(INDEX(차량목록!$D$3:$D$42,MATCH($B199,차량목록!$A$3:$A$42,0)),0))</f>
        <v/>
      </c>
      <c r="P199" s="18" t="str">
        <f aca="false">IF($J199="","",ROUND($J199*$O199,0))</f>
        <v/>
      </c>
    </row>
    <row r="200" customFormat="false" ht="15" hidden="false" customHeight="true" outlineLevel="0" collapsed="false">
      <c r="A200" s="13"/>
      <c r="B200" s="10"/>
      <c r="C200" s="14" t="str">
        <f aca="false">IF($B200="","",IFERROR(INDEX(차량목록!$B$3:$B$42,MATCH($B200,차량목록!$A$3:$A$42,0)),"미등록차량"))</f>
        <v/>
      </c>
      <c r="D200" s="10"/>
      <c r="E200" s="10"/>
      <c r="F200" s="15"/>
      <c r="G200" s="15"/>
      <c r="H200" s="16" t="str">
        <f aca="false">IF(OR($F200="",$G200=""),"",ROUND(IF($G200&lt;1,$G200*24,INT($G200/100)+MOD($G200,100)/60)-IF($F200&lt;1,$F200*24,INT($F200/100)+MOD($F200,100)/60),2))</f>
        <v/>
      </c>
      <c r="I200" s="17"/>
      <c r="J200" s="18" t="str">
        <f aca="false">IF(OR($H200="",$I200=""),"",ROUND($H200*$I200,0))</f>
        <v/>
      </c>
      <c r="K200" s="13"/>
      <c r="L200" s="17"/>
      <c r="M200" s="18" t="str">
        <f aca="false">IF($J200="","",$J200-IF($L200="",0,$L200))</f>
        <v/>
      </c>
      <c r="N200" s="19" t="str">
        <f aca="true">IF(OR($A200="",$M200="",$M200&lt;=0),"",TODAY()-$A200)</f>
        <v/>
      </c>
      <c r="O200" s="20" t="str">
        <f aca="false">IF($B200="","",IFERROR(INDEX(차량목록!$D$3:$D$42,MATCH($B200,차량목록!$A$3:$A$42,0)),0))</f>
        <v/>
      </c>
      <c r="P200" s="18" t="str">
        <f aca="false">IF($J200="","",ROUND($J200*$O200,0))</f>
        <v/>
      </c>
    </row>
    <row r="201" customFormat="false" ht="15" hidden="false" customHeight="true" outlineLevel="0" collapsed="false">
      <c r="A201" s="13"/>
      <c r="B201" s="10"/>
      <c r="C201" s="14" t="str">
        <f aca="false">IF($B201="","",IFERROR(INDEX(차량목록!$B$3:$B$42,MATCH($B201,차량목록!$A$3:$A$42,0)),"미등록차량"))</f>
        <v/>
      </c>
      <c r="D201" s="10"/>
      <c r="E201" s="10"/>
      <c r="F201" s="15"/>
      <c r="G201" s="15"/>
      <c r="H201" s="16" t="str">
        <f aca="false">IF(OR($F201="",$G201=""),"",ROUND(IF($G201&lt;1,$G201*24,INT($G201/100)+MOD($G201,100)/60)-IF($F201&lt;1,$F201*24,INT($F201/100)+MOD($F201,100)/60),2))</f>
        <v/>
      </c>
      <c r="I201" s="17"/>
      <c r="J201" s="18" t="str">
        <f aca="false">IF(OR($H201="",$I201=""),"",ROUND($H201*$I201,0))</f>
        <v/>
      </c>
      <c r="K201" s="13"/>
      <c r="L201" s="17"/>
      <c r="M201" s="18" t="str">
        <f aca="false">IF($J201="","",$J201-IF($L201="",0,$L201))</f>
        <v/>
      </c>
      <c r="N201" s="19" t="str">
        <f aca="true">IF(OR($A201="",$M201="",$M201&lt;=0),"",TODAY()-$A201)</f>
        <v/>
      </c>
      <c r="O201" s="20" t="str">
        <f aca="false">IF($B201="","",IFERROR(INDEX(차량목록!$D$3:$D$42,MATCH($B201,차량목록!$A$3:$A$42,0)),0))</f>
        <v/>
      </c>
      <c r="P201" s="18" t="str">
        <f aca="false">IF($J201="","",ROUND($J201*$O201,0))</f>
        <v/>
      </c>
    </row>
    <row r="202" customFormat="false" ht="15" hidden="false" customHeight="true" outlineLevel="0" collapsed="false">
      <c r="A202" s="13"/>
      <c r="B202" s="10"/>
      <c r="C202" s="14" t="str">
        <f aca="false">IF($B202="","",IFERROR(INDEX(차량목록!$B$3:$B$42,MATCH($B202,차량목록!$A$3:$A$42,0)),"미등록차량"))</f>
        <v/>
      </c>
      <c r="D202" s="10"/>
      <c r="E202" s="10"/>
      <c r="F202" s="15"/>
      <c r="G202" s="15"/>
      <c r="H202" s="16" t="str">
        <f aca="false">IF(OR($F202="",$G202=""),"",ROUND(IF($G202&lt;1,$G202*24,INT($G202/100)+MOD($G202,100)/60)-IF($F202&lt;1,$F202*24,INT($F202/100)+MOD($F202,100)/60),2))</f>
        <v/>
      </c>
      <c r="I202" s="17"/>
      <c r="J202" s="18" t="str">
        <f aca="false">IF(OR($H202="",$I202=""),"",ROUND($H202*$I202,0))</f>
        <v/>
      </c>
      <c r="K202" s="13"/>
      <c r="L202" s="17"/>
      <c r="M202" s="18" t="str">
        <f aca="false">IF($J202="","",$J202-IF($L202="",0,$L202))</f>
        <v/>
      </c>
      <c r="N202" s="19" t="str">
        <f aca="true">IF(OR($A202="",$M202="",$M202&lt;=0),"",TODAY()-$A202)</f>
        <v/>
      </c>
      <c r="O202" s="20" t="str">
        <f aca="false">IF($B202="","",IFERROR(INDEX(차량목록!$D$3:$D$42,MATCH($B202,차량목록!$A$3:$A$42,0)),0))</f>
        <v/>
      </c>
      <c r="P202" s="18" t="str">
        <f aca="false">IF($J202="","",ROUND($J202*$O202,0))</f>
        <v/>
      </c>
    </row>
    <row r="203" customFormat="false" ht="15" hidden="false" customHeight="true" outlineLevel="0" collapsed="false">
      <c r="A203" s="13"/>
      <c r="B203" s="10"/>
      <c r="C203" s="14" t="str">
        <f aca="false">IF($B203="","",IFERROR(INDEX(차량목록!$B$3:$B$42,MATCH($B203,차량목록!$A$3:$A$42,0)),"미등록차량"))</f>
        <v/>
      </c>
      <c r="D203" s="10"/>
      <c r="E203" s="10"/>
      <c r="F203" s="15"/>
      <c r="G203" s="15"/>
      <c r="H203" s="16" t="str">
        <f aca="false">IF(OR($F203="",$G203=""),"",ROUND(IF($G203&lt;1,$G203*24,INT($G203/100)+MOD($G203,100)/60)-IF($F203&lt;1,$F203*24,INT($F203/100)+MOD($F203,100)/60),2))</f>
        <v/>
      </c>
      <c r="I203" s="17"/>
      <c r="J203" s="18" t="str">
        <f aca="false">IF(OR($H203="",$I203=""),"",ROUND($H203*$I203,0))</f>
        <v/>
      </c>
      <c r="K203" s="13"/>
      <c r="L203" s="17"/>
      <c r="M203" s="18" t="str">
        <f aca="false">IF($J203="","",$J203-IF($L203="",0,$L203))</f>
        <v/>
      </c>
      <c r="N203" s="19" t="str">
        <f aca="true">IF(OR($A203="",$M203="",$M203&lt;=0),"",TODAY()-$A203)</f>
        <v/>
      </c>
      <c r="O203" s="20" t="str">
        <f aca="false">IF($B203="","",IFERROR(INDEX(차량목록!$D$3:$D$42,MATCH($B203,차량목록!$A$3:$A$42,0)),0))</f>
        <v/>
      </c>
      <c r="P203" s="18" t="str">
        <f aca="false">IF($J203="","",ROUND($J203*$O203,0))</f>
        <v/>
      </c>
    </row>
    <row r="204" customFormat="false" ht="15" hidden="false" customHeight="true" outlineLevel="0" collapsed="false">
      <c r="A204" s="13"/>
      <c r="B204" s="10"/>
      <c r="C204" s="14" t="str">
        <f aca="false">IF($B204="","",IFERROR(INDEX(차량목록!$B$3:$B$42,MATCH($B204,차량목록!$A$3:$A$42,0)),"미등록차량"))</f>
        <v/>
      </c>
      <c r="D204" s="10"/>
      <c r="E204" s="10"/>
      <c r="F204" s="15"/>
      <c r="G204" s="15"/>
      <c r="H204" s="16" t="str">
        <f aca="false">IF(OR($F204="",$G204=""),"",ROUND(IF($G204&lt;1,$G204*24,INT($G204/100)+MOD($G204,100)/60)-IF($F204&lt;1,$F204*24,INT($F204/100)+MOD($F204,100)/60),2))</f>
        <v/>
      </c>
      <c r="I204" s="17"/>
      <c r="J204" s="18" t="str">
        <f aca="false">IF(OR($H204="",$I204=""),"",ROUND($H204*$I204,0))</f>
        <v/>
      </c>
      <c r="K204" s="13"/>
      <c r="L204" s="17"/>
      <c r="M204" s="18" t="str">
        <f aca="false">IF($J204="","",$J204-IF($L204="",0,$L204))</f>
        <v/>
      </c>
      <c r="N204" s="19" t="str">
        <f aca="true">IF(OR($A204="",$M204="",$M204&lt;=0),"",TODAY()-$A204)</f>
        <v/>
      </c>
      <c r="O204" s="20" t="str">
        <f aca="false">IF($B204="","",IFERROR(INDEX(차량목록!$D$3:$D$42,MATCH($B204,차량목록!$A$3:$A$42,0)),0))</f>
        <v/>
      </c>
      <c r="P204" s="18" t="str">
        <f aca="false">IF($J204="","",ROUND($J204*$O204,0))</f>
        <v/>
      </c>
    </row>
    <row r="205" customFormat="false" ht="15" hidden="false" customHeight="true" outlineLevel="0" collapsed="false">
      <c r="A205" s="13"/>
      <c r="B205" s="10"/>
      <c r="C205" s="14" t="str">
        <f aca="false">IF($B205="","",IFERROR(INDEX(차량목록!$B$3:$B$42,MATCH($B205,차량목록!$A$3:$A$42,0)),"미등록차량"))</f>
        <v/>
      </c>
      <c r="D205" s="10"/>
      <c r="E205" s="10"/>
      <c r="F205" s="15"/>
      <c r="G205" s="15"/>
      <c r="H205" s="16" t="str">
        <f aca="false">IF(OR($F205="",$G205=""),"",ROUND(IF($G205&lt;1,$G205*24,INT($G205/100)+MOD($G205,100)/60)-IF($F205&lt;1,$F205*24,INT($F205/100)+MOD($F205,100)/60),2))</f>
        <v/>
      </c>
      <c r="I205" s="17"/>
      <c r="J205" s="18" t="str">
        <f aca="false">IF(OR($H205="",$I205=""),"",ROUND($H205*$I205,0))</f>
        <v/>
      </c>
      <c r="K205" s="13"/>
      <c r="L205" s="17"/>
      <c r="M205" s="18" t="str">
        <f aca="false">IF($J205="","",$J205-IF($L205="",0,$L205))</f>
        <v/>
      </c>
      <c r="N205" s="19" t="str">
        <f aca="true">IF(OR($A205="",$M205="",$M205&lt;=0),"",TODAY()-$A205)</f>
        <v/>
      </c>
      <c r="O205" s="20" t="str">
        <f aca="false">IF($B205="","",IFERROR(INDEX(차량목록!$D$3:$D$42,MATCH($B205,차량목록!$A$3:$A$42,0)),0))</f>
        <v/>
      </c>
      <c r="P205" s="18" t="str">
        <f aca="false">IF($J205="","",ROUND($J205*$O205,0))</f>
        <v/>
      </c>
    </row>
    <row r="206" customFormat="false" ht="15" hidden="false" customHeight="true" outlineLevel="0" collapsed="false">
      <c r="A206" s="13"/>
      <c r="B206" s="10"/>
      <c r="C206" s="14" t="str">
        <f aca="false">IF($B206="","",IFERROR(INDEX(차량목록!$B$3:$B$42,MATCH($B206,차량목록!$A$3:$A$42,0)),"미등록차량"))</f>
        <v/>
      </c>
      <c r="D206" s="10"/>
      <c r="E206" s="10"/>
      <c r="F206" s="15"/>
      <c r="G206" s="15"/>
      <c r="H206" s="16" t="str">
        <f aca="false">IF(OR($F206="",$G206=""),"",ROUND(IF($G206&lt;1,$G206*24,INT($G206/100)+MOD($G206,100)/60)-IF($F206&lt;1,$F206*24,INT($F206/100)+MOD($F206,100)/60),2))</f>
        <v/>
      </c>
      <c r="I206" s="17"/>
      <c r="J206" s="18" t="str">
        <f aca="false">IF(OR($H206="",$I206=""),"",ROUND($H206*$I206,0))</f>
        <v/>
      </c>
      <c r="K206" s="13"/>
      <c r="L206" s="17"/>
      <c r="M206" s="18" t="str">
        <f aca="false">IF($J206="","",$J206-IF($L206="",0,$L206))</f>
        <v/>
      </c>
      <c r="N206" s="19" t="str">
        <f aca="true">IF(OR($A206="",$M206="",$M206&lt;=0),"",TODAY()-$A206)</f>
        <v/>
      </c>
      <c r="O206" s="20" t="str">
        <f aca="false">IF($B206="","",IFERROR(INDEX(차량목록!$D$3:$D$42,MATCH($B206,차량목록!$A$3:$A$42,0)),0))</f>
        <v/>
      </c>
      <c r="P206" s="18" t="str">
        <f aca="false">IF($J206="","",ROUND($J206*$O206,0))</f>
        <v/>
      </c>
    </row>
    <row r="207" customFormat="false" ht="15" hidden="false" customHeight="true" outlineLevel="0" collapsed="false">
      <c r="A207" s="13"/>
      <c r="B207" s="10"/>
      <c r="C207" s="14" t="str">
        <f aca="false">IF($B207="","",IFERROR(INDEX(차량목록!$B$3:$B$42,MATCH($B207,차량목록!$A$3:$A$42,0)),"미등록차량"))</f>
        <v/>
      </c>
      <c r="D207" s="10"/>
      <c r="E207" s="10"/>
      <c r="F207" s="15"/>
      <c r="G207" s="15"/>
      <c r="H207" s="16" t="str">
        <f aca="false">IF(OR($F207="",$G207=""),"",ROUND(IF($G207&lt;1,$G207*24,INT($G207/100)+MOD($G207,100)/60)-IF($F207&lt;1,$F207*24,INT($F207/100)+MOD($F207,100)/60),2))</f>
        <v/>
      </c>
      <c r="I207" s="17"/>
      <c r="J207" s="18" t="str">
        <f aca="false">IF(OR($H207="",$I207=""),"",ROUND($H207*$I207,0))</f>
        <v/>
      </c>
      <c r="K207" s="13"/>
      <c r="L207" s="17"/>
      <c r="M207" s="18" t="str">
        <f aca="false">IF($J207="","",$J207-IF($L207="",0,$L207))</f>
        <v/>
      </c>
      <c r="N207" s="19" t="str">
        <f aca="true">IF(OR($A207="",$M207="",$M207&lt;=0),"",TODAY()-$A207)</f>
        <v/>
      </c>
      <c r="O207" s="20" t="str">
        <f aca="false">IF($B207="","",IFERROR(INDEX(차량목록!$D$3:$D$42,MATCH($B207,차량목록!$A$3:$A$42,0)),0))</f>
        <v/>
      </c>
      <c r="P207" s="18" t="str">
        <f aca="false">IF($J207="","",ROUND($J207*$O207,0))</f>
        <v/>
      </c>
    </row>
    <row r="208" customFormat="false" ht="15" hidden="false" customHeight="true" outlineLevel="0" collapsed="false">
      <c r="A208" s="13"/>
      <c r="B208" s="10"/>
      <c r="C208" s="14" t="str">
        <f aca="false">IF($B208="","",IFERROR(INDEX(차량목록!$B$3:$B$42,MATCH($B208,차량목록!$A$3:$A$42,0)),"미등록차량"))</f>
        <v/>
      </c>
      <c r="D208" s="10"/>
      <c r="E208" s="10"/>
      <c r="F208" s="15"/>
      <c r="G208" s="15"/>
      <c r="H208" s="16" t="str">
        <f aca="false">IF(OR($F208="",$G208=""),"",ROUND(IF($G208&lt;1,$G208*24,INT($G208/100)+MOD($G208,100)/60)-IF($F208&lt;1,$F208*24,INT($F208/100)+MOD($F208,100)/60),2))</f>
        <v/>
      </c>
      <c r="I208" s="17"/>
      <c r="J208" s="18" t="str">
        <f aca="false">IF(OR($H208="",$I208=""),"",ROUND($H208*$I208,0))</f>
        <v/>
      </c>
      <c r="K208" s="13"/>
      <c r="L208" s="17"/>
      <c r="M208" s="18" t="str">
        <f aca="false">IF($J208="","",$J208-IF($L208="",0,$L208))</f>
        <v/>
      </c>
      <c r="N208" s="19" t="str">
        <f aca="true">IF(OR($A208="",$M208="",$M208&lt;=0),"",TODAY()-$A208)</f>
        <v/>
      </c>
      <c r="O208" s="20" t="str">
        <f aca="false">IF($B208="","",IFERROR(INDEX(차량목록!$D$3:$D$42,MATCH($B208,차량목록!$A$3:$A$42,0)),0))</f>
        <v/>
      </c>
      <c r="P208" s="18" t="str">
        <f aca="false">IF($J208="","",ROUND($J208*$O208,0))</f>
        <v/>
      </c>
    </row>
    <row r="209" customFormat="false" ht="15" hidden="false" customHeight="true" outlineLevel="0" collapsed="false">
      <c r="A209" s="13"/>
      <c r="B209" s="10"/>
      <c r="C209" s="14" t="str">
        <f aca="false">IF($B209="","",IFERROR(INDEX(차량목록!$B$3:$B$42,MATCH($B209,차량목록!$A$3:$A$42,0)),"미등록차량"))</f>
        <v/>
      </c>
      <c r="D209" s="10"/>
      <c r="E209" s="10"/>
      <c r="F209" s="15"/>
      <c r="G209" s="15"/>
      <c r="H209" s="16" t="str">
        <f aca="false">IF(OR($F209="",$G209=""),"",ROUND(IF($G209&lt;1,$G209*24,INT($G209/100)+MOD($G209,100)/60)-IF($F209&lt;1,$F209*24,INT($F209/100)+MOD($F209,100)/60),2))</f>
        <v/>
      </c>
      <c r="I209" s="17"/>
      <c r="J209" s="18" t="str">
        <f aca="false">IF(OR($H209="",$I209=""),"",ROUND($H209*$I209,0))</f>
        <v/>
      </c>
      <c r="K209" s="13"/>
      <c r="L209" s="17"/>
      <c r="M209" s="18" t="str">
        <f aca="false">IF($J209="","",$J209-IF($L209="",0,$L209))</f>
        <v/>
      </c>
      <c r="N209" s="19" t="str">
        <f aca="true">IF(OR($A209="",$M209="",$M209&lt;=0),"",TODAY()-$A209)</f>
        <v/>
      </c>
      <c r="O209" s="20" t="str">
        <f aca="false">IF($B209="","",IFERROR(INDEX(차량목록!$D$3:$D$42,MATCH($B209,차량목록!$A$3:$A$42,0)),0))</f>
        <v/>
      </c>
      <c r="P209" s="18" t="str">
        <f aca="false">IF($J209="","",ROUND($J209*$O209,0))</f>
        <v/>
      </c>
    </row>
    <row r="210" customFormat="false" ht="15" hidden="false" customHeight="true" outlineLevel="0" collapsed="false">
      <c r="A210" s="13"/>
      <c r="B210" s="10"/>
      <c r="C210" s="14" t="str">
        <f aca="false">IF($B210="","",IFERROR(INDEX(차량목록!$B$3:$B$42,MATCH($B210,차량목록!$A$3:$A$42,0)),"미등록차량"))</f>
        <v/>
      </c>
      <c r="D210" s="10"/>
      <c r="E210" s="10"/>
      <c r="F210" s="15"/>
      <c r="G210" s="15"/>
      <c r="H210" s="16" t="str">
        <f aca="false">IF(OR($F210="",$G210=""),"",ROUND(IF($G210&lt;1,$G210*24,INT($G210/100)+MOD($G210,100)/60)-IF($F210&lt;1,$F210*24,INT($F210/100)+MOD($F210,100)/60),2))</f>
        <v/>
      </c>
      <c r="I210" s="17"/>
      <c r="J210" s="18" t="str">
        <f aca="false">IF(OR($H210="",$I210=""),"",ROUND($H210*$I210,0))</f>
        <v/>
      </c>
      <c r="K210" s="13"/>
      <c r="L210" s="17"/>
      <c r="M210" s="18" t="str">
        <f aca="false">IF($J210="","",$J210-IF($L210="",0,$L210))</f>
        <v/>
      </c>
      <c r="N210" s="19" t="str">
        <f aca="true">IF(OR($A210="",$M210="",$M210&lt;=0),"",TODAY()-$A210)</f>
        <v/>
      </c>
      <c r="O210" s="20" t="str">
        <f aca="false">IF($B210="","",IFERROR(INDEX(차량목록!$D$3:$D$42,MATCH($B210,차량목록!$A$3:$A$42,0)),0))</f>
        <v/>
      </c>
      <c r="P210" s="18" t="str">
        <f aca="false">IF($J210="","",ROUND($J210*$O210,0))</f>
        <v/>
      </c>
    </row>
    <row r="211" customFormat="false" ht="15" hidden="false" customHeight="true" outlineLevel="0" collapsed="false">
      <c r="A211" s="13"/>
      <c r="B211" s="10"/>
      <c r="C211" s="14" t="str">
        <f aca="false">IF($B211="","",IFERROR(INDEX(차량목록!$B$3:$B$42,MATCH($B211,차량목록!$A$3:$A$42,0)),"미등록차량"))</f>
        <v/>
      </c>
      <c r="D211" s="10"/>
      <c r="E211" s="10"/>
      <c r="F211" s="15"/>
      <c r="G211" s="15"/>
      <c r="H211" s="16" t="str">
        <f aca="false">IF(OR($F211="",$G211=""),"",ROUND(IF($G211&lt;1,$G211*24,INT($G211/100)+MOD($G211,100)/60)-IF($F211&lt;1,$F211*24,INT($F211/100)+MOD($F211,100)/60),2))</f>
        <v/>
      </c>
      <c r="I211" s="17"/>
      <c r="J211" s="18" t="str">
        <f aca="false">IF(OR($H211="",$I211=""),"",ROUND($H211*$I211,0))</f>
        <v/>
      </c>
      <c r="K211" s="13"/>
      <c r="L211" s="17"/>
      <c r="M211" s="18" t="str">
        <f aca="false">IF($J211="","",$J211-IF($L211="",0,$L211))</f>
        <v/>
      </c>
      <c r="N211" s="19" t="str">
        <f aca="true">IF(OR($A211="",$M211="",$M211&lt;=0),"",TODAY()-$A211)</f>
        <v/>
      </c>
      <c r="O211" s="20" t="str">
        <f aca="false">IF($B211="","",IFERROR(INDEX(차량목록!$D$3:$D$42,MATCH($B211,차량목록!$A$3:$A$42,0)),0))</f>
        <v/>
      </c>
      <c r="P211" s="18" t="str">
        <f aca="false">IF($J211="","",ROUND($J211*$O211,0))</f>
        <v/>
      </c>
    </row>
    <row r="212" customFormat="false" ht="15" hidden="false" customHeight="true" outlineLevel="0" collapsed="false">
      <c r="A212" s="13"/>
      <c r="B212" s="10"/>
      <c r="C212" s="14" t="str">
        <f aca="false">IF($B212="","",IFERROR(INDEX(차량목록!$B$3:$B$42,MATCH($B212,차량목록!$A$3:$A$42,0)),"미등록차량"))</f>
        <v/>
      </c>
      <c r="D212" s="10"/>
      <c r="E212" s="10"/>
      <c r="F212" s="15"/>
      <c r="G212" s="15"/>
      <c r="H212" s="16" t="str">
        <f aca="false">IF(OR($F212="",$G212=""),"",ROUND(IF($G212&lt;1,$G212*24,INT($G212/100)+MOD($G212,100)/60)-IF($F212&lt;1,$F212*24,INT($F212/100)+MOD($F212,100)/60),2))</f>
        <v/>
      </c>
      <c r="I212" s="17"/>
      <c r="J212" s="18" t="str">
        <f aca="false">IF(OR($H212="",$I212=""),"",ROUND($H212*$I212,0))</f>
        <v/>
      </c>
      <c r="K212" s="13"/>
      <c r="L212" s="17"/>
      <c r="M212" s="18" t="str">
        <f aca="false">IF($J212="","",$J212-IF($L212="",0,$L212))</f>
        <v/>
      </c>
      <c r="N212" s="19" t="str">
        <f aca="true">IF(OR($A212="",$M212="",$M212&lt;=0),"",TODAY()-$A212)</f>
        <v/>
      </c>
      <c r="O212" s="20" t="str">
        <f aca="false">IF($B212="","",IFERROR(INDEX(차량목록!$D$3:$D$42,MATCH($B212,차량목록!$A$3:$A$42,0)),0))</f>
        <v/>
      </c>
      <c r="P212" s="18" t="str">
        <f aca="false">IF($J212="","",ROUND($J212*$O212,0))</f>
        <v/>
      </c>
    </row>
    <row r="213" customFormat="false" ht="15" hidden="false" customHeight="true" outlineLevel="0" collapsed="false">
      <c r="A213" s="13"/>
      <c r="B213" s="10"/>
      <c r="C213" s="14" t="str">
        <f aca="false">IF($B213="","",IFERROR(INDEX(차량목록!$B$3:$B$42,MATCH($B213,차량목록!$A$3:$A$42,0)),"미등록차량"))</f>
        <v/>
      </c>
      <c r="D213" s="10"/>
      <c r="E213" s="10"/>
      <c r="F213" s="15"/>
      <c r="G213" s="15"/>
      <c r="H213" s="16" t="str">
        <f aca="false">IF(OR($F213="",$G213=""),"",ROUND(IF($G213&lt;1,$G213*24,INT($G213/100)+MOD($G213,100)/60)-IF($F213&lt;1,$F213*24,INT($F213/100)+MOD($F213,100)/60),2))</f>
        <v/>
      </c>
      <c r="I213" s="17"/>
      <c r="J213" s="18" t="str">
        <f aca="false">IF(OR($H213="",$I213=""),"",ROUND($H213*$I213,0))</f>
        <v/>
      </c>
      <c r="K213" s="13"/>
      <c r="L213" s="17"/>
      <c r="M213" s="18" t="str">
        <f aca="false">IF($J213="","",$J213-IF($L213="",0,$L213))</f>
        <v/>
      </c>
      <c r="N213" s="19" t="str">
        <f aca="true">IF(OR($A213="",$M213="",$M213&lt;=0),"",TODAY()-$A213)</f>
        <v/>
      </c>
      <c r="O213" s="20" t="str">
        <f aca="false">IF($B213="","",IFERROR(INDEX(차량목록!$D$3:$D$42,MATCH($B213,차량목록!$A$3:$A$42,0)),0))</f>
        <v/>
      </c>
      <c r="P213" s="18" t="str">
        <f aca="false">IF($J213="","",ROUND($J213*$O213,0))</f>
        <v/>
      </c>
    </row>
    <row r="214" customFormat="false" ht="15" hidden="false" customHeight="true" outlineLevel="0" collapsed="false">
      <c r="A214" s="13"/>
      <c r="B214" s="10"/>
      <c r="C214" s="14" t="str">
        <f aca="false">IF($B214="","",IFERROR(INDEX(차량목록!$B$3:$B$42,MATCH($B214,차량목록!$A$3:$A$42,0)),"미등록차량"))</f>
        <v/>
      </c>
      <c r="D214" s="10"/>
      <c r="E214" s="10"/>
      <c r="F214" s="15"/>
      <c r="G214" s="15"/>
      <c r="H214" s="16" t="str">
        <f aca="false">IF(OR($F214="",$G214=""),"",ROUND(IF($G214&lt;1,$G214*24,INT($G214/100)+MOD($G214,100)/60)-IF($F214&lt;1,$F214*24,INT($F214/100)+MOD($F214,100)/60),2))</f>
        <v/>
      </c>
      <c r="I214" s="17"/>
      <c r="J214" s="18" t="str">
        <f aca="false">IF(OR($H214="",$I214=""),"",ROUND($H214*$I214,0))</f>
        <v/>
      </c>
      <c r="K214" s="13"/>
      <c r="L214" s="17"/>
      <c r="M214" s="18" t="str">
        <f aca="false">IF($J214="","",$J214-IF($L214="",0,$L214))</f>
        <v/>
      </c>
      <c r="N214" s="19" t="str">
        <f aca="true">IF(OR($A214="",$M214="",$M214&lt;=0),"",TODAY()-$A214)</f>
        <v/>
      </c>
      <c r="O214" s="20" t="str">
        <f aca="false">IF($B214="","",IFERROR(INDEX(차량목록!$D$3:$D$42,MATCH($B214,차량목록!$A$3:$A$42,0)),0))</f>
        <v/>
      </c>
      <c r="P214" s="18" t="str">
        <f aca="false">IF($J214="","",ROUND($J214*$O214,0))</f>
        <v/>
      </c>
    </row>
    <row r="215" customFormat="false" ht="15" hidden="false" customHeight="true" outlineLevel="0" collapsed="false">
      <c r="A215" s="13"/>
      <c r="B215" s="10"/>
      <c r="C215" s="14" t="str">
        <f aca="false">IF($B215="","",IFERROR(INDEX(차량목록!$B$3:$B$42,MATCH($B215,차량목록!$A$3:$A$42,0)),"미등록차량"))</f>
        <v/>
      </c>
      <c r="D215" s="10"/>
      <c r="E215" s="10"/>
      <c r="F215" s="15"/>
      <c r="G215" s="15"/>
      <c r="H215" s="16" t="str">
        <f aca="false">IF(OR($F215="",$G215=""),"",ROUND(IF($G215&lt;1,$G215*24,INT($G215/100)+MOD($G215,100)/60)-IF($F215&lt;1,$F215*24,INT($F215/100)+MOD($F215,100)/60),2))</f>
        <v/>
      </c>
      <c r="I215" s="17"/>
      <c r="J215" s="18" t="str">
        <f aca="false">IF(OR($H215="",$I215=""),"",ROUND($H215*$I215,0))</f>
        <v/>
      </c>
      <c r="K215" s="13"/>
      <c r="L215" s="17"/>
      <c r="M215" s="18" t="str">
        <f aca="false">IF($J215="","",$J215-IF($L215="",0,$L215))</f>
        <v/>
      </c>
      <c r="N215" s="19" t="str">
        <f aca="true">IF(OR($A215="",$M215="",$M215&lt;=0),"",TODAY()-$A215)</f>
        <v/>
      </c>
      <c r="O215" s="20" t="str">
        <f aca="false">IF($B215="","",IFERROR(INDEX(차량목록!$D$3:$D$42,MATCH($B215,차량목록!$A$3:$A$42,0)),0))</f>
        <v/>
      </c>
      <c r="P215" s="18" t="str">
        <f aca="false">IF($J215="","",ROUND($J215*$O215,0))</f>
        <v/>
      </c>
    </row>
    <row r="216" customFormat="false" ht="15" hidden="false" customHeight="true" outlineLevel="0" collapsed="false">
      <c r="A216" s="13"/>
      <c r="B216" s="10"/>
      <c r="C216" s="14" t="str">
        <f aca="false">IF($B216="","",IFERROR(INDEX(차량목록!$B$3:$B$42,MATCH($B216,차량목록!$A$3:$A$42,0)),"미등록차량"))</f>
        <v/>
      </c>
      <c r="D216" s="10"/>
      <c r="E216" s="10"/>
      <c r="F216" s="15"/>
      <c r="G216" s="15"/>
      <c r="H216" s="16" t="str">
        <f aca="false">IF(OR($F216="",$G216=""),"",ROUND(IF($G216&lt;1,$G216*24,INT($G216/100)+MOD($G216,100)/60)-IF($F216&lt;1,$F216*24,INT($F216/100)+MOD($F216,100)/60),2))</f>
        <v/>
      </c>
      <c r="I216" s="17"/>
      <c r="J216" s="18" t="str">
        <f aca="false">IF(OR($H216="",$I216=""),"",ROUND($H216*$I216,0))</f>
        <v/>
      </c>
      <c r="K216" s="13"/>
      <c r="L216" s="17"/>
      <c r="M216" s="18" t="str">
        <f aca="false">IF($J216="","",$J216-IF($L216="",0,$L216))</f>
        <v/>
      </c>
      <c r="N216" s="19" t="str">
        <f aca="true">IF(OR($A216="",$M216="",$M216&lt;=0),"",TODAY()-$A216)</f>
        <v/>
      </c>
      <c r="O216" s="20" t="str">
        <f aca="false">IF($B216="","",IFERROR(INDEX(차량목록!$D$3:$D$42,MATCH($B216,차량목록!$A$3:$A$42,0)),0))</f>
        <v/>
      </c>
      <c r="P216" s="18" t="str">
        <f aca="false">IF($J216="","",ROUND($J216*$O216,0))</f>
        <v/>
      </c>
    </row>
    <row r="217" customFormat="false" ht="15" hidden="false" customHeight="true" outlineLevel="0" collapsed="false">
      <c r="A217" s="13"/>
      <c r="B217" s="10"/>
      <c r="C217" s="14" t="str">
        <f aca="false">IF($B217="","",IFERROR(INDEX(차량목록!$B$3:$B$42,MATCH($B217,차량목록!$A$3:$A$42,0)),"미등록차량"))</f>
        <v/>
      </c>
      <c r="D217" s="10"/>
      <c r="E217" s="10"/>
      <c r="F217" s="15"/>
      <c r="G217" s="15"/>
      <c r="H217" s="16" t="str">
        <f aca="false">IF(OR($F217="",$G217=""),"",ROUND(IF($G217&lt;1,$G217*24,INT($G217/100)+MOD($G217,100)/60)-IF($F217&lt;1,$F217*24,INT($F217/100)+MOD($F217,100)/60),2))</f>
        <v/>
      </c>
      <c r="I217" s="17"/>
      <c r="J217" s="18" t="str">
        <f aca="false">IF(OR($H217="",$I217=""),"",ROUND($H217*$I217,0))</f>
        <v/>
      </c>
      <c r="K217" s="13"/>
      <c r="L217" s="17"/>
      <c r="M217" s="18" t="str">
        <f aca="false">IF($J217="","",$J217-IF($L217="",0,$L217))</f>
        <v/>
      </c>
      <c r="N217" s="19" t="str">
        <f aca="true">IF(OR($A217="",$M217="",$M217&lt;=0),"",TODAY()-$A217)</f>
        <v/>
      </c>
      <c r="O217" s="20" t="str">
        <f aca="false">IF($B217="","",IFERROR(INDEX(차량목록!$D$3:$D$42,MATCH($B217,차량목록!$A$3:$A$42,0)),0))</f>
        <v/>
      </c>
      <c r="P217" s="18" t="str">
        <f aca="false">IF($J217="","",ROUND($J217*$O217,0))</f>
        <v/>
      </c>
    </row>
    <row r="218" customFormat="false" ht="15" hidden="false" customHeight="true" outlineLevel="0" collapsed="false">
      <c r="A218" s="13"/>
      <c r="B218" s="10"/>
      <c r="C218" s="14" t="str">
        <f aca="false">IF($B218="","",IFERROR(INDEX(차량목록!$B$3:$B$42,MATCH($B218,차량목록!$A$3:$A$42,0)),"미등록차량"))</f>
        <v/>
      </c>
      <c r="D218" s="10"/>
      <c r="E218" s="10"/>
      <c r="F218" s="15"/>
      <c r="G218" s="15"/>
      <c r="H218" s="16" t="str">
        <f aca="false">IF(OR($F218="",$G218=""),"",ROUND(IF($G218&lt;1,$G218*24,INT($G218/100)+MOD($G218,100)/60)-IF($F218&lt;1,$F218*24,INT($F218/100)+MOD($F218,100)/60),2))</f>
        <v/>
      </c>
      <c r="I218" s="17"/>
      <c r="J218" s="18" t="str">
        <f aca="false">IF(OR($H218="",$I218=""),"",ROUND($H218*$I218,0))</f>
        <v/>
      </c>
      <c r="K218" s="13"/>
      <c r="L218" s="17"/>
      <c r="M218" s="18" t="str">
        <f aca="false">IF($J218="","",$J218-IF($L218="",0,$L218))</f>
        <v/>
      </c>
      <c r="N218" s="19" t="str">
        <f aca="true">IF(OR($A218="",$M218="",$M218&lt;=0),"",TODAY()-$A218)</f>
        <v/>
      </c>
      <c r="O218" s="20" t="str">
        <f aca="false">IF($B218="","",IFERROR(INDEX(차량목록!$D$3:$D$42,MATCH($B218,차량목록!$A$3:$A$42,0)),0))</f>
        <v/>
      </c>
      <c r="P218" s="18" t="str">
        <f aca="false">IF($J218="","",ROUND($J218*$O218,0))</f>
        <v/>
      </c>
    </row>
    <row r="219" customFormat="false" ht="15" hidden="false" customHeight="true" outlineLevel="0" collapsed="false">
      <c r="A219" s="13"/>
      <c r="B219" s="10"/>
      <c r="C219" s="14" t="str">
        <f aca="false">IF($B219="","",IFERROR(INDEX(차량목록!$B$3:$B$42,MATCH($B219,차량목록!$A$3:$A$42,0)),"미등록차량"))</f>
        <v/>
      </c>
      <c r="D219" s="10"/>
      <c r="E219" s="10"/>
      <c r="F219" s="15"/>
      <c r="G219" s="15"/>
      <c r="H219" s="16" t="str">
        <f aca="false">IF(OR($F219="",$G219=""),"",ROUND(IF($G219&lt;1,$G219*24,INT($G219/100)+MOD($G219,100)/60)-IF($F219&lt;1,$F219*24,INT($F219/100)+MOD($F219,100)/60),2))</f>
        <v/>
      </c>
      <c r="I219" s="17"/>
      <c r="J219" s="18" t="str">
        <f aca="false">IF(OR($H219="",$I219=""),"",ROUND($H219*$I219,0))</f>
        <v/>
      </c>
      <c r="K219" s="13"/>
      <c r="L219" s="17"/>
      <c r="M219" s="18" t="str">
        <f aca="false">IF($J219="","",$J219-IF($L219="",0,$L219))</f>
        <v/>
      </c>
      <c r="N219" s="19" t="str">
        <f aca="true">IF(OR($A219="",$M219="",$M219&lt;=0),"",TODAY()-$A219)</f>
        <v/>
      </c>
      <c r="O219" s="20" t="str">
        <f aca="false">IF($B219="","",IFERROR(INDEX(차량목록!$D$3:$D$42,MATCH($B219,차량목록!$A$3:$A$42,0)),0))</f>
        <v/>
      </c>
      <c r="P219" s="18" t="str">
        <f aca="false">IF($J219="","",ROUND($J219*$O219,0))</f>
        <v/>
      </c>
    </row>
    <row r="220" customFormat="false" ht="15" hidden="false" customHeight="true" outlineLevel="0" collapsed="false">
      <c r="A220" s="13"/>
      <c r="B220" s="10"/>
      <c r="C220" s="14" t="str">
        <f aca="false">IF($B220="","",IFERROR(INDEX(차량목록!$B$3:$B$42,MATCH($B220,차량목록!$A$3:$A$42,0)),"미등록차량"))</f>
        <v/>
      </c>
      <c r="D220" s="10"/>
      <c r="E220" s="10"/>
      <c r="F220" s="15"/>
      <c r="G220" s="15"/>
      <c r="H220" s="16" t="str">
        <f aca="false">IF(OR($F220="",$G220=""),"",ROUND(IF($G220&lt;1,$G220*24,INT($G220/100)+MOD($G220,100)/60)-IF($F220&lt;1,$F220*24,INT($F220/100)+MOD($F220,100)/60),2))</f>
        <v/>
      </c>
      <c r="I220" s="17"/>
      <c r="J220" s="18" t="str">
        <f aca="false">IF(OR($H220="",$I220=""),"",ROUND($H220*$I220,0))</f>
        <v/>
      </c>
      <c r="K220" s="13"/>
      <c r="L220" s="17"/>
      <c r="M220" s="18" t="str">
        <f aca="false">IF($J220="","",$J220-IF($L220="",0,$L220))</f>
        <v/>
      </c>
      <c r="N220" s="19" t="str">
        <f aca="true">IF(OR($A220="",$M220="",$M220&lt;=0),"",TODAY()-$A220)</f>
        <v/>
      </c>
      <c r="O220" s="20" t="str">
        <f aca="false">IF($B220="","",IFERROR(INDEX(차량목록!$D$3:$D$42,MATCH($B220,차량목록!$A$3:$A$42,0)),0))</f>
        <v/>
      </c>
      <c r="P220" s="18" t="str">
        <f aca="false">IF($J220="","",ROUND($J220*$O220,0))</f>
        <v/>
      </c>
    </row>
    <row r="221" customFormat="false" ht="15" hidden="false" customHeight="true" outlineLevel="0" collapsed="false">
      <c r="A221" s="13"/>
      <c r="B221" s="10"/>
      <c r="C221" s="14" t="str">
        <f aca="false">IF($B221="","",IFERROR(INDEX(차량목록!$B$3:$B$42,MATCH($B221,차량목록!$A$3:$A$42,0)),"미등록차량"))</f>
        <v/>
      </c>
      <c r="D221" s="10"/>
      <c r="E221" s="10"/>
      <c r="F221" s="15"/>
      <c r="G221" s="15"/>
      <c r="H221" s="16" t="str">
        <f aca="false">IF(OR($F221="",$G221=""),"",ROUND(IF($G221&lt;1,$G221*24,INT($G221/100)+MOD($G221,100)/60)-IF($F221&lt;1,$F221*24,INT($F221/100)+MOD($F221,100)/60),2))</f>
        <v/>
      </c>
      <c r="I221" s="17"/>
      <c r="J221" s="18" t="str">
        <f aca="false">IF(OR($H221="",$I221=""),"",ROUND($H221*$I221,0))</f>
        <v/>
      </c>
      <c r="K221" s="13"/>
      <c r="L221" s="17"/>
      <c r="M221" s="18" t="str">
        <f aca="false">IF($J221="","",$J221-IF($L221="",0,$L221))</f>
        <v/>
      </c>
      <c r="N221" s="19" t="str">
        <f aca="true">IF(OR($A221="",$M221="",$M221&lt;=0),"",TODAY()-$A221)</f>
        <v/>
      </c>
      <c r="O221" s="20" t="str">
        <f aca="false">IF($B221="","",IFERROR(INDEX(차량목록!$D$3:$D$42,MATCH($B221,차량목록!$A$3:$A$42,0)),0))</f>
        <v/>
      </c>
      <c r="P221" s="18" t="str">
        <f aca="false">IF($J221="","",ROUND($J221*$O221,0))</f>
        <v/>
      </c>
    </row>
    <row r="222" customFormat="false" ht="15" hidden="false" customHeight="true" outlineLevel="0" collapsed="false">
      <c r="A222" s="13"/>
      <c r="B222" s="10"/>
      <c r="C222" s="14" t="str">
        <f aca="false">IF($B222="","",IFERROR(INDEX(차량목록!$B$3:$B$42,MATCH($B222,차량목록!$A$3:$A$42,0)),"미등록차량"))</f>
        <v/>
      </c>
      <c r="D222" s="10"/>
      <c r="E222" s="10"/>
      <c r="F222" s="15"/>
      <c r="G222" s="15"/>
      <c r="H222" s="16" t="str">
        <f aca="false">IF(OR($F222="",$G222=""),"",ROUND(IF($G222&lt;1,$G222*24,INT($G222/100)+MOD($G222,100)/60)-IF($F222&lt;1,$F222*24,INT($F222/100)+MOD($F222,100)/60),2))</f>
        <v/>
      </c>
      <c r="I222" s="17"/>
      <c r="J222" s="18" t="str">
        <f aca="false">IF(OR($H222="",$I222=""),"",ROUND($H222*$I222,0))</f>
        <v/>
      </c>
      <c r="K222" s="13"/>
      <c r="L222" s="17"/>
      <c r="M222" s="18" t="str">
        <f aca="false">IF($J222="","",$J222-IF($L222="",0,$L222))</f>
        <v/>
      </c>
      <c r="N222" s="19" t="str">
        <f aca="true">IF(OR($A222="",$M222="",$M222&lt;=0),"",TODAY()-$A222)</f>
        <v/>
      </c>
      <c r="O222" s="20" t="str">
        <f aca="false">IF($B222="","",IFERROR(INDEX(차량목록!$D$3:$D$42,MATCH($B222,차량목록!$A$3:$A$42,0)),0))</f>
        <v/>
      </c>
      <c r="P222" s="18" t="str">
        <f aca="false">IF($J222="","",ROUND($J222*$O222,0))</f>
        <v/>
      </c>
    </row>
    <row r="223" customFormat="false" ht="15" hidden="false" customHeight="true" outlineLevel="0" collapsed="false">
      <c r="A223" s="13"/>
      <c r="B223" s="10"/>
      <c r="C223" s="14" t="str">
        <f aca="false">IF($B223="","",IFERROR(INDEX(차량목록!$B$3:$B$42,MATCH($B223,차량목록!$A$3:$A$42,0)),"미등록차량"))</f>
        <v/>
      </c>
      <c r="D223" s="10"/>
      <c r="E223" s="10"/>
      <c r="F223" s="15"/>
      <c r="G223" s="15"/>
      <c r="H223" s="16" t="str">
        <f aca="false">IF(OR($F223="",$G223=""),"",ROUND(IF($G223&lt;1,$G223*24,INT($G223/100)+MOD($G223,100)/60)-IF($F223&lt;1,$F223*24,INT($F223/100)+MOD($F223,100)/60),2))</f>
        <v/>
      </c>
      <c r="I223" s="17"/>
      <c r="J223" s="18" t="str">
        <f aca="false">IF(OR($H223="",$I223=""),"",ROUND($H223*$I223,0))</f>
        <v/>
      </c>
      <c r="K223" s="13"/>
      <c r="L223" s="17"/>
      <c r="M223" s="18" t="str">
        <f aca="false">IF($J223="","",$J223-IF($L223="",0,$L223))</f>
        <v/>
      </c>
      <c r="N223" s="19" t="str">
        <f aca="true">IF(OR($A223="",$M223="",$M223&lt;=0),"",TODAY()-$A223)</f>
        <v/>
      </c>
      <c r="O223" s="20" t="str">
        <f aca="false">IF($B223="","",IFERROR(INDEX(차량목록!$D$3:$D$42,MATCH($B223,차량목록!$A$3:$A$42,0)),0))</f>
        <v/>
      </c>
      <c r="P223" s="18" t="str">
        <f aca="false">IF($J223="","",ROUND($J223*$O223,0))</f>
        <v/>
      </c>
    </row>
    <row r="224" customFormat="false" ht="15" hidden="false" customHeight="true" outlineLevel="0" collapsed="false">
      <c r="A224" s="13"/>
      <c r="B224" s="10"/>
      <c r="C224" s="14" t="str">
        <f aca="false">IF($B224="","",IFERROR(INDEX(차량목록!$B$3:$B$42,MATCH($B224,차량목록!$A$3:$A$42,0)),"미등록차량"))</f>
        <v/>
      </c>
      <c r="D224" s="10"/>
      <c r="E224" s="10"/>
      <c r="F224" s="15"/>
      <c r="G224" s="15"/>
      <c r="H224" s="16" t="str">
        <f aca="false">IF(OR($F224="",$G224=""),"",ROUND(IF($G224&lt;1,$G224*24,INT($G224/100)+MOD($G224,100)/60)-IF($F224&lt;1,$F224*24,INT($F224/100)+MOD($F224,100)/60),2))</f>
        <v/>
      </c>
      <c r="I224" s="17"/>
      <c r="J224" s="18" t="str">
        <f aca="false">IF(OR($H224="",$I224=""),"",ROUND($H224*$I224,0))</f>
        <v/>
      </c>
      <c r="K224" s="13"/>
      <c r="L224" s="17"/>
      <c r="M224" s="18" t="str">
        <f aca="false">IF($J224="","",$J224-IF($L224="",0,$L224))</f>
        <v/>
      </c>
      <c r="N224" s="19" t="str">
        <f aca="true">IF(OR($A224="",$M224="",$M224&lt;=0),"",TODAY()-$A224)</f>
        <v/>
      </c>
      <c r="O224" s="20" t="str">
        <f aca="false">IF($B224="","",IFERROR(INDEX(차량목록!$D$3:$D$42,MATCH($B224,차량목록!$A$3:$A$42,0)),0))</f>
        <v/>
      </c>
      <c r="P224" s="18" t="str">
        <f aca="false">IF($J224="","",ROUND($J224*$O224,0))</f>
        <v/>
      </c>
    </row>
    <row r="225" customFormat="false" ht="15" hidden="false" customHeight="true" outlineLevel="0" collapsed="false">
      <c r="A225" s="13"/>
      <c r="B225" s="10"/>
      <c r="C225" s="14" t="str">
        <f aca="false">IF($B225="","",IFERROR(INDEX(차량목록!$B$3:$B$42,MATCH($B225,차량목록!$A$3:$A$42,0)),"미등록차량"))</f>
        <v/>
      </c>
      <c r="D225" s="10"/>
      <c r="E225" s="10"/>
      <c r="F225" s="15"/>
      <c r="G225" s="15"/>
      <c r="H225" s="16" t="str">
        <f aca="false">IF(OR($F225="",$G225=""),"",ROUND(IF($G225&lt;1,$G225*24,INT($G225/100)+MOD($G225,100)/60)-IF($F225&lt;1,$F225*24,INT($F225/100)+MOD($F225,100)/60),2))</f>
        <v/>
      </c>
      <c r="I225" s="17"/>
      <c r="J225" s="18" t="str">
        <f aca="false">IF(OR($H225="",$I225=""),"",ROUND($H225*$I225,0))</f>
        <v/>
      </c>
      <c r="K225" s="13"/>
      <c r="L225" s="17"/>
      <c r="M225" s="18" t="str">
        <f aca="false">IF($J225="","",$J225-IF($L225="",0,$L225))</f>
        <v/>
      </c>
      <c r="N225" s="19" t="str">
        <f aca="true">IF(OR($A225="",$M225="",$M225&lt;=0),"",TODAY()-$A225)</f>
        <v/>
      </c>
      <c r="O225" s="20" t="str">
        <f aca="false">IF($B225="","",IFERROR(INDEX(차량목록!$D$3:$D$42,MATCH($B225,차량목록!$A$3:$A$42,0)),0))</f>
        <v/>
      </c>
      <c r="P225" s="18" t="str">
        <f aca="false">IF($J225="","",ROUND($J225*$O225,0))</f>
        <v/>
      </c>
    </row>
    <row r="226" customFormat="false" ht="15" hidden="false" customHeight="true" outlineLevel="0" collapsed="false">
      <c r="A226" s="13"/>
      <c r="B226" s="10"/>
      <c r="C226" s="14" t="str">
        <f aca="false">IF($B226="","",IFERROR(INDEX(차량목록!$B$3:$B$42,MATCH($B226,차량목록!$A$3:$A$42,0)),"미등록차량"))</f>
        <v/>
      </c>
      <c r="D226" s="10"/>
      <c r="E226" s="10"/>
      <c r="F226" s="15"/>
      <c r="G226" s="15"/>
      <c r="H226" s="16" t="str">
        <f aca="false">IF(OR($F226="",$G226=""),"",ROUND(IF($G226&lt;1,$G226*24,INT($G226/100)+MOD($G226,100)/60)-IF($F226&lt;1,$F226*24,INT($F226/100)+MOD($F226,100)/60),2))</f>
        <v/>
      </c>
      <c r="I226" s="17"/>
      <c r="J226" s="18" t="str">
        <f aca="false">IF(OR($H226="",$I226=""),"",ROUND($H226*$I226,0))</f>
        <v/>
      </c>
      <c r="K226" s="13"/>
      <c r="L226" s="17"/>
      <c r="M226" s="18" t="str">
        <f aca="false">IF($J226="","",$J226-IF($L226="",0,$L226))</f>
        <v/>
      </c>
      <c r="N226" s="19" t="str">
        <f aca="true">IF(OR($A226="",$M226="",$M226&lt;=0),"",TODAY()-$A226)</f>
        <v/>
      </c>
      <c r="O226" s="20" t="str">
        <f aca="false">IF($B226="","",IFERROR(INDEX(차량목록!$D$3:$D$42,MATCH($B226,차량목록!$A$3:$A$42,0)),0))</f>
        <v/>
      </c>
      <c r="P226" s="18" t="str">
        <f aca="false">IF($J226="","",ROUND($J226*$O226,0))</f>
        <v/>
      </c>
    </row>
    <row r="227" customFormat="false" ht="15" hidden="false" customHeight="true" outlineLevel="0" collapsed="false">
      <c r="A227" s="13"/>
      <c r="B227" s="10"/>
      <c r="C227" s="14" t="str">
        <f aca="false">IF($B227="","",IFERROR(INDEX(차량목록!$B$3:$B$42,MATCH($B227,차량목록!$A$3:$A$42,0)),"미등록차량"))</f>
        <v/>
      </c>
      <c r="D227" s="10"/>
      <c r="E227" s="10"/>
      <c r="F227" s="15"/>
      <c r="G227" s="15"/>
      <c r="H227" s="16" t="str">
        <f aca="false">IF(OR($F227="",$G227=""),"",ROUND(IF($G227&lt;1,$G227*24,INT($G227/100)+MOD($G227,100)/60)-IF($F227&lt;1,$F227*24,INT($F227/100)+MOD($F227,100)/60),2))</f>
        <v/>
      </c>
      <c r="I227" s="17"/>
      <c r="J227" s="18" t="str">
        <f aca="false">IF(OR($H227="",$I227=""),"",ROUND($H227*$I227,0))</f>
        <v/>
      </c>
      <c r="K227" s="13"/>
      <c r="L227" s="17"/>
      <c r="M227" s="18" t="str">
        <f aca="false">IF($J227="","",$J227-IF($L227="",0,$L227))</f>
        <v/>
      </c>
      <c r="N227" s="19" t="str">
        <f aca="true">IF(OR($A227="",$M227="",$M227&lt;=0),"",TODAY()-$A227)</f>
        <v/>
      </c>
      <c r="O227" s="20" t="str">
        <f aca="false">IF($B227="","",IFERROR(INDEX(차량목록!$D$3:$D$42,MATCH($B227,차량목록!$A$3:$A$42,0)),0))</f>
        <v/>
      </c>
      <c r="P227" s="18" t="str">
        <f aca="false">IF($J227="","",ROUND($J227*$O227,0))</f>
        <v/>
      </c>
    </row>
    <row r="228" customFormat="false" ht="15" hidden="false" customHeight="true" outlineLevel="0" collapsed="false">
      <c r="A228" s="13"/>
      <c r="B228" s="10"/>
      <c r="C228" s="14" t="str">
        <f aca="false">IF($B228="","",IFERROR(INDEX(차량목록!$B$3:$B$42,MATCH($B228,차량목록!$A$3:$A$42,0)),"미등록차량"))</f>
        <v/>
      </c>
      <c r="D228" s="10"/>
      <c r="E228" s="10"/>
      <c r="F228" s="15"/>
      <c r="G228" s="15"/>
      <c r="H228" s="16" t="str">
        <f aca="false">IF(OR($F228="",$G228=""),"",ROUND(IF($G228&lt;1,$G228*24,INT($G228/100)+MOD($G228,100)/60)-IF($F228&lt;1,$F228*24,INT($F228/100)+MOD($F228,100)/60),2))</f>
        <v/>
      </c>
      <c r="I228" s="17"/>
      <c r="J228" s="18" t="str">
        <f aca="false">IF(OR($H228="",$I228=""),"",ROUND($H228*$I228,0))</f>
        <v/>
      </c>
      <c r="K228" s="13"/>
      <c r="L228" s="17"/>
      <c r="M228" s="18" t="str">
        <f aca="false">IF($J228="","",$J228-IF($L228="",0,$L228))</f>
        <v/>
      </c>
      <c r="N228" s="19" t="str">
        <f aca="true">IF(OR($A228="",$M228="",$M228&lt;=0),"",TODAY()-$A228)</f>
        <v/>
      </c>
      <c r="O228" s="20" t="str">
        <f aca="false">IF($B228="","",IFERROR(INDEX(차량목록!$D$3:$D$42,MATCH($B228,차량목록!$A$3:$A$42,0)),0))</f>
        <v/>
      </c>
      <c r="P228" s="18" t="str">
        <f aca="false">IF($J228="","",ROUND($J228*$O228,0))</f>
        <v/>
      </c>
    </row>
    <row r="229" customFormat="false" ht="15" hidden="false" customHeight="true" outlineLevel="0" collapsed="false">
      <c r="A229" s="13"/>
      <c r="B229" s="10"/>
      <c r="C229" s="14" t="str">
        <f aca="false">IF($B229="","",IFERROR(INDEX(차량목록!$B$3:$B$42,MATCH($B229,차량목록!$A$3:$A$42,0)),"미등록차량"))</f>
        <v/>
      </c>
      <c r="D229" s="10"/>
      <c r="E229" s="10"/>
      <c r="F229" s="15"/>
      <c r="G229" s="15"/>
      <c r="H229" s="16" t="str">
        <f aca="false">IF(OR($F229="",$G229=""),"",ROUND(IF($G229&lt;1,$G229*24,INT($G229/100)+MOD($G229,100)/60)-IF($F229&lt;1,$F229*24,INT($F229/100)+MOD($F229,100)/60),2))</f>
        <v/>
      </c>
      <c r="I229" s="17"/>
      <c r="J229" s="18" t="str">
        <f aca="false">IF(OR($H229="",$I229=""),"",ROUND($H229*$I229,0))</f>
        <v/>
      </c>
      <c r="K229" s="13"/>
      <c r="L229" s="17"/>
      <c r="M229" s="18" t="str">
        <f aca="false">IF($J229="","",$J229-IF($L229="",0,$L229))</f>
        <v/>
      </c>
      <c r="N229" s="19" t="str">
        <f aca="true">IF(OR($A229="",$M229="",$M229&lt;=0),"",TODAY()-$A229)</f>
        <v/>
      </c>
      <c r="O229" s="20" t="str">
        <f aca="false">IF($B229="","",IFERROR(INDEX(차량목록!$D$3:$D$42,MATCH($B229,차량목록!$A$3:$A$42,0)),0))</f>
        <v/>
      </c>
      <c r="P229" s="18" t="str">
        <f aca="false">IF($J229="","",ROUND($J229*$O229,0))</f>
        <v/>
      </c>
    </row>
    <row r="230" customFormat="false" ht="15" hidden="false" customHeight="true" outlineLevel="0" collapsed="false">
      <c r="A230" s="13"/>
      <c r="B230" s="10"/>
      <c r="C230" s="14" t="str">
        <f aca="false">IF($B230="","",IFERROR(INDEX(차량목록!$B$3:$B$42,MATCH($B230,차량목록!$A$3:$A$42,0)),"미등록차량"))</f>
        <v/>
      </c>
      <c r="D230" s="10"/>
      <c r="E230" s="10"/>
      <c r="F230" s="15"/>
      <c r="G230" s="15"/>
      <c r="H230" s="16" t="str">
        <f aca="false">IF(OR($F230="",$G230=""),"",ROUND(IF($G230&lt;1,$G230*24,INT($G230/100)+MOD($G230,100)/60)-IF($F230&lt;1,$F230*24,INT($F230/100)+MOD($F230,100)/60),2))</f>
        <v/>
      </c>
      <c r="I230" s="17"/>
      <c r="J230" s="18" t="str">
        <f aca="false">IF(OR($H230="",$I230=""),"",ROUND($H230*$I230,0))</f>
        <v/>
      </c>
      <c r="K230" s="13"/>
      <c r="L230" s="17"/>
      <c r="M230" s="18" t="str">
        <f aca="false">IF($J230="","",$J230-IF($L230="",0,$L230))</f>
        <v/>
      </c>
      <c r="N230" s="19" t="str">
        <f aca="true">IF(OR($A230="",$M230="",$M230&lt;=0),"",TODAY()-$A230)</f>
        <v/>
      </c>
      <c r="O230" s="20" t="str">
        <f aca="false">IF($B230="","",IFERROR(INDEX(차량목록!$D$3:$D$42,MATCH($B230,차량목록!$A$3:$A$42,0)),0))</f>
        <v/>
      </c>
      <c r="P230" s="18" t="str">
        <f aca="false">IF($J230="","",ROUND($J230*$O230,0))</f>
        <v/>
      </c>
    </row>
    <row r="231" customFormat="false" ht="15" hidden="false" customHeight="true" outlineLevel="0" collapsed="false">
      <c r="A231" s="13"/>
      <c r="B231" s="10"/>
      <c r="C231" s="14" t="str">
        <f aca="false">IF($B231="","",IFERROR(INDEX(차량목록!$B$3:$B$42,MATCH($B231,차량목록!$A$3:$A$42,0)),"미등록차량"))</f>
        <v/>
      </c>
      <c r="D231" s="10"/>
      <c r="E231" s="10"/>
      <c r="F231" s="15"/>
      <c r="G231" s="15"/>
      <c r="H231" s="16" t="str">
        <f aca="false">IF(OR($F231="",$G231=""),"",ROUND(IF($G231&lt;1,$G231*24,INT($G231/100)+MOD($G231,100)/60)-IF($F231&lt;1,$F231*24,INT($F231/100)+MOD($F231,100)/60),2))</f>
        <v/>
      </c>
      <c r="I231" s="17"/>
      <c r="J231" s="18" t="str">
        <f aca="false">IF(OR($H231="",$I231=""),"",ROUND($H231*$I231,0))</f>
        <v/>
      </c>
      <c r="K231" s="13"/>
      <c r="L231" s="17"/>
      <c r="M231" s="18" t="str">
        <f aca="false">IF($J231="","",$J231-IF($L231="",0,$L231))</f>
        <v/>
      </c>
      <c r="N231" s="19" t="str">
        <f aca="true">IF(OR($A231="",$M231="",$M231&lt;=0),"",TODAY()-$A231)</f>
        <v/>
      </c>
      <c r="O231" s="20" t="str">
        <f aca="false">IF($B231="","",IFERROR(INDEX(차량목록!$D$3:$D$42,MATCH($B231,차량목록!$A$3:$A$42,0)),0))</f>
        <v/>
      </c>
      <c r="P231" s="18" t="str">
        <f aca="false">IF($J231="","",ROUND($J231*$O231,0))</f>
        <v/>
      </c>
    </row>
    <row r="232" customFormat="false" ht="15" hidden="false" customHeight="true" outlineLevel="0" collapsed="false">
      <c r="A232" s="13"/>
      <c r="B232" s="10"/>
      <c r="C232" s="14" t="str">
        <f aca="false">IF($B232="","",IFERROR(INDEX(차량목록!$B$3:$B$42,MATCH($B232,차량목록!$A$3:$A$42,0)),"미등록차량"))</f>
        <v/>
      </c>
      <c r="D232" s="10"/>
      <c r="E232" s="10"/>
      <c r="F232" s="15"/>
      <c r="G232" s="15"/>
      <c r="H232" s="16" t="str">
        <f aca="false">IF(OR($F232="",$G232=""),"",ROUND(IF($G232&lt;1,$G232*24,INT($G232/100)+MOD($G232,100)/60)-IF($F232&lt;1,$F232*24,INT($F232/100)+MOD($F232,100)/60),2))</f>
        <v/>
      </c>
      <c r="I232" s="17"/>
      <c r="J232" s="18" t="str">
        <f aca="false">IF(OR($H232="",$I232=""),"",ROUND($H232*$I232,0))</f>
        <v/>
      </c>
      <c r="K232" s="13"/>
      <c r="L232" s="17"/>
      <c r="M232" s="18" t="str">
        <f aca="false">IF($J232="","",$J232-IF($L232="",0,$L232))</f>
        <v/>
      </c>
      <c r="N232" s="19" t="str">
        <f aca="true">IF(OR($A232="",$M232="",$M232&lt;=0),"",TODAY()-$A232)</f>
        <v/>
      </c>
      <c r="O232" s="20" t="str">
        <f aca="false">IF($B232="","",IFERROR(INDEX(차량목록!$D$3:$D$42,MATCH($B232,차량목록!$A$3:$A$42,0)),0))</f>
        <v/>
      </c>
      <c r="P232" s="18" t="str">
        <f aca="false">IF($J232="","",ROUND($J232*$O232,0))</f>
        <v/>
      </c>
    </row>
    <row r="233" customFormat="false" ht="15" hidden="false" customHeight="true" outlineLevel="0" collapsed="false">
      <c r="A233" s="13"/>
      <c r="B233" s="10"/>
      <c r="C233" s="14" t="str">
        <f aca="false">IF($B233="","",IFERROR(INDEX(차량목록!$B$3:$B$42,MATCH($B233,차량목록!$A$3:$A$42,0)),"미등록차량"))</f>
        <v/>
      </c>
      <c r="D233" s="10"/>
      <c r="E233" s="10"/>
      <c r="F233" s="15"/>
      <c r="G233" s="15"/>
      <c r="H233" s="16" t="str">
        <f aca="false">IF(OR($F233="",$G233=""),"",ROUND(IF($G233&lt;1,$G233*24,INT($G233/100)+MOD($G233,100)/60)-IF($F233&lt;1,$F233*24,INT($F233/100)+MOD($F233,100)/60),2))</f>
        <v/>
      </c>
      <c r="I233" s="17"/>
      <c r="J233" s="18" t="str">
        <f aca="false">IF(OR($H233="",$I233=""),"",ROUND($H233*$I233,0))</f>
        <v/>
      </c>
      <c r="K233" s="13"/>
      <c r="L233" s="17"/>
      <c r="M233" s="18" t="str">
        <f aca="false">IF($J233="","",$J233-IF($L233="",0,$L233))</f>
        <v/>
      </c>
      <c r="N233" s="19" t="str">
        <f aca="true">IF(OR($A233="",$M233="",$M233&lt;=0),"",TODAY()-$A233)</f>
        <v/>
      </c>
      <c r="O233" s="20" t="str">
        <f aca="false">IF($B233="","",IFERROR(INDEX(차량목록!$D$3:$D$42,MATCH($B233,차량목록!$A$3:$A$42,0)),0))</f>
        <v/>
      </c>
      <c r="P233" s="18" t="str">
        <f aca="false">IF($J233="","",ROUND($J233*$O233,0))</f>
        <v/>
      </c>
    </row>
    <row r="234" customFormat="false" ht="15" hidden="false" customHeight="true" outlineLevel="0" collapsed="false">
      <c r="A234" s="13"/>
      <c r="B234" s="10"/>
      <c r="C234" s="14" t="str">
        <f aca="false">IF($B234="","",IFERROR(INDEX(차량목록!$B$3:$B$42,MATCH($B234,차량목록!$A$3:$A$42,0)),"미등록차량"))</f>
        <v/>
      </c>
      <c r="D234" s="10"/>
      <c r="E234" s="10"/>
      <c r="F234" s="15"/>
      <c r="G234" s="15"/>
      <c r="H234" s="16" t="str">
        <f aca="false">IF(OR($F234="",$G234=""),"",ROUND(IF($G234&lt;1,$G234*24,INT($G234/100)+MOD($G234,100)/60)-IF($F234&lt;1,$F234*24,INT($F234/100)+MOD($F234,100)/60),2))</f>
        <v/>
      </c>
      <c r="I234" s="17"/>
      <c r="J234" s="18" t="str">
        <f aca="false">IF(OR($H234="",$I234=""),"",ROUND($H234*$I234,0))</f>
        <v/>
      </c>
      <c r="K234" s="13"/>
      <c r="L234" s="17"/>
      <c r="M234" s="18" t="str">
        <f aca="false">IF($J234="","",$J234-IF($L234="",0,$L234))</f>
        <v/>
      </c>
      <c r="N234" s="19" t="str">
        <f aca="true">IF(OR($A234="",$M234="",$M234&lt;=0),"",TODAY()-$A234)</f>
        <v/>
      </c>
      <c r="O234" s="20" t="str">
        <f aca="false">IF($B234="","",IFERROR(INDEX(차량목록!$D$3:$D$42,MATCH($B234,차량목록!$A$3:$A$42,0)),0))</f>
        <v/>
      </c>
      <c r="P234" s="18" t="str">
        <f aca="false">IF($J234="","",ROUND($J234*$O234,0))</f>
        <v/>
      </c>
    </row>
    <row r="235" customFormat="false" ht="15" hidden="false" customHeight="true" outlineLevel="0" collapsed="false">
      <c r="A235" s="13"/>
      <c r="B235" s="10"/>
      <c r="C235" s="14" t="str">
        <f aca="false">IF($B235="","",IFERROR(INDEX(차량목록!$B$3:$B$42,MATCH($B235,차량목록!$A$3:$A$42,0)),"미등록차량"))</f>
        <v/>
      </c>
      <c r="D235" s="10"/>
      <c r="E235" s="10"/>
      <c r="F235" s="15"/>
      <c r="G235" s="15"/>
      <c r="H235" s="16" t="str">
        <f aca="false">IF(OR($F235="",$G235=""),"",ROUND(IF($G235&lt;1,$G235*24,INT($G235/100)+MOD($G235,100)/60)-IF($F235&lt;1,$F235*24,INT($F235/100)+MOD($F235,100)/60),2))</f>
        <v/>
      </c>
      <c r="I235" s="17"/>
      <c r="J235" s="18" t="str">
        <f aca="false">IF(OR($H235="",$I235=""),"",ROUND($H235*$I235,0))</f>
        <v/>
      </c>
      <c r="K235" s="13"/>
      <c r="L235" s="17"/>
      <c r="M235" s="18" t="str">
        <f aca="false">IF($J235="","",$J235-IF($L235="",0,$L235))</f>
        <v/>
      </c>
      <c r="N235" s="19" t="str">
        <f aca="true">IF(OR($A235="",$M235="",$M235&lt;=0),"",TODAY()-$A235)</f>
        <v/>
      </c>
      <c r="O235" s="20" t="str">
        <f aca="false">IF($B235="","",IFERROR(INDEX(차량목록!$D$3:$D$42,MATCH($B235,차량목록!$A$3:$A$42,0)),0))</f>
        <v/>
      </c>
      <c r="P235" s="18" t="str">
        <f aca="false">IF($J235="","",ROUND($J235*$O235,0))</f>
        <v/>
      </c>
    </row>
    <row r="236" customFormat="false" ht="15" hidden="false" customHeight="true" outlineLevel="0" collapsed="false">
      <c r="A236" s="13"/>
      <c r="B236" s="10"/>
      <c r="C236" s="14" t="str">
        <f aca="false">IF($B236="","",IFERROR(INDEX(차량목록!$B$3:$B$42,MATCH($B236,차량목록!$A$3:$A$42,0)),"미등록차량"))</f>
        <v/>
      </c>
      <c r="D236" s="10"/>
      <c r="E236" s="10"/>
      <c r="F236" s="15"/>
      <c r="G236" s="15"/>
      <c r="H236" s="16" t="str">
        <f aca="false">IF(OR($F236="",$G236=""),"",ROUND(IF($G236&lt;1,$G236*24,INT($G236/100)+MOD($G236,100)/60)-IF($F236&lt;1,$F236*24,INT($F236/100)+MOD($F236,100)/60),2))</f>
        <v/>
      </c>
      <c r="I236" s="17"/>
      <c r="J236" s="18" t="str">
        <f aca="false">IF(OR($H236="",$I236=""),"",ROUND($H236*$I236,0))</f>
        <v/>
      </c>
      <c r="K236" s="13"/>
      <c r="L236" s="17"/>
      <c r="M236" s="18" t="str">
        <f aca="false">IF($J236="","",$J236-IF($L236="",0,$L236))</f>
        <v/>
      </c>
      <c r="N236" s="19" t="str">
        <f aca="true">IF(OR($A236="",$M236="",$M236&lt;=0),"",TODAY()-$A236)</f>
        <v/>
      </c>
      <c r="O236" s="20" t="str">
        <f aca="false">IF($B236="","",IFERROR(INDEX(차량목록!$D$3:$D$42,MATCH($B236,차량목록!$A$3:$A$42,0)),0))</f>
        <v/>
      </c>
      <c r="P236" s="18" t="str">
        <f aca="false">IF($J236="","",ROUND($J236*$O236,0))</f>
        <v/>
      </c>
    </row>
    <row r="237" customFormat="false" ht="15" hidden="false" customHeight="true" outlineLevel="0" collapsed="false">
      <c r="A237" s="13"/>
      <c r="B237" s="10"/>
      <c r="C237" s="14" t="str">
        <f aca="false">IF($B237="","",IFERROR(INDEX(차량목록!$B$3:$B$42,MATCH($B237,차량목록!$A$3:$A$42,0)),"미등록차량"))</f>
        <v/>
      </c>
      <c r="D237" s="10"/>
      <c r="E237" s="10"/>
      <c r="F237" s="15"/>
      <c r="G237" s="15"/>
      <c r="H237" s="16" t="str">
        <f aca="false">IF(OR($F237="",$G237=""),"",ROUND(IF($G237&lt;1,$G237*24,INT($G237/100)+MOD($G237,100)/60)-IF($F237&lt;1,$F237*24,INT($F237/100)+MOD($F237,100)/60),2))</f>
        <v/>
      </c>
      <c r="I237" s="17"/>
      <c r="J237" s="18" t="str">
        <f aca="false">IF(OR($H237="",$I237=""),"",ROUND($H237*$I237,0))</f>
        <v/>
      </c>
      <c r="K237" s="13"/>
      <c r="L237" s="17"/>
      <c r="M237" s="18" t="str">
        <f aca="false">IF($J237="","",$J237-IF($L237="",0,$L237))</f>
        <v/>
      </c>
      <c r="N237" s="19" t="str">
        <f aca="true">IF(OR($A237="",$M237="",$M237&lt;=0),"",TODAY()-$A237)</f>
        <v/>
      </c>
      <c r="O237" s="20" t="str">
        <f aca="false">IF($B237="","",IFERROR(INDEX(차량목록!$D$3:$D$42,MATCH($B237,차량목록!$A$3:$A$42,0)),0))</f>
        <v/>
      </c>
      <c r="P237" s="18" t="str">
        <f aca="false">IF($J237="","",ROUND($J237*$O237,0))</f>
        <v/>
      </c>
    </row>
    <row r="238" customFormat="false" ht="15" hidden="false" customHeight="true" outlineLevel="0" collapsed="false">
      <c r="A238" s="13"/>
      <c r="B238" s="10"/>
      <c r="C238" s="14" t="str">
        <f aca="false">IF($B238="","",IFERROR(INDEX(차량목록!$B$3:$B$42,MATCH($B238,차량목록!$A$3:$A$42,0)),"미등록차량"))</f>
        <v/>
      </c>
      <c r="D238" s="10"/>
      <c r="E238" s="10"/>
      <c r="F238" s="15"/>
      <c r="G238" s="15"/>
      <c r="H238" s="16" t="str">
        <f aca="false">IF(OR($F238="",$G238=""),"",ROUND(IF($G238&lt;1,$G238*24,INT($G238/100)+MOD($G238,100)/60)-IF($F238&lt;1,$F238*24,INT($F238/100)+MOD($F238,100)/60),2))</f>
        <v/>
      </c>
      <c r="I238" s="17"/>
      <c r="J238" s="18" t="str">
        <f aca="false">IF(OR($H238="",$I238=""),"",ROUND($H238*$I238,0))</f>
        <v/>
      </c>
      <c r="K238" s="13"/>
      <c r="L238" s="17"/>
      <c r="M238" s="18" t="str">
        <f aca="false">IF($J238="","",$J238-IF($L238="",0,$L238))</f>
        <v/>
      </c>
      <c r="N238" s="19" t="str">
        <f aca="true">IF(OR($A238="",$M238="",$M238&lt;=0),"",TODAY()-$A238)</f>
        <v/>
      </c>
      <c r="O238" s="20" t="str">
        <f aca="false">IF($B238="","",IFERROR(INDEX(차량목록!$D$3:$D$42,MATCH($B238,차량목록!$A$3:$A$42,0)),0))</f>
        <v/>
      </c>
      <c r="P238" s="18" t="str">
        <f aca="false">IF($J238="","",ROUND($J238*$O238,0))</f>
        <v/>
      </c>
    </row>
    <row r="239" customFormat="false" ht="15" hidden="false" customHeight="true" outlineLevel="0" collapsed="false">
      <c r="A239" s="13"/>
      <c r="B239" s="10"/>
      <c r="C239" s="14" t="str">
        <f aca="false">IF($B239="","",IFERROR(INDEX(차량목록!$B$3:$B$42,MATCH($B239,차량목록!$A$3:$A$42,0)),"미등록차량"))</f>
        <v/>
      </c>
      <c r="D239" s="10"/>
      <c r="E239" s="10"/>
      <c r="F239" s="15"/>
      <c r="G239" s="15"/>
      <c r="H239" s="16" t="str">
        <f aca="false">IF(OR($F239="",$G239=""),"",ROUND(IF($G239&lt;1,$G239*24,INT($G239/100)+MOD($G239,100)/60)-IF($F239&lt;1,$F239*24,INT($F239/100)+MOD($F239,100)/60),2))</f>
        <v/>
      </c>
      <c r="I239" s="17"/>
      <c r="J239" s="18" t="str">
        <f aca="false">IF(OR($H239="",$I239=""),"",ROUND($H239*$I239,0))</f>
        <v/>
      </c>
      <c r="K239" s="13"/>
      <c r="L239" s="17"/>
      <c r="M239" s="18" t="str">
        <f aca="false">IF($J239="","",$J239-IF($L239="",0,$L239))</f>
        <v/>
      </c>
      <c r="N239" s="19" t="str">
        <f aca="true">IF(OR($A239="",$M239="",$M239&lt;=0),"",TODAY()-$A239)</f>
        <v/>
      </c>
      <c r="O239" s="20" t="str">
        <f aca="false">IF($B239="","",IFERROR(INDEX(차량목록!$D$3:$D$42,MATCH($B239,차량목록!$A$3:$A$42,0)),0))</f>
        <v/>
      </c>
      <c r="P239" s="18" t="str">
        <f aca="false">IF($J239="","",ROUND($J239*$O239,0))</f>
        <v/>
      </c>
    </row>
    <row r="240" customFormat="false" ht="15" hidden="false" customHeight="true" outlineLevel="0" collapsed="false">
      <c r="A240" s="13"/>
      <c r="B240" s="10"/>
      <c r="C240" s="14" t="str">
        <f aca="false">IF($B240="","",IFERROR(INDEX(차량목록!$B$3:$B$42,MATCH($B240,차량목록!$A$3:$A$42,0)),"미등록차량"))</f>
        <v/>
      </c>
      <c r="D240" s="10"/>
      <c r="E240" s="10"/>
      <c r="F240" s="15"/>
      <c r="G240" s="15"/>
      <c r="H240" s="16" t="str">
        <f aca="false">IF(OR($F240="",$G240=""),"",ROUND(IF($G240&lt;1,$G240*24,INT($G240/100)+MOD($G240,100)/60)-IF($F240&lt;1,$F240*24,INT($F240/100)+MOD($F240,100)/60),2))</f>
        <v/>
      </c>
      <c r="I240" s="17"/>
      <c r="J240" s="18" t="str">
        <f aca="false">IF(OR($H240="",$I240=""),"",ROUND($H240*$I240,0))</f>
        <v/>
      </c>
      <c r="K240" s="13"/>
      <c r="L240" s="17"/>
      <c r="M240" s="18" t="str">
        <f aca="false">IF($J240="","",$J240-IF($L240="",0,$L240))</f>
        <v/>
      </c>
      <c r="N240" s="19" t="str">
        <f aca="true">IF(OR($A240="",$M240="",$M240&lt;=0),"",TODAY()-$A240)</f>
        <v/>
      </c>
      <c r="O240" s="20" t="str">
        <f aca="false">IF($B240="","",IFERROR(INDEX(차량목록!$D$3:$D$42,MATCH($B240,차량목록!$A$3:$A$42,0)),0))</f>
        <v/>
      </c>
      <c r="P240" s="18" t="str">
        <f aca="false">IF($J240="","",ROUND($J240*$O240,0))</f>
        <v/>
      </c>
    </row>
    <row r="241" customFormat="false" ht="15" hidden="false" customHeight="true" outlineLevel="0" collapsed="false">
      <c r="A241" s="13"/>
      <c r="B241" s="10"/>
      <c r="C241" s="14" t="str">
        <f aca="false">IF($B241="","",IFERROR(INDEX(차량목록!$B$3:$B$42,MATCH($B241,차량목록!$A$3:$A$42,0)),"미등록차량"))</f>
        <v/>
      </c>
      <c r="D241" s="10"/>
      <c r="E241" s="10"/>
      <c r="F241" s="15"/>
      <c r="G241" s="15"/>
      <c r="H241" s="16" t="str">
        <f aca="false">IF(OR($F241="",$G241=""),"",ROUND(IF($G241&lt;1,$G241*24,INT($G241/100)+MOD($G241,100)/60)-IF($F241&lt;1,$F241*24,INT($F241/100)+MOD($F241,100)/60),2))</f>
        <v/>
      </c>
      <c r="I241" s="17"/>
      <c r="J241" s="18" t="str">
        <f aca="false">IF(OR($H241="",$I241=""),"",ROUND($H241*$I241,0))</f>
        <v/>
      </c>
      <c r="K241" s="13"/>
      <c r="L241" s="17"/>
      <c r="M241" s="18" t="str">
        <f aca="false">IF($J241="","",$J241-IF($L241="",0,$L241))</f>
        <v/>
      </c>
      <c r="N241" s="19" t="str">
        <f aca="true">IF(OR($A241="",$M241="",$M241&lt;=0),"",TODAY()-$A241)</f>
        <v/>
      </c>
      <c r="O241" s="20" t="str">
        <f aca="false">IF($B241="","",IFERROR(INDEX(차량목록!$D$3:$D$42,MATCH($B241,차량목록!$A$3:$A$42,0)),0))</f>
        <v/>
      </c>
      <c r="P241" s="18" t="str">
        <f aca="false">IF($J241="","",ROUND($J241*$O241,0))</f>
        <v/>
      </c>
    </row>
    <row r="242" customFormat="false" ht="15" hidden="false" customHeight="true" outlineLevel="0" collapsed="false">
      <c r="A242" s="13"/>
      <c r="B242" s="10"/>
      <c r="C242" s="14" t="str">
        <f aca="false">IF($B242="","",IFERROR(INDEX(차량목록!$B$3:$B$42,MATCH($B242,차량목록!$A$3:$A$42,0)),"미등록차량"))</f>
        <v/>
      </c>
      <c r="D242" s="10"/>
      <c r="E242" s="10"/>
      <c r="F242" s="15"/>
      <c r="G242" s="15"/>
      <c r="H242" s="16" t="str">
        <f aca="false">IF(OR($F242="",$G242=""),"",ROUND(IF($G242&lt;1,$G242*24,INT($G242/100)+MOD($G242,100)/60)-IF($F242&lt;1,$F242*24,INT($F242/100)+MOD($F242,100)/60),2))</f>
        <v/>
      </c>
      <c r="I242" s="17"/>
      <c r="J242" s="18" t="str">
        <f aca="false">IF(OR($H242="",$I242=""),"",ROUND($H242*$I242,0))</f>
        <v/>
      </c>
      <c r="K242" s="13"/>
      <c r="L242" s="17"/>
      <c r="M242" s="18" t="str">
        <f aca="false">IF($J242="","",$J242-IF($L242="",0,$L242))</f>
        <v/>
      </c>
      <c r="N242" s="19" t="str">
        <f aca="true">IF(OR($A242="",$M242="",$M242&lt;=0),"",TODAY()-$A242)</f>
        <v/>
      </c>
      <c r="O242" s="20" t="str">
        <f aca="false">IF($B242="","",IFERROR(INDEX(차량목록!$D$3:$D$42,MATCH($B242,차량목록!$A$3:$A$42,0)),0))</f>
        <v/>
      </c>
      <c r="P242" s="18" t="str">
        <f aca="false">IF($J242="","",ROUND($J242*$O242,0))</f>
        <v/>
      </c>
    </row>
    <row r="243" customFormat="false" ht="15" hidden="false" customHeight="true" outlineLevel="0" collapsed="false">
      <c r="A243" s="13"/>
      <c r="B243" s="10"/>
      <c r="C243" s="14" t="str">
        <f aca="false">IF($B243="","",IFERROR(INDEX(차량목록!$B$3:$B$42,MATCH($B243,차량목록!$A$3:$A$42,0)),"미등록차량"))</f>
        <v/>
      </c>
      <c r="D243" s="10"/>
      <c r="E243" s="10"/>
      <c r="F243" s="15"/>
      <c r="G243" s="15"/>
      <c r="H243" s="16" t="str">
        <f aca="false">IF(OR($F243="",$G243=""),"",ROUND(IF($G243&lt;1,$G243*24,INT($G243/100)+MOD($G243,100)/60)-IF($F243&lt;1,$F243*24,INT($F243/100)+MOD($F243,100)/60),2))</f>
        <v/>
      </c>
      <c r="I243" s="17"/>
      <c r="J243" s="18" t="str">
        <f aca="false">IF(OR($H243="",$I243=""),"",ROUND($H243*$I243,0))</f>
        <v/>
      </c>
      <c r="K243" s="13"/>
      <c r="L243" s="17"/>
      <c r="M243" s="18" t="str">
        <f aca="false">IF($J243="","",$J243-IF($L243="",0,$L243))</f>
        <v/>
      </c>
      <c r="N243" s="19" t="str">
        <f aca="true">IF(OR($A243="",$M243="",$M243&lt;=0),"",TODAY()-$A243)</f>
        <v/>
      </c>
      <c r="O243" s="20" t="str">
        <f aca="false">IF($B243="","",IFERROR(INDEX(차량목록!$D$3:$D$42,MATCH($B243,차량목록!$A$3:$A$42,0)),0))</f>
        <v/>
      </c>
      <c r="P243" s="18" t="str">
        <f aca="false">IF($J243="","",ROUND($J243*$O243,0))</f>
        <v/>
      </c>
    </row>
    <row r="244" customFormat="false" ht="15" hidden="false" customHeight="true" outlineLevel="0" collapsed="false">
      <c r="A244" s="13"/>
      <c r="B244" s="10"/>
      <c r="C244" s="14" t="str">
        <f aca="false">IF($B244="","",IFERROR(INDEX(차량목록!$B$3:$B$42,MATCH($B244,차량목록!$A$3:$A$42,0)),"미등록차량"))</f>
        <v/>
      </c>
      <c r="D244" s="10"/>
      <c r="E244" s="10"/>
      <c r="F244" s="15"/>
      <c r="G244" s="15"/>
      <c r="H244" s="16" t="str">
        <f aca="false">IF(OR($F244="",$G244=""),"",ROUND(IF($G244&lt;1,$G244*24,INT($G244/100)+MOD($G244,100)/60)-IF($F244&lt;1,$F244*24,INT($F244/100)+MOD($F244,100)/60),2))</f>
        <v/>
      </c>
      <c r="I244" s="17"/>
      <c r="J244" s="18" t="str">
        <f aca="false">IF(OR($H244="",$I244=""),"",ROUND($H244*$I244,0))</f>
        <v/>
      </c>
      <c r="K244" s="13"/>
      <c r="L244" s="17"/>
      <c r="M244" s="18" t="str">
        <f aca="false">IF($J244="","",$J244-IF($L244="",0,$L244))</f>
        <v/>
      </c>
      <c r="N244" s="19" t="str">
        <f aca="true">IF(OR($A244="",$M244="",$M244&lt;=0),"",TODAY()-$A244)</f>
        <v/>
      </c>
      <c r="O244" s="20" t="str">
        <f aca="false">IF($B244="","",IFERROR(INDEX(차량목록!$D$3:$D$42,MATCH($B244,차량목록!$A$3:$A$42,0)),0))</f>
        <v/>
      </c>
      <c r="P244" s="18" t="str">
        <f aca="false">IF($J244="","",ROUND($J244*$O244,0))</f>
        <v/>
      </c>
    </row>
    <row r="245" customFormat="false" ht="15" hidden="false" customHeight="true" outlineLevel="0" collapsed="false">
      <c r="A245" s="13"/>
      <c r="B245" s="10"/>
      <c r="C245" s="14" t="str">
        <f aca="false">IF($B245="","",IFERROR(INDEX(차량목록!$B$3:$B$42,MATCH($B245,차량목록!$A$3:$A$42,0)),"미등록차량"))</f>
        <v/>
      </c>
      <c r="D245" s="10"/>
      <c r="E245" s="10"/>
      <c r="F245" s="15"/>
      <c r="G245" s="15"/>
      <c r="H245" s="16" t="str">
        <f aca="false">IF(OR($F245="",$G245=""),"",ROUND(IF($G245&lt;1,$G245*24,INT($G245/100)+MOD($G245,100)/60)-IF($F245&lt;1,$F245*24,INT($F245/100)+MOD($F245,100)/60),2))</f>
        <v/>
      </c>
      <c r="I245" s="17"/>
      <c r="J245" s="18" t="str">
        <f aca="false">IF(OR($H245="",$I245=""),"",ROUND($H245*$I245,0))</f>
        <v/>
      </c>
      <c r="K245" s="13"/>
      <c r="L245" s="17"/>
      <c r="M245" s="18" t="str">
        <f aca="false">IF($J245="","",$J245-IF($L245="",0,$L245))</f>
        <v/>
      </c>
      <c r="N245" s="19" t="str">
        <f aca="true">IF(OR($A245="",$M245="",$M245&lt;=0),"",TODAY()-$A245)</f>
        <v/>
      </c>
      <c r="O245" s="20" t="str">
        <f aca="false">IF($B245="","",IFERROR(INDEX(차량목록!$D$3:$D$42,MATCH($B245,차량목록!$A$3:$A$42,0)),0))</f>
        <v/>
      </c>
      <c r="P245" s="18" t="str">
        <f aca="false">IF($J245="","",ROUND($J245*$O245,0))</f>
        <v/>
      </c>
    </row>
    <row r="246" customFormat="false" ht="15" hidden="false" customHeight="true" outlineLevel="0" collapsed="false">
      <c r="A246" s="13"/>
      <c r="B246" s="10"/>
      <c r="C246" s="14" t="str">
        <f aca="false">IF($B246="","",IFERROR(INDEX(차량목록!$B$3:$B$42,MATCH($B246,차량목록!$A$3:$A$42,0)),"미등록차량"))</f>
        <v/>
      </c>
      <c r="D246" s="10"/>
      <c r="E246" s="10"/>
      <c r="F246" s="15"/>
      <c r="G246" s="15"/>
      <c r="H246" s="16" t="str">
        <f aca="false">IF(OR($F246="",$G246=""),"",ROUND(IF($G246&lt;1,$G246*24,INT($G246/100)+MOD($G246,100)/60)-IF($F246&lt;1,$F246*24,INT($F246/100)+MOD($F246,100)/60),2))</f>
        <v/>
      </c>
      <c r="I246" s="17"/>
      <c r="J246" s="18" t="str">
        <f aca="false">IF(OR($H246="",$I246=""),"",ROUND($H246*$I246,0))</f>
        <v/>
      </c>
      <c r="K246" s="13"/>
      <c r="L246" s="17"/>
      <c r="M246" s="18" t="str">
        <f aca="false">IF($J246="","",$J246-IF($L246="",0,$L246))</f>
        <v/>
      </c>
      <c r="N246" s="19" t="str">
        <f aca="true">IF(OR($A246="",$M246="",$M246&lt;=0),"",TODAY()-$A246)</f>
        <v/>
      </c>
      <c r="O246" s="20" t="str">
        <f aca="false">IF($B246="","",IFERROR(INDEX(차량목록!$D$3:$D$42,MATCH($B246,차량목록!$A$3:$A$42,0)),0))</f>
        <v/>
      </c>
      <c r="P246" s="18" t="str">
        <f aca="false">IF($J246="","",ROUND($J246*$O246,0))</f>
        <v/>
      </c>
    </row>
    <row r="247" customFormat="false" ht="15" hidden="false" customHeight="true" outlineLevel="0" collapsed="false">
      <c r="A247" s="13"/>
      <c r="B247" s="10"/>
      <c r="C247" s="14" t="str">
        <f aca="false">IF($B247="","",IFERROR(INDEX(차량목록!$B$3:$B$42,MATCH($B247,차량목록!$A$3:$A$42,0)),"미등록차량"))</f>
        <v/>
      </c>
      <c r="D247" s="10"/>
      <c r="E247" s="10"/>
      <c r="F247" s="15"/>
      <c r="G247" s="15"/>
      <c r="H247" s="16" t="str">
        <f aca="false">IF(OR($F247="",$G247=""),"",ROUND(IF($G247&lt;1,$G247*24,INT($G247/100)+MOD($G247,100)/60)-IF($F247&lt;1,$F247*24,INT($F247/100)+MOD($F247,100)/60),2))</f>
        <v/>
      </c>
      <c r="I247" s="17"/>
      <c r="J247" s="18" t="str">
        <f aca="false">IF(OR($H247="",$I247=""),"",ROUND($H247*$I247,0))</f>
        <v/>
      </c>
      <c r="K247" s="13"/>
      <c r="L247" s="17"/>
      <c r="M247" s="18" t="str">
        <f aca="false">IF($J247="","",$J247-IF($L247="",0,$L247))</f>
        <v/>
      </c>
      <c r="N247" s="19" t="str">
        <f aca="true">IF(OR($A247="",$M247="",$M247&lt;=0),"",TODAY()-$A247)</f>
        <v/>
      </c>
      <c r="O247" s="20" t="str">
        <f aca="false">IF($B247="","",IFERROR(INDEX(차량목록!$D$3:$D$42,MATCH($B247,차량목록!$A$3:$A$42,0)),0))</f>
        <v/>
      </c>
      <c r="P247" s="18" t="str">
        <f aca="false">IF($J247="","",ROUND($J247*$O247,0))</f>
        <v/>
      </c>
    </row>
    <row r="248" customFormat="false" ht="15" hidden="false" customHeight="true" outlineLevel="0" collapsed="false">
      <c r="A248" s="13"/>
      <c r="B248" s="10"/>
      <c r="C248" s="14" t="str">
        <f aca="false">IF($B248="","",IFERROR(INDEX(차량목록!$B$3:$B$42,MATCH($B248,차량목록!$A$3:$A$42,0)),"미등록차량"))</f>
        <v/>
      </c>
      <c r="D248" s="10"/>
      <c r="E248" s="10"/>
      <c r="F248" s="15"/>
      <c r="G248" s="15"/>
      <c r="H248" s="16" t="str">
        <f aca="false">IF(OR($F248="",$G248=""),"",ROUND(IF($G248&lt;1,$G248*24,INT($G248/100)+MOD($G248,100)/60)-IF($F248&lt;1,$F248*24,INT($F248/100)+MOD($F248,100)/60),2))</f>
        <v/>
      </c>
      <c r="I248" s="17"/>
      <c r="J248" s="18" t="str">
        <f aca="false">IF(OR($H248="",$I248=""),"",ROUND($H248*$I248,0))</f>
        <v/>
      </c>
      <c r="K248" s="13"/>
      <c r="L248" s="17"/>
      <c r="M248" s="18" t="str">
        <f aca="false">IF($J248="","",$J248-IF($L248="",0,$L248))</f>
        <v/>
      </c>
      <c r="N248" s="19" t="str">
        <f aca="true">IF(OR($A248="",$M248="",$M248&lt;=0),"",TODAY()-$A248)</f>
        <v/>
      </c>
      <c r="O248" s="20" t="str">
        <f aca="false">IF($B248="","",IFERROR(INDEX(차량목록!$D$3:$D$42,MATCH($B248,차량목록!$A$3:$A$42,0)),0))</f>
        <v/>
      </c>
      <c r="P248" s="18" t="str">
        <f aca="false">IF($J248="","",ROUND($J248*$O248,0))</f>
        <v/>
      </c>
    </row>
    <row r="249" customFormat="false" ht="15" hidden="false" customHeight="true" outlineLevel="0" collapsed="false">
      <c r="A249" s="13"/>
      <c r="B249" s="10"/>
      <c r="C249" s="14" t="str">
        <f aca="false">IF($B249="","",IFERROR(INDEX(차량목록!$B$3:$B$42,MATCH($B249,차량목록!$A$3:$A$42,0)),"미등록차량"))</f>
        <v/>
      </c>
      <c r="D249" s="10"/>
      <c r="E249" s="10"/>
      <c r="F249" s="15"/>
      <c r="G249" s="15"/>
      <c r="H249" s="16" t="str">
        <f aca="false">IF(OR($F249="",$G249=""),"",ROUND(IF($G249&lt;1,$G249*24,INT($G249/100)+MOD($G249,100)/60)-IF($F249&lt;1,$F249*24,INT($F249/100)+MOD($F249,100)/60),2))</f>
        <v/>
      </c>
      <c r="I249" s="17"/>
      <c r="J249" s="18" t="str">
        <f aca="false">IF(OR($H249="",$I249=""),"",ROUND($H249*$I249,0))</f>
        <v/>
      </c>
      <c r="K249" s="13"/>
      <c r="L249" s="17"/>
      <c r="M249" s="18" t="str">
        <f aca="false">IF($J249="","",$J249-IF($L249="",0,$L249))</f>
        <v/>
      </c>
      <c r="N249" s="19" t="str">
        <f aca="true">IF(OR($A249="",$M249="",$M249&lt;=0),"",TODAY()-$A249)</f>
        <v/>
      </c>
      <c r="O249" s="20" t="str">
        <f aca="false">IF($B249="","",IFERROR(INDEX(차량목록!$D$3:$D$42,MATCH($B249,차량목록!$A$3:$A$42,0)),0))</f>
        <v/>
      </c>
      <c r="P249" s="18" t="str">
        <f aca="false">IF($J249="","",ROUND($J249*$O249,0))</f>
        <v/>
      </c>
    </row>
    <row r="250" customFormat="false" ht="15" hidden="false" customHeight="true" outlineLevel="0" collapsed="false">
      <c r="A250" s="13"/>
      <c r="B250" s="10"/>
      <c r="C250" s="14" t="str">
        <f aca="false">IF($B250="","",IFERROR(INDEX(차량목록!$B$3:$B$42,MATCH($B250,차량목록!$A$3:$A$42,0)),"미등록차량"))</f>
        <v/>
      </c>
      <c r="D250" s="10"/>
      <c r="E250" s="10"/>
      <c r="F250" s="15"/>
      <c r="G250" s="15"/>
      <c r="H250" s="16" t="str">
        <f aca="false">IF(OR($F250="",$G250=""),"",ROUND(IF($G250&lt;1,$G250*24,INT($G250/100)+MOD($G250,100)/60)-IF($F250&lt;1,$F250*24,INT($F250/100)+MOD($F250,100)/60),2))</f>
        <v/>
      </c>
      <c r="I250" s="17"/>
      <c r="J250" s="18" t="str">
        <f aca="false">IF(OR($H250="",$I250=""),"",ROUND($H250*$I250,0))</f>
        <v/>
      </c>
      <c r="K250" s="13"/>
      <c r="L250" s="17"/>
      <c r="M250" s="18" t="str">
        <f aca="false">IF($J250="","",$J250-IF($L250="",0,$L250))</f>
        <v/>
      </c>
      <c r="N250" s="19" t="str">
        <f aca="true">IF(OR($A250="",$M250="",$M250&lt;=0),"",TODAY()-$A250)</f>
        <v/>
      </c>
      <c r="O250" s="20" t="str">
        <f aca="false">IF($B250="","",IFERROR(INDEX(차량목록!$D$3:$D$42,MATCH($B250,차량목록!$A$3:$A$42,0)),0))</f>
        <v/>
      </c>
      <c r="P250" s="18" t="str">
        <f aca="false">IF($J250="","",ROUND($J250*$O250,0))</f>
        <v/>
      </c>
    </row>
    <row r="251" customFormat="false" ht="15" hidden="false" customHeight="true" outlineLevel="0" collapsed="false">
      <c r="A251" s="13"/>
      <c r="B251" s="10"/>
      <c r="C251" s="14" t="str">
        <f aca="false">IF($B251="","",IFERROR(INDEX(차량목록!$B$3:$B$42,MATCH($B251,차량목록!$A$3:$A$42,0)),"미등록차량"))</f>
        <v/>
      </c>
      <c r="D251" s="10"/>
      <c r="E251" s="10"/>
      <c r="F251" s="15"/>
      <c r="G251" s="15"/>
      <c r="H251" s="16" t="str">
        <f aca="false">IF(OR($F251="",$G251=""),"",ROUND(IF($G251&lt;1,$G251*24,INT($G251/100)+MOD($G251,100)/60)-IF($F251&lt;1,$F251*24,INT($F251/100)+MOD($F251,100)/60),2))</f>
        <v/>
      </c>
      <c r="I251" s="17"/>
      <c r="J251" s="18" t="str">
        <f aca="false">IF(OR($H251="",$I251=""),"",ROUND($H251*$I251,0))</f>
        <v/>
      </c>
      <c r="K251" s="13"/>
      <c r="L251" s="17"/>
      <c r="M251" s="18" t="str">
        <f aca="false">IF($J251="","",$J251-IF($L251="",0,$L251))</f>
        <v/>
      </c>
      <c r="N251" s="19" t="str">
        <f aca="true">IF(OR($A251="",$M251="",$M251&lt;=0),"",TODAY()-$A251)</f>
        <v/>
      </c>
      <c r="O251" s="20" t="str">
        <f aca="false">IF($B251="","",IFERROR(INDEX(차량목록!$D$3:$D$42,MATCH($B251,차량목록!$A$3:$A$42,0)),0))</f>
        <v/>
      </c>
      <c r="P251" s="18" t="str">
        <f aca="false">IF($J251="","",ROUND($J251*$O251,0))</f>
        <v/>
      </c>
    </row>
    <row r="252" customFormat="false" ht="15" hidden="false" customHeight="true" outlineLevel="0" collapsed="false">
      <c r="A252" s="13"/>
      <c r="B252" s="10"/>
      <c r="C252" s="14" t="str">
        <f aca="false">IF($B252="","",IFERROR(INDEX(차량목록!$B$3:$B$42,MATCH($B252,차량목록!$A$3:$A$42,0)),"미등록차량"))</f>
        <v/>
      </c>
      <c r="D252" s="10"/>
      <c r="E252" s="10"/>
      <c r="F252" s="15"/>
      <c r="G252" s="15"/>
      <c r="H252" s="16" t="str">
        <f aca="false">IF(OR($F252="",$G252=""),"",ROUND(IF($G252&lt;1,$G252*24,INT($G252/100)+MOD($G252,100)/60)-IF($F252&lt;1,$F252*24,INT($F252/100)+MOD($F252,100)/60),2))</f>
        <v/>
      </c>
      <c r="I252" s="17"/>
      <c r="J252" s="18" t="str">
        <f aca="false">IF(OR($H252="",$I252=""),"",ROUND($H252*$I252,0))</f>
        <v/>
      </c>
      <c r="K252" s="13"/>
      <c r="L252" s="17"/>
      <c r="M252" s="18" t="str">
        <f aca="false">IF($J252="","",$J252-IF($L252="",0,$L252))</f>
        <v/>
      </c>
      <c r="N252" s="19" t="str">
        <f aca="true">IF(OR($A252="",$M252="",$M252&lt;=0),"",TODAY()-$A252)</f>
        <v/>
      </c>
      <c r="O252" s="20" t="str">
        <f aca="false">IF($B252="","",IFERROR(INDEX(차량목록!$D$3:$D$42,MATCH($B252,차량목록!$A$3:$A$42,0)),0))</f>
        <v/>
      </c>
      <c r="P252" s="18" t="str">
        <f aca="false">IF($J252="","",ROUND($J252*$O252,0))</f>
        <v/>
      </c>
    </row>
    <row r="253" customFormat="false" ht="15" hidden="false" customHeight="true" outlineLevel="0" collapsed="false">
      <c r="A253" s="13"/>
      <c r="B253" s="10"/>
      <c r="C253" s="14" t="str">
        <f aca="false">IF($B253="","",IFERROR(INDEX(차량목록!$B$3:$B$42,MATCH($B253,차량목록!$A$3:$A$42,0)),"미등록차량"))</f>
        <v/>
      </c>
      <c r="D253" s="10"/>
      <c r="E253" s="10"/>
      <c r="F253" s="15"/>
      <c r="G253" s="15"/>
      <c r="H253" s="16" t="str">
        <f aca="false">IF(OR($F253="",$G253=""),"",ROUND(IF($G253&lt;1,$G253*24,INT($G253/100)+MOD($G253,100)/60)-IF($F253&lt;1,$F253*24,INT($F253/100)+MOD($F253,100)/60),2))</f>
        <v/>
      </c>
      <c r="I253" s="17"/>
      <c r="J253" s="18" t="str">
        <f aca="false">IF(OR($H253="",$I253=""),"",ROUND($H253*$I253,0))</f>
        <v/>
      </c>
      <c r="K253" s="13"/>
      <c r="L253" s="17"/>
      <c r="M253" s="18" t="str">
        <f aca="false">IF($J253="","",$J253-IF($L253="",0,$L253))</f>
        <v/>
      </c>
      <c r="N253" s="19" t="str">
        <f aca="true">IF(OR($A253="",$M253="",$M253&lt;=0),"",TODAY()-$A253)</f>
        <v/>
      </c>
      <c r="O253" s="20" t="str">
        <f aca="false">IF($B253="","",IFERROR(INDEX(차량목록!$D$3:$D$42,MATCH($B253,차량목록!$A$3:$A$42,0)),0))</f>
        <v/>
      </c>
      <c r="P253" s="18" t="str">
        <f aca="false">IF($J253="","",ROUND($J253*$O253,0))</f>
        <v/>
      </c>
    </row>
    <row r="254" customFormat="false" ht="15" hidden="false" customHeight="true" outlineLevel="0" collapsed="false">
      <c r="A254" s="13"/>
      <c r="B254" s="10"/>
      <c r="C254" s="14" t="str">
        <f aca="false">IF($B254="","",IFERROR(INDEX(차량목록!$B$3:$B$42,MATCH($B254,차량목록!$A$3:$A$42,0)),"미등록차량"))</f>
        <v/>
      </c>
      <c r="D254" s="10"/>
      <c r="E254" s="10"/>
      <c r="F254" s="15"/>
      <c r="G254" s="15"/>
      <c r="H254" s="16" t="str">
        <f aca="false">IF(OR($F254="",$G254=""),"",ROUND(IF($G254&lt;1,$G254*24,INT($G254/100)+MOD($G254,100)/60)-IF($F254&lt;1,$F254*24,INT($F254/100)+MOD($F254,100)/60),2))</f>
        <v/>
      </c>
      <c r="I254" s="17"/>
      <c r="J254" s="18" t="str">
        <f aca="false">IF(OR($H254="",$I254=""),"",ROUND($H254*$I254,0))</f>
        <v/>
      </c>
      <c r="K254" s="13"/>
      <c r="L254" s="17"/>
      <c r="M254" s="18" t="str">
        <f aca="false">IF($J254="","",$J254-IF($L254="",0,$L254))</f>
        <v/>
      </c>
      <c r="N254" s="19" t="str">
        <f aca="true">IF(OR($A254="",$M254="",$M254&lt;=0),"",TODAY()-$A254)</f>
        <v/>
      </c>
      <c r="O254" s="20" t="str">
        <f aca="false">IF($B254="","",IFERROR(INDEX(차량목록!$D$3:$D$42,MATCH($B254,차량목록!$A$3:$A$42,0)),0))</f>
        <v/>
      </c>
      <c r="P254" s="18" t="str">
        <f aca="false">IF($J254="","",ROUND($J254*$O254,0))</f>
        <v/>
      </c>
    </row>
    <row r="255" customFormat="false" ht="15" hidden="false" customHeight="true" outlineLevel="0" collapsed="false">
      <c r="A255" s="13"/>
      <c r="B255" s="10"/>
      <c r="C255" s="14" t="str">
        <f aca="false">IF($B255="","",IFERROR(INDEX(차량목록!$B$3:$B$42,MATCH($B255,차량목록!$A$3:$A$42,0)),"미등록차량"))</f>
        <v/>
      </c>
      <c r="D255" s="10"/>
      <c r="E255" s="10"/>
      <c r="F255" s="15"/>
      <c r="G255" s="15"/>
      <c r="H255" s="16" t="str">
        <f aca="false">IF(OR($F255="",$G255=""),"",ROUND(IF($G255&lt;1,$G255*24,INT($G255/100)+MOD($G255,100)/60)-IF($F255&lt;1,$F255*24,INT($F255/100)+MOD($F255,100)/60),2))</f>
        <v/>
      </c>
      <c r="I255" s="17"/>
      <c r="J255" s="18" t="str">
        <f aca="false">IF(OR($H255="",$I255=""),"",ROUND($H255*$I255,0))</f>
        <v/>
      </c>
      <c r="K255" s="13"/>
      <c r="L255" s="17"/>
      <c r="M255" s="18" t="str">
        <f aca="false">IF($J255="","",$J255-IF($L255="",0,$L255))</f>
        <v/>
      </c>
      <c r="N255" s="19" t="str">
        <f aca="true">IF(OR($A255="",$M255="",$M255&lt;=0),"",TODAY()-$A255)</f>
        <v/>
      </c>
      <c r="O255" s="20" t="str">
        <f aca="false">IF($B255="","",IFERROR(INDEX(차량목록!$D$3:$D$42,MATCH($B255,차량목록!$A$3:$A$42,0)),0))</f>
        <v/>
      </c>
      <c r="P255" s="18" t="str">
        <f aca="false">IF($J255="","",ROUND($J255*$O255,0))</f>
        <v/>
      </c>
    </row>
    <row r="256" customFormat="false" ht="15" hidden="false" customHeight="true" outlineLevel="0" collapsed="false">
      <c r="A256" s="13"/>
      <c r="B256" s="10"/>
      <c r="C256" s="14" t="str">
        <f aca="false">IF($B256="","",IFERROR(INDEX(차량목록!$B$3:$B$42,MATCH($B256,차량목록!$A$3:$A$42,0)),"미등록차량"))</f>
        <v/>
      </c>
      <c r="D256" s="10"/>
      <c r="E256" s="10"/>
      <c r="F256" s="15"/>
      <c r="G256" s="15"/>
      <c r="H256" s="16" t="str">
        <f aca="false">IF(OR($F256="",$G256=""),"",ROUND(IF($G256&lt;1,$G256*24,INT($G256/100)+MOD($G256,100)/60)-IF($F256&lt;1,$F256*24,INT($F256/100)+MOD($F256,100)/60),2))</f>
        <v/>
      </c>
      <c r="I256" s="17"/>
      <c r="J256" s="18" t="str">
        <f aca="false">IF(OR($H256="",$I256=""),"",ROUND($H256*$I256,0))</f>
        <v/>
      </c>
      <c r="K256" s="13"/>
      <c r="L256" s="17"/>
      <c r="M256" s="18" t="str">
        <f aca="false">IF($J256="","",$J256-IF($L256="",0,$L256))</f>
        <v/>
      </c>
      <c r="N256" s="19" t="str">
        <f aca="true">IF(OR($A256="",$M256="",$M256&lt;=0),"",TODAY()-$A256)</f>
        <v/>
      </c>
      <c r="O256" s="20" t="str">
        <f aca="false">IF($B256="","",IFERROR(INDEX(차량목록!$D$3:$D$42,MATCH($B256,차량목록!$A$3:$A$42,0)),0))</f>
        <v/>
      </c>
      <c r="P256" s="18" t="str">
        <f aca="false">IF($J256="","",ROUND($J256*$O256,0))</f>
        <v/>
      </c>
    </row>
    <row r="257" customFormat="false" ht="15" hidden="false" customHeight="true" outlineLevel="0" collapsed="false">
      <c r="A257" s="13"/>
      <c r="B257" s="10"/>
      <c r="C257" s="14" t="str">
        <f aca="false">IF($B257="","",IFERROR(INDEX(차량목록!$B$3:$B$42,MATCH($B257,차량목록!$A$3:$A$42,0)),"미등록차량"))</f>
        <v/>
      </c>
      <c r="D257" s="10"/>
      <c r="E257" s="10"/>
      <c r="F257" s="15"/>
      <c r="G257" s="15"/>
      <c r="H257" s="16" t="str">
        <f aca="false">IF(OR($F257="",$G257=""),"",ROUND(IF($G257&lt;1,$G257*24,INT($G257/100)+MOD($G257,100)/60)-IF($F257&lt;1,$F257*24,INT($F257/100)+MOD($F257,100)/60),2))</f>
        <v/>
      </c>
      <c r="I257" s="17"/>
      <c r="J257" s="18" t="str">
        <f aca="false">IF(OR($H257="",$I257=""),"",ROUND($H257*$I257,0))</f>
        <v/>
      </c>
      <c r="K257" s="13"/>
      <c r="L257" s="17"/>
      <c r="M257" s="18" t="str">
        <f aca="false">IF($J257="","",$J257-IF($L257="",0,$L257))</f>
        <v/>
      </c>
      <c r="N257" s="19" t="str">
        <f aca="true">IF(OR($A257="",$M257="",$M257&lt;=0),"",TODAY()-$A257)</f>
        <v/>
      </c>
      <c r="O257" s="20" t="str">
        <f aca="false">IF($B257="","",IFERROR(INDEX(차량목록!$D$3:$D$42,MATCH($B257,차량목록!$A$3:$A$42,0)),0))</f>
        <v/>
      </c>
      <c r="P257" s="18" t="str">
        <f aca="false">IF($J257="","",ROUND($J257*$O257,0))</f>
        <v/>
      </c>
    </row>
    <row r="258" customFormat="false" ht="15" hidden="false" customHeight="true" outlineLevel="0" collapsed="false">
      <c r="A258" s="13"/>
      <c r="B258" s="10"/>
      <c r="C258" s="14" t="str">
        <f aca="false">IF($B258="","",IFERROR(INDEX(차량목록!$B$3:$B$42,MATCH($B258,차량목록!$A$3:$A$42,0)),"미등록차량"))</f>
        <v/>
      </c>
      <c r="D258" s="10"/>
      <c r="E258" s="10"/>
      <c r="F258" s="15"/>
      <c r="G258" s="15"/>
      <c r="H258" s="16" t="str">
        <f aca="false">IF(OR($F258="",$G258=""),"",ROUND(IF($G258&lt;1,$G258*24,INT($G258/100)+MOD($G258,100)/60)-IF($F258&lt;1,$F258*24,INT($F258/100)+MOD($F258,100)/60),2))</f>
        <v/>
      </c>
      <c r="I258" s="17"/>
      <c r="J258" s="18" t="str">
        <f aca="false">IF(OR($H258="",$I258=""),"",ROUND($H258*$I258,0))</f>
        <v/>
      </c>
      <c r="K258" s="13"/>
      <c r="L258" s="17"/>
      <c r="M258" s="18" t="str">
        <f aca="false">IF($J258="","",$J258-IF($L258="",0,$L258))</f>
        <v/>
      </c>
      <c r="N258" s="19" t="str">
        <f aca="true">IF(OR($A258="",$M258="",$M258&lt;=0),"",TODAY()-$A258)</f>
        <v/>
      </c>
      <c r="O258" s="20" t="str">
        <f aca="false">IF($B258="","",IFERROR(INDEX(차량목록!$D$3:$D$42,MATCH($B258,차량목록!$A$3:$A$42,0)),0))</f>
        <v/>
      </c>
      <c r="P258" s="18" t="str">
        <f aca="false">IF($J258="","",ROUND($J258*$O258,0))</f>
        <v/>
      </c>
    </row>
    <row r="259" customFormat="false" ht="15" hidden="false" customHeight="true" outlineLevel="0" collapsed="false">
      <c r="A259" s="13"/>
      <c r="B259" s="10"/>
      <c r="C259" s="14" t="str">
        <f aca="false">IF($B259="","",IFERROR(INDEX(차량목록!$B$3:$B$42,MATCH($B259,차량목록!$A$3:$A$42,0)),"미등록차량"))</f>
        <v/>
      </c>
      <c r="D259" s="10"/>
      <c r="E259" s="10"/>
      <c r="F259" s="15"/>
      <c r="G259" s="15"/>
      <c r="H259" s="16" t="str">
        <f aca="false">IF(OR($F259="",$G259=""),"",ROUND(IF($G259&lt;1,$G259*24,INT($G259/100)+MOD($G259,100)/60)-IF($F259&lt;1,$F259*24,INT($F259/100)+MOD($F259,100)/60),2))</f>
        <v/>
      </c>
      <c r="I259" s="17"/>
      <c r="J259" s="18" t="str">
        <f aca="false">IF(OR($H259="",$I259=""),"",ROUND($H259*$I259,0))</f>
        <v/>
      </c>
      <c r="K259" s="13"/>
      <c r="L259" s="17"/>
      <c r="M259" s="18" t="str">
        <f aca="false">IF($J259="","",$J259-IF($L259="",0,$L259))</f>
        <v/>
      </c>
      <c r="N259" s="19" t="str">
        <f aca="true">IF(OR($A259="",$M259="",$M259&lt;=0),"",TODAY()-$A259)</f>
        <v/>
      </c>
      <c r="O259" s="20" t="str">
        <f aca="false">IF($B259="","",IFERROR(INDEX(차량목록!$D$3:$D$42,MATCH($B259,차량목록!$A$3:$A$42,0)),0))</f>
        <v/>
      </c>
      <c r="P259" s="18" t="str">
        <f aca="false">IF($J259="","",ROUND($J259*$O259,0))</f>
        <v/>
      </c>
    </row>
    <row r="260" customFormat="false" ht="15" hidden="false" customHeight="true" outlineLevel="0" collapsed="false">
      <c r="A260" s="13"/>
      <c r="B260" s="10"/>
      <c r="C260" s="14" t="str">
        <f aca="false">IF($B260="","",IFERROR(INDEX(차량목록!$B$3:$B$42,MATCH($B260,차량목록!$A$3:$A$42,0)),"미등록차량"))</f>
        <v/>
      </c>
      <c r="D260" s="10"/>
      <c r="E260" s="10"/>
      <c r="F260" s="15"/>
      <c r="G260" s="15"/>
      <c r="H260" s="16" t="str">
        <f aca="false">IF(OR($F260="",$G260=""),"",ROUND(IF($G260&lt;1,$G260*24,INT($G260/100)+MOD($G260,100)/60)-IF($F260&lt;1,$F260*24,INT($F260/100)+MOD($F260,100)/60),2))</f>
        <v/>
      </c>
      <c r="I260" s="17"/>
      <c r="J260" s="18" t="str">
        <f aca="false">IF(OR($H260="",$I260=""),"",ROUND($H260*$I260,0))</f>
        <v/>
      </c>
      <c r="K260" s="13"/>
      <c r="L260" s="17"/>
      <c r="M260" s="18" t="str">
        <f aca="false">IF($J260="","",$J260-IF($L260="",0,$L260))</f>
        <v/>
      </c>
      <c r="N260" s="19" t="str">
        <f aca="true">IF(OR($A260="",$M260="",$M260&lt;=0),"",TODAY()-$A260)</f>
        <v/>
      </c>
      <c r="O260" s="20" t="str">
        <f aca="false">IF($B260="","",IFERROR(INDEX(차량목록!$D$3:$D$42,MATCH($B260,차량목록!$A$3:$A$42,0)),0))</f>
        <v/>
      </c>
      <c r="P260" s="18" t="str">
        <f aca="false">IF($J260="","",ROUND($J260*$O260,0))</f>
        <v/>
      </c>
    </row>
    <row r="261" customFormat="false" ht="15" hidden="false" customHeight="true" outlineLevel="0" collapsed="false">
      <c r="A261" s="13"/>
      <c r="B261" s="10"/>
      <c r="C261" s="14" t="str">
        <f aca="false">IF($B261="","",IFERROR(INDEX(차량목록!$B$3:$B$42,MATCH($B261,차량목록!$A$3:$A$42,0)),"미등록차량"))</f>
        <v/>
      </c>
      <c r="D261" s="10"/>
      <c r="E261" s="10"/>
      <c r="F261" s="15"/>
      <c r="G261" s="15"/>
      <c r="H261" s="16" t="str">
        <f aca="false">IF(OR($F261="",$G261=""),"",ROUND(IF($G261&lt;1,$G261*24,INT($G261/100)+MOD($G261,100)/60)-IF($F261&lt;1,$F261*24,INT($F261/100)+MOD($F261,100)/60),2))</f>
        <v/>
      </c>
      <c r="I261" s="17"/>
      <c r="J261" s="18" t="str">
        <f aca="false">IF(OR($H261="",$I261=""),"",ROUND($H261*$I261,0))</f>
        <v/>
      </c>
      <c r="K261" s="13"/>
      <c r="L261" s="17"/>
      <c r="M261" s="18" t="str">
        <f aca="false">IF($J261="","",$J261-IF($L261="",0,$L261))</f>
        <v/>
      </c>
      <c r="N261" s="19" t="str">
        <f aca="true">IF(OR($A261="",$M261="",$M261&lt;=0),"",TODAY()-$A261)</f>
        <v/>
      </c>
      <c r="O261" s="20" t="str">
        <f aca="false">IF($B261="","",IFERROR(INDEX(차량목록!$D$3:$D$42,MATCH($B261,차량목록!$A$3:$A$42,0)),0))</f>
        <v/>
      </c>
      <c r="P261" s="18" t="str">
        <f aca="false">IF($J261="","",ROUND($J261*$O261,0))</f>
        <v/>
      </c>
    </row>
    <row r="262" customFormat="false" ht="15" hidden="false" customHeight="true" outlineLevel="0" collapsed="false">
      <c r="A262" s="13"/>
      <c r="B262" s="10"/>
      <c r="C262" s="14" t="str">
        <f aca="false">IF($B262="","",IFERROR(INDEX(차량목록!$B$3:$B$42,MATCH($B262,차량목록!$A$3:$A$42,0)),"미등록차량"))</f>
        <v/>
      </c>
      <c r="D262" s="10"/>
      <c r="E262" s="10"/>
      <c r="F262" s="15"/>
      <c r="G262" s="15"/>
      <c r="H262" s="16" t="str">
        <f aca="false">IF(OR($F262="",$G262=""),"",ROUND(IF($G262&lt;1,$G262*24,INT($G262/100)+MOD($G262,100)/60)-IF($F262&lt;1,$F262*24,INT($F262/100)+MOD($F262,100)/60),2))</f>
        <v/>
      </c>
      <c r="I262" s="17"/>
      <c r="J262" s="18" t="str">
        <f aca="false">IF(OR($H262="",$I262=""),"",ROUND($H262*$I262,0))</f>
        <v/>
      </c>
      <c r="K262" s="13"/>
      <c r="L262" s="17"/>
      <c r="M262" s="18" t="str">
        <f aca="false">IF($J262="","",$J262-IF($L262="",0,$L262))</f>
        <v/>
      </c>
      <c r="N262" s="19" t="str">
        <f aca="true">IF(OR($A262="",$M262="",$M262&lt;=0),"",TODAY()-$A262)</f>
        <v/>
      </c>
      <c r="O262" s="20" t="str">
        <f aca="false">IF($B262="","",IFERROR(INDEX(차량목록!$D$3:$D$42,MATCH($B262,차량목록!$A$3:$A$42,0)),0))</f>
        <v/>
      </c>
      <c r="P262" s="18" t="str">
        <f aca="false">IF($J262="","",ROUND($J262*$O262,0))</f>
        <v/>
      </c>
    </row>
    <row r="263" customFormat="false" ht="15" hidden="false" customHeight="true" outlineLevel="0" collapsed="false">
      <c r="A263" s="13"/>
      <c r="B263" s="10"/>
      <c r="C263" s="14" t="str">
        <f aca="false">IF($B263="","",IFERROR(INDEX(차량목록!$B$3:$B$42,MATCH($B263,차량목록!$A$3:$A$42,0)),"미등록차량"))</f>
        <v/>
      </c>
      <c r="D263" s="10"/>
      <c r="E263" s="10"/>
      <c r="F263" s="15"/>
      <c r="G263" s="15"/>
      <c r="H263" s="16" t="str">
        <f aca="false">IF(OR($F263="",$G263=""),"",ROUND(IF($G263&lt;1,$G263*24,INT($G263/100)+MOD($G263,100)/60)-IF($F263&lt;1,$F263*24,INT($F263/100)+MOD($F263,100)/60),2))</f>
        <v/>
      </c>
      <c r="I263" s="17"/>
      <c r="J263" s="18" t="str">
        <f aca="false">IF(OR($H263="",$I263=""),"",ROUND($H263*$I263,0))</f>
        <v/>
      </c>
      <c r="K263" s="13"/>
      <c r="L263" s="17"/>
      <c r="M263" s="18" t="str">
        <f aca="false">IF($J263="","",$J263-IF($L263="",0,$L263))</f>
        <v/>
      </c>
      <c r="N263" s="19" t="str">
        <f aca="true">IF(OR($A263="",$M263="",$M263&lt;=0),"",TODAY()-$A263)</f>
        <v/>
      </c>
      <c r="O263" s="20" t="str">
        <f aca="false">IF($B263="","",IFERROR(INDEX(차량목록!$D$3:$D$42,MATCH($B263,차량목록!$A$3:$A$42,0)),0))</f>
        <v/>
      </c>
      <c r="P263" s="18" t="str">
        <f aca="false">IF($J263="","",ROUND($J263*$O263,0))</f>
        <v/>
      </c>
    </row>
    <row r="264" customFormat="false" ht="15" hidden="false" customHeight="true" outlineLevel="0" collapsed="false">
      <c r="A264" s="13"/>
      <c r="B264" s="10"/>
      <c r="C264" s="14" t="str">
        <f aca="false">IF($B264="","",IFERROR(INDEX(차량목록!$B$3:$B$42,MATCH($B264,차량목록!$A$3:$A$42,0)),"미등록차량"))</f>
        <v/>
      </c>
      <c r="D264" s="10"/>
      <c r="E264" s="10"/>
      <c r="F264" s="15"/>
      <c r="G264" s="15"/>
      <c r="H264" s="16" t="str">
        <f aca="false">IF(OR($F264="",$G264=""),"",ROUND(IF($G264&lt;1,$G264*24,INT($G264/100)+MOD($G264,100)/60)-IF($F264&lt;1,$F264*24,INT($F264/100)+MOD($F264,100)/60),2))</f>
        <v/>
      </c>
      <c r="I264" s="17"/>
      <c r="J264" s="18" t="str">
        <f aca="false">IF(OR($H264="",$I264=""),"",ROUND($H264*$I264,0))</f>
        <v/>
      </c>
      <c r="K264" s="13"/>
      <c r="L264" s="17"/>
      <c r="M264" s="18" t="str">
        <f aca="false">IF($J264="","",$J264-IF($L264="",0,$L264))</f>
        <v/>
      </c>
      <c r="N264" s="19" t="str">
        <f aca="true">IF(OR($A264="",$M264="",$M264&lt;=0),"",TODAY()-$A264)</f>
        <v/>
      </c>
      <c r="O264" s="20" t="str">
        <f aca="false">IF($B264="","",IFERROR(INDEX(차량목록!$D$3:$D$42,MATCH($B264,차량목록!$A$3:$A$42,0)),0))</f>
        <v/>
      </c>
      <c r="P264" s="18" t="str">
        <f aca="false">IF($J264="","",ROUND($J264*$O264,0))</f>
        <v/>
      </c>
    </row>
    <row r="265" customFormat="false" ht="15" hidden="false" customHeight="true" outlineLevel="0" collapsed="false">
      <c r="A265" s="13"/>
      <c r="B265" s="10"/>
      <c r="C265" s="14" t="str">
        <f aca="false">IF($B265="","",IFERROR(INDEX(차량목록!$B$3:$B$42,MATCH($B265,차량목록!$A$3:$A$42,0)),"미등록차량"))</f>
        <v/>
      </c>
      <c r="D265" s="10"/>
      <c r="E265" s="10"/>
      <c r="F265" s="15"/>
      <c r="G265" s="15"/>
      <c r="H265" s="16" t="str">
        <f aca="false">IF(OR($F265="",$G265=""),"",ROUND(IF($G265&lt;1,$G265*24,INT($G265/100)+MOD($G265,100)/60)-IF($F265&lt;1,$F265*24,INT($F265/100)+MOD($F265,100)/60),2))</f>
        <v/>
      </c>
      <c r="I265" s="17"/>
      <c r="J265" s="18" t="str">
        <f aca="false">IF(OR($H265="",$I265=""),"",ROUND($H265*$I265,0))</f>
        <v/>
      </c>
      <c r="K265" s="13"/>
      <c r="L265" s="17"/>
      <c r="M265" s="18" t="str">
        <f aca="false">IF($J265="","",$J265-IF($L265="",0,$L265))</f>
        <v/>
      </c>
      <c r="N265" s="19" t="str">
        <f aca="true">IF(OR($A265="",$M265="",$M265&lt;=0),"",TODAY()-$A265)</f>
        <v/>
      </c>
      <c r="O265" s="20" t="str">
        <f aca="false">IF($B265="","",IFERROR(INDEX(차량목록!$D$3:$D$42,MATCH($B265,차량목록!$A$3:$A$42,0)),0))</f>
        <v/>
      </c>
      <c r="P265" s="18" t="str">
        <f aca="false">IF($J265="","",ROUND($J265*$O265,0))</f>
        <v/>
      </c>
    </row>
    <row r="266" customFormat="false" ht="15" hidden="false" customHeight="true" outlineLevel="0" collapsed="false">
      <c r="A266" s="13"/>
      <c r="B266" s="10"/>
      <c r="C266" s="14" t="str">
        <f aca="false">IF($B266="","",IFERROR(INDEX(차량목록!$B$3:$B$42,MATCH($B266,차량목록!$A$3:$A$42,0)),"미등록차량"))</f>
        <v/>
      </c>
      <c r="D266" s="10"/>
      <c r="E266" s="10"/>
      <c r="F266" s="15"/>
      <c r="G266" s="15"/>
      <c r="H266" s="16" t="str">
        <f aca="false">IF(OR($F266="",$G266=""),"",ROUND(IF($G266&lt;1,$G266*24,INT($G266/100)+MOD($G266,100)/60)-IF($F266&lt;1,$F266*24,INT($F266/100)+MOD($F266,100)/60),2))</f>
        <v/>
      </c>
      <c r="I266" s="17"/>
      <c r="J266" s="18" t="str">
        <f aca="false">IF(OR($H266="",$I266=""),"",ROUND($H266*$I266,0))</f>
        <v/>
      </c>
      <c r="K266" s="13"/>
      <c r="L266" s="17"/>
      <c r="M266" s="18" t="str">
        <f aca="false">IF($J266="","",$J266-IF($L266="",0,$L266))</f>
        <v/>
      </c>
      <c r="N266" s="19" t="str">
        <f aca="true">IF(OR($A266="",$M266="",$M266&lt;=0),"",TODAY()-$A266)</f>
        <v/>
      </c>
      <c r="O266" s="20" t="str">
        <f aca="false">IF($B266="","",IFERROR(INDEX(차량목록!$D$3:$D$42,MATCH($B266,차량목록!$A$3:$A$42,0)),0))</f>
        <v/>
      </c>
      <c r="P266" s="18" t="str">
        <f aca="false">IF($J266="","",ROUND($J266*$O266,0))</f>
        <v/>
      </c>
    </row>
    <row r="267" customFormat="false" ht="15" hidden="false" customHeight="true" outlineLevel="0" collapsed="false">
      <c r="A267" s="13"/>
      <c r="B267" s="10"/>
      <c r="C267" s="14" t="str">
        <f aca="false">IF($B267="","",IFERROR(INDEX(차량목록!$B$3:$B$42,MATCH($B267,차량목록!$A$3:$A$42,0)),"미등록차량"))</f>
        <v/>
      </c>
      <c r="D267" s="10"/>
      <c r="E267" s="10"/>
      <c r="F267" s="15"/>
      <c r="G267" s="15"/>
      <c r="H267" s="16" t="str">
        <f aca="false">IF(OR($F267="",$G267=""),"",ROUND(IF($G267&lt;1,$G267*24,INT($G267/100)+MOD($G267,100)/60)-IF($F267&lt;1,$F267*24,INT($F267/100)+MOD($F267,100)/60),2))</f>
        <v/>
      </c>
      <c r="I267" s="17"/>
      <c r="J267" s="18" t="str">
        <f aca="false">IF(OR($H267="",$I267=""),"",ROUND($H267*$I267,0))</f>
        <v/>
      </c>
      <c r="K267" s="13"/>
      <c r="L267" s="17"/>
      <c r="M267" s="18" t="str">
        <f aca="false">IF($J267="","",$J267-IF($L267="",0,$L267))</f>
        <v/>
      </c>
      <c r="N267" s="19" t="str">
        <f aca="true">IF(OR($A267="",$M267="",$M267&lt;=0),"",TODAY()-$A267)</f>
        <v/>
      </c>
      <c r="O267" s="20" t="str">
        <f aca="false">IF($B267="","",IFERROR(INDEX(차량목록!$D$3:$D$42,MATCH($B267,차량목록!$A$3:$A$42,0)),0))</f>
        <v/>
      </c>
      <c r="P267" s="18" t="str">
        <f aca="false">IF($J267="","",ROUND($J267*$O267,0))</f>
        <v/>
      </c>
    </row>
    <row r="268" customFormat="false" ht="15" hidden="false" customHeight="true" outlineLevel="0" collapsed="false">
      <c r="A268" s="13"/>
      <c r="B268" s="10"/>
      <c r="C268" s="14" t="str">
        <f aca="false">IF($B268="","",IFERROR(INDEX(차량목록!$B$3:$B$42,MATCH($B268,차량목록!$A$3:$A$42,0)),"미등록차량"))</f>
        <v/>
      </c>
      <c r="D268" s="10"/>
      <c r="E268" s="10"/>
      <c r="F268" s="15"/>
      <c r="G268" s="15"/>
      <c r="H268" s="16" t="str">
        <f aca="false">IF(OR($F268="",$G268=""),"",ROUND(IF($G268&lt;1,$G268*24,INT($G268/100)+MOD($G268,100)/60)-IF($F268&lt;1,$F268*24,INT($F268/100)+MOD($F268,100)/60),2))</f>
        <v/>
      </c>
      <c r="I268" s="17"/>
      <c r="J268" s="18" t="str">
        <f aca="false">IF(OR($H268="",$I268=""),"",ROUND($H268*$I268,0))</f>
        <v/>
      </c>
      <c r="K268" s="13"/>
      <c r="L268" s="17"/>
      <c r="M268" s="18" t="str">
        <f aca="false">IF($J268="","",$J268-IF($L268="",0,$L268))</f>
        <v/>
      </c>
      <c r="N268" s="19" t="str">
        <f aca="true">IF(OR($A268="",$M268="",$M268&lt;=0),"",TODAY()-$A268)</f>
        <v/>
      </c>
      <c r="O268" s="20" t="str">
        <f aca="false">IF($B268="","",IFERROR(INDEX(차량목록!$D$3:$D$42,MATCH($B268,차량목록!$A$3:$A$42,0)),0))</f>
        <v/>
      </c>
      <c r="P268" s="18" t="str">
        <f aca="false">IF($J268="","",ROUND($J268*$O268,0))</f>
        <v/>
      </c>
    </row>
    <row r="269" customFormat="false" ht="15" hidden="false" customHeight="true" outlineLevel="0" collapsed="false">
      <c r="A269" s="13"/>
      <c r="B269" s="10"/>
      <c r="C269" s="14" t="str">
        <f aca="false">IF($B269="","",IFERROR(INDEX(차량목록!$B$3:$B$42,MATCH($B269,차량목록!$A$3:$A$42,0)),"미등록차량"))</f>
        <v/>
      </c>
      <c r="D269" s="10"/>
      <c r="E269" s="10"/>
      <c r="F269" s="15"/>
      <c r="G269" s="15"/>
      <c r="H269" s="16" t="str">
        <f aca="false">IF(OR($F269="",$G269=""),"",ROUND(IF($G269&lt;1,$G269*24,INT($G269/100)+MOD($G269,100)/60)-IF($F269&lt;1,$F269*24,INT($F269/100)+MOD($F269,100)/60),2))</f>
        <v/>
      </c>
      <c r="I269" s="17"/>
      <c r="J269" s="18" t="str">
        <f aca="false">IF(OR($H269="",$I269=""),"",ROUND($H269*$I269,0))</f>
        <v/>
      </c>
      <c r="K269" s="13"/>
      <c r="L269" s="17"/>
      <c r="M269" s="18" t="str">
        <f aca="false">IF($J269="","",$J269-IF($L269="",0,$L269))</f>
        <v/>
      </c>
      <c r="N269" s="19" t="str">
        <f aca="true">IF(OR($A269="",$M269="",$M269&lt;=0),"",TODAY()-$A269)</f>
        <v/>
      </c>
      <c r="O269" s="20" t="str">
        <f aca="false">IF($B269="","",IFERROR(INDEX(차량목록!$D$3:$D$42,MATCH($B269,차량목록!$A$3:$A$42,0)),0))</f>
        <v/>
      </c>
      <c r="P269" s="18" t="str">
        <f aca="false">IF($J269="","",ROUND($J269*$O269,0))</f>
        <v/>
      </c>
    </row>
    <row r="270" customFormat="false" ht="15" hidden="false" customHeight="true" outlineLevel="0" collapsed="false">
      <c r="A270" s="13"/>
      <c r="B270" s="10"/>
      <c r="C270" s="14" t="str">
        <f aca="false">IF($B270="","",IFERROR(INDEX(차량목록!$B$3:$B$42,MATCH($B270,차량목록!$A$3:$A$42,0)),"미등록차량"))</f>
        <v/>
      </c>
      <c r="D270" s="10"/>
      <c r="E270" s="10"/>
      <c r="F270" s="15"/>
      <c r="G270" s="15"/>
      <c r="H270" s="16" t="str">
        <f aca="false">IF(OR($F270="",$G270=""),"",ROUND(IF($G270&lt;1,$G270*24,INT($G270/100)+MOD($G270,100)/60)-IF($F270&lt;1,$F270*24,INT($F270/100)+MOD($F270,100)/60),2))</f>
        <v/>
      </c>
      <c r="I270" s="17"/>
      <c r="J270" s="18" t="str">
        <f aca="false">IF(OR($H270="",$I270=""),"",ROUND($H270*$I270,0))</f>
        <v/>
      </c>
      <c r="K270" s="13"/>
      <c r="L270" s="17"/>
      <c r="M270" s="18" t="str">
        <f aca="false">IF($J270="","",$J270-IF($L270="",0,$L270))</f>
        <v/>
      </c>
      <c r="N270" s="19" t="str">
        <f aca="true">IF(OR($A270="",$M270="",$M270&lt;=0),"",TODAY()-$A270)</f>
        <v/>
      </c>
      <c r="O270" s="20" t="str">
        <f aca="false">IF($B270="","",IFERROR(INDEX(차량목록!$D$3:$D$42,MATCH($B270,차량목록!$A$3:$A$42,0)),0))</f>
        <v/>
      </c>
      <c r="P270" s="18" t="str">
        <f aca="false">IF($J270="","",ROUND($J270*$O270,0))</f>
        <v/>
      </c>
    </row>
    <row r="271" customFormat="false" ht="15" hidden="false" customHeight="true" outlineLevel="0" collapsed="false">
      <c r="A271" s="13"/>
      <c r="B271" s="10"/>
      <c r="C271" s="14" t="str">
        <f aca="false">IF($B271="","",IFERROR(INDEX(차량목록!$B$3:$B$42,MATCH($B271,차량목록!$A$3:$A$42,0)),"미등록차량"))</f>
        <v/>
      </c>
      <c r="D271" s="10"/>
      <c r="E271" s="10"/>
      <c r="F271" s="15"/>
      <c r="G271" s="15"/>
      <c r="H271" s="16" t="str">
        <f aca="false">IF(OR($F271="",$G271=""),"",ROUND(IF($G271&lt;1,$G271*24,INT($G271/100)+MOD($G271,100)/60)-IF($F271&lt;1,$F271*24,INT($F271/100)+MOD($F271,100)/60),2))</f>
        <v/>
      </c>
      <c r="I271" s="17"/>
      <c r="J271" s="18" t="str">
        <f aca="false">IF(OR($H271="",$I271=""),"",ROUND($H271*$I271,0))</f>
        <v/>
      </c>
      <c r="K271" s="13"/>
      <c r="L271" s="17"/>
      <c r="M271" s="18" t="str">
        <f aca="false">IF($J271="","",$J271-IF($L271="",0,$L271))</f>
        <v/>
      </c>
      <c r="N271" s="19" t="str">
        <f aca="true">IF(OR($A271="",$M271="",$M271&lt;=0),"",TODAY()-$A271)</f>
        <v/>
      </c>
      <c r="O271" s="20" t="str">
        <f aca="false">IF($B271="","",IFERROR(INDEX(차량목록!$D$3:$D$42,MATCH($B271,차량목록!$A$3:$A$42,0)),0))</f>
        <v/>
      </c>
      <c r="P271" s="18" t="str">
        <f aca="false">IF($J271="","",ROUND($J271*$O271,0))</f>
        <v/>
      </c>
    </row>
    <row r="272" customFormat="false" ht="15" hidden="false" customHeight="true" outlineLevel="0" collapsed="false">
      <c r="A272" s="13"/>
      <c r="B272" s="10"/>
      <c r="C272" s="14" t="str">
        <f aca="false">IF($B272="","",IFERROR(INDEX(차량목록!$B$3:$B$42,MATCH($B272,차량목록!$A$3:$A$42,0)),"미등록차량"))</f>
        <v/>
      </c>
      <c r="D272" s="10"/>
      <c r="E272" s="10"/>
      <c r="F272" s="15"/>
      <c r="G272" s="15"/>
      <c r="H272" s="16" t="str">
        <f aca="false">IF(OR($F272="",$G272=""),"",ROUND(IF($G272&lt;1,$G272*24,INT($G272/100)+MOD($G272,100)/60)-IF($F272&lt;1,$F272*24,INT($F272/100)+MOD($F272,100)/60),2))</f>
        <v/>
      </c>
      <c r="I272" s="17"/>
      <c r="J272" s="18" t="str">
        <f aca="false">IF(OR($H272="",$I272=""),"",ROUND($H272*$I272,0))</f>
        <v/>
      </c>
      <c r="K272" s="13"/>
      <c r="L272" s="17"/>
      <c r="M272" s="18" t="str">
        <f aca="false">IF($J272="","",$J272-IF($L272="",0,$L272))</f>
        <v/>
      </c>
      <c r="N272" s="19" t="str">
        <f aca="true">IF(OR($A272="",$M272="",$M272&lt;=0),"",TODAY()-$A272)</f>
        <v/>
      </c>
      <c r="O272" s="20" t="str">
        <f aca="false">IF($B272="","",IFERROR(INDEX(차량목록!$D$3:$D$42,MATCH($B272,차량목록!$A$3:$A$42,0)),0))</f>
        <v/>
      </c>
      <c r="P272" s="18" t="str">
        <f aca="false">IF($J272="","",ROUND($J272*$O272,0))</f>
        <v/>
      </c>
    </row>
    <row r="273" customFormat="false" ht="15" hidden="false" customHeight="true" outlineLevel="0" collapsed="false">
      <c r="A273" s="13"/>
      <c r="B273" s="10"/>
      <c r="C273" s="14" t="str">
        <f aca="false">IF($B273="","",IFERROR(INDEX(차량목록!$B$3:$B$42,MATCH($B273,차량목록!$A$3:$A$42,0)),"미등록차량"))</f>
        <v/>
      </c>
      <c r="D273" s="10"/>
      <c r="E273" s="10"/>
      <c r="F273" s="15"/>
      <c r="G273" s="15"/>
      <c r="H273" s="16" t="str">
        <f aca="false">IF(OR($F273="",$G273=""),"",ROUND(IF($G273&lt;1,$G273*24,INT($G273/100)+MOD($G273,100)/60)-IF($F273&lt;1,$F273*24,INT($F273/100)+MOD($F273,100)/60),2))</f>
        <v/>
      </c>
      <c r="I273" s="17"/>
      <c r="J273" s="18" t="str">
        <f aca="false">IF(OR($H273="",$I273=""),"",ROUND($H273*$I273,0))</f>
        <v/>
      </c>
      <c r="K273" s="13"/>
      <c r="L273" s="17"/>
      <c r="M273" s="18" t="str">
        <f aca="false">IF($J273="","",$J273-IF($L273="",0,$L273))</f>
        <v/>
      </c>
      <c r="N273" s="19" t="str">
        <f aca="true">IF(OR($A273="",$M273="",$M273&lt;=0),"",TODAY()-$A273)</f>
        <v/>
      </c>
      <c r="O273" s="20" t="str">
        <f aca="false">IF($B273="","",IFERROR(INDEX(차량목록!$D$3:$D$42,MATCH($B273,차량목록!$A$3:$A$42,0)),0))</f>
        <v/>
      </c>
      <c r="P273" s="18" t="str">
        <f aca="false">IF($J273="","",ROUND($J273*$O273,0))</f>
        <v/>
      </c>
    </row>
    <row r="274" customFormat="false" ht="15" hidden="false" customHeight="true" outlineLevel="0" collapsed="false">
      <c r="A274" s="13"/>
      <c r="B274" s="10"/>
      <c r="C274" s="14" t="str">
        <f aca="false">IF($B274="","",IFERROR(INDEX(차량목록!$B$3:$B$42,MATCH($B274,차량목록!$A$3:$A$42,0)),"미등록차량"))</f>
        <v/>
      </c>
      <c r="D274" s="10"/>
      <c r="E274" s="10"/>
      <c r="F274" s="15"/>
      <c r="G274" s="15"/>
      <c r="H274" s="16" t="str">
        <f aca="false">IF(OR($F274="",$G274=""),"",ROUND(IF($G274&lt;1,$G274*24,INT($G274/100)+MOD($G274,100)/60)-IF($F274&lt;1,$F274*24,INT($F274/100)+MOD($F274,100)/60),2))</f>
        <v/>
      </c>
      <c r="I274" s="17"/>
      <c r="J274" s="18" t="str">
        <f aca="false">IF(OR($H274="",$I274=""),"",ROUND($H274*$I274,0))</f>
        <v/>
      </c>
      <c r="K274" s="13"/>
      <c r="L274" s="17"/>
      <c r="M274" s="18" t="str">
        <f aca="false">IF($J274="","",$J274-IF($L274="",0,$L274))</f>
        <v/>
      </c>
      <c r="N274" s="19" t="str">
        <f aca="true">IF(OR($A274="",$M274="",$M274&lt;=0),"",TODAY()-$A274)</f>
        <v/>
      </c>
      <c r="O274" s="20" t="str">
        <f aca="false">IF($B274="","",IFERROR(INDEX(차량목록!$D$3:$D$42,MATCH($B274,차량목록!$A$3:$A$42,0)),0))</f>
        <v/>
      </c>
      <c r="P274" s="18" t="str">
        <f aca="false">IF($J274="","",ROUND($J274*$O274,0))</f>
        <v/>
      </c>
    </row>
    <row r="275" customFormat="false" ht="15" hidden="false" customHeight="true" outlineLevel="0" collapsed="false">
      <c r="A275" s="13"/>
      <c r="B275" s="10"/>
      <c r="C275" s="14" t="str">
        <f aca="false">IF($B275="","",IFERROR(INDEX(차량목록!$B$3:$B$42,MATCH($B275,차량목록!$A$3:$A$42,0)),"미등록차량"))</f>
        <v/>
      </c>
      <c r="D275" s="10"/>
      <c r="E275" s="10"/>
      <c r="F275" s="15"/>
      <c r="G275" s="15"/>
      <c r="H275" s="16" t="str">
        <f aca="false">IF(OR($F275="",$G275=""),"",ROUND(IF($G275&lt;1,$G275*24,INT($G275/100)+MOD($G275,100)/60)-IF($F275&lt;1,$F275*24,INT($F275/100)+MOD($F275,100)/60),2))</f>
        <v/>
      </c>
      <c r="I275" s="17"/>
      <c r="J275" s="18" t="str">
        <f aca="false">IF(OR($H275="",$I275=""),"",ROUND($H275*$I275,0))</f>
        <v/>
      </c>
      <c r="K275" s="13"/>
      <c r="L275" s="17"/>
      <c r="M275" s="18" t="str">
        <f aca="false">IF($J275="","",$J275-IF($L275="",0,$L275))</f>
        <v/>
      </c>
      <c r="N275" s="19" t="str">
        <f aca="true">IF(OR($A275="",$M275="",$M275&lt;=0),"",TODAY()-$A275)</f>
        <v/>
      </c>
      <c r="O275" s="20" t="str">
        <f aca="false">IF($B275="","",IFERROR(INDEX(차량목록!$D$3:$D$42,MATCH($B275,차량목록!$A$3:$A$42,0)),0))</f>
        <v/>
      </c>
      <c r="P275" s="18" t="str">
        <f aca="false">IF($J275="","",ROUND($J275*$O275,0))</f>
        <v/>
      </c>
    </row>
    <row r="276" customFormat="false" ht="15" hidden="false" customHeight="true" outlineLevel="0" collapsed="false">
      <c r="A276" s="13"/>
      <c r="B276" s="10"/>
      <c r="C276" s="14" t="str">
        <f aca="false">IF($B276="","",IFERROR(INDEX(차량목록!$B$3:$B$42,MATCH($B276,차량목록!$A$3:$A$42,0)),"미등록차량"))</f>
        <v/>
      </c>
      <c r="D276" s="10"/>
      <c r="E276" s="10"/>
      <c r="F276" s="15"/>
      <c r="G276" s="15"/>
      <c r="H276" s="16" t="str">
        <f aca="false">IF(OR($F276="",$G276=""),"",ROUND(IF($G276&lt;1,$G276*24,INT($G276/100)+MOD($G276,100)/60)-IF($F276&lt;1,$F276*24,INT($F276/100)+MOD($F276,100)/60),2))</f>
        <v/>
      </c>
      <c r="I276" s="17"/>
      <c r="J276" s="18" t="str">
        <f aca="false">IF(OR($H276="",$I276=""),"",ROUND($H276*$I276,0))</f>
        <v/>
      </c>
      <c r="K276" s="13"/>
      <c r="L276" s="17"/>
      <c r="M276" s="18" t="str">
        <f aca="false">IF($J276="","",$J276-IF($L276="",0,$L276))</f>
        <v/>
      </c>
      <c r="N276" s="19" t="str">
        <f aca="true">IF(OR($A276="",$M276="",$M276&lt;=0),"",TODAY()-$A276)</f>
        <v/>
      </c>
      <c r="O276" s="20" t="str">
        <f aca="false">IF($B276="","",IFERROR(INDEX(차량목록!$D$3:$D$42,MATCH($B276,차량목록!$A$3:$A$42,0)),0))</f>
        <v/>
      </c>
      <c r="P276" s="18" t="str">
        <f aca="false">IF($J276="","",ROUND($J276*$O276,0))</f>
        <v/>
      </c>
    </row>
    <row r="277" customFormat="false" ht="15" hidden="false" customHeight="true" outlineLevel="0" collapsed="false">
      <c r="A277" s="13"/>
      <c r="B277" s="10"/>
      <c r="C277" s="14" t="str">
        <f aca="false">IF($B277="","",IFERROR(INDEX(차량목록!$B$3:$B$42,MATCH($B277,차량목록!$A$3:$A$42,0)),"미등록차량"))</f>
        <v/>
      </c>
      <c r="D277" s="10"/>
      <c r="E277" s="10"/>
      <c r="F277" s="15"/>
      <c r="G277" s="15"/>
      <c r="H277" s="16" t="str">
        <f aca="false">IF(OR($F277="",$G277=""),"",ROUND(IF($G277&lt;1,$G277*24,INT($G277/100)+MOD($G277,100)/60)-IF($F277&lt;1,$F277*24,INT($F277/100)+MOD($F277,100)/60),2))</f>
        <v/>
      </c>
      <c r="I277" s="17"/>
      <c r="J277" s="18" t="str">
        <f aca="false">IF(OR($H277="",$I277=""),"",ROUND($H277*$I277,0))</f>
        <v/>
      </c>
      <c r="K277" s="13"/>
      <c r="L277" s="17"/>
      <c r="M277" s="18" t="str">
        <f aca="false">IF($J277="","",$J277-IF($L277="",0,$L277))</f>
        <v/>
      </c>
      <c r="N277" s="19" t="str">
        <f aca="true">IF(OR($A277="",$M277="",$M277&lt;=0),"",TODAY()-$A277)</f>
        <v/>
      </c>
      <c r="O277" s="20" t="str">
        <f aca="false">IF($B277="","",IFERROR(INDEX(차량목록!$D$3:$D$42,MATCH($B277,차량목록!$A$3:$A$42,0)),0))</f>
        <v/>
      </c>
      <c r="P277" s="18" t="str">
        <f aca="false">IF($J277="","",ROUND($J277*$O277,0))</f>
        <v/>
      </c>
    </row>
    <row r="278" customFormat="false" ht="15" hidden="false" customHeight="true" outlineLevel="0" collapsed="false">
      <c r="A278" s="13"/>
      <c r="B278" s="10"/>
      <c r="C278" s="14" t="str">
        <f aca="false">IF($B278="","",IFERROR(INDEX(차량목록!$B$3:$B$42,MATCH($B278,차량목록!$A$3:$A$42,0)),"미등록차량"))</f>
        <v/>
      </c>
      <c r="D278" s="10"/>
      <c r="E278" s="10"/>
      <c r="F278" s="15"/>
      <c r="G278" s="15"/>
      <c r="H278" s="16" t="str">
        <f aca="false">IF(OR($F278="",$G278=""),"",ROUND(IF($G278&lt;1,$G278*24,INT($G278/100)+MOD($G278,100)/60)-IF($F278&lt;1,$F278*24,INT($F278/100)+MOD($F278,100)/60),2))</f>
        <v/>
      </c>
      <c r="I278" s="17"/>
      <c r="J278" s="18" t="str">
        <f aca="false">IF(OR($H278="",$I278=""),"",ROUND($H278*$I278,0))</f>
        <v/>
      </c>
      <c r="K278" s="13"/>
      <c r="L278" s="17"/>
      <c r="M278" s="18" t="str">
        <f aca="false">IF($J278="","",$J278-IF($L278="",0,$L278))</f>
        <v/>
      </c>
      <c r="N278" s="19" t="str">
        <f aca="true">IF(OR($A278="",$M278="",$M278&lt;=0),"",TODAY()-$A278)</f>
        <v/>
      </c>
      <c r="O278" s="20" t="str">
        <f aca="false">IF($B278="","",IFERROR(INDEX(차량목록!$D$3:$D$42,MATCH($B278,차량목록!$A$3:$A$42,0)),0))</f>
        <v/>
      </c>
      <c r="P278" s="18" t="str">
        <f aca="false">IF($J278="","",ROUND($J278*$O278,0))</f>
        <v/>
      </c>
    </row>
    <row r="279" customFormat="false" ht="15" hidden="false" customHeight="true" outlineLevel="0" collapsed="false">
      <c r="A279" s="13"/>
      <c r="B279" s="10"/>
      <c r="C279" s="14" t="str">
        <f aca="false">IF($B279="","",IFERROR(INDEX(차량목록!$B$3:$B$42,MATCH($B279,차량목록!$A$3:$A$42,0)),"미등록차량"))</f>
        <v/>
      </c>
      <c r="D279" s="10"/>
      <c r="E279" s="10"/>
      <c r="F279" s="15"/>
      <c r="G279" s="15"/>
      <c r="H279" s="16" t="str">
        <f aca="false">IF(OR($F279="",$G279=""),"",ROUND(IF($G279&lt;1,$G279*24,INT($G279/100)+MOD($G279,100)/60)-IF($F279&lt;1,$F279*24,INT($F279/100)+MOD($F279,100)/60),2))</f>
        <v/>
      </c>
      <c r="I279" s="17"/>
      <c r="J279" s="18" t="str">
        <f aca="false">IF(OR($H279="",$I279=""),"",ROUND($H279*$I279,0))</f>
        <v/>
      </c>
      <c r="K279" s="13"/>
      <c r="L279" s="17"/>
      <c r="M279" s="18" t="str">
        <f aca="false">IF($J279="","",$J279-IF($L279="",0,$L279))</f>
        <v/>
      </c>
      <c r="N279" s="19" t="str">
        <f aca="true">IF(OR($A279="",$M279="",$M279&lt;=0),"",TODAY()-$A279)</f>
        <v/>
      </c>
      <c r="O279" s="20" t="str">
        <f aca="false">IF($B279="","",IFERROR(INDEX(차량목록!$D$3:$D$42,MATCH($B279,차량목록!$A$3:$A$42,0)),0))</f>
        <v/>
      </c>
      <c r="P279" s="18" t="str">
        <f aca="false">IF($J279="","",ROUND($J279*$O279,0))</f>
        <v/>
      </c>
    </row>
    <row r="280" customFormat="false" ht="15" hidden="false" customHeight="true" outlineLevel="0" collapsed="false">
      <c r="A280" s="13"/>
      <c r="B280" s="10"/>
      <c r="C280" s="14" t="str">
        <f aca="false">IF($B280="","",IFERROR(INDEX(차량목록!$B$3:$B$42,MATCH($B280,차량목록!$A$3:$A$42,0)),"미등록차량"))</f>
        <v/>
      </c>
      <c r="D280" s="10"/>
      <c r="E280" s="10"/>
      <c r="F280" s="15"/>
      <c r="G280" s="15"/>
      <c r="H280" s="16" t="str">
        <f aca="false">IF(OR($F280="",$G280=""),"",ROUND(IF($G280&lt;1,$G280*24,INT($G280/100)+MOD($G280,100)/60)-IF($F280&lt;1,$F280*24,INT($F280/100)+MOD($F280,100)/60),2))</f>
        <v/>
      </c>
      <c r="I280" s="17"/>
      <c r="J280" s="18" t="str">
        <f aca="false">IF(OR($H280="",$I280=""),"",ROUND($H280*$I280,0))</f>
        <v/>
      </c>
      <c r="K280" s="13"/>
      <c r="L280" s="17"/>
      <c r="M280" s="18" t="str">
        <f aca="false">IF($J280="","",$J280-IF($L280="",0,$L280))</f>
        <v/>
      </c>
      <c r="N280" s="19" t="str">
        <f aca="true">IF(OR($A280="",$M280="",$M280&lt;=0),"",TODAY()-$A280)</f>
        <v/>
      </c>
      <c r="O280" s="20" t="str">
        <f aca="false">IF($B280="","",IFERROR(INDEX(차량목록!$D$3:$D$42,MATCH($B280,차량목록!$A$3:$A$42,0)),0))</f>
        <v/>
      </c>
      <c r="P280" s="18" t="str">
        <f aca="false">IF($J280="","",ROUND($J280*$O280,0))</f>
        <v/>
      </c>
    </row>
    <row r="281" customFormat="false" ht="15" hidden="false" customHeight="true" outlineLevel="0" collapsed="false">
      <c r="A281" s="13"/>
      <c r="B281" s="10"/>
      <c r="C281" s="14" t="str">
        <f aca="false">IF($B281="","",IFERROR(INDEX(차량목록!$B$3:$B$42,MATCH($B281,차량목록!$A$3:$A$42,0)),"미등록차량"))</f>
        <v/>
      </c>
      <c r="D281" s="10"/>
      <c r="E281" s="10"/>
      <c r="F281" s="15"/>
      <c r="G281" s="15"/>
      <c r="H281" s="16" t="str">
        <f aca="false">IF(OR($F281="",$G281=""),"",ROUND(IF($G281&lt;1,$G281*24,INT($G281/100)+MOD($G281,100)/60)-IF($F281&lt;1,$F281*24,INT($F281/100)+MOD($F281,100)/60),2))</f>
        <v/>
      </c>
      <c r="I281" s="17"/>
      <c r="J281" s="18" t="str">
        <f aca="false">IF(OR($H281="",$I281=""),"",ROUND($H281*$I281,0))</f>
        <v/>
      </c>
      <c r="K281" s="13"/>
      <c r="L281" s="17"/>
      <c r="M281" s="18" t="str">
        <f aca="false">IF($J281="","",$J281-IF($L281="",0,$L281))</f>
        <v/>
      </c>
      <c r="N281" s="19" t="str">
        <f aca="true">IF(OR($A281="",$M281="",$M281&lt;=0),"",TODAY()-$A281)</f>
        <v/>
      </c>
      <c r="O281" s="20" t="str">
        <f aca="false">IF($B281="","",IFERROR(INDEX(차량목록!$D$3:$D$42,MATCH($B281,차량목록!$A$3:$A$42,0)),0))</f>
        <v/>
      </c>
      <c r="P281" s="18" t="str">
        <f aca="false">IF($J281="","",ROUND($J281*$O281,0))</f>
        <v/>
      </c>
    </row>
    <row r="282" customFormat="false" ht="15" hidden="false" customHeight="true" outlineLevel="0" collapsed="false">
      <c r="A282" s="13"/>
      <c r="B282" s="10"/>
      <c r="C282" s="14" t="str">
        <f aca="false">IF($B282="","",IFERROR(INDEX(차량목록!$B$3:$B$42,MATCH($B282,차량목록!$A$3:$A$42,0)),"미등록차량"))</f>
        <v/>
      </c>
      <c r="D282" s="10"/>
      <c r="E282" s="10"/>
      <c r="F282" s="15"/>
      <c r="G282" s="15"/>
      <c r="H282" s="16" t="str">
        <f aca="false">IF(OR($F282="",$G282=""),"",ROUND(IF($G282&lt;1,$G282*24,INT($G282/100)+MOD($G282,100)/60)-IF($F282&lt;1,$F282*24,INT($F282/100)+MOD($F282,100)/60),2))</f>
        <v/>
      </c>
      <c r="I282" s="17"/>
      <c r="J282" s="18" t="str">
        <f aca="false">IF(OR($H282="",$I282=""),"",ROUND($H282*$I282,0))</f>
        <v/>
      </c>
      <c r="K282" s="13"/>
      <c r="L282" s="17"/>
      <c r="M282" s="18" t="str">
        <f aca="false">IF($J282="","",$J282-IF($L282="",0,$L282))</f>
        <v/>
      </c>
      <c r="N282" s="19" t="str">
        <f aca="true">IF(OR($A282="",$M282="",$M282&lt;=0),"",TODAY()-$A282)</f>
        <v/>
      </c>
      <c r="O282" s="20" t="str">
        <f aca="false">IF($B282="","",IFERROR(INDEX(차량목록!$D$3:$D$42,MATCH($B282,차량목록!$A$3:$A$42,0)),0))</f>
        <v/>
      </c>
      <c r="P282" s="18" t="str">
        <f aca="false">IF($J282="","",ROUND($J282*$O282,0))</f>
        <v/>
      </c>
    </row>
    <row r="283" customFormat="false" ht="15" hidden="false" customHeight="true" outlineLevel="0" collapsed="false">
      <c r="A283" s="13"/>
      <c r="B283" s="10"/>
      <c r="C283" s="14" t="str">
        <f aca="false">IF($B283="","",IFERROR(INDEX(차량목록!$B$3:$B$42,MATCH($B283,차량목록!$A$3:$A$42,0)),"미등록차량"))</f>
        <v/>
      </c>
      <c r="D283" s="10"/>
      <c r="E283" s="10"/>
      <c r="F283" s="15"/>
      <c r="G283" s="15"/>
      <c r="H283" s="16" t="str">
        <f aca="false">IF(OR($F283="",$G283=""),"",ROUND(IF($G283&lt;1,$G283*24,INT($G283/100)+MOD($G283,100)/60)-IF($F283&lt;1,$F283*24,INT($F283/100)+MOD($F283,100)/60),2))</f>
        <v/>
      </c>
      <c r="I283" s="17"/>
      <c r="J283" s="18" t="str">
        <f aca="false">IF(OR($H283="",$I283=""),"",ROUND($H283*$I283,0))</f>
        <v/>
      </c>
      <c r="K283" s="13"/>
      <c r="L283" s="17"/>
      <c r="M283" s="18" t="str">
        <f aca="false">IF($J283="","",$J283-IF($L283="",0,$L283))</f>
        <v/>
      </c>
      <c r="N283" s="19" t="str">
        <f aca="true">IF(OR($A283="",$M283="",$M283&lt;=0),"",TODAY()-$A283)</f>
        <v/>
      </c>
      <c r="O283" s="20" t="str">
        <f aca="false">IF($B283="","",IFERROR(INDEX(차량목록!$D$3:$D$42,MATCH($B283,차량목록!$A$3:$A$42,0)),0))</f>
        <v/>
      </c>
      <c r="P283" s="18" t="str">
        <f aca="false">IF($J283="","",ROUND($J283*$O283,0))</f>
        <v/>
      </c>
    </row>
    <row r="284" customFormat="false" ht="15" hidden="false" customHeight="true" outlineLevel="0" collapsed="false">
      <c r="A284" s="13"/>
      <c r="B284" s="10"/>
      <c r="C284" s="14" t="str">
        <f aca="false">IF($B284="","",IFERROR(INDEX(차량목록!$B$3:$B$42,MATCH($B284,차량목록!$A$3:$A$42,0)),"미등록차량"))</f>
        <v/>
      </c>
      <c r="D284" s="10"/>
      <c r="E284" s="10"/>
      <c r="F284" s="15"/>
      <c r="G284" s="15"/>
      <c r="H284" s="16" t="str">
        <f aca="false">IF(OR($F284="",$G284=""),"",ROUND(IF($G284&lt;1,$G284*24,INT($G284/100)+MOD($G284,100)/60)-IF($F284&lt;1,$F284*24,INT($F284/100)+MOD($F284,100)/60),2))</f>
        <v/>
      </c>
      <c r="I284" s="17"/>
      <c r="J284" s="18" t="str">
        <f aca="false">IF(OR($H284="",$I284=""),"",ROUND($H284*$I284,0))</f>
        <v/>
      </c>
      <c r="K284" s="13"/>
      <c r="L284" s="17"/>
      <c r="M284" s="18" t="str">
        <f aca="false">IF($J284="","",$J284-IF($L284="",0,$L284))</f>
        <v/>
      </c>
      <c r="N284" s="19" t="str">
        <f aca="true">IF(OR($A284="",$M284="",$M284&lt;=0),"",TODAY()-$A284)</f>
        <v/>
      </c>
      <c r="O284" s="20" t="str">
        <f aca="false">IF($B284="","",IFERROR(INDEX(차량목록!$D$3:$D$42,MATCH($B284,차량목록!$A$3:$A$42,0)),0))</f>
        <v/>
      </c>
      <c r="P284" s="18" t="str">
        <f aca="false">IF($J284="","",ROUND($J284*$O284,0))</f>
        <v/>
      </c>
    </row>
    <row r="285" customFormat="false" ht="15" hidden="false" customHeight="true" outlineLevel="0" collapsed="false">
      <c r="A285" s="13"/>
      <c r="B285" s="10"/>
      <c r="C285" s="14" t="str">
        <f aca="false">IF($B285="","",IFERROR(INDEX(차량목록!$B$3:$B$42,MATCH($B285,차량목록!$A$3:$A$42,0)),"미등록차량"))</f>
        <v/>
      </c>
      <c r="D285" s="10"/>
      <c r="E285" s="10"/>
      <c r="F285" s="15"/>
      <c r="G285" s="15"/>
      <c r="H285" s="16" t="str">
        <f aca="false">IF(OR($F285="",$G285=""),"",ROUND(IF($G285&lt;1,$G285*24,INT($G285/100)+MOD($G285,100)/60)-IF($F285&lt;1,$F285*24,INT($F285/100)+MOD($F285,100)/60),2))</f>
        <v/>
      </c>
      <c r="I285" s="17"/>
      <c r="J285" s="18" t="str">
        <f aca="false">IF(OR($H285="",$I285=""),"",ROUND($H285*$I285,0))</f>
        <v/>
      </c>
      <c r="K285" s="13"/>
      <c r="L285" s="17"/>
      <c r="M285" s="18" t="str">
        <f aca="false">IF($J285="","",$J285-IF($L285="",0,$L285))</f>
        <v/>
      </c>
      <c r="N285" s="19" t="str">
        <f aca="true">IF(OR($A285="",$M285="",$M285&lt;=0),"",TODAY()-$A285)</f>
        <v/>
      </c>
      <c r="O285" s="20" t="str">
        <f aca="false">IF($B285="","",IFERROR(INDEX(차량목록!$D$3:$D$42,MATCH($B285,차량목록!$A$3:$A$42,0)),0))</f>
        <v/>
      </c>
      <c r="P285" s="18" t="str">
        <f aca="false">IF($J285="","",ROUND($J285*$O285,0))</f>
        <v/>
      </c>
    </row>
    <row r="286" customFormat="false" ht="15" hidden="false" customHeight="true" outlineLevel="0" collapsed="false">
      <c r="A286" s="13"/>
      <c r="B286" s="10"/>
      <c r="C286" s="14" t="str">
        <f aca="false">IF($B286="","",IFERROR(INDEX(차량목록!$B$3:$B$42,MATCH($B286,차량목록!$A$3:$A$42,0)),"미등록차량"))</f>
        <v/>
      </c>
      <c r="D286" s="10"/>
      <c r="E286" s="10"/>
      <c r="F286" s="15"/>
      <c r="G286" s="15"/>
      <c r="H286" s="16" t="str">
        <f aca="false">IF(OR($F286="",$G286=""),"",ROUND(IF($G286&lt;1,$G286*24,INT($G286/100)+MOD($G286,100)/60)-IF($F286&lt;1,$F286*24,INT($F286/100)+MOD($F286,100)/60),2))</f>
        <v/>
      </c>
      <c r="I286" s="17"/>
      <c r="J286" s="18" t="str">
        <f aca="false">IF(OR($H286="",$I286=""),"",ROUND($H286*$I286,0))</f>
        <v/>
      </c>
      <c r="K286" s="13"/>
      <c r="L286" s="17"/>
      <c r="M286" s="18" t="str">
        <f aca="false">IF($J286="","",$J286-IF($L286="",0,$L286))</f>
        <v/>
      </c>
      <c r="N286" s="19" t="str">
        <f aca="true">IF(OR($A286="",$M286="",$M286&lt;=0),"",TODAY()-$A286)</f>
        <v/>
      </c>
      <c r="O286" s="20" t="str">
        <f aca="false">IF($B286="","",IFERROR(INDEX(차량목록!$D$3:$D$42,MATCH($B286,차량목록!$A$3:$A$42,0)),0))</f>
        <v/>
      </c>
      <c r="P286" s="18" t="str">
        <f aca="false">IF($J286="","",ROUND($J286*$O286,0))</f>
        <v/>
      </c>
    </row>
    <row r="287" customFormat="false" ht="15" hidden="false" customHeight="true" outlineLevel="0" collapsed="false">
      <c r="A287" s="13"/>
      <c r="B287" s="10"/>
      <c r="C287" s="14" t="str">
        <f aca="false">IF($B287="","",IFERROR(INDEX(차량목록!$B$3:$B$42,MATCH($B287,차량목록!$A$3:$A$42,0)),"미등록차량"))</f>
        <v/>
      </c>
      <c r="D287" s="10"/>
      <c r="E287" s="10"/>
      <c r="F287" s="15"/>
      <c r="G287" s="15"/>
      <c r="H287" s="16" t="str">
        <f aca="false">IF(OR($F287="",$G287=""),"",ROUND(IF($G287&lt;1,$G287*24,INT($G287/100)+MOD($G287,100)/60)-IF($F287&lt;1,$F287*24,INT($F287/100)+MOD($F287,100)/60),2))</f>
        <v/>
      </c>
      <c r="I287" s="17"/>
      <c r="J287" s="18" t="str">
        <f aca="false">IF(OR($H287="",$I287=""),"",ROUND($H287*$I287,0))</f>
        <v/>
      </c>
      <c r="K287" s="13"/>
      <c r="L287" s="17"/>
      <c r="M287" s="18" t="str">
        <f aca="false">IF($J287="","",$J287-IF($L287="",0,$L287))</f>
        <v/>
      </c>
      <c r="N287" s="19" t="str">
        <f aca="true">IF(OR($A287="",$M287="",$M287&lt;=0),"",TODAY()-$A287)</f>
        <v/>
      </c>
      <c r="O287" s="20" t="str">
        <f aca="false">IF($B287="","",IFERROR(INDEX(차량목록!$D$3:$D$42,MATCH($B287,차량목록!$A$3:$A$42,0)),0))</f>
        <v/>
      </c>
      <c r="P287" s="18" t="str">
        <f aca="false">IF($J287="","",ROUND($J287*$O287,0))</f>
        <v/>
      </c>
    </row>
    <row r="288" customFormat="false" ht="15" hidden="false" customHeight="true" outlineLevel="0" collapsed="false">
      <c r="A288" s="13"/>
      <c r="B288" s="10"/>
      <c r="C288" s="14" t="str">
        <f aca="false">IF($B288="","",IFERROR(INDEX(차량목록!$B$3:$B$42,MATCH($B288,차량목록!$A$3:$A$42,0)),"미등록차량"))</f>
        <v/>
      </c>
      <c r="D288" s="10"/>
      <c r="E288" s="10"/>
      <c r="F288" s="15"/>
      <c r="G288" s="15"/>
      <c r="H288" s="16" t="str">
        <f aca="false">IF(OR($F288="",$G288=""),"",ROUND(IF($G288&lt;1,$G288*24,INT($G288/100)+MOD($G288,100)/60)-IF($F288&lt;1,$F288*24,INT($F288/100)+MOD($F288,100)/60),2))</f>
        <v/>
      </c>
      <c r="I288" s="17"/>
      <c r="J288" s="18" t="str">
        <f aca="false">IF(OR($H288="",$I288=""),"",ROUND($H288*$I288,0))</f>
        <v/>
      </c>
      <c r="K288" s="13"/>
      <c r="L288" s="17"/>
      <c r="M288" s="18" t="str">
        <f aca="false">IF($J288="","",$J288-IF($L288="",0,$L288))</f>
        <v/>
      </c>
      <c r="N288" s="19" t="str">
        <f aca="true">IF(OR($A288="",$M288="",$M288&lt;=0),"",TODAY()-$A288)</f>
        <v/>
      </c>
      <c r="O288" s="20" t="str">
        <f aca="false">IF($B288="","",IFERROR(INDEX(차량목록!$D$3:$D$42,MATCH($B288,차량목록!$A$3:$A$42,0)),0))</f>
        <v/>
      </c>
      <c r="P288" s="18" t="str">
        <f aca="false">IF($J288="","",ROUND($J288*$O288,0))</f>
        <v/>
      </c>
    </row>
    <row r="289" customFormat="false" ht="15" hidden="false" customHeight="true" outlineLevel="0" collapsed="false">
      <c r="A289" s="13"/>
      <c r="B289" s="10"/>
      <c r="C289" s="14" t="str">
        <f aca="false">IF($B289="","",IFERROR(INDEX(차량목록!$B$3:$B$42,MATCH($B289,차량목록!$A$3:$A$42,0)),"미등록차량"))</f>
        <v/>
      </c>
      <c r="D289" s="10"/>
      <c r="E289" s="10"/>
      <c r="F289" s="15"/>
      <c r="G289" s="15"/>
      <c r="H289" s="16" t="str">
        <f aca="false">IF(OR($F289="",$G289=""),"",ROUND(IF($G289&lt;1,$G289*24,INT($G289/100)+MOD($G289,100)/60)-IF($F289&lt;1,$F289*24,INT($F289/100)+MOD($F289,100)/60),2))</f>
        <v/>
      </c>
      <c r="I289" s="17"/>
      <c r="J289" s="18" t="str">
        <f aca="false">IF(OR($H289="",$I289=""),"",ROUND($H289*$I289,0))</f>
        <v/>
      </c>
      <c r="K289" s="13"/>
      <c r="L289" s="17"/>
      <c r="M289" s="18" t="str">
        <f aca="false">IF($J289="","",$J289-IF($L289="",0,$L289))</f>
        <v/>
      </c>
      <c r="N289" s="19" t="str">
        <f aca="true">IF(OR($A289="",$M289="",$M289&lt;=0),"",TODAY()-$A289)</f>
        <v/>
      </c>
      <c r="O289" s="20" t="str">
        <f aca="false">IF($B289="","",IFERROR(INDEX(차량목록!$D$3:$D$42,MATCH($B289,차량목록!$A$3:$A$42,0)),0))</f>
        <v/>
      </c>
      <c r="P289" s="18" t="str">
        <f aca="false">IF($J289="","",ROUND($J289*$O289,0))</f>
        <v/>
      </c>
    </row>
    <row r="290" customFormat="false" ht="15" hidden="false" customHeight="true" outlineLevel="0" collapsed="false">
      <c r="A290" s="13"/>
      <c r="B290" s="10"/>
      <c r="C290" s="14" t="str">
        <f aca="false">IF($B290="","",IFERROR(INDEX(차량목록!$B$3:$B$42,MATCH($B290,차량목록!$A$3:$A$42,0)),"미등록차량"))</f>
        <v/>
      </c>
      <c r="D290" s="10"/>
      <c r="E290" s="10"/>
      <c r="F290" s="15"/>
      <c r="G290" s="15"/>
      <c r="H290" s="16" t="str">
        <f aca="false">IF(OR($F290="",$G290=""),"",ROUND(IF($G290&lt;1,$G290*24,INT($G290/100)+MOD($G290,100)/60)-IF($F290&lt;1,$F290*24,INT($F290/100)+MOD($F290,100)/60),2))</f>
        <v/>
      </c>
      <c r="I290" s="17"/>
      <c r="J290" s="18" t="str">
        <f aca="false">IF(OR($H290="",$I290=""),"",ROUND($H290*$I290,0))</f>
        <v/>
      </c>
      <c r="K290" s="13"/>
      <c r="L290" s="17"/>
      <c r="M290" s="18" t="str">
        <f aca="false">IF($J290="","",$J290-IF($L290="",0,$L290))</f>
        <v/>
      </c>
      <c r="N290" s="19" t="str">
        <f aca="true">IF(OR($A290="",$M290="",$M290&lt;=0),"",TODAY()-$A290)</f>
        <v/>
      </c>
      <c r="O290" s="20" t="str">
        <f aca="false">IF($B290="","",IFERROR(INDEX(차량목록!$D$3:$D$42,MATCH($B290,차량목록!$A$3:$A$42,0)),0))</f>
        <v/>
      </c>
      <c r="P290" s="18" t="str">
        <f aca="false">IF($J290="","",ROUND($J290*$O290,0))</f>
        <v/>
      </c>
    </row>
    <row r="291" customFormat="false" ht="15" hidden="false" customHeight="true" outlineLevel="0" collapsed="false">
      <c r="A291" s="13"/>
      <c r="B291" s="10"/>
      <c r="C291" s="14" t="str">
        <f aca="false">IF($B291="","",IFERROR(INDEX(차량목록!$B$3:$B$42,MATCH($B291,차량목록!$A$3:$A$42,0)),"미등록차량"))</f>
        <v/>
      </c>
      <c r="D291" s="10"/>
      <c r="E291" s="10"/>
      <c r="F291" s="15"/>
      <c r="G291" s="15"/>
      <c r="H291" s="16" t="str">
        <f aca="false">IF(OR($F291="",$G291=""),"",ROUND(IF($G291&lt;1,$G291*24,INT($G291/100)+MOD($G291,100)/60)-IF($F291&lt;1,$F291*24,INT($F291/100)+MOD($F291,100)/60),2))</f>
        <v/>
      </c>
      <c r="I291" s="17"/>
      <c r="J291" s="18" t="str">
        <f aca="false">IF(OR($H291="",$I291=""),"",ROUND($H291*$I291,0))</f>
        <v/>
      </c>
      <c r="K291" s="13"/>
      <c r="L291" s="17"/>
      <c r="M291" s="18" t="str">
        <f aca="false">IF($J291="","",$J291-IF($L291="",0,$L291))</f>
        <v/>
      </c>
      <c r="N291" s="19" t="str">
        <f aca="true">IF(OR($A291="",$M291="",$M291&lt;=0),"",TODAY()-$A291)</f>
        <v/>
      </c>
      <c r="O291" s="20" t="str">
        <f aca="false">IF($B291="","",IFERROR(INDEX(차량목록!$D$3:$D$42,MATCH($B291,차량목록!$A$3:$A$42,0)),0))</f>
        <v/>
      </c>
      <c r="P291" s="18" t="str">
        <f aca="false">IF($J291="","",ROUND($J291*$O291,0))</f>
        <v/>
      </c>
    </row>
    <row r="292" customFormat="false" ht="15" hidden="false" customHeight="true" outlineLevel="0" collapsed="false">
      <c r="A292" s="13"/>
      <c r="B292" s="10"/>
      <c r="C292" s="14" t="str">
        <f aca="false">IF($B292="","",IFERROR(INDEX(차량목록!$B$3:$B$42,MATCH($B292,차량목록!$A$3:$A$42,0)),"미등록차량"))</f>
        <v/>
      </c>
      <c r="D292" s="10"/>
      <c r="E292" s="10"/>
      <c r="F292" s="15"/>
      <c r="G292" s="15"/>
      <c r="H292" s="16" t="str">
        <f aca="false">IF(OR($F292="",$G292=""),"",ROUND(IF($G292&lt;1,$G292*24,INT($G292/100)+MOD($G292,100)/60)-IF($F292&lt;1,$F292*24,INT($F292/100)+MOD($F292,100)/60),2))</f>
        <v/>
      </c>
      <c r="I292" s="17"/>
      <c r="J292" s="18" t="str">
        <f aca="false">IF(OR($H292="",$I292=""),"",ROUND($H292*$I292,0))</f>
        <v/>
      </c>
      <c r="K292" s="13"/>
      <c r="L292" s="17"/>
      <c r="M292" s="18" t="str">
        <f aca="false">IF($J292="","",$J292-IF($L292="",0,$L292))</f>
        <v/>
      </c>
      <c r="N292" s="19" t="str">
        <f aca="true">IF(OR($A292="",$M292="",$M292&lt;=0),"",TODAY()-$A292)</f>
        <v/>
      </c>
      <c r="O292" s="20" t="str">
        <f aca="false">IF($B292="","",IFERROR(INDEX(차량목록!$D$3:$D$42,MATCH($B292,차량목록!$A$3:$A$42,0)),0))</f>
        <v/>
      </c>
      <c r="P292" s="18" t="str">
        <f aca="false">IF($J292="","",ROUND($J292*$O292,0))</f>
        <v/>
      </c>
    </row>
    <row r="293" customFormat="false" ht="15" hidden="false" customHeight="true" outlineLevel="0" collapsed="false">
      <c r="A293" s="13"/>
      <c r="B293" s="10"/>
      <c r="C293" s="14" t="str">
        <f aca="false">IF($B293="","",IFERROR(INDEX(차량목록!$B$3:$B$42,MATCH($B293,차량목록!$A$3:$A$42,0)),"미등록차량"))</f>
        <v/>
      </c>
      <c r="D293" s="10"/>
      <c r="E293" s="10"/>
      <c r="F293" s="15"/>
      <c r="G293" s="15"/>
      <c r="H293" s="16" t="str">
        <f aca="false">IF(OR($F293="",$G293=""),"",ROUND(IF($G293&lt;1,$G293*24,INT($G293/100)+MOD($G293,100)/60)-IF($F293&lt;1,$F293*24,INT($F293/100)+MOD($F293,100)/60),2))</f>
        <v/>
      </c>
      <c r="I293" s="17"/>
      <c r="J293" s="18" t="str">
        <f aca="false">IF(OR($H293="",$I293=""),"",ROUND($H293*$I293,0))</f>
        <v/>
      </c>
      <c r="K293" s="13"/>
      <c r="L293" s="17"/>
      <c r="M293" s="18" t="str">
        <f aca="false">IF($J293="","",$J293-IF($L293="",0,$L293))</f>
        <v/>
      </c>
      <c r="N293" s="19" t="str">
        <f aca="true">IF(OR($A293="",$M293="",$M293&lt;=0),"",TODAY()-$A293)</f>
        <v/>
      </c>
      <c r="O293" s="20" t="str">
        <f aca="false">IF($B293="","",IFERROR(INDEX(차량목록!$D$3:$D$42,MATCH($B293,차량목록!$A$3:$A$42,0)),0))</f>
        <v/>
      </c>
      <c r="P293" s="18" t="str">
        <f aca="false">IF($J293="","",ROUND($J293*$O293,0))</f>
        <v/>
      </c>
    </row>
    <row r="294" customFormat="false" ht="15" hidden="false" customHeight="true" outlineLevel="0" collapsed="false">
      <c r="A294" s="13"/>
      <c r="B294" s="10"/>
      <c r="C294" s="14" t="str">
        <f aca="false">IF($B294="","",IFERROR(INDEX(차량목록!$B$3:$B$42,MATCH($B294,차량목록!$A$3:$A$42,0)),"미등록차량"))</f>
        <v/>
      </c>
      <c r="D294" s="10"/>
      <c r="E294" s="10"/>
      <c r="F294" s="15"/>
      <c r="G294" s="15"/>
      <c r="H294" s="16" t="str">
        <f aca="false">IF(OR($F294="",$G294=""),"",ROUND(IF($G294&lt;1,$G294*24,INT($G294/100)+MOD($G294,100)/60)-IF($F294&lt;1,$F294*24,INT($F294/100)+MOD($F294,100)/60),2))</f>
        <v/>
      </c>
      <c r="I294" s="17"/>
      <c r="J294" s="18" t="str">
        <f aca="false">IF(OR($H294="",$I294=""),"",ROUND($H294*$I294,0))</f>
        <v/>
      </c>
      <c r="K294" s="13"/>
      <c r="L294" s="17"/>
      <c r="M294" s="18" t="str">
        <f aca="false">IF($J294="","",$J294-IF($L294="",0,$L294))</f>
        <v/>
      </c>
      <c r="N294" s="19" t="str">
        <f aca="true">IF(OR($A294="",$M294="",$M294&lt;=0),"",TODAY()-$A294)</f>
        <v/>
      </c>
      <c r="O294" s="20" t="str">
        <f aca="false">IF($B294="","",IFERROR(INDEX(차량목록!$D$3:$D$42,MATCH($B294,차량목록!$A$3:$A$42,0)),0))</f>
        <v/>
      </c>
      <c r="P294" s="18" t="str">
        <f aca="false">IF($J294="","",ROUND($J294*$O294,0))</f>
        <v/>
      </c>
    </row>
    <row r="295" customFormat="false" ht="15" hidden="false" customHeight="true" outlineLevel="0" collapsed="false">
      <c r="A295" s="13"/>
      <c r="B295" s="10"/>
      <c r="C295" s="14" t="str">
        <f aca="false">IF($B295="","",IFERROR(INDEX(차량목록!$B$3:$B$42,MATCH($B295,차량목록!$A$3:$A$42,0)),"미등록차량"))</f>
        <v/>
      </c>
      <c r="D295" s="10"/>
      <c r="E295" s="10"/>
      <c r="F295" s="15"/>
      <c r="G295" s="15"/>
      <c r="H295" s="16" t="str">
        <f aca="false">IF(OR($F295="",$G295=""),"",ROUND(IF($G295&lt;1,$G295*24,INT($G295/100)+MOD($G295,100)/60)-IF($F295&lt;1,$F295*24,INT($F295/100)+MOD($F295,100)/60),2))</f>
        <v/>
      </c>
      <c r="I295" s="17"/>
      <c r="J295" s="18" t="str">
        <f aca="false">IF(OR($H295="",$I295=""),"",ROUND($H295*$I295,0))</f>
        <v/>
      </c>
      <c r="K295" s="13"/>
      <c r="L295" s="17"/>
      <c r="M295" s="18" t="str">
        <f aca="false">IF($J295="","",$J295-IF($L295="",0,$L295))</f>
        <v/>
      </c>
      <c r="N295" s="19" t="str">
        <f aca="true">IF(OR($A295="",$M295="",$M295&lt;=0),"",TODAY()-$A295)</f>
        <v/>
      </c>
      <c r="O295" s="20" t="str">
        <f aca="false">IF($B295="","",IFERROR(INDEX(차량목록!$D$3:$D$42,MATCH($B295,차량목록!$A$3:$A$42,0)),0))</f>
        <v/>
      </c>
      <c r="P295" s="18" t="str">
        <f aca="false">IF($J295="","",ROUND($J295*$O295,0))</f>
        <v/>
      </c>
    </row>
    <row r="296" customFormat="false" ht="15" hidden="false" customHeight="true" outlineLevel="0" collapsed="false">
      <c r="A296" s="13"/>
      <c r="B296" s="10"/>
      <c r="C296" s="14" t="str">
        <f aca="false">IF($B296="","",IFERROR(INDEX(차량목록!$B$3:$B$42,MATCH($B296,차량목록!$A$3:$A$42,0)),"미등록차량"))</f>
        <v/>
      </c>
      <c r="D296" s="10"/>
      <c r="E296" s="10"/>
      <c r="F296" s="15"/>
      <c r="G296" s="15"/>
      <c r="H296" s="16" t="str">
        <f aca="false">IF(OR($F296="",$G296=""),"",ROUND(IF($G296&lt;1,$G296*24,INT($G296/100)+MOD($G296,100)/60)-IF($F296&lt;1,$F296*24,INT($F296/100)+MOD($F296,100)/60),2))</f>
        <v/>
      </c>
      <c r="I296" s="17"/>
      <c r="J296" s="18" t="str">
        <f aca="false">IF(OR($H296="",$I296=""),"",ROUND($H296*$I296,0))</f>
        <v/>
      </c>
      <c r="K296" s="13"/>
      <c r="L296" s="17"/>
      <c r="M296" s="18" t="str">
        <f aca="false">IF($J296="","",$J296-IF($L296="",0,$L296))</f>
        <v/>
      </c>
      <c r="N296" s="19" t="str">
        <f aca="true">IF(OR($A296="",$M296="",$M296&lt;=0),"",TODAY()-$A296)</f>
        <v/>
      </c>
      <c r="O296" s="20" t="str">
        <f aca="false">IF($B296="","",IFERROR(INDEX(차량목록!$D$3:$D$42,MATCH($B296,차량목록!$A$3:$A$42,0)),0))</f>
        <v/>
      </c>
      <c r="P296" s="18" t="str">
        <f aca="false">IF($J296="","",ROUND($J296*$O296,0))</f>
        <v/>
      </c>
    </row>
    <row r="297" customFormat="false" ht="15" hidden="false" customHeight="true" outlineLevel="0" collapsed="false">
      <c r="A297" s="13"/>
      <c r="B297" s="10"/>
      <c r="C297" s="14" t="str">
        <f aca="false">IF($B297="","",IFERROR(INDEX(차량목록!$B$3:$B$42,MATCH($B297,차량목록!$A$3:$A$42,0)),"미등록차량"))</f>
        <v/>
      </c>
      <c r="D297" s="10"/>
      <c r="E297" s="10"/>
      <c r="F297" s="15"/>
      <c r="G297" s="15"/>
      <c r="H297" s="16" t="str">
        <f aca="false">IF(OR($F297="",$G297=""),"",ROUND(IF($G297&lt;1,$G297*24,INT($G297/100)+MOD($G297,100)/60)-IF($F297&lt;1,$F297*24,INT($F297/100)+MOD($F297,100)/60),2))</f>
        <v/>
      </c>
      <c r="I297" s="17"/>
      <c r="J297" s="18" t="str">
        <f aca="false">IF(OR($H297="",$I297=""),"",ROUND($H297*$I297,0))</f>
        <v/>
      </c>
      <c r="K297" s="13"/>
      <c r="L297" s="17"/>
      <c r="M297" s="18" t="str">
        <f aca="false">IF($J297="","",$J297-IF($L297="",0,$L297))</f>
        <v/>
      </c>
      <c r="N297" s="19" t="str">
        <f aca="true">IF(OR($A297="",$M297="",$M297&lt;=0),"",TODAY()-$A297)</f>
        <v/>
      </c>
      <c r="O297" s="20" t="str">
        <f aca="false">IF($B297="","",IFERROR(INDEX(차량목록!$D$3:$D$42,MATCH($B297,차량목록!$A$3:$A$42,0)),0))</f>
        <v/>
      </c>
      <c r="P297" s="18" t="str">
        <f aca="false">IF($J297="","",ROUND($J297*$O297,0))</f>
        <v/>
      </c>
    </row>
    <row r="298" customFormat="false" ht="15" hidden="false" customHeight="true" outlineLevel="0" collapsed="false">
      <c r="A298" s="13"/>
      <c r="B298" s="10"/>
      <c r="C298" s="14" t="str">
        <f aca="false">IF($B298="","",IFERROR(INDEX(차량목록!$B$3:$B$42,MATCH($B298,차량목록!$A$3:$A$42,0)),"미등록차량"))</f>
        <v/>
      </c>
      <c r="D298" s="10"/>
      <c r="E298" s="10"/>
      <c r="F298" s="15"/>
      <c r="G298" s="15"/>
      <c r="H298" s="16" t="str">
        <f aca="false">IF(OR($F298="",$G298=""),"",ROUND(IF($G298&lt;1,$G298*24,INT($G298/100)+MOD($G298,100)/60)-IF($F298&lt;1,$F298*24,INT($F298/100)+MOD($F298,100)/60),2))</f>
        <v/>
      </c>
      <c r="I298" s="17"/>
      <c r="J298" s="18" t="str">
        <f aca="false">IF(OR($H298="",$I298=""),"",ROUND($H298*$I298,0))</f>
        <v/>
      </c>
      <c r="K298" s="13"/>
      <c r="L298" s="17"/>
      <c r="M298" s="18" t="str">
        <f aca="false">IF($J298="","",$J298-IF($L298="",0,$L298))</f>
        <v/>
      </c>
      <c r="N298" s="19" t="str">
        <f aca="true">IF(OR($A298="",$M298="",$M298&lt;=0),"",TODAY()-$A298)</f>
        <v/>
      </c>
      <c r="O298" s="20" t="str">
        <f aca="false">IF($B298="","",IFERROR(INDEX(차량목록!$D$3:$D$42,MATCH($B298,차량목록!$A$3:$A$42,0)),0))</f>
        <v/>
      </c>
      <c r="P298" s="18" t="str">
        <f aca="false">IF($J298="","",ROUND($J298*$O298,0))</f>
        <v/>
      </c>
    </row>
    <row r="299" customFormat="false" ht="15" hidden="false" customHeight="true" outlineLevel="0" collapsed="false">
      <c r="A299" s="13"/>
      <c r="B299" s="10"/>
      <c r="C299" s="14" t="str">
        <f aca="false">IF($B299="","",IFERROR(INDEX(차량목록!$B$3:$B$42,MATCH($B299,차량목록!$A$3:$A$42,0)),"미등록차량"))</f>
        <v/>
      </c>
      <c r="D299" s="10"/>
      <c r="E299" s="10"/>
      <c r="F299" s="15"/>
      <c r="G299" s="15"/>
      <c r="H299" s="16" t="str">
        <f aca="false">IF(OR($F299="",$G299=""),"",ROUND(IF($G299&lt;1,$G299*24,INT($G299/100)+MOD($G299,100)/60)-IF($F299&lt;1,$F299*24,INT($F299/100)+MOD($F299,100)/60),2))</f>
        <v/>
      </c>
      <c r="I299" s="17"/>
      <c r="J299" s="18" t="str">
        <f aca="false">IF(OR($H299="",$I299=""),"",ROUND($H299*$I299,0))</f>
        <v/>
      </c>
      <c r="K299" s="13"/>
      <c r="L299" s="17"/>
      <c r="M299" s="18" t="str">
        <f aca="false">IF($J299="","",$J299-IF($L299="",0,$L299))</f>
        <v/>
      </c>
      <c r="N299" s="19" t="str">
        <f aca="true">IF(OR($A299="",$M299="",$M299&lt;=0),"",TODAY()-$A299)</f>
        <v/>
      </c>
      <c r="O299" s="20" t="str">
        <f aca="false">IF($B299="","",IFERROR(INDEX(차량목록!$D$3:$D$42,MATCH($B299,차량목록!$A$3:$A$42,0)),0))</f>
        <v/>
      </c>
      <c r="P299" s="18" t="str">
        <f aca="false">IF($J299="","",ROUND($J299*$O299,0))</f>
        <v/>
      </c>
    </row>
    <row r="300" customFormat="false" ht="15" hidden="false" customHeight="true" outlineLevel="0" collapsed="false">
      <c r="A300" s="13"/>
      <c r="B300" s="10"/>
      <c r="C300" s="14" t="str">
        <f aca="false">IF($B300="","",IFERROR(INDEX(차량목록!$B$3:$B$42,MATCH($B300,차량목록!$A$3:$A$42,0)),"미등록차량"))</f>
        <v/>
      </c>
      <c r="D300" s="10"/>
      <c r="E300" s="10"/>
      <c r="F300" s="15"/>
      <c r="G300" s="15"/>
      <c r="H300" s="16" t="str">
        <f aca="false">IF(OR($F300="",$G300=""),"",ROUND(IF($G300&lt;1,$G300*24,INT($G300/100)+MOD($G300,100)/60)-IF($F300&lt;1,$F300*24,INT($F300/100)+MOD($F300,100)/60),2))</f>
        <v/>
      </c>
      <c r="I300" s="17"/>
      <c r="J300" s="18" t="str">
        <f aca="false">IF(OR($H300="",$I300=""),"",ROUND($H300*$I300,0))</f>
        <v/>
      </c>
      <c r="K300" s="13"/>
      <c r="L300" s="17"/>
      <c r="M300" s="18" t="str">
        <f aca="false">IF($J300="","",$J300-IF($L300="",0,$L300))</f>
        <v/>
      </c>
      <c r="N300" s="19" t="str">
        <f aca="true">IF(OR($A300="",$M300="",$M300&lt;=0),"",TODAY()-$A300)</f>
        <v/>
      </c>
      <c r="O300" s="20" t="str">
        <f aca="false">IF($B300="","",IFERROR(INDEX(차량목록!$D$3:$D$42,MATCH($B300,차량목록!$A$3:$A$42,0)),0))</f>
        <v/>
      </c>
      <c r="P300" s="18" t="str">
        <f aca="false">IF($J300="","",ROUND($J300*$O300,0))</f>
        <v/>
      </c>
    </row>
    <row r="301" customFormat="false" ht="15" hidden="false" customHeight="true" outlineLevel="0" collapsed="false">
      <c r="A301" s="13"/>
      <c r="B301" s="10"/>
      <c r="C301" s="14" t="str">
        <f aca="false">IF($B301="","",IFERROR(INDEX(차량목록!$B$3:$B$42,MATCH($B301,차량목록!$A$3:$A$42,0)),"미등록차량"))</f>
        <v/>
      </c>
      <c r="D301" s="10"/>
      <c r="E301" s="10"/>
      <c r="F301" s="15"/>
      <c r="G301" s="15"/>
      <c r="H301" s="16" t="str">
        <f aca="false">IF(OR($F301="",$G301=""),"",ROUND(IF($G301&lt;1,$G301*24,INT($G301/100)+MOD($G301,100)/60)-IF($F301&lt;1,$F301*24,INT($F301/100)+MOD($F301,100)/60),2))</f>
        <v/>
      </c>
      <c r="I301" s="17"/>
      <c r="J301" s="18" t="str">
        <f aca="false">IF(OR($H301="",$I301=""),"",ROUND($H301*$I301,0))</f>
        <v/>
      </c>
      <c r="K301" s="13"/>
      <c r="L301" s="17"/>
      <c r="M301" s="18" t="str">
        <f aca="false">IF($J301="","",$J301-IF($L301="",0,$L301))</f>
        <v/>
      </c>
      <c r="N301" s="19" t="str">
        <f aca="true">IF(OR($A301="",$M301="",$M301&lt;=0),"",TODAY()-$A301)</f>
        <v/>
      </c>
      <c r="O301" s="20" t="str">
        <f aca="false">IF($B301="","",IFERROR(INDEX(차량목록!$D$3:$D$42,MATCH($B301,차량목록!$A$3:$A$42,0)),0))</f>
        <v/>
      </c>
      <c r="P301" s="18" t="str">
        <f aca="false">IF($J301="","",ROUND($J301*$O301,0))</f>
        <v/>
      </c>
    </row>
    <row r="302" customFormat="false" ht="15" hidden="false" customHeight="true" outlineLevel="0" collapsed="false">
      <c r="A302" s="13"/>
      <c r="B302" s="10"/>
      <c r="C302" s="14" t="str">
        <f aca="false">IF($B302="","",IFERROR(INDEX(차량목록!$B$3:$B$42,MATCH($B302,차량목록!$A$3:$A$42,0)),"미등록차량"))</f>
        <v/>
      </c>
      <c r="D302" s="10"/>
      <c r="E302" s="10"/>
      <c r="F302" s="15"/>
      <c r="G302" s="15"/>
      <c r="H302" s="16" t="str">
        <f aca="false">IF(OR($F302="",$G302=""),"",ROUND(IF($G302&lt;1,$G302*24,INT($G302/100)+MOD($G302,100)/60)-IF($F302&lt;1,$F302*24,INT($F302/100)+MOD($F302,100)/60),2))</f>
        <v/>
      </c>
      <c r="I302" s="17"/>
      <c r="J302" s="18" t="str">
        <f aca="false">IF(OR($H302="",$I302=""),"",ROUND($H302*$I302,0))</f>
        <v/>
      </c>
      <c r="K302" s="13"/>
      <c r="L302" s="17"/>
      <c r="M302" s="18" t="str">
        <f aca="false">IF($J302="","",$J302-IF($L302="",0,$L302))</f>
        <v/>
      </c>
      <c r="N302" s="19" t="str">
        <f aca="true">IF(OR($A302="",$M302="",$M302&lt;=0),"",TODAY()-$A302)</f>
        <v/>
      </c>
      <c r="O302" s="20" t="str">
        <f aca="false">IF($B302="","",IFERROR(INDEX(차량목록!$D$3:$D$42,MATCH($B302,차량목록!$A$3:$A$42,0)),0))</f>
        <v/>
      </c>
      <c r="P302" s="18" t="str">
        <f aca="false">IF($J302="","",ROUND($J302*$O302,0))</f>
        <v/>
      </c>
    </row>
    <row r="303" customFormat="false" ht="15" hidden="false" customHeight="true" outlineLevel="0" collapsed="false">
      <c r="A303" s="13"/>
      <c r="B303" s="10"/>
      <c r="C303" s="14" t="str">
        <f aca="false">IF($B303="","",IFERROR(INDEX(차량목록!$B$3:$B$42,MATCH($B303,차량목록!$A$3:$A$42,0)),"미등록차량"))</f>
        <v/>
      </c>
      <c r="D303" s="10"/>
      <c r="E303" s="10"/>
      <c r="F303" s="15"/>
      <c r="G303" s="15"/>
      <c r="H303" s="16" t="str">
        <f aca="false">IF(OR($F303="",$G303=""),"",ROUND(IF($G303&lt;1,$G303*24,INT($G303/100)+MOD($G303,100)/60)-IF($F303&lt;1,$F303*24,INT($F303/100)+MOD($F303,100)/60),2))</f>
        <v/>
      </c>
      <c r="I303" s="17"/>
      <c r="J303" s="18" t="str">
        <f aca="false">IF(OR($H303="",$I303=""),"",ROUND($H303*$I303,0))</f>
        <v/>
      </c>
      <c r="K303" s="13"/>
      <c r="L303" s="17"/>
      <c r="M303" s="18" t="str">
        <f aca="false">IF($J303="","",$J303-IF($L303="",0,$L303))</f>
        <v/>
      </c>
      <c r="N303" s="19" t="str">
        <f aca="true">IF(OR($A303="",$M303="",$M303&lt;=0),"",TODAY()-$A303)</f>
        <v/>
      </c>
      <c r="O303" s="20" t="str">
        <f aca="false">IF($B303="","",IFERROR(INDEX(차량목록!$D$3:$D$42,MATCH($B303,차량목록!$A$3:$A$42,0)),0))</f>
        <v/>
      </c>
      <c r="P303" s="18" t="str">
        <f aca="false">IF($J303="","",ROUND($J303*$O303,0))</f>
        <v/>
      </c>
    </row>
    <row r="304" customFormat="false" ht="15" hidden="false" customHeight="true" outlineLevel="0" collapsed="false">
      <c r="A304" s="13"/>
      <c r="B304" s="10"/>
      <c r="C304" s="14" t="str">
        <f aca="false">IF($B304="","",IFERROR(INDEX(차량목록!$B$3:$B$42,MATCH($B304,차량목록!$A$3:$A$42,0)),"미등록차량"))</f>
        <v/>
      </c>
      <c r="D304" s="10"/>
      <c r="E304" s="10"/>
      <c r="F304" s="15"/>
      <c r="G304" s="15"/>
      <c r="H304" s="16" t="str">
        <f aca="false">IF(OR($F304="",$G304=""),"",ROUND(IF($G304&lt;1,$G304*24,INT($G304/100)+MOD($G304,100)/60)-IF($F304&lt;1,$F304*24,INT($F304/100)+MOD($F304,100)/60),2))</f>
        <v/>
      </c>
      <c r="I304" s="17"/>
      <c r="J304" s="18" t="str">
        <f aca="false">IF(OR($H304="",$I304=""),"",ROUND($H304*$I304,0))</f>
        <v/>
      </c>
      <c r="K304" s="13"/>
      <c r="L304" s="17"/>
      <c r="M304" s="18" t="str">
        <f aca="false">IF($J304="","",$J304-IF($L304="",0,$L304))</f>
        <v/>
      </c>
      <c r="N304" s="19" t="str">
        <f aca="true">IF(OR($A304="",$M304="",$M304&lt;=0),"",TODAY()-$A304)</f>
        <v/>
      </c>
      <c r="O304" s="20" t="str">
        <f aca="false">IF($B304="","",IFERROR(INDEX(차량목록!$D$3:$D$42,MATCH($B304,차량목록!$A$3:$A$42,0)),0))</f>
        <v/>
      </c>
      <c r="P304" s="18" t="str">
        <f aca="false">IF($J304="","",ROUND($J304*$O304,0))</f>
        <v/>
      </c>
    </row>
    <row r="305" customFormat="false" ht="15" hidden="false" customHeight="true" outlineLevel="0" collapsed="false">
      <c r="A305" s="13"/>
      <c r="B305" s="10"/>
      <c r="C305" s="14" t="str">
        <f aca="false">IF($B305="","",IFERROR(INDEX(차량목록!$B$3:$B$42,MATCH($B305,차량목록!$A$3:$A$42,0)),"미등록차량"))</f>
        <v/>
      </c>
      <c r="D305" s="10"/>
      <c r="E305" s="10"/>
      <c r="F305" s="15"/>
      <c r="G305" s="15"/>
      <c r="H305" s="16" t="str">
        <f aca="false">IF(OR($F305="",$G305=""),"",ROUND(IF($G305&lt;1,$G305*24,INT($G305/100)+MOD($G305,100)/60)-IF($F305&lt;1,$F305*24,INT($F305/100)+MOD($F305,100)/60),2))</f>
        <v/>
      </c>
      <c r="I305" s="17"/>
      <c r="J305" s="18" t="str">
        <f aca="false">IF(OR($H305="",$I305=""),"",ROUND($H305*$I305,0))</f>
        <v/>
      </c>
      <c r="K305" s="13"/>
      <c r="L305" s="17"/>
      <c r="M305" s="18" t="str">
        <f aca="false">IF($J305="","",$J305-IF($L305="",0,$L305))</f>
        <v/>
      </c>
      <c r="N305" s="19" t="str">
        <f aca="true">IF(OR($A305="",$M305="",$M305&lt;=0),"",TODAY()-$A305)</f>
        <v/>
      </c>
      <c r="O305" s="20" t="str">
        <f aca="false">IF($B305="","",IFERROR(INDEX(차량목록!$D$3:$D$42,MATCH($B305,차량목록!$A$3:$A$42,0)),0))</f>
        <v/>
      </c>
      <c r="P305" s="18" t="str">
        <f aca="false">IF($J305="","",ROUND($J305*$O305,0))</f>
        <v/>
      </c>
    </row>
    <row r="306" customFormat="false" ht="15" hidden="false" customHeight="true" outlineLevel="0" collapsed="false">
      <c r="A306" s="13"/>
      <c r="B306" s="10"/>
      <c r="C306" s="14" t="str">
        <f aca="false">IF($B306="","",IFERROR(INDEX(차량목록!$B$3:$B$42,MATCH($B306,차량목록!$A$3:$A$42,0)),"미등록차량"))</f>
        <v/>
      </c>
      <c r="D306" s="10"/>
      <c r="E306" s="10"/>
      <c r="F306" s="15"/>
      <c r="G306" s="15"/>
      <c r="H306" s="16" t="str">
        <f aca="false">IF(OR($F306="",$G306=""),"",ROUND(IF($G306&lt;1,$G306*24,INT($G306/100)+MOD($G306,100)/60)-IF($F306&lt;1,$F306*24,INT($F306/100)+MOD($F306,100)/60),2))</f>
        <v/>
      </c>
      <c r="I306" s="17"/>
      <c r="J306" s="18" t="str">
        <f aca="false">IF(OR($H306="",$I306=""),"",ROUND($H306*$I306,0))</f>
        <v/>
      </c>
      <c r="K306" s="13"/>
      <c r="L306" s="17"/>
      <c r="M306" s="18" t="str">
        <f aca="false">IF($J306="","",$J306-IF($L306="",0,$L306))</f>
        <v/>
      </c>
      <c r="N306" s="19" t="str">
        <f aca="true">IF(OR($A306="",$M306="",$M306&lt;=0),"",TODAY()-$A306)</f>
        <v/>
      </c>
      <c r="O306" s="20" t="str">
        <f aca="false">IF($B306="","",IFERROR(INDEX(차량목록!$D$3:$D$42,MATCH($B306,차량목록!$A$3:$A$42,0)),0))</f>
        <v/>
      </c>
      <c r="P306" s="18" t="str">
        <f aca="false">IF($J306="","",ROUND($J306*$O306,0))</f>
        <v/>
      </c>
    </row>
    <row r="307" customFormat="false" ht="15" hidden="false" customHeight="true" outlineLevel="0" collapsed="false">
      <c r="A307" s="13"/>
      <c r="B307" s="10"/>
      <c r="C307" s="14" t="str">
        <f aca="false">IF($B307="","",IFERROR(INDEX(차량목록!$B$3:$B$42,MATCH($B307,차량목록!$A$3:$A$42,0)),"미등록차량"))</f>
        <v/>
      </c>
      <c r="D307" s="10"/>
      <c r="E307" s="10"/>
      <c r="F307" s="15"/>
      <c r="G307" s="15"/>
      <c r="H307" s="16" t="str">
        <f aca="false">IF(OR($F307="",$G307=""),"",ROUND(IF($G307&lt;1,$G307*24,INT($G307/100)+MOD($G307,100)/60)-IF($F307&lt;1,$F307*24,INT($F307/100)+MOD($F307,100)/60),2))</f>
        <v/>
      </c>
      <c r="I307" s="17"/>
      <c r="J307" s="18" t="str">
        <f aca="false">IF(OR($H307="",$I307=""),"",ROUND($H307*$I307,0))</f>
        <v/>
      </c>
      <c r="K307" s="13"/>
      <c r="L307" s="17"/>
      <c r="M307" s="18" t="str">
        <f aca="false">IF($J307="","",$J307-IF($L307="",0,$L307))</f>
        <v/>
      </c>
      <c r="N307" s="19" t="str">
        <f aca="true">IF(OR($A307="",$M307="",$M307&lt;=0),"",TODAY()-$A307)</f>
        <v/>
      </c>
      <c r="O307" s="20" t="str">
        <f aca="false">IF($B307="","",IFERROR(INDEX(차량목록!$D$3:$D$42,MATCH($B307,차량목록!$A$3:$A$42,0)),0))</f>
        <v/>
      </c>
      <c r="P307" s="18" t="str">
        <f aca="false">IF($J307="","",ROUND($J307*$O307,0))</f>
        <v/>
      </c>
    </row>
    <row r="308" customFormat="false" ht="15" hidden="false" customHeight="true" outlineLevel="0" collapsed="false">
      <c r="A308" s="13"/>
      <c r="B308" s="10"/>
      <c r="C308" s="14" t="str">
        <f aca="false">IF($B308="","",IFERROR(INDEX(차량목록!$B$3:$B$42,MATCH($B308,차량목록!$A$3:$A$42,0)),"미등록차량"))</f>
        <v/>
      </c>
      <c r="D308" s="10"/>
      <c r="E308" s="10"/>
      <c r="F308" s="15"/>
      <c r="G308" s="15"/>
      <c r="H308" s="16" t="str">
        <f aca="false">IF(OR($F308="",$G308=""),"",ROUND(IF($G308&lt;1,$G308*24,INT($G308/100)+MOD($G308,100)/60)-IF($F308&lt;1,$F308*24,INT($F308/100)+MOD($F308,100)/60),2))</f>
        <v/>
      </c>
      <c r="I308" s="17"/>
      <c r="J308" s="18" t="str">
        <f aca="false">IF(OR($H308="",$I308=""),"",ROUND($H308*$I308,0))</f>
        <v/>
      </c>
      <c r="K308" s="13"/>
      <c r="L308" s="17"/>
      <c r="M308" s="18" t="str">
        <f aca="false">IF($J308="","",$J308-IF($L308="",0,$L308))</f>
        <v/>
      </c>
      <c r="N308" s="19" t="str">
        <f aca="true">IF(OR($A308="",$M308="",$M308&lt;=0),"",TODAY()-$A308)</f>
        <v/>
      </c>
      <c r="O308" s="20" t="str">
        <f aca="false">IF($B308="","",IFERROR(INDEX(차량목록!$D$3:$D$42,MATCH($B308,차량목록!$A$3:$A$42,0)),0))</f>
        <v/>
      </c>
      <c r="P308" s="18" t="str">
        <f aca="false">IF($J308="","",ROUND($J308*$O308,0))</f>
        <v/>
      </c>
    </row>
    <row r="309" customFormat="false" ht="15" hidden="false" customHeight="true" outlineLevel="0" collapsed="false">
      <c r="A309" s="13"/>
      <c r="B309" s="10"/>
      <c r="C309" s="14" t="str">
        <f aca="false">IF($B309="","",IFERROR(INDEX(차량목록!$B$3:$B$42,MATCH($B309,차량목록!$A$3:$A$42,0)),"미등록차량"))</f>
        <v/>
      </c>
      <c r="D309" s="10"/>
      <c r="E309" s="10"/>
      <c r="F309" s="15"/>
      <c r="G309" s="15"/>
      <c r="H309" s="16" t="str">
        <f aca="false">IF(OR($F309="",$G309=""),"",ROUND(IF($G309&lt;1,$G309*24,INT($G309/100)+MOD($G309,100)/60)-IF($F309&lt;1,$F309*24,INT($F309/100)+MOD($F309,100)/60),2))</f>
        <v/>
      </c>
      <c r="I309" s="17"/>
      <c r="J309" s="18" t="str">
        <f aca="false">IF(OR($H309="",$I309=""),"",ROUND($H309*$I309,0))</f>
        <v/>
      </c>
      <c r="K309" s="13"/>
      <c r="L309" s="17"/>
      <c r="M309" s="18" t="str">
        <f aca="false">IF($J309="","",$J309-IF($L309="",0,$L309))</f>
        <v/>
      </c>
      <c r="N309" s="19" t="str">
        <f aca="true">IF(OR($A309="",$M309="",$M309&lt;=0),"",TODAY()-$A309)</f>
        <v/>
      </c>
      <c r="O309" s="20" t="str">
        <f aca="false">IF($B309="","",IFERROR(INDEX(차량목록!$D$3:$D$42,MATCH($B309,차량목록!$A$3:$A$42,0)),0))</f>
        <v/>
      </c>
      <c r="P309" s="18" t="str">
        <f aca="false">IF($J309="","",ROUND($J309*$O309,0))</f>
        <v/>
      </c>
    </row>
    <row r="310" customFormat="false" ht="15" hidden="false" customHeight="true" outlineLevel="0" collapsed="false">
      <c r="A310" s="13"/>
      <c r="B310" s="10"/>
      <c r="C310" s="14" t="str">
        <f aca="false">IF($B310="","",IFERROR(INDEX(차량목록!$B$3:$B$42,MATCH($B310,차량목록!$A$3:$A$42,0)),"미등록차량"))</f>
        <v/>
      </c>
      <c r="D310" s="10"/>
      <c r="E310" s="10"/>
      <c r="F310" s="15"/>
      <c r="G310" s="15"/>
      <c r="H310" s="16" t="str">
        <f aca="false">IF(OR($F310="",$G310=""),"",ROUND(IF($G310&lt;1,$G310*24,INT($G310/100)+MOD($G310,100)/60)-IF($F310&lt;1,$F310*24,INT($F310/100)+MOD($F310,100)/60),2))</f>
        <v/>
      </c>
      <c r="I310" s="17"/>
      <c r="J310" s="18" t="str">
        <f aca="false">IF(OR($H310="",$I310=""),"",ROUND($H310*$I310,0))</f>
        <v/>
      </c>
      <c r="K310" s="13"/>
      <c r="L310" s="17"/>
      <c r="M310" s="18" t="str">
        <f aca="false">IF($J310="","",$J310-IF($L310="",0,$L310))</f>
        <v/>
      </c>
      <c r="N310" s="19" t="str">
        <f aca="true">IF(OR($A310="",$M310="",$M310&lt;=0),"",TODAY()-$A310)</f>
        <v/>
      </c>
      <c r="O310" s="20" t="str">
        <f aca="false">IF($B310="","",IFERROR(INDEX(차량목록!$D$3:$D$42,MATCH($B310,차량목록!$A$3:$A$42,0)),0))</f>
        <v/>
      </c>
      <c r="P310" s="18" t="str">
        <f aca="false">IF($J310="","",ROUND($J310*$O310,0))</f>
        <v/>
      </c>
    </row>
    <row r="311" customFormat="false" ht="15" hidden="false" customHeight="true" outlineLevel="0" collapsed="false">
      <c r="A311" s="13"/>
      <c r="B311" s="10"/>
      <c r="C311" s="14" t="str">
        <f aca="false">IF($B311="","",IFERROR(INDEX(차량목록!$B$3:$B$42,MATCH($B311,차량목록!$A$3:$A$42,0)),"미등록차량"))</f>
        <v/>
      </c>
      <c r="D311" s="10"/>
      <c r="E311" s="10"/>
      <c r="F311" s="15"/>
      <c r="G311" s="15"/>
      <c r="H311" s="16" t="str">
        <f aca="false">IF(OR($F311="",$G311=""),"",ROUND(IF($G311&lt;1,$G311*24,INT($G311/100)+MOD($G311,100)/60)-IF($F311&lt;1,$F311*24,INT($F311/100)+MOD($F311,100)/60),2))</f>
        <v/>
      </c>
      <c r="I311" s="17"/>
      <c r="J311" s="18" t="str">
        <f aca="false">IF(OR($H311="",$I311=""),"",ROUND($H311*$I311,0))</f>
        <v/>
      </c>
      <c r="K311" s="13"/>
      <c r="L311" s="17"/>
      <c r="M311" s="18" t="str">
        <f aca="false">IF($J311="","",$J311-IF($L311="",0,$L311))</f>
        <v/>
      </c>
      <c r="N311" s="19" t="str">
        <f aca="true">IF(OR($A311="",$M311="",$M311&lt;=0),"",TODAY()-$A311)</f>
        <v/>
      </c>
      <c r="O311" s="20" t="str">
        <f aca="false">IF($B311="","",IFERROR(INDEX(차량목록!$D$3:$D$42,MATCH($B311,차량목록!$A$3:$A$42,0)),0))</f>
        <v/>
      </c>
      <c r="P311" s="18" t="str">
        <f aca="false">IF($J311="","",ROUND($J311*$O311,0))</f>
        <v/>
      </c>
    </row>
    <row r="312" customFormat="false" ht="15" hidden="false" customHeight="true" outlineLevel="0" collapsed="false">
      <c r="A312" s="13"/>
      <c r="B312" s="10"/>
      <c r="C312" s="14" t="str">
        <f aca="false">IF($B312="","",IFERROR(INDEX(차량목록!$B$3:$B$42,MATCH($B312,차량목록!$A$3:$A$42,0)),"미등록차량"))</f>
        <v/>
      </c>
      <c r="D312" s="10"/>
      <c r="E312" s="10"/>
      <c r="F312" s="15"/>
      <c r="G312" s="15"/>
      <c r="H312" s="16" t="str">
        <f aca="false">IF(OR($F312="",$G312=""),"",ROUND(IF($G312&lt;1,$G312*24,INT($G312/100)+MOD($G312,100)/60)-IF($F312&lt;1,$F312*24,INT($F312/100)+MOD($F312,100)/60),2))</f>
        <v/>
      </c>
      <c r="I312" s="17"/>
      <c r="J312" s="18" t="str">
        <f aca="false">IF(OR($H312="",$I312=""),"",ROUND($H312*$I312,0))</f>
        <v/>
      </c>
      <c r="K312" s="13"/>
      <c r="L312" s="17"/>
      <c r="M312" s="18" t="str">
        <f aca="false">IF($J312="","",$J312-IF($L312="",0,$L312))</f>
        <v/>
      </c>
      <c r="N312" s="19" t="str">
        <f aca="true">IF(OR($A312="",$M312="",$M312&lt;=0),"",TODAY()-$A312)</f>
        <v/>
      </c>
      <c r="O312" s="20" t="str">
        <f aca="false">IF($B312="","",IFERROR(INDEX(차량목록!$D$3:$D$42,MATCH($B312,차량목록!$A$3:$A$42,0)),0))</f>
        <v/>
      </c>
      <c r="P312" s="18" t="str">
        <f aca="false">IF($J312="","",ROUND($J312*$O312,0))</f>
        <v/>
      </c>
    </row>
    <row r="313" customFormat="false" ht="15" hidden="false" customHeight="true" outlineLevel="0" collapsed="false">
      <c r="A313" s="13"/>
      <c r="B313" s="10"/>
      <c r="C313" s="14" t="str">
        <f aca="false">IF($B313="","",IFERROR(INDEX(차량목록!$B$3:$B$42,MATCH($B313,차량목록!$A$3:$A$42,0)),"미등록차량"))</f>
        <v/>
      </c>
      <c r="D313" s="10"/>
      <c r="E313" s="10"/>
      <c r="F313" s="15"/>
      <c r="G313" s="15"/>
      <c r="H313" s="16" t="str">
        <f aca="false">IF(OR($F313="",$G313=""),"",ROUND(IF($G313&lt;1,$G313*24,INT($G313/100)+MOD($G313,100)/60)-IF($F313&lt;1,$F313*24,INT($F313/100)+MOD($F313,100)/60),2))</f>
        <v/>
      </c>
      <c r="I313" s="17"/>
      <c r="J313" s="18" t="str">
        <f aca="false">IF(OR($H313="",$I313=""),"",ROUND($H313*$I313,0))</f>
        <v/>
      </c>
      <c r="K313" s="13"/>
      <c r="L313" s="17"/>
      <c r="M313" s="18" t="str">
        <f aca="false">IF($J313="","",$J313-IF($L313="",0,$L313))</f>
        <v/>
      </c>
      <c r="N313" s="19" t="str">
        <f aca="true">IF(OR($A313="",$M313="",$M313&lt;=0),"",TODAY()-$A313)</f>
        <v/>
      </c>
      <c r="O313" s="20" t="str">
        <f aca="false">IF($B313="","",IFERROR(INDEX(차량목록!$D$3:$D$42,MATCH($B313,차량목록!$A$3:$A$42,0)),0))</f>
        <v/>
      </c>
      <c r="P313" s="18" t="str">
        <f aca="false">IF($J313="","",ROUND($J313*$O313,0))</f>
        <v/>
      </c>
    </row>
    <row r="314" customFormat="false" ht="15" hidden="false" customHeight="true" outlineLevel="0" collapsed="false">
      <c r="A314" s="13"/>
      <c r="B314" s="10"/>
      <c r="C314" s="14" t="str">
        <f aca="false">IF($B314="","",IFERROR(INDEX(차량목록!$B$3:$B$42,MATCH($B314,차량목록!$A$3:$A$42,0)),"미등록차량"))</f>
        <v/>
      </c>
      <c r="D314" s="10"/>
      <c r="E314" s="10"/>
      <c r="F314" s="15"/>
      <c r="G314" s="15"/>
      <c r="H314" s="16" t="str">
        <f aca="false">IF(OR($F314="",$G314=""),"",ROUND(IF($G314&lt;1,$G314*24,INT($G314/100)+MOD($G314,100)/60)-IF($F314&lt;1,$F314*24,INT($F314/100)+MOD($F314,100)/60),2))</f>
        <v/>
      </c>
      <c r="I314" s="17"/>
      <c r="J314" s="18" t="str">
        <f aca="false">IF(OR($H314="",$I314=""),"",ROUND($H314*$I314,0))</f>
        <v/>
      </c>
      <c r="K314" s="13"/>
      <c r="L314" s="17"/>
      <c r="M314" s="18" t="str">
        <f aca="false">IF($J314="","",$J314-IF($L314="",0,$L314))</f>
        <v/>
      </c>
      <c r="N314" s="19" t="str">
        <f aca="true">IF(OR($A314="",$M314="",$M314&lt;=0),"",TODAY()-$A314)</f>
        <v/>
      </c>
      <c r="O314" s="20" t="str">
        <f aca="false">IF($B314="","",IFERROR(INDEX(차량목록!$D$3:$D$42,MATCH($B314,차량목록!$A$3:$A$42,0)),0))</f>
        <v/>
      </c>
      <c r="P314" s="18" t="str">
        <f aca="false">IF($J314="","",ROUND($J314*$O314,0))</f>
        <v/>
      </c>
    </row>
    <row r="315" customFormat="false" ht="15" hidden="false" customHeight="true" outlineLevel="0" collapsed="false">
      <c r="A315" s="13"/>
      <c r="B315" s="10"/>
      <c r="C315" s="14" t="str">
        <f aca="false">IF($B315="","",IFERROR(INDEX(차량목록!$B$3:$B$42,MATCH($B315,차량목록!$A$3:$A$42,0)),"미등록차량"))</f>
        <v/>
      </c>
      <c r="D315" s="10"/>
      <c r="E315" s="10"/>
      <c r="F315" s="15"/>
      <c r="G315" s="15"/>
      <c r="H315" s="16" t="str">
        <f aca="false">IF(OR($F315="",$G315=""),"",ROUND(IF($G315&lt;1,$G315*24,INT($G315/100)+MOD($G315,100)/60)-IF($F315&lt;1,$F315*24,INT($F315/100)+MOD($F315,100)/60),2))</f>
        <v/>
      </c>
      <c r="I315" s="17"/>
      <c r="J315" s="18" t="str">
        <f aca="false">IF(OR($H315="",$I315=""),"",ROUND($H315*$I315,0))</f>
        <v/>
      </c>
      <c r="K315" s="13"/>
      <c r="L315" s="17"/>
      <c r="M315" s="18" t="str">
        <f aca="false">IF($J315="","",$J315-IF($L315="",0,$L315))</f>
        <v/>
      </c>
      <c r="N315" s="19" t="str">
        <f aca="true">IF(OR($A315="",$M315="",$M315&lt;=0),"",TODAY()-$A315)</f>
        <v/>
      </c>
      <c r="O315" s="20" t="str">
        <f aca="false">IF($B315="","",IFERROR(INDEX(차량목록!$D$3:$D$42,MATCH($B315,차량목록!$A$3:$A$42,0)),0))</f>
        <v/>
      </c>
      <c r="P315" s="18" t="str">
        <f aca="false">IF($J315="","",ROUND($J315*$O315,0))</f>
        <v/>
      </c>
    </row>
    <row r="316" customFormat="false" ht="15" hidden="false" customHeight="true" outlineLevel="0" collapsed="false">
      <c r="A316" s="13"/>
      <c r="B316" s="10"/>
      <c r="C316" s="14" t="str">
        <f aca="false">IF($B316="","",IFERROR(INDEX(차량목록!$B$3:$B$42,MATCH($B316,차량목록!$A$3:$A$42,0)),"미등록차량"))</f>
        <v/>
      </c>
      <c r="D316" s="10"/>
      <c r="E316" s="10"/>
      <c r="F316" s="15"/>
      <c r="G316" s="15"/>
      <c r="H316" s="16" t="str">
        <f aca="false">IF(OR($F316="",$G316=""),"",ROUND(IF($G316&lt;1,$G316*24,INT($G316/100)+MOD($G316,100)/60)-IF($F316&lt;1,$F316*24,INT($F316/100)+MOD($F316,100)/60),2))</f>
        <v/>
      </c>
      <c r="I316" s="17"/>
      <c r="J316" s="18" t="str">
        <f aca="false">IF(OR($H316="",$I316=""),"",ROUND($H316*$I316,0))</f>
        <v/>
      </c>
      <c r="K316" s="13"/>
      <c r="L316" s="17"/>
      <c r="M316" s="18" t="str">
        <f aca="false">IF($J316="","",$J316-IF($L316="",0,$L316))</f>
        <v/>
      </c>
      <c r="N316" s="19" t="str">
        <f aca="true">IF(OR($A316="",$M316="",$M316&lt;=0),"",TODAY()-$A316)</f>
        <v/>
      </c>
      <c r="O316" s="20" t="str">
        <f aca="false">IF($B316="","",IFERROR(INDEX(차량목록!$D$3:$D$42,MATCH($B316,차량목록!$A$3:$A$42,0)),0))</f>
        <v/>
      </c>
      <c r="P316" s="18" t="str">
        <f aca="false">IF($J316="","",ROUND($J316*$O316,0))</f>
        <v/>
      </c>
    </row>
    <row r="317" customFormat="false" ht="15" hidden="false" customHeight="true" outlineLevel="0" collapsed="false">
      <c r="A317" s="13"/>
      <c r="B317" s="10"/>
      <c r="C317" s="14" t="str">
        <f aca="false">IF($B317="","",IFERROR(INDEX(차량목록!$B$3:$B$42,MATCH($B317,차량목록!$A$3:$A$42,0)),"미등록차량"))</f>
        <v/>
      </c>
      <c r="D317" s="10"/>
      <c r="E317" s="10"/>
      <c r="F317" s="15"/>
      <c r="G317" s="15"/>
      <c r="H317" s="16" t="str">
        <f aca="false">IF(OR($F317="",$G317=""),"",ROUND(IF($G317&lt;1,$G317*24,INT($G317/100)+MOD($G317,100)/60)-IF($F317&lt;1,$F317*24,INT($F317/100)+MOD($F317,100)/60),2))</f>
        <v/>
      </c>
      <c r="I317" s="17"/>
      <c r="J317" s="18" t="str">
        <f aca="false">IF(OR($H317="",$I317=""),"",ROUND($H317*$I317,0))</f>
        <v/>
      </c>
      <c r="K317" s="13"/>
      <c r="L317" s="17"/>
      <c r="M317" s="18" t="str">
        <f aca="false">IF($J317="","",$J317-IF($L317="",0,$L317))</f>
        <v/>
      </c>
      <c r="N317" s="19" t="str">
        <f aca="true">IF(OR($A317="",$M317="",$M317&lt;=0),"",TODAY()-$A317)</f>
        <v/>
      </c>
      <c r="O317" s="20" t="str">
        <f aca="false">IF($B317="","",IFERROR(INDEX(차량목록!$D$3:$D$42,MATCH($B317,차량목록!$A$3:$A$42,0)),0))</f>
        <v/>
      </c>
      <c r="P317" s="18" t="str">
        <f aca="false">IF($J317="","",ROUND($J317*$O317,0))</f>
        <v/>
      </c>
    </row>
    <row r="318" customFormat="false" ht="15" hidden="false" customHeight="true" outlineLevel="0" collapsed="false">
      <c r="A318" s="13"/>
      <c r="B318" s="10"/>
      <c r="C318" s="14" t="str">
        <f aca="false">IF($B318="","",IFERROR(INDEX(차량목록!$B$3:$B$42,MATCH($B318,차량목록!$A$3:$A$42,0)),"미등록차량"))</f>
        <v/>
      </c>
      <c r="D318" s="10"/>
      <c r="E318" s="10"/>
      <c r="F318" s="15"/>
      <c r="G318" s="15"/>
      <c r="H318" s="16" t="str">
        <f aca="false">IF(OR($F318="",$G318=""),"",ROUND(IF($G318&lt;1,$G318*24,INT($G318/100)+MOD($G318,100)/60)-IF($F318&lt;1,$F318*24,INT($F318/100)+MOD($F318,100)/60),2))</f>
        <v/>
      </c>
      <c r="I318" s="17"/>
      <c r="J318" s="18" t="str">
        <f aca="false">IF(OR($H318="",$I318=""),"",ROUND($H318*$I318,0))</f>
        <v/>
      </c>
      <c r="K318" s="13"/>
      <c r="L318" s="17"/>
      <c r="M318" s="18" t="str">
        <f aca="false">IF($J318="","",$J318-IF($L318="",0,$L318))</f>
        <v/>
      </c>
      <c r="N318" s="19" t="str">
        <f aca="true">IF(OR($A318="",$M318="",$M318&lt;=0),"",TODAY()-$A318)</f>
        <v/>
      </c>
      <c r="O318" s="20" t="str">
        <f aca="false">IF($B318="","",IFERROR(INDEX(차량목록!$D$3:$D$42,MATCH($B318,차량목록!$A$3:$A$42,0)),0))</f>
        <v/>
      </c>
      <c r="P318" s="18" t="str">
        <f aca="false">IF($J318="","",ROUND($J318*$O318,0))</f>
        <v/>
      </c>
    </row>
    <row r="319" customFormat="false" ht="15" hidden="false" customHeight="true" outlineLevel="0" collapsed="false">
      <c r="A319" s="13"/>
      <c r="B319" s="10"/>
      <c r="C319" s="14" t="str">
        <f aca="false">IF($B319="","",IFERROR(INDEX(차량목록!$B$3:$B$42,MATCH($B319,차량목록!$A$3:$A$42,0)),"미등록차량"))</f>
        <v/>
      </c>
      <c r="D319" s="10"/>
      <c r="E319" s="10"/>
      <c r="F319" s="15"/>
      <c r="G319" s="15"/>
      <c r="H319" s="16" t="str">
        <f aca="false">IF(OR($F319="",$G319=""),"",ROUND(IF($G319&lt;1,$G319*24,INT($G319/100)+MOD($G319,100)/60)-IF($F319&lt;1,$F319*24,INT($F319/100)+MOD($F319,100)/60),2))</f>
        <v/>
      </c>
      <c r="I319" s="17"/>
      <c r="J319" s="18" t="str">
        <f aca="false">IF(OR($H319="",$I319=""),"",ROUND($H319*$I319,0))</f>
        <v/>
      </c>
      <c r="K319" s="13"/>
      <c r="L319" s="17"/>
      <c r="M319" s="18" t="str">
        <f aca="false">IF($J319="","",$J319-IF($L319="",0,$L319))</f>
        <v/>
      </c>
      <c r="N319" s="19" t="str">
        <f aca="true">IF(OR($A319="",$M319="",$M319&lt;=0),"",TODAY()-$A319)</f>
        <v/>
      </c>
      <c r="O319" s="20" t="str">
        <f aca="false">IF($B319="","",IFERROR(INDEX(차량목록!$D$3:$D$42,MATCH($B319,차량목록!$A$3:$A$42,0)),0))</f>
        <v/>
      </c>
      <c r="P319" s="18" t="str">
        <f aca="false">IF($J319="","",ROUND($J319*$O319,0))</f>
        <v/>
      </c>
    </row>
    <row r="320" customFormat="false" ht="15" hidden="false" customHeight="true" outlineLevel="0" collapsed="false">
      <c r="A320" s="13"/>
      <c r="B320" s="10"/>
      <c r="C320" s="14" t="str">
        <f aca="false">IF($B320="","",IFERROR(INDEX(차량목록!$B$3:$B$42,MATCH($B320,차량목록!$A$3:$A$42,0)),"미등록차량"))</f>
        <v/>
      </c>
      <c r="D320" s="10"/>
      <c r="E320" s="10"/>
      <c r="F320" s="15"/>
      <c r="G320" s="15"/>
      <c r="H320" s="16" t="str">
        <f aca="false">IF(OR($F320="",$G320=""),"",ROUND(IF($G320&lt;1,$G320*24,INT($G320/100)+MOD($G320,100)/60)-IF($F320&lt;1,$F320*24,INT($F320/100)+MOD($F320,100)/60),2))</f>
        <v/>
      </c>
      <c r="I320" s="17"/>
      <c r="J320" s="18" t="str">
        <f aca="false">IF(OR($H320="",$I320=""),"",ROUND($H320*$I320,0))</f>
        <v/>
      </c>
      <c r="K320" s="13"/>
      <c r="L320" s="17"/>
      <c r="M320" s="18" t="str">
        <f aca="false">IF($J320="","",$J320-IF($L320="",0,$L320))</f>
        <v/>
      </c>
      <c r="N320" s="19" t="str">
        <f aca="true">IF(OR($A320="",$M320="",$M320&lt;=0),"",TODAY()-$A320)</f>
        <v/>
      </c>
      <c r="O320" s="20" t="str">
        <f aca="false">IF($B320="","",IFERROR(INDEX(차량목록!$D$3:$D$42,MATCH($B320,차량목록!$A$3:$A$42,0)),0))</f>
        <v/>
      </c>
      <c r="P320" s="18" t="str">
        <f aca="false">IF($J320="","",ROUND($J320*$O320,0))</f>
        <v/>
      </c>
    </row>
    <row r="321" customFormat="false" ht="15" hidden="false" customHeight="true" outlineLevel="0" collapsed="false">
      <c r="A321" s="13"/>
      <c r="B321" s="10"/>
      <c r="C321" s="14" t="str">
        <f aca="false">IF($B321="","",IFERROR(INDEX(차량목록!$B$3:$B$42,MATCH($B321,차량목록!$A$3:$A$42,0)),"미등록차량"))</f>
        <v/>
      </c>
      <c r="D321" s="10"/>
      <c r="E321" s="10"/>
      <c r="F321" s="15"/>
      <c r="G321" s="15"/>
      <c r="H321" s="16" t="str">
        <f aca="false">IF(OR($F321="",$G321=""),"",ROUND(IF($G321&lt;1,$G321*24,INT($G321/100)+MOD($G321,100)/60)-IF($F321&lt;1,$F321*24,INT($F321/100)+MOD($F321,100)/60),2))</f>
        <v/>
      </c>
      <c r="I321" s="17"/>
      <c r="J321" s="18" t="str">
        <f aca="false">IF(OR($H321="",$I321=""),"",ROUND($H321*$I321,0))</f>
        <v/>
      </c>
      <c r="K321" s="13"/>
      <c r="L321" s="17"/>
      <c r="M321" s="18" t="str">
        <f aca="false">IF($J321="","",$J321-IF($L321="",0,$L321))</f>
        <v/>
      </c>
      <c r="N321" s="19" t="str">
        <f aca="true">IF(OR($A321="",$M321="",$M321&lt;=0),"",TODAY()-$A321)</f>
        <v/>
      </c>
      <c r="O321" s="20" t="str">
        <f aca="false">IF($B321="","",IFERROR(INDEX(차량목록!$D$3:$D$42,MATCH($B321,차량목록!$A$3:$A$42,0)),0))</f>
        <v/>
      </c>
      <c r="P321" s="18" t="str">
        <f aca="false">IF($J321="","",ROUND($J321*$O321,0))</f>
        <v/>
      </c>
    </row>
    <row r="322" customFormat="false" ht="15" hidden="false" customHeight="true" outlineLevel="0" collapsed="false">
      <c r="A322" s="13"/>
      <c r="B322" s="10"/>
      <c r="C322" s="14" t="str">
        <f aca="false">IF($B322="","",IFERROR(INDEX(차량목록!$B$3:$B$42,MATCH($B322,차량목록!$A$3:$A$42,0)),"미등록차량"))</f>
        <v/>
      </c>
      <c r="D322" s="10"/>
      <c r="E322" s="10"/>
      <c r="F322" s="15"/>
      <c r="G322" s="15"/>
      <c r="H322" s="16" t="str">
        <f aca="false">IF(OR($F322="",$G322=""),"",ROUND(IF($G322&lt;1,$G322*24,INT($G322/100)+MOD($G322,100)/60)-IF($F322&lt;1,$F322*24,INT($F322/100)+MOD($F322,100)/60),2))</f>
        <v/>
      </c>
      <c r="I322" s="17"/>
      <c r="J322" s="18" t="str">
        <f aca="false">IF(OR($H322="",$I322=""),"",ROUND($H322*$I322,0))</f>
        <v/>
      </c>
      <c r="K322" s="13"/>
      <c r="L322" s="17"/>
      <c r="M322" s="18" t="str">
        <f aca="false">IF($J322="","",$J322-IF($L322="",0,$L322))</f>
        <v/>
      </c>
      <c r="N322" s="19" t="str">
        <f aca="true">IF(OR($A322="",$M322="",$M322&lt;=0),"",TODAY()-$A322)</f>
        <v/>
      </c>
      <c r="O322" s="20" t="str">
        <f aca="false">IF($B322="","",IFERROR(INDEX(차량목록!$D$3:$D$42,MATCH($B322,차량목록!$A$3:$A$42,0)),0))</f>
        <v/>
      </c>
      <c r="P322" s="18" t="str">
        <f aca="false">IF($J322="","",ROUND($J322*$O322,0))</f>
        <v/>
      </c>
    </row>
    <row r="323" customFormat="false" ht="15" hidden="false" customHeight="true" outlineLevel="0" collapsed="false">
      <c r="A323" s="13"/>
      <c r="B323" s="10"/>
      <c r="C323" s="14" t="str">
        <f aca="false">IF($B323="","",IFERROR(INDEX(차량목록!$B$3:$B$42,MATCH($B323,차량목록!$A$3:$A$42,0)),"미등록차량"))</f>
        <v/>
      </c>
      <c r="D323" s="10"/>
      <c r="E323" s="10"/>
      <c r="F323" s="15"/>
      <c r="G323" s="15"/>
      <c r="H323" s="16" t="str">
        <f aca="false">IF(OR($F323="",$G323=""),"",ROUND(IF($G323&lt;1,$G323*24,INT($G323/100)+MOD($G323,100)/60)-IF($F323&lt;1,$F323*24,INT($F323/100)+MOD($F323,100)/60),2))</f>
        <v/>
      </c>
      <c r="I323" s="17"/>
      <c r="J323" s="18" t="str">
        <f aca="false">IF(OR($H323="",$I323=""),"",ROUND($H323*$I323,0))</f>
        <v/>
      </c>
      <c r="K323" s="13"/>
      <c r="L323" s="17"/>
      <c r="M323" s="18" t="str">
        <f aca="false">IF($J323="","",$J323-IF($L323="",0,$L323))</f>
        <v/>
      </c>
      <c r="N323" s="19" t="str">
        <f aca="true">IF(OR($A323="",$M323="",$M323&lt;=0),"",TODAY()-$A323)</f>
        <v/>
      </c>
      <c r="O323" s="20" t="str">
        <f aca="false">IF($B323="","",IFERROR(INDEX(차량목록!$D$3:$D$42,MATCH($B323,차량목록!$A$3:$A$42,0)),0))</f>
        <v/>
      </c>
      <c r="P323" s="18" t="str">
        <f aca="false">IF($J323="","",ROUND($J323*$O323,0))</f>
        <v/>
      </c>
    </row>
    <row r="324" customFormat="false" ht="15" hidden="false" customHeight="true" outlineLevel="0" collapsed="false">
      <c r="A324" s="13"/>
      <c r="B324" s="10"/>
      <c r="C324" s="14" t="str">
        <f aca="false">IF($B324="","",IFERROR(INDEX(차량목록!$B$3:$B$42,MATCH($B324,차량목록!$A$3:$A$42,0)),"미등록차량"))</f>
        <v/>
      </c>
      <c r="D324" s="10"/>
      <c r="E324" s="10"/>
      <c r="F324" s="15"/>
      <c r="G324" s="15"/>
      <c r="H324" s="16" t="str">
        <f aca="false">IF(OR($F324="",$G324=""),"",ROUND(IF($G324&lt;1,$G324*24,INT($G324/100)+MOD($G324,100)/60)-IF($F324&lt;1,$F324*24,INT($F324/100)+MOD($F324,100)/60),2))</f>
        <v/>
      </c>
      <c r="I324" s="17"/>
      <c r="J324" s="18" t="str">
        <f aca="false">IF(OR($H324="",$I324=""),"",ROUND($H324*$I324,0))</f>
        <v/>
      </c>
      <c r="K324" s="13"/>
      <c r="L324" s="17"/>
      <c r="M324" s="18" t="str">
        <f aca="false">IF($J324="","",$J324-IF($L324="",0,$L324))</f>
        <v/>
      </c>
      <c r="N324" s="19" t="str">
        <f aca="true">IF(OR($A324="",$M324="",$M324&lt;=0),"",TODAY()-$A324)</f>
        <v/>
      </c>
      <c r="O324" s="20" t="str">
        <f aca="false">IF($B324="","",IFERROR(INDEX(차량목록!$D$3:$D$42,MATCH($B324,차량목록!$A$3:$A$42,0)),0))</f>
        <v/>
      </c>
      <c r="P324" s="18" t="str">
        <f aca="false">IF($J324="","",ROUND($J324*$O324,0))</f>
        <v/>
      </c>
    </row>
    <row r="325" customFormat="false" ht="15" hidden="false" customHeight="true" outlineLevel="0" collapsed="false">
      <c r="A325" s="13"/>
      <c r="B325" s="10"/>
      <c r="C325" s="14" t="str">
        <f aca="false">IF($B325="","",IFERROR(INDEX(차량목록!$B$3:$B$42,MATCH($B325,차량목록!$A$3:$A$42,0)),"미등록차량"))</f>
        <v/>
      </c>
      <c r="D325" s="10"/>
      <c r="E325" s="10"/>
      <c r="F325" s="15"/>
      <c r="G325" s="15"/>
      <c r="H325" s="16" t="str">
        <f aca="false">IF(OR($F325="",$G325=""),"",ROUND(IF($G325&lt;1,$G325*24,INT($G325/100)+MOD($G325,100)/60)-IF($F325&lt;1,$F325*24,INT($F325/100)+MOD($F325,100)/60),2))</f>
        <v/>
      </c>
      <c r="I325" s="17"/>
      <c r="J325" s="18" t="str">
        <f aca="false">IF(OR($H325="",$I325=""),"",ROUND($H325*$I325,0))</f>
        <v/>
      </c>
      <c r="K325" s="13"/>
      <c r="L325" s="17"/>
      <c r="M325" s="18" t="str">
        <f aca="false">IF($J325="","",$J325-IF($L325="",0,$L325))</f>
        <v/>
      </c>
      <c r="N325" s="19" t="str">
        <f aca="true">IF(OR($A325="",$M325="",$M325&lt;=0),"",TODAY()-$A325)</f>
        <v/>
      </c>
      <c r="O325" s="20" t="str">
        <f aca="false">IF($B325="","",IFERROR(INDEX(차량목록!$D$3:$D$42,MATCH($B325,차량목록!$A$3:$A$42,0)),0))</f>
        <v/>
      </c>
      <c r="P325" s="18" t="str">
        <f aca="false">IF($J325="","",ROUND($J325*$O325,0))</f>
        <v/>
      </c>
    </row>
    <row r="326" customFormat="false" ht="15" hidden="false" customHeight="true" outlineLevel="0" collapsed="false">
      <c r="A326" s="13"/>
      <c r="B326" s="10"/>
      <c r="C326" s="14" t="str">
        <f aca="false">IF($B326="","",IFERROR(INDEX(차량목록!$B$3:$B$42,MATCH($B326,차량목록!$A$3:$A$42,0)),"미등록차량"))</f>
        <v/>
      </c>
      <c r="D326" s="10"/>
      <c r="E326" s="10"/>
      <c r="F326" s="15"/>
      <c r="G326" s="15"/>
      <c r="H326" s="16" t="str">
        <f aca="false">IF(OR($F326="",$G326=""),"",ROUND(IF($G326&lt;1,$G326*24,INT($G326/100)+MOD($G326,100)/60)-IF($F326&lt;1,$F326*24,INT($F326/100)+MOD($F326,100)/60),2))</f>
        <v/>
      </c>
      <c r="I326" s="17"/>
      <c r="J326" s="18" t="str">
        <f aca="false">IF(OR($H326="",$I326=""),"",ROUND($H326*$I326,0))</f>
        <v/>
      </c>
      <c r="K326" s="13"/>
      <c r="L326" s="17"/>
      <c r="M326" s="18" t="str">
        <f aca="false">IF($J326="","",$J326-IF($L326="",0,$L326))</f>
        <v/>
      </c>
      <c r="N326" s="19" t="str">
        <f aca="true">IF(OR($A326="",$M326="",$M326&lt;=0),"",TODAY()-$A326)</f>
        <v/>
      </c>
      <c r="O326" s="20" t="str">
        <f aca="false">IF($B326="","",IFERROR(INDEX(차량목록!$D$3:$D$42,MATCH($B326,차량목록!$A$3:$A$42,0)),0))</f>
        <v/>
      </c>
      <c r="P326" s="18" t="str">
        <f aca="false">IF($J326="","",ROUND($J326*$O326,0))</f>
        <v/>
      </c>
    </row>
    <row r="327" customFormat="false" ht="15" hidden="false" customHeight="true" outlineLevel="0" collapsed="false">
      <c r="A327" s="13"/>
      <c r="B327" s="10"/>
      <c r="C327" s="14" t="str">
        <f aca="false">IF($B327="","",IFERROR(INDEX(차량목록!$B$3:$B$42,MATCH($B327,차량목록!$A$3:$A$42,0)),"미등록차량"))</f>
        <v/>
      </c>
      <c r="D327" s="10"/>
      <c r="E327" s="10"/>
      <c r="F327" s="15"/>
      <c r="G327" s="15"/>
      <c r="H327" s="16" t="str">
        <f aca="false">IF(OR($F327="",$G327=""),"",ROUND(IF($G327&lt;1,$G327*24,INT($G327/100)+MOD($G327,100)/60)-IF($F327&lt;1,$F327*24,INT($F327/100)+MOD($F327,100)/60),2))</f>
        <v/>
      </c>
      <c r="I327" s="17"/>
      <c r="J327" s="18" t="str">
        <f aca="false">IF(OR($H327="",$I327=""),"",ROUND($H327*$I327,0))</f>
        <v/>
      </c>
      <c r="K327" s="13"/>
      <c r="L327" s="17"/>
      <c r="M327" s="18" t="str">
        <f aca="false">IF($J327="","",$J327-IF($L327="",0,$L327))</f>
        <v/>
      </c>
      <c r="N327" s="19" t="str">
        <f aca="true">IF(OR($A327="",$M327="",$M327&lt;=0),"",TODAY()-$A327)</f>
        <v/>
      </c>
      <c r="O327" s="20" t="str">
        <f aca="false">IF($B327="","",IFERROR(INDEX(차량목록!$D$3:$D$42,MATCH($B327,차량목록!$A$3:$A$42,0)),0))</f>
        <v/>
      </c>
      <c r="P327" s="18" t="str">
        <f aca="false">IF($J327="","",ROUND($J327*$O327,0))</f>
        <v/>
      </c>
    </row>
    <row r="328" customFormat="false" ht="15" hidden="false" customHeight="true" outlineLevel="0" collapsed="false">
      <c r="A328" s="13"/>
      <c r="B328" s="10"/>
      <c r="C328" s="14" t="str">
        <f aca="false">IF($B328="","",IFERROR(INDEX(차량목록!$B$3:$B$42,MATCH($B328,차량목록!$A$3:$A$42,0)),"미등록차량"))</f>
        <v/>
      </c>
      <c r="D328" s="10"/>
      <c r="E328" s="10"/>
      <c r="F328" s="15"/>
      <c r="G328" s="15"/>
      <c r="H328" s="16" t="str">
        <f aca="false">IF(OR($F328="",$G328=""),"",ROUND(IF($G328&lt;1,$G328*24,INT($G328/100)+MOD($G328,100)/60)-IF($F328&lt;1,$F328*24,INT($F328/100)+MOD($F328,100)/60),2))</f>
        <v/>
      </c>
      <c r="I328" s="17"/>
      <c r="J328" s="18" t="str">
        <f aca="false">IF(OR($H328="",$I328=""),"",ROUND($H328*$I328,0))</f>
        <v/>
      </c>
      <c r="K328" s="13"/>
      <c r="L328" s="17"/>
      <c r="M328" s="18" t="str">
        <f aca="false">IF($J328="","",$J328-IF($L328="",0,$L328))</f>
        <v/>
      </c>
      <c r="N328" s="19" t="str">
        <f aca="true">IF(OR($A328="",$M328="",$M328&lt;=0),"",TODAY()-$A328)</f>
        <v/>
      </c>
      <c r="O328" s="20" t="str">
        <f aca="false">IF($B328="","",IFERROR(INDEX(차량목록!$D$3:$D$42,MATCH($B328,차량목록!$A$3:$A$42,0)),0))</f>
        <v/>
      </c>
      <c r="P328" s="18" t="str">
        <f aca="false">IF($J328="","",ROUND($J328*$O328,0))</f>
        <v/>
      </c>
    </row>
    <row r="329" customFormat="false" ht="15" hidden="false" customHeight="true" outlineLevel="0" collapsed="false">
      <c r="A329" s="13"/>
      <c r="B329" s="10"/>
      <c r="C329" s="14" t="str">
        <f aca="false">IF($B329="","",IFERROR(INDEX(차량목록!$B$3:$B$42,MATCH($B329,차량목록!$A$3:$A$42,0)),"미등록차량"))</f>
        <v/>
      </c>
      <c r="D329" s="10"/>
      <c r="E329" s="10"/>
      <c r="F329" s="15"/>
      <c r="G329" s="15"/>
      <c r="H329" s="16" t="str">
        <f aca="false">IF(OR($F329="",$G329=""),"",ROUND(IF($G329&lt;1,$G329*24,INT($G329/100)+MOD($G329,100)/60)-IF($F329&lt;1,$F329*24,INT($F329/100)+MOD($F329,100)/60),2))</f>
        <v/>
      </c>
      <c r="I329" s="17"/>
      <c r="J329" s="18" t="str">
        <f aca="false">IF(OR($H329="",$I329=""),"",ROUND($H329*$I329,0))</f>
        <v/>
      </c>
      <c r="K329" s="13"/>
      <c r="L329" s="17"/>
      <c r="M329" s="18" t="str">
        <f aca="false">IF($J329="","",$J329-IF($L329="",0,$L329))</f>
        <v/>
      </c>
      <c r="N329" s="19" t="str">
        <f aca="true">IF(OR($A329="",$M329="",$M329&lt;=0),"",TODAY()-$A329)</f>
        <v/>
      </c>
      <c r="O329" s="20" t="str">
        <f aca="false">IF($B329="","",IFERROR(INDEX(차량목록!$D$3:$D$42,MATCH($B329,차량목록!$A$3:$A$42,0)),0))</f>
        <v/>
      </c>
      <c r="P329" s="18" t="str">
        <f aca="false">IF($J329="","",ROUND($J329*$O329,0))</f>
        <v/>
      </c>
    </row>
    <row r="330" customFormat="false" ht="15" hidden="false" customHeight="true" outlineLevel="0" collapsed="false">
      <c r="A330" s="13"/>
      <c r="B330" s="10"/>
      <c r="C330" s="14" t="str">
        <f aca="false">IF($B330="","",IFERROR(INDEX(차량목록!$B$3:$B$42,MATCH($B330,차량목록!$A$3:$A$42,0)),"미등록차량"))</f>
        <v/>
      </c>
      <c r="D330" s="10"/>
      <c r="E330" s="10"/>
      <c r="F330" s="15"/>
      <c r="G330" s="15"/>
      <c r="H330" s="16" t="str">
        <f aca="false">IF(OR($F330="",$G330=""),"",ROUND(IF($G330&lt;1,$G330*24,INT($G330/100)+MOD($G330,100)/60)-IF($F330&lt;1,$F330*24,INT($F330/100)+MOD($F330,100)/60),2))</f>
        <v/>
      </c>
      <c r="I330" s="17"/>
      <c r="J330" s="18" t="str">
        <f aca="false">IF(OR($H330="",$I330=""),"",ROUND($H330*$I330,0))</f>
        <v/>
      </c>
      <c r="K330" s="13"/>
      <c r="L330" s="17"/>
      <c r="M330" s="18" t="str">
        <f aca="false">IF($J330="","",$J330-IF($L330="",0,$L330))</f>
        <v/>
      </c>
      <c r="N330" s="19" t="str">
        <f aca="true">IF(OR($A330="",$M330="",$M330&lt;=0),"",TODAY()-$A330)</f>
        <v/>
      </c>
      <c r="O330" s="20" t="str">
        <f aca="false">IF($B330="","",IFERROR(INDEX(차량목록!$D$3:$D$42,MATCH($B330,차량목록!$A$3:$A$42,0)),0))</f>
        <v/>
      </c>
      <c r="P330" s="18" t="str">
        <f aca="false">IF($J330="","",ROUND($J330*$O330,0))</f>
        <v/>
      </c>
    </row>
    <row r="331" customFormat="false" ht="15" hidden="false" customHeight="true" outlineLevel="0" collapsed="false">
      <c r="A331" s="13"/>
      <c r="B331" s="10"/>
      <c r="C331" s="14" t="str">
        <f aca="false">IF($B331="","",IFERROR(INDEX(차량목록!$B$3:$B$42,MATCH($B331,차량목록!$A$3:$A$42,0)),"미등록차량"))</f>
        <v/>
      </c>
      <c r="D331" s="10"/>
      <c r="E331" s="10"/>
      <c r="F331" s="15"/>
      <c r="G331" s="15"/>
      <c r="H331" s="16" t="str">
        <f aca="false">IF(OR($F331="",$G331=""),"",ROUND(IF($G331&lt;1,$G331*24,INT($G331/100)+MOD($G331,100)/60)-IF($F331&lt;1,$F331*24,INT($F331/100)+MOD($F331,100)/60),2))</f>
        <v/>
      </c>
      <c r="I331" s="17"/>
      <c r="J331" s="18" t="str">
        <f aca="false">IF(OR($H331="",$I331=""),"",ROUND($H331*$I331,0))</f>
        <v/>
      </c>
      <c r="K331" s="13"/>
      <c r="L331" s="17"/>
      <c r="M331" s="18" t="str">
        <f aca="false">IF($J331="","",$J331-IF($L331="",0,$L331))</f>
        <v/>
      </c>
      <c r="N331" s="19" t="str">
        <f aca="true">IF(OR($A331="",$M331="",$M331&lt;=0),"",TODAY()-$A331)</f>
        <v/>
      </c>
      <c r="O331" s="20" t="str">
        <f aca="false">IF($B331="","",IFERROR(INDEX(차량목록!$D$3:$D$42,MATCH($B331,차량목록!$A$3:$A$42,0)),0))</f>
        <v/>
      </c>
      <c r="P331" s="18" t="str">
        <f aca="false">IF($J331="","",ROUND($J331*$O331,0))</f>
        <v/>
      </c>
    </row>
    <row r="332" customFormat="false" ht="15" hidden="false" customHeight="true" outlineLevel="0" collapsed="false">
      <c r="A332" s="13"/>
      <c r="B332" s="10"/>
      <c r="C332" s="14" t="str">
        <f aca="false">IF($B332="","",IFERROR(INDEX(차량목록!$B$3:$B$42,MATCH($B332,차량목록!$A$3:$A$42,0)),"미등록차량"))</f>
        <v/>
      </c>
      <c r="D332" s="10"/>
      <c r="E332" s="10"/>
      <c r="F332" s="15"/>
      <c r="G332" s="15"/>
      <c r="H332" s="16" t="str">
        <f aca="false">IF(OR($F332="",$G332=""),"",ROUND(IF($G332&lt;1,$G332*24,INT($G332/100)+MOD($G332,100)/60)-IF($F332&lt;1,$F332*24,INT($F332/100)+MOD($F332,100)/60),2))</f>
        <v/>
      </c>
      <c r="I332" s="17"/>
      <c r="J332" s="18" t="str">
        <f aca="false">IF(OR($H332="",$I332=""),"",ROUND($H332*$I332,0))</f>
        <v/>
      </c>
      <c r="K332" s="13"/>
      <c r="L332" s="17"/>
      <c r="M332" s="18" t="str">
        <f aca="false">IF($J332="","",$J332-IF($L332="",0,$L332))</f>
        <v/>
      </c>
      <c r="N332" s="19" t="str">
        <f aca="true">IF(OR($A332="",$M332="",$M332&lt;=0),"",TODAY()-$A332)</f>
        <v/>
      </c>
      <c r="O332" s="20" t="str">
        <f aca="false">IF($B332="","",IFERROR(INDEX(차량목록!$D$3:$D$42,MATCH($B332,차량목록!$A$3:$A$42,0)),0))</f>
        <v/>
      </c>
      <c r="P332" s="18" t="str">
        <f aca="false">IF($J332="","",ROUND($J332*$O332,0))</f>
        <v/>
      </c>
    </row>
    <row r="333" customFormat="false" ht="15" hidden="false" customHeight="true" outlineLevel="0" collapsed="false">
      <c r="A333" s="13"/>
      <c r="B333" s="10"/>
      <c r="C333" s="14" t="str">
        <f aca="false">IF($B333="","",IFERROR(INDEX(차량목록!$B$3:$B$42,MATCH($B333,차량목록!$A$3:$A$42,0)),"미등록차량"))</f>
        <v/>
      </c>
      <c r="D333" s="10"/>
      <c r="E333" s="10"/>
      <c r="F333" s="15"/>
      <c r="G333" s="15"/>
      <c r="H333" s="16" t="str">
        <f aca="false">IF(OR($F333="",$G333=""),"",ROUND(IF($G333&lt;1,$G333*24,INT($G333/100)+MOD($G333,100)/60)-IF($F333&lt;1,$F333*24,INT($F333/100)+MOD($F333,100)/60),2))</f>
        <v/>
      </c>
      <c r="I333" s="17"/>
      <c r="J333" s="18" t="str">
        <f aca="false">IF(OR($H333="",$I333=""),"",ROUND($H333*$I333,0))</f>
        <v/>
      </c>
      <c r="K333" s="13"/>
      <c r="L333" s="17"/>
      <c r="M333" s="18" t="str">
        <f aca="false">IF($J333="","",$J333-IF($L333="",0,$L333))</f>
        <v/>
      </c>
      <c r="N333" s="19" t="str">
        <f aca="true">IF(OR($A333="",$M333="",$M333&lt;=0),"",TODAY()-$A333)</f>
        <v/>
      </c>
      <c r="O333" s="20" t="str">
        <f aca="false">IF($B333="","",IFERROR(INDEX(차량목록!$D$3:$D$42,MATCH($B333,차량목록!$A$3:$A$42,0)),0))</f>
        <v/>
      </c>
      <c r="P333" s="18" t="str">
        <f aca="false">IF($J333="","",ROUND($J333*$O333,0))</f>
        <v/>
      </c>
    </row>
    <row r="334" customFormat="false" ht="15" hidden="false" customHeight="true" outlineLevel="0" collapsed="false">
      <c r="A334" s="13"/>
      <c r="B334" s="10"/>
      <c r="C334" s="14" t="str">
        <f aca="false">IF($B334="","",IFERROR(INDEX(차량목록!$B$3:$B$42,MATCH($B334,차량목록!$A$3:$A$42,0)),"미등록차량"))</f>
        <v/>
      </c>
      <c r="D334" s="10"/>
      <c r="E334" s="10"/>
      <c r="F334" s="15"/>
      <c r="G334" s="15"/>
      <c r="H334" s="16" t="str">
        <f aca="false">IF(OR($F334="",$G334=""),"",ROUND(IF($G334&lt;1,$G334*24,INT($G334/100)+MOD($G334,100)/60)-IF($F334&lt;1,$F334*24,INT($F334/100)+MOD($F334,100)/60),2))</f>
        <v/>
      </c>
      <c r="I334" s="17"/>
      <c r="J334" s="18" t="str">
        <f aca="false">IF(OR($H334="",$I334=""),"",ROUND($H334*$I334,0))</f>
        <v/>
      </c>
      <c r="K334" s="13"/>
      <c r="L334" s="17"/>
      <c r="M334" s="18" t="str">
        <f aca="false">IF($J334="","",$J334-IF($L334="",0,$L334))</f>
        <v/>
      </c>
      <c r="N334" s="19" t="str">
        <f aca="true">IF(OR($A334="",$M334="",$M334&lt;=0),"",TODAY()-$A334)</f>
        <v/>
      </c>
      <c r="O334" s="20" t="str">
        <f aca="false">IF($B334="","",IFERROR(INDEX(차량목록!$D$3:$D$42,MATCH($B334,차량목록!$A$3:$A$42,0)),0))</f>
        <v/>
      </c>
      <c r="P334" s="18" t="str">
        <f aca="false">IF($J334="","",ROUND($J334*$O334,0))</f>
        <v/>
      </c>
    </row>
    <row r="335" customFormat="false" ht="15" hidden="false" customHeight="true" outlineLevel="0" collapsed="false">
      <c r="A335" s="13"/>
      <c r="B335" s="10"/>
      <c r="C335" s="14" t="str">
        <f aca="false">IF($B335="","",IFERROR(INDEX(차량목록!$B$3:$B$42,MATCH($B335,차량목록!$A$3:$A$42,0)),"미등록차량"))</f>
        <v/>
      </c>
      <c r="D335" s="10"/>
      <c r="E335" s="10"/>
      <c r="F335" s="15"/>
      <c r="G335" s="15"/>
      <c r="H335" s="16" t="str">
        <f aca="false">IF(OR($F335="",$G335=""),"",ROUND(IF($G335&lt;1,$G335*24,INT($G335/100)+MOD($G335,100)/60)-IF($F335&lt;1,$F335*24,INT($F335/100)+MOD($F335,100)/60),2))</f>
        <v/>
      </c>
      <c r="I335" s="17"/>
      <c r="J335" s="18" t="str">
        <f aca="false">IF(OR($H335="",$I335=""),"",ROUND($H335*$I335,0))</f>
        <v/>
      </c>
      <c r="K335" s="13"/>
      <c r="L335" s="17"/>
      <c r="M335" s="18" t="str">
        <f aca="false">IF($J335="","",$J335-IF($L335="",0,$L335))</f>
        <v/>
      </c>
      <c r="N335" s="19" t="str">
        <f aca="true">IF(OR($A335="",$M335="",$M335&lt;=0),"",TODAY()-$A335)</f>
        <v/>
      </c>
      <c r="O335" s="20" t="str">
        <f aca="false">IF($B335="","",IFERROR(INDEX(차량목록!$D$3:$D$42,MATCH($B335,차량목록!$A$3:$A$42,0)),0))</f>
        <v/>
      </c>
      <c r="P335" s="18" t="str">
        <f aca="false">IF($J335="","",ROUND($J335*$O335,0))</f>
        <v/>
      </c>
    </row>
    <row r="336" customFormat="false" ht="15" hidden="false" customHeight="true" outlineLevel="0" collapsed="false">
      <c r="A336" s="13"/>
      <c r="B336" s="10"/>
      <c r="C336" s="14" t="str">
        <f aca="false">IF($B336="","",IFERROR(INDEX(차량목록!$B$3:$B$42,MATCH($B336,차량목록!$A$3:$A$42,0)),"미등록차량"))</f>
        <v/>
      </c>
      <c r="D336" s="10"/>
      <c r="E336" s="10"/>
      <c r="F336" s="15"/>
      <c r="G336" s="15"/>
      <c r="H336" s="16" t="str">
        <f aca="false">IF(OR($F336="",$G336=""),"",ROUND(IF($G336&lt;1,$G336*24,INT($G336/100)+MOD($G336,100)/60)-IF($F336&lt;1,$F336*24,INT($F336/100)+MOD($F336,100)/60),2))</f>
        <v/>
      </c>
      <c r="I336" s="17"/>
      <c r="J336" s="18" t="str">
        <f aca="false">IF(OR($H336="",$I336=""),"",ROUND($H336*$I336,0))</f>
        <v/>
      </c>
      <c r="K336" s="13"/>
      <c r="L336" s="17"/>
      <c r="M336" s="18" t="str">
        <f aca="false">IF($J336="","",$J336-IF($L336="",0,$L336))</f>
        <v/>
      </c>
      <c r="N336" s="19" t="str">
        <f aca="true">IF(OR($A336="",$M336="",$M336&lt;=0),"",TODAY()-$A336)</f>
        <v/>
      </c>
      <c r="O336" s="20" t="str">
        <f aca="false">IF($B336="","",IFERROR(INDEX(차량목록!$D$3:$D$42,MATCH($B336,차량목록!$A$3:$A$42,0)),0))</f>
        <v/>
      </c>
      <c r="P336" s="18" t="str">
        <f aca="false">IF($J336="","",ROUND($J336*$O336,0))</f>
        <v/>
      </c>
    </row>
    <row r="337" customFormat="false" ht="15" hidden="false" customHeight="true" outlineLevel="0" collapsed="false">
      <c r="A337" s="13"/>
      <c r="B337" s="10"/>
      <c r="C337" s="14" t="str">
        <f aca="false">IF($B337="","",IFERROR(INDEX(차량목록!$B$3:$B$42,MATCH($B337,차량목록!$A$3:$A$42,0)),"미등록차량"))</f>
        <v/>
      </c>
      <c r="D337" s="10"/>
      <c r="E337" s="10"/>
      <c r="F337" s="15"/>
      <c r="G337" s="15"/>
      <c r="H337" s="16" t="str">
        <f aca="false">IF(OR($F337="",$G337=""),"",ROUND(IF($G337&lt;1,$G337*24,INT($G337/100)+MOD($G337,100)/60)-IF($F337&lt;1,$F337*24,INT($F337/100)+MOD($F337,100)/60),2))</f>
        <v/>
      </c>
      <c r="I337" s="17"/>
      <c r="J337" s="18" t="str">
        <f aca="false">IF(OR($H337="",$I337=""),"",ROUND($H337*$I337,0))</f>
        <v/>
      </c>
      <c r="K337" s="13"/>
      <c r="L337" s="17"/>
      <c r="M337" s="18" t="str">
        <f aca="false">IF($J337="","",$J337-IF($L337="",0,$L337))</f>
        <v/>
      </c>
      <c r="N337" s="19" t="str">
        <f aca="true">IF(OR($A337="",$M337="",$M337&lt;=0),"",TODAY()-$A337)</f>
        <v/>
      </c>
      <c r="O337" s="20" t="str">
        <f aca="false">IF($B337="","",IFERROR(INDEX(차량목록!$D$3:$D$42,MATCH($B337,차량목록!$A$3:$A$42,0)),0))</f>
        <v/>
      </c>
      <c r="P337" s="18" t="str">
        <f aca="false">IF($J337="","",ROUND($J337*$O337,0))</f>
        <v/>
      </c>
    </row>
    <row r="338" customFormat="false" ht="15" hidden="false" customHeight="true" outlineLevel="0" collapsed="false">
      <c r="A338" s="13"/>
      <c r="B338" s="10"/>
      <c r="C338" s="14" t="str">
        <f aca="false">IF($B338="","",IFERROR(INDEX(차량목록!$B$3:$B$42,MATCH($B338,차량목록!$A$3:$A$42,0)),"미등록차량"))</f>
        <v/>
      </c>
      <c r="D338" s="10"/>
      <c r="E338" s="10"/>
      <c r="F338" s="15"/>
      <c r="G338" s="15"/>
      <c r="H338" s="16" t="str">
        <f aca="false">IF(OR($F338="",$G338=""),"",ROUND(IF($G338&lt;1,$G338*24,INT($G338/100)+MOD($G338,100)/60)-IF($F338&lt;1,$F338*24,INT($F338/100)+MOD($F338,100)/60),2))</f>
        <v/>
      </c>
      <c r="I338" s="17"/>
      <c r="J338" s="18" t="str">
        <f aca="false">IF(OR($H338="",$I338=""),"",ROUND($H338*$I338,0))</f>
        <v/>
      </c>
      <c r="K338" s="13"/>
      <c r="L338" s="17"/>
      <c r="M338" s="18" t="str">
        <f aca="false">IF($J338="","",$J338-IF($L338="",0,$L338))</f>
        <v/>
      </c>
      <c r="N338" s="19" t="str">
        <f aca="true">IF(OR($A338="",$M338="",$M338&lt;=0),"",TODAY()-$A338)</f>
        <v/>
      </c>
      <c r="O338" s="20" t="str">
        <f aca="false">IF($B338="","",IFERROR(INDEX(차량목록!$D$3:$D$42,MATCH($B338,차량목록!$A$3:$A$42,0)),0))</f>
        <v/>
      </c>
      <c r="P338" s="18" t="str">
        <f aca="false">IF($J338="","",ROUND($J338*$O338,0))</f>
        <v/>
      </c>
    </row>
    <row r="339" customFormat="false" ht="15" hidden="false" customHeight="true" outlineLevel="0" collapsed="false">
      <c r="A339" s="13"/>
      <c r="B339" s="10"/>
      <c r="C339" s="14" t="str">
        <f aca="false">IF($B339="","",IFERROR(INDEX(차량목록!$B$3:$B$42,MATCH($B339,차량목록!$A$3:$A$42,0)),"미등록차량"))</f>
        <v/>
      </c>
      <c r="D339" s="10"/>
      <c r="E339" s="10"/>
      <c r="F339" s="15"/>
      <c r="G339" s="15"/>
      <c r="H339" s="16" t="str">
        <f aca="false">IF(OR($F339="",$G339=""),"",ROUND(IF($G339&lt;1,$G339*24,INT($G339/100)+MOD($G339,100)/60)-IF($F339&lt;1,$F339*24,INT($F339/100)+MOD($F339,100)/60),2))</f>
        <v/>
      </c>
      <c r="I339" s="17"/>
      <c r="J339" s="18" t="str">
        <f aca="false">IF(OR($H339="",$I339=""),"",ROUND($H339*$I339,0))</f>
        <v/>
      </c>
      <c r="K339" s="13"/>
      <c r="L339" s="17"/>
      <c r="M339" s="18" t="str">
        <f aca="false">IF($J339="","",$J339-IF($L339="",0,$L339))</f>
        <v/>
      </c>
      <c r="N339" s="19" t="str">
        <f aca="true">IF(OR($A339="",$M339="",$M339&lt;=0),"",TODAY()-$A339)</f>
        <v/>
      </c>
      <c r="O339" s="20" t="str">
        <f aca="false">IF($B339="","",IFERROR(INDEX(차량목록!$D$3:$D$42,MATCH($B339,차량목록!$A$3:$A$42,0)),0))</f>
        <v/>
      </c>
      <c r="P339" s="18" t="str">
        <f aca="false">IF($J339="","",ROUND($J339*$O339,0))</f>
        <v/>
      </c>
    </row>
    <row r="340" customFormat="false" ht="15" hidden="false" customHeight="true" outlineLevel="0" collapsed="false">
      <c r="A340" s="13"/>
      <c r="B340" s="10"/>
      <c r="C340" s="14" t="str">
        <f aca="false">IF($B340="","",IFERROR(INDEX(차량목록!$B$3:$B$42,MATCH($B340,차량목록!$A$3:$A$42,0)),"미등록차량"))</f>
        <v/>
      </c>
      <c r="D340" s="10"/>
      <c r="E340" s="10"/>
      <c r="F340" s="15"/>
      <c r="G340" s="15"/>
      <c r="H340" s="16" t="str">
        <f aca="false">IF(OR($F340="",$G340=""),"",ROUND(IF($G340&lt;1,$G340*24,INT($G340/100)+MOD($G340,100)/60)-IF($F340&lt;1,$F340*24,INT($F340/100)+MOD($F340,100)/60),2))</f>
        <v/>
      </c>
      <c r="I340" s="17"/>
      <c r="J340" s="18" t="str">
        <f aca="false">IF(OR($H340="",$I340=""),"",ROUND($H340*$I340,0))</f>
        <v/>
      </c>
      <c r="K340" s="13"/>
      <c r="L340" s="17"/>
      <c r="M340" s="18" t="str">
        <f aca="false">IF($J340="","",$J340-IF($L340="",0,$L340))</f>
        <v/>
      </c>
      <c r="N340" s="19" t="str">
        <f aca="true">IF(OR($A340="",$M340="",$M340&lt;=0),"",TODAY()-$A340)</f>
        <v/>
      </c>
      <c r="O340" s="20" t="str">
        <f aca="false">IF($B340="","",IFERROR(INDEX(차량목록!$D$3:$D$42,MATCH($B340,차량목록!$A$3:$A$42,0)),0))</f>
        <v/>
      </c>
      <c r="P340" s="18" t="str">
        <f aca="false">IF($J340="","",ROUND($J340*$O340,0))</f>
        <v/>
      </c>
    </row>
    <row r="341" customFormat="false" ht="15" hidden="false" customHeight="true" outlineLevel="0" collapsed="false">
      <c r="A341" s="13"/>
      <c r="B341" s="10"/>
      <c r="C341" s="14" t="str">
        <f aca="false">IF($B341="","",IFERROR(INDEX(차량목록!$B$3:$B$42,MATCH($B341,차량목록!$A$3:$A$42,0)),"미등록차량"))</f>
        <v/>
      </c>
      <c r="D341" s="10"/>
      <c r="E341" s="10"/>
      <c r="F341" s="15"/>
      <c r="G341" s="15"/>
      <c r="H341" s="16" t="str">
        <f aca="false">IF(OR($F341="",$G341=""),"",ROUND(IF($G341&lt;1,$G341*24,INT($G341/100)+MOD($G341,100)/60)-IF($F341&lt;1,$F341*24,INT($F341/100)+MOD($F341,100)/60),2))</f>
        <v/>
      </c>
      <c r="I341" s="17"/>
      <c r="J341" s="18" t="str">
        <f aca="false">IF(OR($H341="",$I341=""),"",ROUND($H341*$I341,0))</f>
        <v/>
      </c>
      <c r="K341" s="13"/>
      <c r="L341" s="17"/>
      <c r="M341" s="18" t="str">
        <f aca="false">IF($J341="","",$J341-IF($L341="",0,$L341))</f>
        <v/>
      </c>
      <c r="N341" s="19" t="str">
        <f aca="true">IF(OR($A341="",$M341="",$M341&lt;=0),"",TODAY()-$A341)</f>
        <v/>
      </c>
      <c r="O341" s="20" t="str">
        <f aca="false">IF($B341="","",IFERROR(INDEX(차량목록!$D$3:$D$42,MATCH($B341,차량목록!$A$3:$A$42,0)),0))</f>
        <v/>
      </c>
      <c r="P341" s="18" t="str">
        <f aca="false">IF($J341="","",ROUND($J341*$O341,0))</f>
        <v/>
      </c>
    </row>
    <row r="342" customFormat="false" ht="15" hidden="false" customHeight="true" outlineLevel="0" collapsed="false">
      <c r="A342" s="13"/>
      <c r="B342" s="10"/>
      <c r="C342" s="14" t="str">
        <f aca="false">IF($B342="","",IFERROR(INDEX(차량목록!$B$3:$B$42,MATCH($B342,차량목록!$A$3:$A$42,0)),"미등록차량"))</f>
        <v/>
      </c>
      <c r="D342" s="10"/>
      <c r="E342" s="10"/>
      <c r="F342" s="15"/>
      <c r="G342" s="15"/>
      <c r="H342" s="16" t="str">
        <f aca="false">IF(OR($F342="",$G342=""),"",ROUND(IF($G342&lt;1,$G342*24,INT($G342/100)+MOD($G342,100)/60)-IF($F342&lt;1,$F342*24,INT($F342/100)+MOD($F342,100)/60),2))</f>
        <v/>
      </c>
      <c r="I342" s="17"/>
      <c r="J342" s="18" t="str">
        <f aca="false">IF(OR($H342="",$I342=""),"",ROUND($H342*$I342,0))</f>
        <v/>
      </c>
      <c r="K342" s="13"/>
      <c r="L342" s="17"/>
      <c r="M342" s="18" t="str">
        <f aca="false">IF($J342="","",$J342-IF($L342="",0,$L342))</f>
        <v/>
      </c>
      <c r="N342" s="19" t="str">
        <f aca="true">IF(OR($A342="",$M342="",$M342&lt;=0),"",TODAY()-$A342)</f>
        <v/>
      </c>
      <c r="O342" s="20" t="str">
        <f aca="false">IF($B342="","",IFERROR(INDEX(차량목록!$D$3:$D$42,MATCH($B342,차량목록!$A$3:$A$42,0)),0))</f>
        <v/>
      </c>
      <c r="P342" s="18" t="str">
        <f aca="false">IF($J342="","",ROUND($J342*$O342,0))</f>
        <v/>
      </c>
    </row>
    <row r="343" customFormat="false" ht="15" hidden="false" customHeight="true" outlineLevel="0" collapsed="false">
      <c r="A343" s="13"/>
      <c r="B343" s="10"/>
      <c r="C343" s="14" t="str">
        <f aca="false">IF($B343="","",IFERROR(INDEX(차량목록!$B$3:$B$42,MATCH($B343,차량목록!$A$3:$A$42,0)),"미등록차량"))</f>
        <v/>
      </c>
      <c r="D343" s="10"/>
      <c r="E343" s="10"/>
      <c r="F343" s="15"/>
      <c r="G343" s="15"/>
      <c r="H343" s="16" t="str">
        <f aca="false">IF(OR($F343="",$G343=""),"",ROUND(IF($G343&lt;1,$G343*24,INT($G343/100)+MOD($G343,100)/60)-IF($F343&lt;1,$F343*24,INT($F343/100)+MOD($F343,100)/60),2))</f>
        <v/>
      </c>
      <c r="I343" s="17"/>
      <c r="J343" s="18" t="str">
        <f aca="false">IF(OR($H343="",$I343=""),"",ROUND($H343*$I343,0))</f>
        <v/>
      </c>
      <c r="K343" s="13"/>
      <c r="L343" s="17"/>
      <c r="M343" s="18" t="str">
        <f aca="false">IF($J343="","",$J343-IF($L343="",0,$L343))</f>
        <v/>
      </c>
      <c r="N343" s="19" t="str">
        <f aca="true">IF(OR($A343="",$M343="",$M343&lt;=0),"",TODAY()-$A343)</f>
        <v/>
      </c>
      <c r="O343" s="20" t="str">
        <f aca="false">IF($B343="","",IFERROR(INDEX(차량목록!$D$3:$D$42,MATCH($B343,차량목록!$A$3:$A$42,0)),0))</f>
        <v/>
      </c>
      <c r="P343" s="18" t="str">
        <f aca="false">IF($J343="","",ROUND($J343*$O343,0))</f>
        <v/>
      </c>
    </row>
    <row r="344" customFormat="false" ht="15" hidden="false" customHeight="true" outlineLevel="0" collapsed="false">
      <c r="A344" s="13"/>
      <c r="B344" s="10"/>
      <c r="C344" s="14" t="str">
        <f aca="false">IF($B344="","",IFERROR(INDEX(차량목록!$B$3:$B$42,MATCH($B344,차량목록!$A$3:$A$42,0)),"미등록차량"))</f>
        <v/>
      </c>
      <c r="D344" s="10"/>
      <c r="E344" s="10"/>
      <c r="F344" s="15"/>
      <c r="G344" s="15"/>
      <c r="H344" s="16" t="str">
        <f aca="false">IF(OR($F344="",$G344=""),"",ROUND(IF($G344&lt;1,$G344*24,INT($G344/100)+MOD($G344,100)/60)-IF($F344&lt;1,$F344*24,INT($F344/100)+MOD($F344,100)/60),2))</f>
        <v/>
      </c>
      <c r="I344" s="17"/>
      <c r="J344" s="18" t="str">
        <f aca="false">IF(OR($H344="",$I344=""),"",ROUND($H344*$I344,0))</f>
        <v/>
      </c>
      <c r="K344" s="13"/>
      <c r="L344" s="17"/>
      <c r="M344" s="18" t="str">
        <f aca="false">IF($J344="","",$J344-IF($L344="",0,$L344))</f>
        <v/>
      </c>
      <c r="N344" s="19" t="str">
        <f aca="true">IF(OR($A344="",$M344="",$M344&lt;=0),"",TODAY()-$A344)</f>
        <v/>
      </c>
      <c r="O344" s="20" t="str">
        <f aca="false">IF($B344="","",IFERROR(INDEX(차량목록!$D$3:$D$42,MATCH($B344,차량목록!$A$3:$A$42,0)),0))</f>
        <v/>
      </c>
      <c r="P344" s="18" t="str">
        <f aca="false">IF($J344="","",ROUND($J344*$O344,0))</f>
        <v/>
      </c>
    </row>
    <row r="345" customFormat="false" ht="15" hidden="false" customHeight="true" outlineLevel="0" collapsed="false">
      <c r="A345" s="13"/>
      <c r="B345" s="10"/>
      <c r="C345" s="14" t="str">
        <f aca="false">IF($B345="","",IFERROR(INDEX(차량목록!$B$3:$B$42,MATCH($B345,차량목록!$A$3:$A$42,0)),"미등록차량"))</f>
        <v/>
      </c>
      <c r="D345" s="10"/>
      <c r="E345" s="10"/>
      <c r="F345" s="15"/>
      <c r="G345" s="15"/>
      <c r="H345" s="16" t="str">
        <f aca="false">IF(OR($F345="",$G345=""),"",ROUND(IF($G345&lt;1,$G345*24,INT($G345/100)+MOD($G345,100)/60)-IF($F345&lt;1,$F345*24,INT($F345/100)+MOD($F345,100)/60),2))</f>
        <v/>
      </c>
      <c r="I345" s="17"/>
      <c r="J345" s="18" t="str">
        <f aca="false">IF(OR($H345="",$I345=""),"",ROUND($H345*$I345,0))</f>
        <v/>
      </c>
      <c r="K345" s="13"/>
      <c r="L345" s="17"/>
      <c r="M345" s="18" t="str">
        <f aca="false">IF($J345="","",$J345-IF($L345="",0,$L345))</f>
        <v/>
      </c>
      <c r="N345" s="19" t="str">
        <f aca="true">IF(OR($A345="",$M345="",$M345&lt;=0),"",TODAY()-$A345)</f>
        <v/>
      </c>
      <c r="O345" s="20" t="str">
        <f aca="false">IF($B345="","",IFERROR(INDEX(차량목록!$D$3:$D$42,MATCH($B345,차량목록!$A$3:$A$42,0)),0))</f>
        <v/>
      </c>
      <c r="P345" s="18" t="str">
        <f aca="false">IF($J345="","",ROUND($J345*$O345,0))</f>
        <v/>
      </c>
    </row>
    <row r="346" customFormat="false" ht="15" hidden="false" customHeight="true" outlineLevel="0" collapsed="false">
      <c r="A346" s="13"/>
      <c r="B346" s="10"/>
      <c r="C346" s="14" t="str">
        <f aca="false">IF($B346="","",IFERROR(INDEX(차량목록!$B$3:$B$42,MATCH($B346,차량목록!$A$3:$A$42,0)),"미등록차량"))</f>
        <v/>
      </c>
      <c r="D346" s="10"/>
      <c r="E346" s="10"/>
      <c r="F346" s="15"/>
      <c r="G346" s="15"/>
      <c r="H346" s="16" t="str">
        <f aca="false">IF(OR($F346="",$G346=""),"",ROUND(IF($G346&lt;1,$G346*24,INT($G346/100)+MOD($G346,100)/60)-IF($F346&lt;1,$F346*24,INT($F346/100)+MOD($F346,100)/60),2))</f>
        <v/>
      </c>
      <c r="I346" s="17"/>
      <c r="J346" s="18" t="str">
        <f aca="false">IF(OR($H346="",$I346=""),"",ROUND($H346*$I346,0))</f>
        <v/>
      </c>
      <c r="K346" s="13"/>
      <c r="L346" s="17"/>
      <c r="M346" s="18" t="str">
        <f aca="false">IF($J346="","",$J346-IF($L346="",0,$L346))</f>
        <v/>
      </c>
      <c r="N346" s="19" t="str">
        <f aca="true">IF(OR($A346="",$M346="",$M346&lt;=0),"",TODAY()-$A346)</f>
        <v/>
      </c>
      <c r="O346" s="20" t="str">
        <f aca="false">IF($B346="","",IFERROR(INDEX(차량목록!$D$3:$D$42,MATCH($B346,차량목록!$A$3:$A$42,0)),0))</f>
        <v/>
      </c>
      <c r="P346" s="18" t="str">
        <f aca="false">IF($J346="","",ROUND($J346*$O346,0))</f>
        <v/>
      </c>
    </row>
    <row r="347" customFormat="false" ht="15" hidden="false" customHeight="true" outlineLevel="0" collapsed="false">
      <c r="A347" s="13"/>
      <c r="B347" s="10"/>
      <c r="C347" s="14" t="str">
        <f aca="false">IF($B347="","",IFERROR(INDEX(차량목록!$B$3:$B$42,MATCH($B347,차량목록!$A$3:$A$42,0)),"미등록차량"))</f>
        <v/>
      </c>
      <c r="D347" s="10"/>
      <c r="E347" s="10"/>
      <c r="F347" s="15"/>
      <c r="G347" s="15"/>
      <c r="H347" s="16" t="str">
        <f aca="false">IF(OR($F347="",$G347=""),"",ROUND(IF($G347&lt;1,$G347*24,INT($G347/100)+MOD($G347,100)/60)-IF($F347&lt;1,$F347*24,INT($F347/100)+MOD($F347,100)/60),2))</f>
        <v/>
      </c>
      <c r="I347" s="17"/>
      <c r="J347" s="18" t="str">
        <f aca="false">IF(OR($H347="",$I347=""),"",ROUND($H347*$I347,0))</f>
        <v/>
      </c>
      <c r="K347" s="13"/>
      <c r="L347" s="17"/>
      <c r="M347" s="18" t="str">
        <f aca="false">IF($J347="","",$J347-IF($L347="",0,$L347))</f>
        <v/>
      </c>
      <c r="N347" s="19" t="str">
        <f aca="true">IF(OR($A347="",$M347="",$M347&lt;=0),"",TODAY()-$A347)</f>
        <v/>
      </c>
      <c r="O347" s="20" t="str">
        <f aca="false">IF($B347="","",IFERROR(INDEX(차량목록!$D$3:$D$42,MATCH($B347,차량목록!$A$3:$A$42,0)),0))</f>
        <v/>
      </c>
      <c r="P347" s="18" t="str">
        <f aca="false">IF($J347="","",ROUND($J347*$O347,0))</f>
        <v/>
      </c>
    </row>
    <row r="348" customFormat="false" ht="15" hidden="false" customHeight="true" outlineLevel="0" collapsed="false">
      <c r="A348" s="13"/>
      <c r="B348" s="10"/>
      <c r="C348" s="14" t="str">
        <f aca="false">IF($B348="","",IFERROR(INDEX(차량목록!$B$3:$B$42,MATCH($B348,차량목록!$A$3:$A$42,0)),"미등록차량"))</f>
        <v/>
      </c>
      <c r="D348" s="10"/>
      <c r="E348" s="10"/>
      <c r="F348" s="15"/>
      <c r="G348" s="15"/>
      <c r="H348" s="16" t="str">
        <f aca="false">IF(OR($F348="",$G348=""),"",ROUND(IF($G348&lt;1,$G348*24,INT($G348/100)+MOD($G348,100)/60)-IF($F348&lt;1,$F348*24,INT($F348/100)+MOD($F348,100)/60),2))</f>
        <v/>
      </c>
      <c r="I348" s="17"/>
      <c r="J348" s="18" t="str">
        <f aca="false">IF(OR($H348="",$I348=""),"",ROUND($H348*$I348,0))</f>
        <v/>
      </c>
      <c r="K348" s="13"/>
      <c r="L348" s="17"/>
      <c r="M348" s="18" t="str">
        <f aca="false">IF($J348="","",$J348-IF($L348="",0,$L348))</f>
        <v/>
      </c>
      <c r="N348" s="19" t="str">
        <f aca="true">IF(OR($A348="",$M348="",$M348&lt;=0),"",TODAY()-$A348)</f>
        <v/>
      </c>
      <c r="O348" s="20" t="str">
        <f aca="false">IF($B348="","",IFERROR(INDEX(차량목록!$D$3:$D$42,MATCH($B348,차량목록!$A$3:$A$42,0)),0))</f>
        <v/>
      </c>
      <c r="P348" s="18" t="str">
        <f aca="false">IF($J348="","",ROUND($J348*$O348,0))</f>
        <v/>
      </c>
    </row>
    <row r="349" customFormat="false" ht="15" hidden="false" customHeight="true" outlineLevel="0" collapsed="false">
      <c r="A349" s="13"/>
      <c r="B349" s="10"/>
      <c r="C349" s="14" t="str">
        <f aca="false">IF($B349="","",IFERROR(INDEX(차량목록!$B$3:$B$42,MATCH($B349,차량목록!$A$3:$A$42,0)),"미등록차량"))</f>
        <v/>
      </c>
      <c r="D349" s="10"/>
      <c r="E349" s="10"/>
      <c r="F349" s="15"/>
      <c r="G349" s="15"/>
      <c r="H349" s="16" t="str">
        <f aca="false">IF(OR($F349="",$G349=""),"",ROUND(IF($G349&lt;1,$G349*24,INT($G349/100)+MOD($G349,100)/60)-IF($F349&lt;1,$F349*24,INT($F349/100)+MOD($F349,100)/60),2))</f>
        <v/>
      </c>
      <c r="I349" s="17"/>
      <c r="J349" s="18" t="str">
        <f aca="false">IF(OR($H349="",$I349=""),"",ROUND($H349*$I349,0))</f>
        <v/>
      </c>
      <c r="K349" s="13"/>
      <c r="L349" s="17"/>
      <c r="M349" s="18" t="str">
        <f aca="false">IF($J349="","",$J349-IF($L349="",0,$L349))</f>
        <v/>
      </c>
      <c r="N349" s="19" t="str">
        <f aca="true">IF(OR($A349="",$M349="",$M349&lt;=0),"",TODAY()-$A349)</f>
        <v/>
      </c>
      <c r="O349" s="20" t="str">
        <f aca="false">IF($B349="","",IFERROR(INDEX(차량목록!$D$3:$D$42,MATCH($B349,차량목록!$A$3:$A$42,0)),0))</f>
        <v/>
      </c>
      <c r="P349" s="18" t="str">
        <f aca="false">IF($J349="","",ROUND($J349*$O349,0))</f>
        <v/>
      </c>
    </row>
    <row r="350" customFormat="false" ht="15" hidden="false" customHeight="true" outlineLevel="0" collapsed="false">
      <c r="A350" s="13"/>
      <c r="B350" s="10"/>
      <c r="C350" s="14" t="str">
        <f aca="false">IF($B350="","",IFERROR(INDEX(차량목록!$B$3:$B$42,MATCH($B350,차량목록!$A$3:$A$42,0)),"미등록차량"))</f>
        <v/>
      </c>
      <c r="D350" s="10"/>
      <c r="E350" s="10"/>
      <c r="F350" s="15"/>
      <c r="G350" s="15"/>
      <c r="H350" s="16" t="str">
        <f aca="false">IF(OR($F350="",$G350=""),"",ROUND(IF($G350&lt;1,$G350*24,INT($G350/100)+MOD($G350,100)/60)-IF($F350&lt;1,$F350*24,INT($F350/100)+MOD($F350,100)/60),2))</f>
        <v/>
      </c>
      <c r="I350" s="17"/>
      <c r="J350" s="18" t="str">
        <f aca="false">IF(OR($H350="",$I350=""),"",ROUND($H350*$I350,0))</f>
        <v/>
      </c>
      <c r="K350" s="13"/>
      <c r="L350" s="17"/>
      <c r="M350" s="18" t="str">
        <f aca="false">IF($J350="","",$J350-IF($L350="",0,$L350))</f>
        <v/>
      </c>
      <c r="N350" s="19" t="str">
        <f aca="true">IF(OR($A350="",$M350="",$M350&lt;=0),"",TODAY()-$A350)</f>
        <v/>
      </c>
      <c r="O350" s="20" t="str">
        <f aca="false">IF($B350="","",IFERROR(INDEX(차량목록!$D$3:$D$42,MATCH($B350,차량목록!$A$3:$A$42,0)),0))</f>
        <v/>
      </c>
      <c r="P350" s="18" t="str">
        <f aca="false">IF($J350="","",ROUND($J350*$O350,0))</f>
        <v/>
      </c>
    </row>
    <row r="351" customFormat="false" ht="15" hidden="false" customHeight="true" outlineLevel="0" collapsed="false">
      <c r="A351" s="13"/>
      <c r="B351" s="10"/>
      <c r="C351" s="14" t="str">
        <f aca="false">IF($B351="","",IFERROR(INDEX(차량목록!$B$3:$B$42,MATCH($B351,차량목록!$A$3:$A$42,0)),"미등록차량"))</f>
        <v/>
      </c>
      <c r="D351" s="10"/>
      <c r="E351" s="10"/>
      <c r="F351" s="15"/>
      <c r="G351" s="15"/>
      <c r="H351" s="16" t="str">
        <f aca="false">IF(OR($F351="",$G351=""),"",ROUND(IF($G351&lt;1,$G351*24,INT($G351/100)+MOD($G351,100)/60)-IF($F351&lt;1,$F351*24,INT($F351/100)+MOD($F351,100)/60),2))</f>
        <v/>
      </c>
      <c r="I351" s="17"/>
      <c r="J351" s="18" t="str">
        <f aca="false">IF(OR($H351="",$I351=""),"",ROUND($H351*$I351,0))</f>
        <v/>
      </c>
      <c r="K351" s="13"/>
      <c r="L351" s="17"/>
      <c r="M351" s="18" t="str">
        <f aca="false">IF($J351="","",$J351-IF($L351="",0,$L351))</f>
        <v/>
      </c>
      <c r="N351" s="19" t="str">
        <f aca="true">IF(OR($A351="",$M351="",$M351&lt;=0),"",TODAY()-$A351)</f>
        <v/>
      </c>
      <c r="O351" s="20" t="str">
        <f aca="false">IF($B351="","",IFERROR(INDEX(차량목록!$D$3:$D$42,MATCH($B351,차량목록!$A$3:$A$42,0)),0))</f>
        <v/>
      </c>
      <c r="P351" s="18" t="str">
        <f aca="false">IF($J351="","",ROUND($J351*$O351,0))</f>
        <v/>
      </c>
    </row>
    <row r="352" customFormat="false" ht="15" hidden="false" customHeight="true" outlineLevel="0" collapsed="false">
      <c r="A352" s="13"/>
      <c r="B352" s="10"/>
      <c r="C352" s="14" t="str">
        <f aca="false">IF($B352="","",IFERROR(INDEX(차량목록!$B$3:$B$42,MATCH($B352,차량목록!$A$3:$A$42,0)),"미등록차량"))</f>
        <v/>
      </c>
      <c r="D352" s="10"/>
      <c r="E352" s="10"/>
      <c r="F352" s="15"/>
      <c r="G352" s="15"/>
      <c r="H352" s="16" t="str">
        <f aca="false">IF(OR($F352="",$G352=""),"",ROUND(IF($G352&lt;1,$G352*24,INT($G352/100)+MOD($G352,100)/60)-IF($F352&lt;1,$F352*24,INT($F352/100)+MOD($F352,100)/60),2))</f>
        <v/>
      </c>
      <c r="I352" s="17"/>
      <c r="J352" s="18" t="str">
        <f aca="false">IF(OR($H352="",$I352=""),"",ROUND($H352*$I352,0))</f>
        <v/>
      </c>
      <c r="K352" s="13"/>
      <c r="L352" s="17"/>
      <c r="M352" s="18" t="str">
        <f aca="false">IF($J352="","",$J352-IF($L352="",0,$L352))</f>
        <v/>
      </c>
      <c r="N352" s="19" t="str">
        <f aca="true">IF(OR($A352="",$M352="",$M352&lt;=0),"",TODAY()-$A352)</f>
        <v/>
      </c>
      <c r="O352" s="20" t="str">
        <f aca="false">IF($B352="","",IFERROR(INDEX(차량목록!$D$3:$D$42,MATCH($B352,차량목록!$A$3:$A$42,0)),0))</f>
        <v/>
      </c>
      <c r="P352" s="18" t="str">
        <f aca="false">IF($J352="","",ROUND($J352*$O352,0))</f>
        <v/>
      </c>
    </row>
    <row r="353" customFormat="false" ht="15" hidden="false" customHeight="true" outlineLevel="0" collapsed="false">
      <c r="A353" s="13"/>
      <c r="B353" s="10"/>
      <c r="C353" s="14" t="str">
        <f aca="false">IF($B353="","",IFERROR(INDEX(차량목록!$B$3:$B$42,MATCH($B353,차량목록!$A$3:$A$42,0)),"미등록차량"))</f>
        <v/>
      </c>
      <c r="D353" s="10"/>
      <c r="E353" s="10"/>
      <c r="F353" s="15"/>
      <c r="G353" s="15"/>
      <c r="H353" s="16" t="str">
        <f aca="false">IF(OR($F353="",$G353=""),"",ROUND(IF($G353&lt;1,$G353*24,INT($G353/100)+MOD($G353,100)/60)-IF($F353&lt;1,$F353*24,INT($F353/100)+MOD($F353,100)/60),2))</f>
        <v/>
      </c>
      <c r="I353" s="17"/>
      <c r="J353" s="18" t="str">
        <f aca="false">IF(OR($H353="",$I353=""),"",ROUND($H353*$I353,0))</f>
        <v/>
      </c>
      <c r="K353" s="13"/>
      <c r="L353" s="17"/>
      <c r="M353" s="18" t="str">
        <f aca="false">IF($J353="","",$J353-IF($L353="",0,$L353))</f>
        <v/>
      </c>
      <c r="N353" s="19" t="str">
        <f aca="true">IF(OR($A353="",$M353="",$M353&lt;=0),"",TODAY()-$A353)</f>
        <v/>
      </c>
      <c r="O353" s="20" t="str">
        <f aca="false">IF($B353="","",IFERROR(INDEX(차량목록!$D$3:$D$42,MATCH($B353,차량목록!$A$3:$A$42,0)),0))</f>
        <v/>
      </c>
      <c r="P353" s="18" t="str">
        <f aca="false">IF($J353="","",ROUND($J353*$O353,0))</f>
        <v/>
      </c>
    </row>
    <row r="354" customFormat="false" ht="15" hidden="false" customHeight="true" outlineLevel="0" collapsed="false">
      <c r="A354" s="13"/>
      <c r="B354" s="10"/>
      <c r="C354" s="14" t="str">
        <f aca="false">IF($B354="","",IFERROR(INDEX(차량목록!$B$3:$B$42,MATCH($B354,차량목록!$A$3:$A$42,0)),"미등록차량"))</f>
        <v/>
      </c>
      <c r="D354" s="10"/>
      <c r="E354" s="10"/>
      <c r="F354" s="15"/>
      <c r="G354" s="15"/>
      <c r="H354" s="16" t="str">
        <f aca="false">IF(OR($F354="",$G354=""),"",ROUND(IF($G354&lt;1,$G354*24,INT($G354/100)+MOD($G354,100)/60)-IF($F354&lt;1,$F354*24,INT($F354/100)+MOD($F354,100)/60),2))</f>
        <v/>
      </c>
      <c r="I354" s="17"/>
      <c r="J354" s="18" t="str">
        <f aca="false">IF(OR($H354="",$I354=""),"",ROUND($H354*$I354,0))</f>
        <v/>
      </c>
      <c r="K354" s="13"/>
      <c r="L354" s="17"/>
      <c r="M354" s="18" t="str">
        <f aca="false">IF($J354="","",$J354-IF($L354="",0,$L354))</f>
        <v/>
      </c>
      <c r="N354" s="19" t="str">
        <f aca="true">IF(OR($A354="",$M354="",$M354&lt;=0),"",TODAY()-$A354)</f>
        <v/>
      </c>
      <c r="O354" s="20" t="str">
        <f aca="false">IF($B354="","",IFERROR(INDEX(차량목록!$D$3:$D$42,MATCH($B354,차량목록!$A$3:$A$42,0)),0))</f>
        <v/>
      </c>
      <c r="P354" s="18" t="str">
        <f aca="false">IF($J354="","",ROUND($J354*$O354,0))</f>
        <v/>
      </c>
    </row>
    <row r="355" customFormat="false" ht="15" hidden="false" customHeight="true" outlineLevel="0" collapsed="false">
      <c r="A355" s="13"/>
      <c r="B355" s="10"/>
      <c r="C355" s="14" t="str">
        <f aca="false">IF($B355="","",IFERROR(INDEX(차량목록!$B$3:$B$42,MATCH($B355,차량목록!$A$3:$A$42,0)),"미등록차량"))</f>
        <v/>
      </c>
      <c r="D355" s="10"/>
      <c r="E355" s="10"/>
      <c r="F355" s="15"/>
      <c r="G355" s="15"/>
      <c r="H355" s="16" t="str">
        <f aca="false">IF(OR($F355="",$G355=""),"",ROUND(IF($G355&lt;1,$G355*24,INT($G355/100)+MOD($G355,100)/60)-IF($F355&lt;1,$F355*24,INT($F355/100)+MOD($F355,100)/60),2))</f>
        <v/>
      </c>
      <c r="I355" s="17"/>
      <c r="J355" s="18" t="str">
        <f aca="false">IF(OR($H355="",$I355=""),"",ROUND($H355*$I355,0))</f>
        <v/>
      </c>
      <c r="K355" s="13"/>
      <c r="L355" s="17"/>
      <c r="M355" s="18" t="str">
        <f aca="false">IF($J355="","",$J355-IF($L355="",0,$L355))</f>
        <v/>
      </c>
      <c r="N355" s="19" t="str">
        <f aca="true">IF(OR($A355="",$M355="",$M355&lt;=0),"",TODAY()-$A355)</f>
        <v/>
      </c>
      <c r="O355" s="20" t="str">
        <f aca="false">IF($B355="","",IFERROR(INDEX(차량목록!$D$3:$D$42,MATCH($B355,차량목록!$A$3:$A$42,0)),0))</f>
        <v/>
      </c>
      <c r="P355" s="18" t="str">
        <f aca="false">IF($J355="","",ROUND($J355*$O355,0))</f>
        <v/>
      </c>
    </row>
    <row r="356" customFormat="false" ht="15" hidden="false" customHeight="true" outlineLevel="0" collapsed="false">
      <c r="A356" s="13"/>
      <c r="B356" s="10"/>
      <c r="C356" s="14" t="str">
        <f aca="false">IF($B356="","",IFERROR(INDEX(차량목록!$B$3:$B$42,MATCH($B356,차량목록!$A$3:$A$42,0)),"미등록차량"))</f>
        <v/>
      </c>
      <c r="D356" s="10"/>
      <c r="E356" s="10"/>
      <c r="F356" s="15"/>
      <c r="G356" s="15"/>
      <c r="H356" s="16" t="str">
        <f aca="false">IF(OR($F356="",$G356=""),"",ROUND(IF($G356&lt;1,$G356*24,INT($G356/100)+MOD($G356,100)/60)-IF($F356&lt;1,$F356*24,INT($F356/100)+MOD($F356,100)/60),2))</f>
        <v/>
      </c>
      <c r="I356" s="17"/>
      <c r="J356" s="18" t="str">
        <f aca="false">IF(OR($H356="",$I356=""),"",ROUND($H356*$I356,0))</f>
        <v/>
      </c>
      <c r="K356" s="13"/>
      <c r="L356" s="17"/>
      <c r="M356" s="18" t="str">
        <f aca="false">IF($J356="","",$J356-IF($L356="",0,$L356))</f>
        <v/>
      </c>
      <c r="N356" s="19" t="str">
        <f aca="true">IF(OR($A356="",$M356="",$M356&lt;=0),"",TODAY()-$A356)</f>
        <v/>
      </c>
      <c r="O356" s="20" t="str">
        <f aca="false">IF($B356="","",IFERROR(INDEX(차량목록!$D$3:$D$42,MATCH($B356,차량목록!$A$3:$A$42,0)),0))</f>
        <v/>
      </c>
      <c r="P356" s="18" t="str">
        <f aca="false">IF($J356="","",ROUND($J356*$O356,0))</f>
        <v/>
      </c>
    </row>
    <row r="357" customFormat="false" ht="15" hidden="false" customHeight="true" outlineLevel="0" collapsed="false">
      <c r="A357" s="13"/>
      <c r="B357" s="10"/>
      <c r="C357" s="14" t="str">
        <f aca="false">IF($B357="","",IFERROR(INDEX(차량목록!$B$3:$B$42,MATCH($B357,차량목록!$A$3:$A$42,0)),"미등록차량"))</f>
        <v/>
      </c>
      <c r="D357" s="10"/>
      <c r="E357" s="10"/>
      <c r="F357" s="15"/>
      <c r="G357" s="15"/>
      <c r="H357" s="16" t="str">
        <f aca="false">IF(OR($F357="",$G357=""),"",ROUND(IF($G357&lt;1,$G357*24,INT($G357/100)+MOD($G357,100)/60)-IF($F357&lt;1,$F357*24,INT($F357/100)+MOD($F357,100)/60),2))</f>
        <v/>
      </c>
      <c r="I357" s="17"/>
      <c r="J357" s="18" t="str">
        <f aca="false">IF(OR($H357="",$I357=""),"",ROUND($H357*$I357,0))</f>
        <v/>
      </c>
      <c r="K357" s="13"/>
      <c r="L357" s="17"/>
      <c r="M357" s="18" t="str">
        <f aca="false">IF($J357="","",$J357-IF($L357="",0,$L357))</f>
        <v/>
      </c>
      <c r="N357" s="19" t="str">
        <f aca="true">IF(OR($A357="",$M357="",$M357&lt;=0),"",TODAY()-$A357)</f>
        <v/>
      </c>
      <c r="O357" s="20" t="str">
        <f aca="false">IF($B357="","",IFERROR(INDEX(차량목록!$D$3:$D$42,MATCH($B357,차량목록!$A$3:$A$42,0)),0))</f>
        <v/>
      </c>
      <c r="P357" s="18" t="str">
        <f aca="false">IF($J357="","",ROUND($J357*$O357,0))</f>
        <v/>
      </c>
    </row>
    <row r="358" customFormat="false" ht="15" hidden="false" customHeight="true" outlineLevel="0" collapsed="false">
      <c r="A358" s="13"/>
      <c r="B358" s="10"/>
      <c r="C358" s="14" t="str">
        <f aca="false">IF($B358="","",IFERROR(INDEX(차량목록!$B$3:$B$42,MATCH($B358,차량목록!$A$3:$A$42,0)),"미등록차량"))</f>
        <v/>
      </c>
      <c r="D358" s="10"/>
      <c r="E358" s="10"/>
      <c r="F358" s="15"/>
      <c r="G358" s="15"/>
      <c r="H358" s="16" t="str">
        <f aca="false">IF(OR($F358="",$G358=""),"",ROUND(IF($G358&lt;1,$G358*24,INT($G358/100)+MOD($G358,100)/60)-IF($F358&lt;1,$F358*24,INT($F358/100)+MOD($F358,100)/60),2))</f>
        <v/>
      </c>
      <c r="I358" s="17"/>
      <c r="J358" s="18" t="str">
        <f aca="false">IF(OR($H358="",$I358=""),"",ROUND($H358*$I358,0))</f>
        <v/>
      </c>
      <c r="K358" s="13"/>
      <c r="L358" s="17"/>
      <c r="M358" s="18" t="str">
        <f aca="false">IF($J358="","",$J358-IF($L358="",0,$L358))</f>
        <v/>
      </c>
      <c r="N358" s="19" t="str">
        <f aca="true">IF(OR($A358="",$M358="",$M358&lt;=0),"",TODAY()-$A358)</f>
        <v/>
      </c>
      <c r="O358" s="20" t="str">
        <f aca="false">IF($B358="","",IFERROR(INDEX(차량목록!$D$3:$D$42,MATCH($B358,차량목록!$A$3:$A$42,0)),0))</f>
        <v/>
      </c>
      <c r="P358" s="18" t="str">
        <f aca="false">IF($J358="","",ROUND($J358*$O358,0))</f>
        <v/>
      </c>
    </row>
    <row r="359" customFormat="false" ht="15" hidden="false" customHeight="true" outlineLevel="0" collapsed="false">
      <c r="A359" s="13"/>
      <c r="B359" s="10"/>
      <c r="C359" s="14" t="str">
        <f aca="false">IF($B359="","",IFERROR(INDEX(차량목록!$B$3:$B$42,MATCH($B359,차량목록!$A$3:$A$42,0)),"미등록차량"))</f>
        <v/>
      </c>
      <c r="D359" s="10"/>
      <c r="E359" s="10"/>
      <c r="F359" s="15"/>
      <c r="G359" s="15"/>
      <c r="H359" s="16" t="str">
        <f aca="false">IF(OR($F359="",$G359=""),"",ROUND(IF($G359&lt;1,$G359*24,INT($G359/100)+MOD($G359,100)/60)-IF($F359&lt;1,$F359*24,INT($F359/100)+MOD($F359,100)/60),2))</f>
        <v/>
      </c>
      <c r="I359" s="17"/>
      <c r="J359" s="18" t="str">
        <f aca="false">IF(OR($H359="",$I359=""),"",ROUND($H359*$I359,0))</f>
        <v/>
      </c>
      <c r="K359" s="13"/>
      <c r="L359" s="17"/>
      <c r="M359" s="18" t="str">
        <f aca="false">IF($J359="","",$J359-IF($L359="",0,$L359))</f>
        <v/>
      </c>
      <c r="N359" s="19" t="str">
        <f aca="true">IF(OR($A359="",$M359="",$M359&lt;=0),"",TODAY()-$A359)</f>
        <v/>
      </c>
      <c r="O359" s="20" t="str">
        <f aca="false">IF($B359="","",IFERROR(INDEX(차량목록!$D$3:$D$42,MATCH($B359,차량목록!$A$3:$A$42,0)),0))</f>
        <v/>
      </c>
      <c r="P359" s="18" t="str">
        <f aca="false">IF($J359="","",ROUND($J359*$O359,0))</f>
        <v/>
      </c>
    </row>
    <row r="360" customFormat="false" ht="15" hidden="false" customHeight="true" outlineLevel="0" collapsed="false">
      <c r="A360" s="13"/>
      <c r="B360" s="10"/>
      <c r="C360" s="14" t="str">
        <f aca="false">IF($B360="","",IFERROR(INDEX(차량목록!$B$3:$B$42,MATCH($B360,차량목록!$A$3:$A$42,0)),"미등록차량"))</f>
        <v/>
      </c>
      <c r="D360" s="10"/>
      <c r="E360" s="10"/>
      <c r="F360" s="15"/>
      <c r="G360" s="15"/>
      <c r="H360" s="16" t="str">
        <f aca="false">IF(OR($F360="",$G360=""),"",ROUND(IF($G360&lt;1,$G360*24,INT($G360/100)+MOD($G360,100)/60)-IF($F360&lt;1,$F360*24,INT($F360/100)+MOD($F360,100)/60),2))</f>
        <v/>
      </c>
      <c r="I360" s="17"/>
      <c r="J360" s="18" t="str">
        <f aca="false">IF(OR($H360="",$I360=""),"",ROUND($H360*$I360,0))</f>
        <v/>
      </c>
      <c r="K360" s="13"/>
      <c r="L360" s="17"/>
      <c r="M360" s="18" t="str">
        <f aca="false">IF($J360="","",$J360-IF($L360="",0,$L360))</f>
        <v/>
      </c>
      <c r="N360" s="19" t="str">
        <f aca="true">IF(OR($A360="",$M360="",$M360&lt;=0),"",TODAY()-$A360)</f>
        <v/>
      </c>
      <c r="O360" s="20" t="str">
        <f aca="false">IF($B360="","",IFERROR(INDEX(차량목록!$D$3:$D$42,MATCH($B360,차량목록!$A$3:$A$42,0)),0))</f>
        <v/>
      </c>
      <c r="P360" s="18" t="str">
        <f aca="false">IF($J360="","",ROUND($J360*$O360,0))</f>
        <v/>
      </c>
    </row>
    <row r="361" customFormat="false" ht="15" hidden="false" customHeight="true" outlineLevel="0" collapsed="false">
      <c r="A361" s="13"/>
      <c r="B361" s="10"/>
      <c r="C361" s="14" t="str">
        <f aca="false">IF($B361="","",IFERROR(INDEX(차량목록!$B$3:$B$42,MATCH($B361,차량목록!$A$3:$A$42,0)),"미등록차량"))</f>
        <v/>
      </c>
      <c r="D361" s="10"/>
      <c r="E361" s="10"/>
      <c r="F361" s="15"/>
      <c r="G361" s="15"/>
      <c r="H361" s="16" t="str">
        <f aca="false">IF(OR($F361="",$G361=""),"",ROUND(IF($G361&lt;1,$G361*24,INT($G361/100)+MOD($G361,100)/60)-IF($F361&lt;1,$F361*24,INT($F361/100)+MOD($F361,100)/60),2))</f>
        <v/>
      </c>
      <c r="I361" s="17"/>
      <c r="J361" s="18" t="str">
        <f aca="false">IF(OR($H361="",$I361=""),"",ROUND($H361*$I361,0))</f>
        <v/>
      </c>
      <c r="K361" s="13"/>
      <c r="L361" s="17"/>
      <c r="M361" s="18" t="str">
        <f aca="false">IF($J361="","",$J361-IF($L361="",0,$L361))</f>
        <v/>
      </c>
      <c r="N361" s="19" t="str">
        <f aca="true">IF(OR($A361="",$M361="",$M361&lt;=0),"",TODAY()-$A361)</f>
        <v/>
      </c>
      <c r="O361" s="20" t="str">
        <f aca="false">IF($B361="","",IFERROR(INDEX(차량목록!$D$3:$D$42,MATCH($B361,차량목록!$A$3:$A$42,0)),0))</f>
        <v/>
      </c>
      <c r="P361" s="18" t="str">
        <f aca="false">IF($J361="","",ROUND($J361*$O361,0))</f>
        <v/>
      </c>
    </row>
    <row r="362" customFormat="false" ht="15" hidden="false" customHeight="true" outlineLevel="0" collapsed="false">
      <c r="A362" s="13"/>
      <c r="B362" s="10"/>
      <c r="C362" s="14" t="str">
        <f aca="false">IF($B362="","",IFERROR(INDEX(차량목록!$B$3:$B$42,MATCH($B362,차량목록!$A$3:$A$42,0)),"미등록차량"))</f>
        <v/>
      </c>
      <c r="D362" s="10"/>
      <c r="E362" s="10"/>
      <c r="F362" s="15"/>
      <c r="G362" s="15"/>
      <c r="H362" s="16" t="str">
        <f aca="false">IF(OR($F362="",$G362=""),"",ROUND(IF($G362&lt;1,$G362*24,INT($G362/100)+MOD($G362,100)/60)-IF($F362&lt;1,$F362*24,INT($F362/100)+MOD($F362,100)/60),2))</f>
        <v/>
      </c>
      <c r="I362" s="17"/>
      <c r="J362" s="18" t="str">
        <f aca="false">IF(OR($H362="",$I362=""),"",ROUND($H362*$I362,0))</f>
        <v/>
      </c>
      <c r="K362" s="13"/>
      <c r="L362" s="17"/>
      <c r="M362" s="18" t="str">
        <f aca="false">IF($J362="","",$J362-IF($L362="",0,$L362))</f>
        <v/>
      </c>
      <c r="N362" s="19" t="str">
        <f aca="true">IF(OR($A362="",$M362="",$M362&lt;=0),"",TODAY()-$A362)</f>
        <v/>
      </c>
      <c r="O362" s="20" t="str">
        <f aca="false">IF($B362="","",IFERROR(INDEX(차량목록!$D$3:$D$42,MATCH($B362,차량목록!$A$3:$A$42,0)),0))</f>
        <v/>
      </c>
      <c r="P362" s="18" t="str">
        <f aca="false">IF($J362="","",ROUND($J362*$O362,0))</f>
        <v/>
      </c>
    </row>
    <row r="363" customFormat="false" ht="15" hidden="false" customHeight="true" outlineLevel="0" collapsed="false">
      <c r="A363" s="13"/>
      <c r="B363" s="10"/>
      <c r="C363" s="14" t="str">
        <f aca="false">IF($B363="","",IFERROR(INDEX(차량목록!$B$3:$B$42,MATCH($B363,차량목록!$A$3:$A$42,0)),"미등록차량"))</f>
        <v/>
      </c>
      <c r="D363" s="10"/>
      <c r="E363" s="10"/>
      <c r="F363" s="15"/>
      <c r="G363" s="15"/>
      <c r="H363" s="16" t="str">
        <f aca="false">IF(OR($F363="",$G363=""),"",ROUND(IF($G363&lt;1,$G363*24,INT($G363/100)+MOD($G363,100)/60)-IF($F363&lt;1,$F363*24,INT($F363/100)+MOD($F363,100)/60),2))</f>
        <v/>
      </c>
      <c r="I363" s="17"/>
      <c r="J363" s="18" t="str">
        <f aca="false">IF(OR($H363="",$I363=""),"",ROUND($H363*$I363,0))</f>
        <v/>
      </c>
      <c r="K363" s="13"/>
      <c r="L363" s="17"/>
      <c r="M363" s="18" t="str">
        <f aca="false">IF($J363="","",$J363-IF($L363="",0,$L363))</f>
        <v/>
      </c>
      <c r="N363" s="19" t="str">
        <f aca="true">IF(OR($A363="",$M363="",$M363&lt;=0),"",TODAY()-$A363)</f>
        <v/>
      </c>
      <c r="O363" s="20" t="str">
        <f aca="false">IF($B363="","",IFERROR(INDEX(차량목록!$D$3:$D$42,MATCH($B363,차량목록!$A$3:$A$42,0)),0))</f>
        <v/>
      </c>
      <c r="P363" s="18" t="str">
        <f aca="false">IF($J363="","",ROUND($J363*$O363,0))</f>
        <v/>
      </c>
    </row>
    <row r="364" customFormat="false" ht="15" hidden="false" customHeight="true" outlineLevel="0" collapsed="false">
      <c r="A364" s="13"/>
      <c r="B364" s="10"/>
      <c r="C364" s="14" t="str">
        <f aca="false">IF($B364="","",IFERROR(INDEX(차량목록!$B$3:$B$42,MATCH($B364,차량목록!$A$3:$A$42,0)),"미등록차량"))</f>
        <v/>
      </c>
      <c r="D364" s="10"/>
      <c r="E364" s="10"/>
      <c r="F364" s="15"/>
      <c r="G364" s="15"/>
      <c r="H364" s="16" t="str">
        <f aca="false">IF(OR($F364="",$G364=""),"",ROUND(IF($G364&lt;1,$G364*24,INT($G364/100)+MOD($G364,100)/60)-IF($F364&lt;1,$F364*24,INT($F364/100)+MOD($F364,100)/60),2))</f>
        <v/>
      </c>
      <c r="I364" s="17"/>
      <c r="J364" s="18" t="str">
        <f aca="false">IF(OR($H364="",$I364=""),"",ROUND($H364*$I364,0))</f>
        <v/>
      </c>
      <c r="K364" s="13"/>
      <c r="L364" s="17"/>
      <c r="M364" s="18" t="str">
        <f aca="false">IF($J364="","",$J364-IF($L364="",0,$L364))</f>
        <v/>
      </c>
      <c r="N364" s="19" t="str">
        <f aca="true">IF(OR($A364="",$M364="",$M364&lt;=0),"",TODAY()-$A364)</f>
        <v/>
      </c>
      <c r="O364" s="20" t="str">
        <f aca="false">IF($B364="","",IFERROR(INDEX(차량목록!$D$3:$D$42,MATCH($B364,차량목록!$A$3:$A$42,0)),0))</f>
        <v/>
      </c>
      <c r="P364" s="18" t="str">
        <f aca="false">IF($J364="","",ROUND($J364*$O364,0))</f>
        <v/>
      </c>
    </row>
    <row r="365" customFormat="false" ht="15" hidden="false" customHeight="true" outlineLevel="0" collapsed="false">
      <c r="A365" s="13"/>
      <c r="B365" s="10"/>
      <c r="C365" s="14" t="str">
        <f aca="false">IF($B365="","",IFERROR(INDEX(차량목록!$B$3:$B$42,MATCH($B365,차량목록!$A$3:$A$42,0)),"미등록차량"))</f>
        <v/>
      </c>
      <c r="D365" s="10"/>
      <c r="E365" s="10"/>
      <c r="F365" s="15"/>
      <c r="G365" s="15"/>
      <c r="H365" s="16" t="str">
        <f aca="false">IF(OR($F365="",$G365=""),"",ROUND(IF($G365&lt;1,$G365*24,INT($G365/100)+MOD($G365,100)/60)-IF($F365&lt;1,$F365*24,INT($F365/100)+MOD($F365,100)/60),2))</f>
        <v/>
      </c>
      <c r="I365" s="17"/>
      <c r="J365" s="18" t="str">
        <f aca="false">IF(OR($H365="",$I365=""),"",ROUND($H365*$I365,0))</f>
        <v/>
      </c>
      <c r="K365" s="13"/>
      <c r="L365" s="17"/>
      <c r="M365" s="18" t="str">
        <f aca="false">IF($J365="","",$J365-IF($L365="",0,$L365))</f>
        <v/>
      </c>
      <c r="N365" s="19" t="str">
        <f aca="true">IF(OR($A365="",$M365="",$M365&lt;=0),"",TODAY()-$A365)</f>
        <v/>
      </c>
      <c r="O365" s="20" t="str">
        <f aca="false">IF($B365="","",IFERROR(INDEX(차량목록!$D$3:$D$42,MATCH($B365,차량목록!$A$3:$A$42,0)),0))</f>
        <v/>
      </c>
      <c r="P365" s="18" t="str">
        <f aca="false">IF($J365="","",ROUND($J365*$O365,0))</f>
        <v/>
      </c>
    </row>
    <row r="366" customFormat="false" ht="15" hidden="false" customHeight="true" outlineLevel="0" collapsed="false">
      <c r="A366" s="13"/>
      <c r="B366" s="10"/>
      <c r="C366" s="14" t="str">
        <f aca="false">IF($B366="","",IFERROR(INDEX(차량목록!$B$3:$B$42,MATCH($B366,차량목록!$A$3:$A$42,0)),"미등록차량"))</f>
        <v/>
      </c>
      <c r="D366" s="10"/>
      <c r="E366" s="10"/>
      <c r="F366" s="15"/>
      <c r="G366" s="15"/>
      <c r="H366" s="16" t="str">
        <f aca="false">IF(OR($F366="",$G366=""),"",ROUND(IF($G366&lt;1,$G366*24,INT($G366/100)+MOD($G366,100)/60)-IF($F366&lt;1,$F366*24,INT($F366/100)+MOD($F366,100)/60),2))</f>
        <v/>
      </c>
      <c r="I366" s="17"/>
      <c r="J366" s="18" t="str">
        <f aca="false">IF(OR($H366="",$I366=""),"",ROUND($H366*$I366,0))</f>
        <v/>
      </c>
      <c r="K366" s="13"/>
      <c r="L366" s="17"/>
      <c r="M366" s="18" t="str">
        <f aca="false">IF($J366="","",$J366-IF($L366="",0,$L366))</f>
        <v/>
      </c>
      <c r="N366" s="19" t="str">
        <f aca="true">IF(OR($A366="",$M366="",$M366&lt;=0),"",TODAY()-$A366)</f>
        <v/>
      </c>
      <c r="O366" s="20" t="str">
        <f aca="false">IF($B366="","",IFERROR(INDEX(차량목록!$D$3:$D$42,MATCH($B366,차량목록!$A$3:$A$42,0)),0))</f>
        <v/>
      </c>
      <c r="P366" s="18" t="str">
        <f aca="false">IF($J366="","",ROUND($J366*$O366,0))</f>
        <v/>
      </c>
    </row>
    <row r="367" customFormat="false" ht="15" hidden="false" customHeight="true" outlineLevel="0" collapsed="false">
      <c r="A367" s="13"/>
      <c r="B367" s="10"/>
      <c r="C367" s="14" t="str">
        <f aca="false">IF($B367="","",IFERROR(INDEX(차량목록!$B$3:$B$42,MATCH($B367,차량목록!$A$3:$A$42,0)),"미등록차량"))</f>
        <v/>
      </c>
      <c r="D367" s="10"/>
      <c r="E367" s="10"/>
      <c r="F367" s="15"/>
      <c r="G367" s="15"/>
      <c r="H367" s="16" t="str">
        <f aca="false">IF(OR($F367="",$G367=""),"",ROUND(IF($G367&lt;1,$G367*24,INT($G367/100)+MOD($G367,100)/60)-IF($F367&lt;1,$F367*24,INT($F367/100)+MOD($F367,100)/60),2))</f>
        <v/>
      </c>
      <c r="I367" s="17"/>
      <c r="J367" s="18" t="str">
        <f aca="false">IF(OR($H367="",$I367=""),"",ROUND($H367*$I367,0))</f>
        <v/>
      </c>
      <c r="K367" s="13"/>
      <c r="L367" s="17"/>
      <c r="M367" s="18" t="str">
        <f aca="false">IF($J367="","",$J367-IF($L367="",0,$L367))</f>
        <v/>
      </c>
      <c r="N367" s="19" t="str">
        <f aca="true">IF(OR($A367="",$M367="",$M367&lt;=0),"",TODAY()-$A367)</f>
        <v/>
      </c>
      <c r="O367" s="20" t="str">
        <f aca="false">IF($B367="","",IFERROR(INDEX(차량목록!$D$3:$D$42,MATCH($B367,차량목록!$A$3:$A$42,0)),0))</f>
        <v/>
      </c>
      <c r="P367" s="18" t="str">
        <f aca="false">IF($J367="","",ROUND($J367*$O367,0))</f>
        <v/>
      </c>
    </row>
    <row r="368" customFormat="false" ht="15" hidden="false" customHeight="true" outlineLevel="0" collapsed="false">
      <c r="A368" s="13"/>
      <c r="B368" s="10"/>
      <c r="C368" s="14" t="str">
        <f aca="false">IF($B368="","",IFERROR(INDEX(차량목록!$B$3:$B$42,MATCH($B368,차량목록!$A$3:$A$42,0)),"미등록차량"))</f>
        <v/>
      </c>
      <c r="D368" s="10"/>
      <c r="E368" s="10"/>
      <c r="F368" s="15"/>
      <c r="G368" s="15"/>
      <c r="H368" s="16" t="str">
        <f aca="false">IF(OR($F368="",$G368=""),"",ROUND(IF($G368&lt;1,$G368*24,INT($G368/100)+MOD($G368,100)/60)-IF($F368&lt;1,$F368*24,INT($F368/100)+MOD($F368,100)/60),2))</f>
        <v/>
      </c>
      <c r="I368" s="17"/>
      <c r="J368" s="18" t="str">
        <f aca="false">IF(OR($H368="",$I368=""),"",ROUND($H368*$I368,0))</f>
        <v/>
      </c>
      <c r="K368" s="13"/>
      <c r="L368" s="17"/>
      <c r="M368" s="18" t="str">
        <f aca="false">IF($J368="","",$J368-IF($L368="",0,$L368))</f>
        <v/>
      </c>
      <c r="N368" s="19" t="str">
        <f aca="true">IF(OR($A368="",$M368="",$M368&lt;=0),"",TODAY()-$A368)</f>
        <v/>
      </c>
      <c r="O368" s="20" t="str">
        <f aca="false">IF($B368="","",IFERROR(INDEX(차량목록!$D$3:$D$42,MATCH($B368,차량목록!$A$3:$A$42,0)),0))</f>
        <v/>
      </c>
      <c r="P368" s="18" t="str">
        <f aca="false">IF($J368="","",ROUND($J368*$O368,0))</f>
        <v/>
      </c>
    </row>
    <row r="369" customFormat="false" ht="15" hidden="false" customHeight="true" outlineLevel="0" collapsed="false">
      <c r="A369" s="13"/>
      <c r="B369" s="10"/>
      <c r="C369" s="14" t="str">
        <f aca="false">IF($B369="","",IFERROR(INDEX(차량목록!$B$3:$B$42,MATCH($B369,차량목록!$A$3:$A$42,0)),"미등록차량"))</f>
        <v/>
      </c>
      <c r="D369" s="10"/>
      <c r="E369" s="10"/>
      <c r="F369" s="15"/>
      <c r="G369" s="15"/>
      <c r="H369" s="16" t="str">
        <f aca="false">IF(OR($F369="",$G369=""),"",ROUND(IF($G369&lt;1,$G369*24,INT($G369/100)+MOD($G369,100)/60)-IF($F369&lt;1,$F369*24,INT($F369/100)+MOD($F369,100)/60),2))</f>
        <v/>
      </c>
      <c r="I369" s="17"/>
      <c r="J369" s="18" t="str">
        <f aca="false">IF(OR($H369="",$I369=""),"",ROUND($H369*$I369,0))</f>
        <v/>
      </c>
      <c r="K369" s="13"/>
      <c r="L369" s="17"/>
      <c r="M369" s="18" t="str">
        <f aca="false">IF($J369="","",$J369-IF($L369="",0,$L369))</f>
        <v/>
      </c>
      <c r="N369" s="19" t="str">
        <f aca="true">IF(OR($A369="",$M369="",$M369&lt;=0),"",TODAY()-$A369)</f>
        <v/>
      </c>
      <c r="O369" s="20" t="str">
        <f aca="false">IF($B369="","",IFERROR(INDEX(차량목록!$D$3:$D$42,MATCH($B369,차량목록!$A$3:$A$42,0)),0))</f>
        <v/>
      </c>
      <c r="P369" s="18" t="str">
        <f aca="false">IF($J369="","",ROUND($J369*$O369,0))</f>
        <v/>
      </c>
    </row>
    <row r="370" customFormat="false" ht="15" hidden="false" customHeight="true" outlineLevel="0" collapsed="false">
      <c r="A370" s="13"/>
      <c r="B370" s="10"/>
      <c r="C370" s="14" t="str">
        <f aca="false">IF($B370="","",IFERROR(INDEX(차량목록!$B$3:$B$42,MATCH($B370,차량목록!$A$3:$A$42,0)),"미등록차량"))</f>
        <v/>
      </c>
      <c r="D370" s="10"/>
      <c r="E370" s="10"/>
      <c r="F370" s="15"/>
      <c r="G370" s="15"/>
      <c r="H370" s="16" t="str">
        <f aca="false">IF(OR($F370="",$G370=""),"",ROUND(IF($G370&lt;1,$G370*24,INT($G370/100)+MOD($G370,100)/60)-IF($F370&lt;1,$F370*24,INT($F370/100)+MOD($F370,100)/60),2))</f>
        <v/>
      </c>
      <c r="I370" s="17"/>
      <c r="J370" s="18" t="str">
        <f aca="false">IF(OR($H370="",$I370=""),"",ROUND($H370*$I370,0))</f>
        <v/>
      </c>
      <c r="K370" s="13"/>
      <c r="L370" s="17"/>
      <c r="M370" s="18" t="str">
        <f aca="false">IF($J370="","",$J370-IF($L370="",0,$L370))</f>
        <v/>
      </c>
      <c r="N370" s="19" t="str">
        <f aca="true">IF(OR($A370="",$M370="",$M370&lt;=0),"",TODAY()-$A370)</f>
        <v/>
      </c>
      <c r="O370" s="20" t="str">
        <f aca="false">IF($B370="","",IFERROR(INDEX(차량목록!$D$3:$D$42,MATCH($B370,차량목록!$A$3:$A$42,0)),0))</f>
        <v/>
      </c>
      <c r="P370" s="18" t="str">
        <f aca="false">IF($J370="","",ROUND($J370*$O370,0))</f>
        <v/>
      </c>
    </row>
    <row r="371" customFormat="false" ht="15" hidden="false" customHeight="true" outlineLevel="0" collapsed="false">
      <c r="A371" s="13"/>
      <c r="B371" s="10"/>
      <c r="C371" s="14" t="str">
        <f aca="false">IF($B371="","",IFERROR(INDEX(차량목록!$B$3:$B$42,MATCH($B371,차량목록!$A$3:$A$42,0)),"미등록차량"))</f>
        <v/>
      </c>
      <c r="D371" s="10"/>
      <c r="E371" s="10"/>
      <c r="F371" s="15"/>
      <c r="G371" s="15"/>
      <c r="H371" s="16" t="str">
        <f aca="false">IF(OR($F371="",$G371=""),"",ROUND(IF($G371&lt;1,$G371*24,INT($G371/100)+MOD($G371,100)/60)-IF($F371&lt;1,$F371*24,INT($F371/100)+MOD($F371,100)/60),2))</f>
        <v/>
      </c>
      <c r="I371" s="17"/>
      <c r="J371" s="18" t="str">
        <f aca="false">IF(OR($H371="",$I371=""),"",ROUND($H371*$I371,0))</f>
        <v/>
      </c>
      <c r="K371" s="13"/>
      <c r="L371" s="17"/>
      <c r="M371" s="18" t="str">
        <f aca="false">IF($J371="","",$J371-IF($L371="",0,$L371))</f>
        <v/>
      </c>
      <c r="N371" s="19" t="str">
        <f aca="true">IF(OR($A371="",$M371="",$M371&lt;=0),"",TODAY()-$A371)</f>
        <v/>
      </c>
      <c r="O371" s="20" t="str">
        <f aca="false">IF($B371="","",IFERROR(INDEX(차량목록!$D$3:$D$42,MATCH($B371,차량목록!$A$3:$A$42,0)),0))</f>
        <v/>
      </c>
      <c r="P371" s="18" t="str">
        <f aca="false">IF($J371="","",ROUND($J371*$O371,0))</f>
        <v/>
      </c>
    </row>
    <row r="372" customFormat="false" ht="15" hidden="false" customHeight="true" outlineLevel="0" collapsed="false">
      <c r="A372" s="13"/>
      <c r="B372" s="10"/>
      <c r="C372" s="14" t="str">
        <f aca="false">IF($B372="","",IFERROR(INDEX(차량목록!$B$3:$B$42,MATCH($B372,차량목록!$A$3:$A$42,0)),"미등록차량"))</f>
        <v/>
      </c>
      <c r="D372" s="10"/>
      <c r="E372" s="10"/>
      <c r="F372" s="15"/>
      <c r="G372" s="15"/>
      <c r="H372" s="16" t="str">
        <f aca="false">IF(OR($F372="",$G372=""),"",ROUND(IF($G372&lt;1,$G372*24,INT($G372/100)+MOD($G372,100)/60)-IF($F372&lt;1,$F372*24,INT($F372/100)+MOD($F372,100)/60),2))</f>
        <v/>
      </c>
      <c r="I372" s="17"/>
      <c r="J372" s="18" t="str">
        <f aca="false">IF(OR($H372="",$I372=""),"",ROUND($H372*$I372,0))</f>
        <v/>
      </c>
      <c r="K372" s="13"/>
      <c r="L372" s="17"/>
      <c r="M372" s="18" t="str">
        <f aca="false">IF($J372="","",$J372-IF($L372="",0,$L372))</f>
        <v/>
      </c>
      <c r="N372" s="19" t="str">
        <f aca="true">IF(OR($A372="",$M372="",$M372&lt;=0),"",TODAY()-$A372)</f>
        <v/>
      </c>
      <c r="O372" s="20" t="str">
        <f aca="false">IF($B372="","",IFERROR(INDEX(차량목록!$D$3:$D$42,MATCH($B372,차량목록!$A$3:$A$42,0)),0))</f>
        <v/>
      </c>
      <c r="P372" s="18" t="str">
        <f aca="false">IF($J372="","",ROUND($J372*$O372,0))</f>
        <v/>
      </c>
    </row>
    <row r="373" customFormat="false" ht="15" hidden="false" customHeight="true" outlineLevel="0" collapsed="false">
      <c r="A373" s="13"/>
      <c r="B373" s="10"/>
      <c r="C373" s="14" t="str">
        <f aca="false">IF($B373="","",IFERROR(INDEX(차량목록!$B$3:$B$42,MATCH($B373,차량목록!$A$3:$A$42,0)),"미등록차량"))</f>
        <v/>
      </c>
      <c r="D373" s="10"/>
      <c r="E373" s="10"/>
      <c r="F373" s="15"/>
      <c r="G373" s="15"/>
      <c r="H373" s="16" t="str">
        <f aca="false">IF(OR($F373="",$G373=""),"",ROUND(IF($G373&lt;1,$G373*24,INT($G373/100)+MOD($G373,100)/60)-IF($F373&lt;1,$F373*24,INT($F373/100)+MOD($F373,100)/60),2))</f>
        <v/>
      </c>
      <c r="I373" s="17"/>
      <c r="J373" s="18" t="str">
        <f aca="false">IF(OR($H373="",$I373=""),"",ROUND($H373*$I373,0))</f>
        <v/>
      </c>
      <c r="K373" s="13"/>
      <c r="L373" s="17"/>
      <c r="M373" s="18" t="str">
        <f aca="false">IF($J373="","",$J373-IF($L373="",0,$L373))</f>
        <v/>
      </c>
      <c r="N373" s="19" t="str">
        <f aca="true">IF(OR($A373="",$M373="",$M373&lt;=0),"",TODAY()-$A373)</f>
        <v/>
      </c>
      <c r="O373" s="20" t="str">
        <f aca="false">IF($B373="","",IFERROR(INDEX(차량목록!$D$3:$D$42,MATCH($B373,차량목록!$A$3:$A$42,0)),0))</f>
        <v/>
      </c>
      <c r="P373" s="18" t="str">
        <f aca="false">IF($J373="","",ROUND($J373*$O373,0))</f>
        <v/>
      </c>
    </row>
    <row r="374" customFormat="false" ht="15" hidden="false" customHeight="true" outlineLevel="0" collapsed="false">
      <c r="A374" s="13"/>
      <c r="B374" s="10"/>
      <c r="C374" s="14" t="str">
        <f aca="false">IF($B374="","",IFERROR(INDEX(차량목록!$B$3:$B$42,MATCH($B374,차량목록!$A$3:$A$42,0)),"미등록차량"))</f>
        <v/>
      </c>
      <c r="D374" s="10"/>
      <c r="E374" s="10"/>
      <c r="F374" s="15"/>
      <c r="G374" s="15"/>
      <c r="H374" s="16" t="str">
        <f aca="false">IF(OR($F374="",$G374=""),"",ROUND(IF($G374&lt;1,$G374*24,INT($G374/100)+MOD($G374,100)/60)-IF($F374&lt;1,$F374*24,INT($F374/100)+MOD($F374,100)/60),2))</f>
        <v/>
      </c>
      <c r="I374" s="17"/>
      <c r="J374" s="18" t="str">
        <f aca="false">IF(OR($H374="",$I374=""),"",ROUND($H374*$I374,0))</f>
        <v/>
      </c>
      <c r="K374" s="13"/>
      <c r="L374" s="17"/>
      <c r="M374" s="18" t="str">
        <f aca="false">IF($J374="","",$J374-IF($L374="",0,$L374))</f>
        <v/>
      </c>
      <c r="N374" s="19" t="str">
        <f aca="true">IF(OR($A374="",$M374="",$M374&lt;=0),"",TODAY()-$A374)</f>
        <v/>
      </c>
      <c r="O374" s="20" t="str">
        <f aca="false">IF($B374="","",IFERROR(INDEX(차량목록!$D$3:$D$42,MATCH($B374,차량목록!$A$3:$A$42,0)),0))</f>
        <v/>
      </c>
      <c r="P374" s="18" t="str">
        <f aca="false">IF($J374="","",ROUND($J374*$O374,0))</f>
        <v/>
      </c>
    </row>
    <row r="375" customFormat="false" ht="15" hidden="false" customHeight="true" outlineLevel="0" collapsed="false">
      <c r="A375" s="13"/>
      <c r="B375" s="10"/>
      <c r="C375" s="14" t="str">
        <f aca="false">IF($B375="","",IFERROR(INDEX(차량목록!$B$3:$B$42,MATCH($B375,차량목록!$A$3:$A$42,0)),"미등록차량"))</f>
        <v/>
      </c>
      <c r="D375" s="10"/>
      <c r="E375" s="10"/>
      <c r="F375" s="15"/>
      <c r="G375" s="15"/>
      <c r="H375" s="16" t="str">
        <f aca="false">IF(OR($F375="",$G375=""),"",ROUND(IF($G375&lt;1,$G375*24,INT($G375/100)+MOD($G375,100)/60)-IF($F375&lt;1,$F375*24,INT($F375/100)+MOD($F375,100)/60),2))</f>
        <v/>
      </c>
      <c r="I375" s="17"/>
      <c r="J375" s="18" t="str">
        <f aca="false">IF(OR($H375="",$I375=""),"",ROUND($H375*$I375,0))</f>
        <v/>
      </c>
      <c r="K375" s="13"/>
      <c r="L375" s="17"/>
      <c r="M375" s="18" t="str">
        <f aca="false">IF($J375="","",$J375-IF($L375="",0,$L375))</f>
        <v/>
      </c>
      <c r="N375" s="19" t="str">
        <f aca="true">IF(OR($A375="",$M375="",$M375&lt;=0),"",TODAY()-$A375)</f>
        <v/>
      </c>
      <c r="O375" s="20" t="str">
        <f aca="false">IF($B375="","",IFERROR(INDEX(차량목록!$D$3:$D$42,MATCH($B375,차량목록!$A$3:$A$42,0)),0))</f>
        <v/>
      </c>
      <c r="P375" s="18" t="str">
        <f aca="false">IF($J375="","",ROUND($J375*$O375,0))</f>
        <v/>
      </c>
    </row>
    <row r="376" customFormat="false" ht="15" hidden="false" customHeight="true" outlineLevel="0" collapsed="false">
      <c r="A376" s="13"/>
      <c r="B376" s="10"/>
      <c r="C376" s="14" t="str">
        <f aca="false">IF($B376="","",IFERROR(INDEX(차량목록!$B$3:$B$42,MATCH($B376,차량목록!$A$3:$A$42,0)),"미등록차량"))</f>
        <v/>
      </c>
      <c r="D376" s="10"/>
      <c r="E376" s="10"/>
      <c r="F376" s="15"/>
      <c r="G376" s="15"/>
      <c r="H376" s="16" t="str">
        <f aca="false">IF(OR($F376="",$G376=""),"",ROUND(IF($G376&lt;1,$G376*24,INT($G376/100)+MOD($G376,100)/60)-IF($F376&lt;1,$F376*24,INT($F376/100)+MOD($F376,100)/60),2))</f>
        <v/>
      </c>
      <c r="I376" s="17"/>
      <c r="J376" s="18" t="str">
        <f aca="false">IF(OR($H376="",$I376=""),"",ROUND($H376*$I376,0))</f>
        <v/>
      </c>
      <c r="K376" s="13"/>
      <c r="L376" s="17"/>
      <c r="M376" s="18" t="str">
        <f aca="false">IF($J376="","",$J376-IF($L376="",0,$L376))</f>
        <v/>
      </c>
      <c r="N376" s="19" t="str">
        <f aca="true">IF(OR($A376="",$M376="",$M376&lt;=0),"",TODAY()-$A376)</f>
        <v/>
      </c>
      <c r="O376" s="20" t="str">
        <f aca="false">IF($B376="","",IFERROR(INDEX(차량목록!$D$3:$D$42,MATCH($B376,차량목록!$A$3:$A$42,0)),0))</f>
        <v/>
      </c>
      <c r="P376" s="18" t="str">
        <f aca="false">IF($J376="","",ROUND($J376*$O376,0))</f>
        <v/>
      </c>
    </row>
    <row r="377" customFormat="false" ht="15" hidden="false" customHeight="true" outlineLevel="0" collapsed="false">
      <c r="A377" s="13"/>
      <c r="B377" s="10"/>
      <c r="C377" s="14" t="str">
        <f aca="false">IF($B377="","",IFERROR(INDEX(차량목록!$B$3:$B$42,MATCH($B377,차량목록!$A$3:$A$42,0)),"미등록차량"))</f>
        <v/>
      </c>
      <c r="D377" s="10"/>
      <c r="E377" s="10"/>
      <c r="F377" s="15"/>
      <c r="G377" s="15"/>
      <c r="H377" s="16" t="str">
        <f aca="false">IF(OR($F377="",$G377=""),"",ROUND(IF($G377&lt;1,$G377*24,INT($G377/100)+MOD($G377,100)/60)-IF($F377&lt;1,$F377*24,INT($F377/100)+MOD($F377,100)/60),2))</f>
        <v/>
      </c>
      <c r="I377" s="17"/>
      <c r="J377" s="18" t="str">
        <f aca="false">IF(OR($H377="",$I377=""),"",ROUND($H377*$I377,0))</f>
        <v/>
      </c>
      <c r="K377" s="13"/>
      <c r="L377" s="17"/>
      <c r="M377" s="18" t="str">
        <f aca="false">IF($J377="","",$J377-IF($L377="",0,$L377))</f>
        <v/>
      </c>
      <c r="N377" s="19" t="str">
        <f aca="true">IF(OR($A377="",$M377="",$M377&lt;=0),"",TODAY()-$A377)</f>
        <v/>
      </c>
      <c r="O377" s="20" t="str">
        <f aca="false">IF($B377="","",IFERROR(INDEX(차량목록!$D$3:$D$42,MATCH($B377,차량목록!$A$3:$A$42,0)),0))</f>
        <v/>
      </c>
      <c r="P377" s="18" t="str">
        <f aca="false">IF($J377="","",ROUND($J377*$O377,0))</f>
        <v/>
      </c>
    </row>
    <row r="378" customFormat="false" ht="15" hidden="false" customHeight="true" outlineLevel="0" collapsed="false">
      <c r="A378" s="13"/>
      <c r="B378" s="10"/>
      <c r="C378" s="14" t="str">
        <f aca="false">IF($B378="","",IFERROR(INDEX(차량목록!$B$3:$B$42,MATCH($B378,차량목록!$A$3:$A$42,0)),"미등록차량"))</f>
        <v/>
      </c>
      <c r="D378" s="10"/>
      <c r="E378" s="10"/>
      <c r="F378" s="15"/>
      <c r="G378" s="15"/>
      <c r="H378" s="16" t="str">
        <f aca="false">IF(OR($F378="",$G378=""),"",ROUND(IF($G378&lt;1,$G378*24,INT($G378/100)+MOD($G378,100)/60)-IF($F378&lt;1,$F378*24,INT($F378/100)+MOD($F378,100)/60),2))</f>
        <v/>
      </c>
      <c r="I378" s="17"/>
      <c r="J378" s="18" t="str">
        <f aca="false">IF(OR($H378="",$I378=""),"",ROUND($H378*$I378,0))</f>
        <v/>
      </c>
      <c r="K378" s="13"/>
      <c r="L378" s="17"/>
      <c r="M378" s="18" t="str">
        <f aca="false">IF($J378="","",$J378-IF($L378="",0,$L378))</f>
        <v/>
      </c>
      <c r="N378" s="19" t="str">
        <f aca="true">IF(OR($A378="",$M378="",$M378&lt;=0),"",TODAY()-$A378)</f>
        <v/>
      </c>
      <c r="O378" s="20" t="str">
        <f aca="false">IF($B378="","",IFERROR(INDEX(차량목록!$D$3:$D$42,MATCH($B378,차량목록!$A$3:$A$42,0)),0))</f>
        <v/>
      </c>
      <c r="P378" s="18" t="str">
        <f aca="false">IF($J378="","",ROUND($J378*$O378,0))</f>
        <v/>
      </c>
    </row>
    <row r="379" customFormat="false" ht="15" hidden="false" customHeight="true" outlineLevel="0" collapsed="false">
      <c r="A379" s="13"/>
      <c r="B379" s="10"/>
      <c r="C379" s="14" t="str">
        <f aca="false">IF($B379="","",IFERROR(INDEX(차량목록!$B$3:$B$42,MATCH($B379,차량목록!$A$3:$A$42,0)),"미등록차량"))</f>
        <v/>
      </c>
      <c r="D379" s="10"/>
      <c r="E379" s="10"/>
      <c r="F379" s="15"/>
      <c r="G379" s="15"/>
      <c r="H379" s="16" t="str">
        <f aca="false">IF(OR($F379="",$G379=""),"",ROUND(IF($G379&lt;1,$G379*24,INT($G379/100)+MOD($G379,100)/60)-IF($F379&lt;1,$F379*24,INT($F379/100)+MOD($F379,100)/60),2))</f>
        <v/>
      </c>
      <c r="I379" s="17"/>
      <c r="J379" s="18" t="str">
        <f aca="false">IF(OR($H379="",$I379=""),"",ROUND($H379*$I379,0))</f>
        <v/>
      </c>
      <c r="K379" s="13"/>
      <c r="L379" s="17"/>
      <c r="M379" s="18" t="str">
        <f aca="false">IF($J379="","",$J379-IF($L379="",0,$L379))</f>
        <v/>
      </c>
      <c r="N379" s="19" t="str">
        <f aca="true">IF(OR($A379="",$M379="",$M379&lt;=0),"",TODAY()-$A379)</f>
        <v/>
      </c>
      <c r="O379" s="20" t="str">
        <f aca="false">IF($B379="","",IFERROR(INDEX(차량목록!$D$3:$D$42,MATCH($B379,차량목록!$A$3:$A$42,0)),0))</f>
        <v/>
      </c>
      <c r="P379" s="18" t="str">
        <f aca="false">IF($J379="","",ROUND($J379*$O379,0))</f>
        <v/>
      </c>
    </row>
    <row r="380" customFormat="false" ht="15" hidden="false" customHeight="true" outlineLevel="0" collapsed="false">
      <c r="A380" s="13"/>
      <c r="B380" s="10"/>
      <c r="C380" s="14" t="str">
        <f aca="false">IF($B380="","",IFERROR(INDEX(차량목록!$B$3:$B$42,MATCH($B380,차량목록!$A$3:$A$42,0)),"미등록차량"))</f>
        <v/>
      </c>
      <c r="D380" s="10"/>
      <c r="E380" s="10"/>
      <c r="F380" s="15"/>
      <c r="G380" s="15"/>
      <c r="H380" s="16" t="str">
        <f aca="false">IF(OR($F380="",$G380=""),"",ROUND(IF($G380&lt;1,$G380*24,INT($G380/100)+MOD($G380,100)/60)-IF($F380&lt;1,$F380*24,INT($F380/100)+MOD($F380,100)/60),2))</f>
        <v/>
      </c>
      <c r="I380" s="17"/>
      <c r="J380" s="18" t="str">
        <f aca="false">IF(OR($H380="",$I380=""),"",ROUND($H380*$I380,0))</f>
        <v/>
      </c>
      <c r="K380" s="13"/>
      <c r="L380" s="17"/>
      <c r="M380" s="18" t="str">
        <f aca="false">IF($J380="","",$J380-IF($L380="",0,$L380))</f>
        <v/>
      </c>
      <c r="N380" s="19" t="str">
        <f aca="true">IF(OR($A380="",$M380="",$M380&lt;=0),"",TODAY()-$A380)</f>
        <v/>
      </c>
      <c r="O380" s="20" t="str">
        <f aca="false">IF($B380="","",IFERROR(INDEX(차량목록!$D$3:$D$42,MATCH($B380,차량목록!$A$3:$A$42,0)),0))</f>
        <v/>
      </c>
      <c r="P380" s="18" t="str">
        <f aca="false">IF($J380="","",ROUND($J380*$O380,0))</f>
        <v/>
      </c>
    </row>
    <row r="381" customFormat="false" ht="15" hidden="false" customHeight="true" outlineLevel="0" collapsed="false">
      <c r="A381" s="13"/>
      <c r="B381" s="10"/>
      <c r="C381" s="14" t="str">
        <f aca="false">IF($B381="","",IFERROR(INDEX(차량목록!$B$3:$B$42,MATCH($B381,차량목록!$A$3:$A$42,0)),"미등록차량"))</f>
        <v/>
      </c>
      <c r="D381" s="10"/>
      <c r="E381" s="10"/>
      <c r="F381" s="15"/>
      <c r="G381" s="15"/>
      <c r="H381" s="16" t="str">
        <f aca="false">IF(OR($F381="",$G381=""),"",ROUND(IF($G381&lt;1,$G381*24,INT($G381/100)+MOD($G381,100)/60)-IF($F381&lt;1,$F381*24,INT($F381/100)+MOD($F381,100)/60),2))</f>
        <v/>
      </c>
      <c r="I381" s="17"/>
      <c r="J381" s="18" t="str">
        <f aca="false">IF(OR($H381="",$I381=""),"",ROUND($H381*$I381,0))</f>
        <v/>
      </c>
      <c r="K381" s="13"/>
      <c r="L381" s="17"/>
      <c r="M381" s="18" t="str">
        <f aca="false">IF($J381="","",$J381-IF($L381="",0,$L381))</f>
        <v/>
      </c>
      <c r="N381" s="19" t="str">
        <f aca="true">IF(OR($A381="",$M381="",$M381&lt;=0),"",TODAY()-$A381)</f>
        <v/>
      </c>
      <c r="O381" s="20" t="str">
        <f aca="false">IF($B381="","",IFERROR(INDEX(차량목록!$D$3:$D$42,MATCH($B381,차량목록!$A$3:$A$42,0)),0))</f>
        <v/>
      </c>
      <c r="P381" s="18" t="str">
        <f aca="false">IF($J381="","",ROUND($J381*$O381,0))</f>
        <v/>
      </c>
    </row>
    <row r="382" customFormat="false" ht="15" hidden="false" customHeight="true" outlineLevel="0" collapsed="false">
      <c r="A382" s="13"/>
      <c r="B382" s="10"/>
      <c r="C382" s="14" t="str">
        <f aca="false">IF($B382="","",IFERROR(INDEX(차량목록!$B$3:$B$42,MATCH($B382,차량목록!$A$3:$A$42,0)),"미등록차량"))</f>
        <v/>
      </c>
      <c r="D382" s="10"/>
      <c r="E382" s="10"/>
      <c r="F382" s="15"/>
      <c r="G382" s="15"/>
      <c r="H382" s="16" t="str">
        <f aca="false">IF(OR($F382="",$G382=""),"",ROUND(IF($G382&lt;1,$G382*24,INT($G382/100)+MOD($G382,100)/60)-IF($F382&lt;1,$F382*24,INT($F382/100)+MOD($F382,100)/60),2))</f>
        <v/>
      </c>
      <c r="I382" s="17"/>
      <c r="J382" s="18" t="str">
        <f aca="false">IF(OR($H382="",$I382=""),"",ROUND($H382*$I382,0))</f>
        <v/>
      </c>
      <c r="K382" s="13"/>
      <c r="L382" s="17"/>
      <c r="M382" s="18" t="str">
        <f aca="false">IF($J382="","",$J382-IF($L382="",0,$L382))</f>
        <v/>
      </c>
      <c r="N382" s="19" t="str">
        <f aca="true">IF(OR($A382="",$M382="",$M382&lt;=0),"",TODAY()-$A382)</f>
        <v/>
      </c>
      <c r="O382" s="20" t="str">
        <f aca="false">IF($B382="","",IFERROR(INDEX(차량목록!$D$3:$D$42,MATCH($B382,차량목록!$A$3:$A$42,0)),0))</f>
        <v/>
      </c>
      <c r="P382" s="18" t="str">
        <f aca="false">IF($J382="","",ROUND($J382*$O382,0))</f>
        <v/>
      </c>
    </row>
    <row r="383" customFormat="false" ht="15" hidden="false" customHeight="true" outlineLevel="0" collapsed="false">
      <c r="A383" s="13"/>
      <c r="B383" s="10"/>
      <c r="C383" s="14" t="str">
        <f aca="false">IF($B383="","",IFERROR(INDEX(차량목록!$B$3:$B$42,MATCH($B383,차량목록!$A$3:$A$42,0)),"미등록차량"))</f>
        <v/>
      </c>
      <c r="D383" s="10"/>
      <c r="E383" s="10"/>
      <c r="F383" s="15"/>
      <c r="G383" s="15"/>
      <c r="H383" s="16" t="str">
        <f aca="false">IF(OR($F383="",$G383=""),"",ROUND(IF($G383&lt;1,$G383*24,INT($G383/100)+MOD($G383,100)/60)-IF($F383&lt;1,$F383*24,INT($F383/100)+MOD($F383,100)/60),2))</f>
        <v/>
      </c>
      <c r="I383" s="17"/>
      <c r="J383" s="18" t="str">
        <f aca="false">IF(OR($H383="",$I383=""),"",ROUND($H383*$I383,0))</f>
        <v/>
      </c>
      <c r="K383" s="13"/>
      <c r="L383" s="17"/>
      <c r="M383" s="18" t="str">
        <f aca="false">IF($J383="","",$J383-IF($L383="",0,$L383))</f>
        <v/>
      </c>
      <c r="N383" s="19" t="str">
        <f aca="true">IF(OR($A383="",$M383="",$M383&lt;=0),"",TODAY()-$A383)</f>
        <v/>
      </c>
      <c r="O383" s="20" t="str">
        <f aca="false">IF($B383="","",IFERROR(INDEX(차량목록!$D$3:$D$42,MATCH($B383,차량목록!$A$3:$A$42,0)),0))</f>
        <v/>
      </c>
      <c r="P383" s="18" t="str">
        <f aca="false">IF($J383="","",ROUND($J383*$O383,0))</f>
        <v/>
      </c>
    </row>
    <row r="384" customFormat="false" ht="15" hidden="false" customHeight="true" outlineLevel="0" collapsed="false">
      <c r="A384" s="13"/>
      <c r="B384" s="10"/>
      <c r="C384" s="14" t="str">
        <f aca="false">IF($B384="","",IFERROR(INDEX(차량목록!$B$3:$B$42,MATCH($B384,차량목록!$A$3:$A$42,0)),"미등록차량"))</f>
        <v/>
      </c>
      <c r="D384" s="10"/>
      <c r="E384" s="10"/>
      <c r="F384" s="15"/>
      <c r="G384" s="15"/>
      <c r="H384" s="16" t="str">
        <f aca="false">IF(OR($F384="",$G384=""),"",ROUND(IF($G384&lt;1,$G384*24,INT($G384/100)+MOD($G384,100)/60)-IF($F384&lt;1,$F384*24,INT($F384/100)+MOD($F384,100)/60),2))</f>
        <v/>
      </c>
      <c r="I384" s="17"/>
      <c r="J384" s="18" t="str">
        <f aca="false">IF(OR($H384="",$I384=""),"",ROUND($H384*$I384,0))</f>
        <v/>
      </c>
      <c r="K384" s="13"/>
      <c r="L384" s="17"/>
      <c r="M384" s="18" t="str">
        <f aca="false">IF($J384="","",$J384-IF($L384="",0,$L384))</f>
        <v/>
      </c>
      <c r="N384" s="19" t="str">
        <f aca="true">IF(OR($A384="",$M384="",$M384&lt;=0),"",TODAY()-$A384)</f>
        <v/>
      </c>
      <c r="O384" s="20" t="str">
        <f aca="false">IF($B384="","",IFERROR(INDEX(차량목록!$D$3:$D$42,MATCH($B384,차량목록!$A$3:$A$42,0)),0))</f>
        <v/>
      </c>
      <c r="P384" s="18" t="str">
        <f aca="false">IF($J384="","",ROUND($J384*$O384,0))</f>
        <v/>
      </c>
    </row>
    <row r="385" customFormat="false" ht="15" hidden="false" customHeight="true" outlineLevel="0" collapsed="false">
      <c r="A385" s="13"/>
      <c r="B385" s="10"/>
      <c r="C385" s="14" t="str">
        <f aca="false">IF($B385="","",IFERROR(INDEX(차량목록!$B$3:$B$42,MATCH($B385,차량목록!$A$3:$A$42,0)),"미등록차량"))</f>
        <v/>
      </c>
      <c r="D385" s="10"/>
      <c r="E385" s="10"/>
      <c r="F385" s="15"/>
      <c r="G385" s="15"/>
      <c r="H385" s="16" t="str">
        <f aca="false">IF(OR($F385="",$G385=""),"",ROUND(IF($G385&lt;1,$G385*24,INT($G385/100)+MOD($G385,100)/60)-IF($F385&lt;1,$F385*24,INT($F385/100)+MOD($F385,100)/60),2))</f>
        <v/>
      </c>
      <c r="I385" s="17"/>
      <c r="J385" s="18" t="str">
        <f aca="false">IF(OR($H385="",$I385=""),"",ROUND($H385*$I385,0))</f>
        <v/>
      </c>
      <c r="K385" s="13"/>
      <c r="L385" s="17"/>
      <c r="M385" s="18" t="str">
        <f aca="false">IF($J385="","",$J385-IF($L385="",0,$L385))</f>
        <v/>
      </c>
      <c r="N385" s="19" t="str">
        <f aca="true">IF(OR($A385="",$M385="",$M385&lt;=0),"",TODAY()-$A385)</f>
        <v/>
      </c>
      <c r="O385" s="20" t="str">
        <f aca="false">IF($B385="","",IFERROR(INDEX(차량목록!$D$3:$D$42,MATCH($B385,차량목록!$A$3:$A$42,0)),0))</f>
        <v/>
      </c>
      <c r="P385" s="18" t="str">
        <f aca="false">IF($J385="","",ROUND($J385*$O385,0))</f>
        <v/>
      </c>
    </row>
    <row r="386" customFormat="false" ht="15" hidden="false" customHeight="true" outlineLevel="0" collapsed="false">
      <c r="A386" s="13"/>
      <c r="B386" s="10"/>
      <c r="C386" s="14" t="str">
        <f aca="false">IF($B386="","",IFERROR(INDEX(차량목록!$B$3:$B$42,MATCH($B386,차량목록!$A$3:$A$42,0)),"미등록차량"))</f>
        <v/>
      </c>
      <c r="D386" s="10"/>
      <c r="E386" s="10"/>
      <c r="F386" s="15"/>
      <c r="G386" s="15"/>
      <c r="H386" s="16" t="str">
        <f aca="false">IF(OR($F386="",$G386=""),"",ROUND(IF($G386&lt;1,$G386*24,INT($G386/100)+MOD($G386,100)/60)-IF($F386&lt;1,$F386*24,INT($F386/100)+MOD($F386,100)/60),2))</f>
        <v/>
      </c>
      <c r="I386" s="17"/>
      <c r="J386" s="18" t="str">
        <f aca="false">IF(OR($H386="",$I386=""),"",ROUND($H386*$I386,0))</f>
        <v/>
      </c>
      <c r="K386" s="13"/>
      <c r="L386" s="17"/>
      <c r="M386" s="18" t="str">
        <f aca="false">IF($J386="","",$J386-IF($L386="",0,$L386))</f>
        <v/>
      </c>
      <c r="N386" s="19" t="str">
        <f aca="true">IF(OR($A386="",$M386="",$M386&lt;=0),"",TODAY()-$A386)</f>
        <v/>
      </c>
      <c r="O386" s="20" t="str">
        <f aca="false">IF($B386="","",IFERROR(INDEX(차량목록!$D$3:$D$42,MATCH($B386,차량목록!$A$3:$A$42,0)),0))</f>
        <v/>
      </c>
      <c r="P386" s="18" t="str">
        <f aca="false">IF($J386="","",ROUND($J386*$O386,0))</f>
        <v/>
      </c>
    </row>
    <row r="387" customFormat="false" ht="15" hidden="false" customHeight="true" outlineLevel="0" collapsed="false">
      <c r="A387" s="13"/>
      <c r="B387" s="10"/>
      <c r="C387" s="14" t="str">
        <f aca="false">IF($B387="","",IFERROR(INDEX(차량목록!$B$3:$B$42,MATCH($B387,차량목록!$A$3:$A$42,0)),"미등록차량"))</f>
        <v/>
      </c>
      <c r="D387" s="10"/>
      <c r="E387" s="10"/>
      <c r="F387" s="15"/>
      <c r="G387" s="15"/>
      <c r="H387" s="16" t="str">
        <f aca="false">IF(OR($F387="",$G387=""),"",ROUND(IF($G387&lt;1,$G387*24,INT($G387/100)+MOD($G387,100)/60)-IF($F387&lt;1,$F387*24,INT($F387/100)+MOD($F387,100)/60),2))</f>
        <v/>
      </c>
      <c r="I387" s="17"/>
      <c r="J387" s="18" t="str">
        <f aca="false">IF(OR($H387="",$I387=""),"",ROUND($H387*$I387,0))</f>
        <v/>
      </c>
      <c r="K387" s="13"/>
      <c r="L387" s="17"/>
      <c r="M387" s="18" t="str">
        <f aca="false">IF($J387="","",$J387-IF($L387="",0,$L387))</f>
        <v/>
      </c>
      <c r="N387" s="19" t="str">
        <f aca="true">IF(OR($A387="",$M387="",$M387&lt;=0),"",TODAY()-$A387)</f>
        <v/>
      </c>
      <c r="O387" s="20" t="str">
        <f aca="false">IF($B387="","",IFERROR(INDEX(차량목록!$D$3:$D$42,MATCH($B387,차량목록!$A$3:$A$42,0)),0))</f>
        <v/>
      </c>
      <c r="P387" s="18" t="str">
        <f aca="false">IF($J387="","",ROUND($J387*$O387,0))</f>
        <v/>
      </c>
    </row>
    <row r="388" customFormat="false" ht="15" hidden="false" customHeight="true" outlineLevel="0" collapsed="false">
      <c r="A388" s="13"/>
      <c r="B388" s="10"/>
      <c r="C388" s="14" t="str">
        <f aca="false">IF($B388="","",IFERROR(INDEX(차량목록!$B$3:$B$42,MATCH($B388,차량목록!$A$3:$A$42,0)),"미등록차량"))</f>
        <v/>
      </c>
      <c r="D388" s="10"/>
      <c r="E388" s="10"/>
      <c r="F388" s="15"/>
      <c r="G388" s="15"/>
      <c r="H388" s="16" t="str">
        <f aca="false">IF(OR($F388="",$G388=""),"",ROUND(IF($G388&lt;1,$G388*24,INT($G388/100)+MOD($G388,100)/60)-IF($F388&lt;1,$F388*24,INT($F388/100)+MOD($F388,100)/60),2))</f>
        <v/>
      </c>
      <c r="I388" s="17"/>
      <c r="J388" s="18" t="str">
        <f aca="false">IF(OR($H388="",$I388=""),"",ROUND($H388*$I388,0))</f>
        <v/>
      </c>
      <c r="K388" s="13"/>
      <c r="L388" s="17"/>
      <c r="M388" s="18" t="str">
        <f aca="false">IF($J388="","",$J388-IF($L388="",0,$L388))</f>
        <v/>
      </c>
      <c r="N388" s="19" t="str">
        <f aca="true">IF(OR($A388="",$M388="",$M388&lt;=0),"",TODAY()-$A388)</f>
        <v/>
      </c>
      <c r="O388" s="20" t="str">
        <f aca="false">IF($B388="","",IFERROR(INDEX(차량목록!$D$3:$D$42,MATCH($B388,차량목록!$A$3:$A$42,0)),0))</f>
        <v/>
      </c>
      <c r="P388" s="18" t="str">
        <f aca="false">IF($J388="","",ROUND($J388*$O388,0))</f>
        <v/>
      </c>
    </row>
    <row r="389" customFormat="false" ht="15" hidden="false" customHeight="true" outlineLevel="0" collapsed="false">
      <c r="A389" s="13"/>
      <c r="B389" s="10"/>
      <c r="C389" s="14" t="str">
        <f aca="false">IF($B389="","",IFERROR(INDEX(차량목록!$B$3:$B$42,MATCH($B389,차량목록!$A$3:$A$42,0)),"미등록차량"))</f>
        <v/>
      </c>
      <c r="D389" s="10"/>
      <c r="E389" s="10"/>
      <c r="F389" s="15"/>
      <c r="G389" s="15"/>
      <c r="H389" s="16" t="str">
        <f aca="false">IF(OR($F389="",$G389=""),"",ROUND(IF($G389&lt;1,$G389*24,INT($G389/100)+MOD($G389,100)/60)-IF($F389&lt;1,$F389*24,INT($F389/100)+MOD($F389,100)/60),2))</f>
        <v/>
      </c>
      <c r="I389" s="17"/>
      <c r="J389" s="18" t="str">
        <f aca="false">IF(OR($H389="",$I389=""),"",ROUND($H389*$I389,0))</f>
        <v/>
      </c>
      <c r="K389" s="13"/>
      <c r="L389" s="17"/>
      <c r="M389" s="18" t="str">
        <f aca="false">IF($J389="","",$J389-IF($L389="",0,$L389))</f>
        <v/>
      </c>
      <c r="N389" s="19" t="str">
        <f aca="true">IF(OR($A389="",$M389="",$M389&lt;=0),"",TODAY()-$A389)</f>
        <v/>
      </c>
      <c r="O389" s="20" t="str">
        <f aca="false">IF($B389="","",IFERROR(INDEX(차량목록!$D$3:$D$42,MATCH($B389,차량목록!$A$3:$A$42,0)),0))</f>
        <v/>
      </c>
      <c r="P389" s="18" t="str">
        <f aca="false">IF($J389="","",ROUND($J389*$O389,0))</f>
        <v/>
      </c>
    </row>
    <row r="390" customFormat="false" ht="15" hidden="false" customHeight="true" outlineLevel="0" collapsed="false">
      <c r="A390" s="13"/>
      <c r="B390" s="10"/>
      <c r="C390" s="14" t="str">
        <f aca="false">IF($B390="","",IFERROR(INDEX(차량목록!$B$3:$B$42,MATCH($B390,차량목록!$A$3:$A$42,0)),"미등록차량"))</f>
        <v/>
      </c>
      <c r="D390" s="10"/>
      <c r="E390" s="10"/>
      <c r="F390" s="15"/>
      <c r="G390" s="15"/>
      <c r="H390" s="16" t="str">
        <f aca="false">IF(OR($F390="",$G390=""),"",ROUND(IF($G390&lt;1,$G390*24,INT($G390/100)+MOD($G390,100)/60)-IF($F390&lt;1,$F390*24,INT($F390/100)+MOD($F390,100)/60),2))</f>
        <v/>
      </c>
      <c r="I390" s="17"/>
      <c r="J390" s="18" t="str">
        <f aca="false">IF(OR($H390="",$I390=""),"",ROUND($H390*$I390,0))</f>
        <v/>
      </c>
      <c r="K390" s="13"/>
      <c r="L390" s="17"/>
      <c r="M390" s="18" t="str">
        <f aca="false">IF($J390="","",$J390-IF($L390="",0,$L390))</f>
        <v/>
      </c>
      <c r="N390" s="19" t="str">
        <f aca="true">IF(OR($A390="",$M390="",$M390&lt;=0),"",TODAY()-$A390)</f>
        <v/>
      </c>
      <c r="O390" s="20" t="str">
        <f aca="false">IF($B390="","",IFERROR(INDEX(차량목록!$D$3:$D$42,MATCH($B390,차량목록!$A$3:$A$42,0)),0))</f>
        <v/>
      </c>
      <c r="P390" s="18" t="str">
        <f aca="false">IF($J390="","",ROUND($J390*$O390,0))</f>
        <v/>
      </c>
    </row>
    <row r="391" customFormat="false" ht="15" hidden="false" customHeight="true" outlineLevel="0" collapsed="false">
      <c r="A391" s="13"/>
      <c r="B391" s="10"/>
      <c r="C391" s="14" t="str">
        <f aca="false">IF($B391="","",IFERROR(INDEX(차량목록!$B$3:$B$42,MATCH($B391,차량목록!$A$3:$A$42,0)),"미등록차량"))</f>
        <v/>
      </c>
      <c r="D391" s="10"/>
      <c r="E391" s="10"/>
      <c r="F391" s="15"/>
      <c r="G391" s="15"/>
      <c r="H391" s="16" t="str">
        <f aca="false">IF(OR($F391="",$G391=""),"",ROUND(IF($G391&lt;1,$G391*24,INT($G391/100)+MOD($G391,100)/60)-IF($F391&lt;1,$F391*24,INT($F391/100)+MOD($F391,100)/60),2))</f>
        <v/>
      </c>
      <c r="I391" s="17"/>
      <c r="J391" s="18" t="str">
        <f aca="false">IF(OR($H391="",$I391=""),"",ROUND($H391*$I391,0))</f>
        <v/>
      </c>
      <c r="K391" s="13"/>
      <c r="L391" s="17"/>
      <c r="M391" s="18" t="str">
        <f aca="false">IF($J391="","",$J391-IF($L391="",0,$L391))</f>
        <v/>
      </c>
      <c r="N391" s="19" t="str">
        <f aca="true">IF(OR($A391="",$M391="",$M391&lt;=0),"",TODAY()-$A391)</f>
        <v/>
      </c>
      <c r="O391" s="20" t="str">
        <f aca="false">IF($B391="","",IFERROR(INDEX(차량목록!$D$3:$D$42,MATCH($B391,차량목록!$A$3:$A$42,0)),0))</f>
        <v/>
      </c>
      <c r="P391" s="18" t="str">
        <f aca="false">IF($J391="","",ROUND($J391*$O391,0))</f>
        <v/>
      </c>
    </row>
    <row r="392" customFormat="false" ht="15" hidden="false" customHeight="true" outlineLevel="0" collapsed="false">
      <c r="A392" s="13"/>
      <c r="B392" s="10"/>
      <c r="C392" s="14" t="str">
        <f aca="false">IF($B392="","",IFERROR(INDEX(차량목록!$B$3:$B$42,MATCH($B392,차량목록!$A$3:$A$42,0)),"미등록차량"))</f>
        <v/>
      </c>
      <c r="D392" s="10"/>
      <c r="E392" s="10"/>
      <c r="F392" s="15"/>
      <c r="G392" s="15"/>
      <c r="H392" s="16" t="str">
        <f aca="false">IF(OR($F392="",$G392=""),"",ROUND(IF($G392&lt;1,$G392*24,INT($G392/100)+MOD($G392,100)/60)-IF($F392&lt;1,$F392*24,INT($F392/100)+MOD($F392,100)/60),2))</f>
        <v/>
      </c>
      <c r="I392" s="17"/>
      <c r="J392" s="18" t="str">
        <f aca="false">IF(OR($H392="",$I392=""),"",ROUND($H392*$I392,0))</f>
        <v/>
      </c>
      <c r="K392" s="13"/>
      <c r="L392" s="17"/>
      <c r="M392" s="18" t="str">
        <f aca="false">IF($J392="","",$J392-IF($L392="",0,$L392))</f>
        <v/>
      </c>
      <c r="N392" s="19" t="str">
        <f aca="true">IF(OR($A392="",$M392="",$M392&lt;=0),"",TODAY()-$A392)</f>
        <v/>
      </c>
      <c r="O392" s="20" t="str">
        <f aca="false">IF($B392="","",IFERROR(INDEX(차량목록!$D$3:$D$42,MATCH($B392,차량목록!$A$3:$A$42,0)),0))</f>
        <v/>
      </c>
      <c r="P392" s="18" t="str">
        <f aca="false">IF($J392="","",ROUND($J392*$O392,0))</f>
        <v/>
      </c>
    </row>
    <row r="393" customFormat="false" ht="15" hidden="false" customHeight="true" outlineLevel="0" collapsed="false">
      <c r="A393" s="13"/>
      <c r="B393" s="10"/>
      <c r="C393" s="14" t="str">
        <f aca="false">IF($B393="","",IFERROR(INDEX(차량목록!$B$3:$B$42,MATCH($B393,차량목록!$A$3:$A$42,0)),"미등록차량"))</f>
        <v/>
      </c>
      <c r="D393" s="10"/>
      <c r="E393" s="10"/>
      <c r="F393" s="15"/>
      <c r="G393" s="15"/>
      <c r="H393" s="16" t="str">
        <f aca="false">IF(OR($F393="",$G393=""),"",ROUND(IF($G393&lt;1,$G393*24,INT($G393/100)+MOD($G393,100)/60)-IF($F393&lt;1,$F393*24,INT($F393/100)+MOD($F393,100)/60),2))</f>
        <v/>
      </c>
      <c r="I393" s="17"/>
      <c r="J393" s="18" t="str">
        <f aca="false">IF(OR($H393="",$I393=""),"",ROUND($H393*$I393,0))</f>
        <v/>
      </c>
      <c r="K393" s="13"/>
      <c r="L393" s="17"/>
      <c r="M393" s="18" t="str">
        <f aca="false">IF($J393="","",$J393-IF($L393="",0,$L393))</f>
        <v/>
      </c>
      <c r="N393" s="19" t="str">
        <f aca="true">IF(OR($A393="",$M393="",$M393&lt;=0),"",TODAY()-$A393)</f>
        <v/>
      </c>
      <c r="O393" s="20" t="str">
        <f aca="false">IF($B393="","",IFERROR(INDEX(차량목록!$D$3:$D$42,MATCH($B393,차량목록!$A$3:$A$42,0)),0))</f>
        <v/>
      </c>
      <c r="P393" s="18" t="str">
        <f aca="false">IF($J393="","",ROUND($J393*$O393,0))</f>
        <v/>
      </c>
    </row>
    <row r="394" customFormat="false" ht="15" hidden="false" customHeight="true" outlineLevel="0" collapsed="false">
      <c r="A394" s="13"/>
      <c r="B394" s="10"/>
      <c r="C394" s="14" t="str">
        <f aca="false">IF($B394="","",IFERROR(INDEX(차량목록!$B$3:$B$42,MATCH($B394,차량목록!$A$3:$A$42,0)),"미등록차량"))</f>
        <v/>
      </c>
      <c r="D394" s="10"/>
      <c r="E394" s="10"/>
      <c r="F394" s="15"/>
      <c r="G394" s="15"/>
      <c r="H394" s="16" t="str">
        <f aca="false">IF(OR($F394="",$G394=""),"",ROUND(IF($G394&lt;1,$G394*24,INT($G394/100)+MOD($G394,100)/60)-IF($F394&lt;1,$F394*24,INT($F394/100)+MOD($F394,100)/60),2))</f>
        <v/>
      </c>
      <c r="I394" s="17"/>
      <c r="J394" s="18" t="str">
        <f aca="false">IF(OR($H394="",$I394=""),"",ROUND($H394*$I394,0))</f>
        <v/>
      </c>
      <c r="K394" s="13"/>
      <c r="L394" s="17"/>
      <c r="M394" s="18" t="str">
        <f aca="false">IF($J394="","",$J394-IF($L394="",0,$L394))</f>
        <v/>
      </c>
      <c r="N394" s="19" t="str">
        <f aca="true">IF(OR($A394="",$M394="",$M394&lt;=0),"",TODAY()-$A394)</f>
        <v/>
      </c>
      <c r="O394" s="20" t="str">
        <f aca="false">IF($B394="","",IFERROR(INDEX(차량목록!$D$3:$D$42,MATCH($B394,차량목록!$A$3:$A$42,0)),0))</f>
        <v/>
      </c>
      <c r="P394" s="18" t="str">
        <f aca="false">IF($J394="","",ROUND($J394*$O394,0))</f>
        <v/>
      </c>
    </row>
    <row r="395" customFormat="false" ht="15" hidden="false" customHeight="true" outlineLevel="0" collapsed="false">
      <c r="A395" s="13"/>
      <c r="B395" s="10"/>
      <c r="C395" s="14" t="str">
        <f aca="false">IF($B395="","",IFERROR(INDEX(차량목록!$B$3:$B$42,MATCH($B395,차량목록!$A$3:$A$42,0)),"미등록차량"))</f>
        <v/>
      </c>
      <c r="D395" s="10"/>
      <c r="E395" s="10"/>
      <c r="F395" s="15"/>
      <c r="G395" s="15"/>
      <c r="H395" s="16" t="str">
        <f aca="false">IF(OR($F395="",$G395=""),"",ROUND(IF($G395&lt;1,$G395*24,INT($G395/100)+MOD($G395,100)/60)-IF($F395&lt;1,$F395*24,INT($F395/100)+MOD($F395,100)/60),2))</f>
        <v/>
      </c>
      <c r="I395" s="17"/>
      <c r="J395" s="18" t="str">
        <f aca="false">IF(OR($H395="",$I395=""),"",ROUND($H395*$I395,0))</f>
        <v/>
      </c>
      <c r="K395" s="13"/>
      <c r="L395" s="17"/>
      <c r="M395" s="18" t="str">
        <f aca="false">IF($J395="","",$J395-IF($L395="",0,$L395))</f>
        <v/>
      </c>
      <c r="N395" s="19" t="str">
        <f aca="true">IF(OR($A395="",$M395="",$M395&lt;=0),"",TODAY()-$A395)</f>
        <v/>
      </c>
      <c r="O395" s="20" t="str">
        <f aca="false">IF($B395="","",IFERROR(INDEX(차량목록!$D$3:$D$42,MATCH($B395,차량목록!$A$3:$A$42,0)),0))</f>
        <v/>
      </c>
      <c r="P395" s="18" t="str">
        <f aca="false">IF($J395="","",ROUND($J395*$O395,0))</f>
        <v/>
      </c>
    </row>
    <row r="396" customFormat="false" ht="15" hidden="false" customHeight="true" outlineLevel="0" collapsed="false">
      <c r="A396" s="13"/>
      <c r="B396" s="10"/>
      <c r="C396" s="14" t="str">
        <f aca="false">IF($B396="","",IFERROR(INDEX(차량목록!$B$3:$B$42,MATCH($B396,차량목록!$A$3:$A$42,0)),"미등록차량"))</f>
        <v/>
      </c>
      <c r="D396" s="10"/>
      <c r="E396" s="10"/>
      <c r="F396" s="15"/>
      <c r="G396" s="15"/>
      <c r="H396" s="16" t="str">
        <f aca="false">IF(OR($F396="",$G396=""),"",ROUND(IF($G396&lt;1,$G396*24,INT($G396/100)+MOD($G396,100)/60)-IF($F396&lt;1,$F396*24,INT($F396/100)+MOD($F396,100)/60),2))</f>
        <v/>
      </c>
      <c r="I396" s="17"/>
      <c r="J396" s="18" t="str">
        <f aca="false">IF(OR($H396="",$I396=""),"",ROUND($H396*$I396,0))</f>
        <v/>
      </c>
      <c r="K396" s="13"/>
      <c r="L396" s="17"/>
      <c r="M396" s="18" t="str">
        <f aca="false">IF($J396="","",$J396-IF($L396="",0,$L396))</f>
        <v/>
      </c>
      <c r="N396" s="19" t="str">
        <f aca="true">IF(OR($A396="",$M396="",$M396&lt;=0),"",TODAY()-$A396)</f>
        <v/>
      </c>
      <c r="O396" s="20" t="str">
        <f aca="false">IF($B396="","",IFERROR(INDEX(차량목록!$D$3:$D$42,MATCH($B396,차량목록!$A$3:$A$42,0)),0))</f>
        <v/>
      </c>
      <c r="P396" s="18" t="str">
        <f aca="false">IF($J396="","",ROUND($J396*$O396,0))</f>
        <v/>
      </c>
    </row>
    <row r="397" customFormat="false" ht="15" hidden="false" customHeight="true" outlineLevel="0" collapsed="false">
      <c r="A397" s="13"/>
      <c r="B397" s="10"/>
      <c r="C397" s="14" t="str">
        <f aca="false">IF($B397="","",IFERROR(INDEX(차량목록!$B$3:$B$42,MATCH($B397,차량목록!$A$3:$A$42,0)),"미등록차량"))</f>
        <v/>
      </c>
      <c r="D397" s="10"/>
      <c r="E397" s="10"/>
      <c r="F397" s="15"/>
      <c r="G397" s="15"/>
      <c r="H397" s="16" t="str">
        <f aca="false">IF(OR($F397="",$G397=""),"",ROUND(IF($G397&lt;1,$G397*24,INT($G397/100)+MOD($G397,100)/60)-IF($F397&lt;1,$F397*24,INT($F397/100)+MOD($F397,100)/60),2))</f>
        <v/>
      </c>
      <c r="I397" s="17"/>
      <c r="J397" s="18" t="str">
        <f aca="false">IF(OR($H397="",$I397=""),"",ROUND($H397*$I397,0))</f>
        <v/>
      </c>
      <c r="K397" s="13"/>
      <c r="L397" s="17"/>
      <c r="M397" s="18" t="str">
        <f aca="false">IF($J397="","",$J397-IF($L397="",0,$L397))</f>
        <v/>
      </c>
      <c r="N397" s="19" t="str">
        <f aca="true">IF(OR($A397="",$M397="",$M397&lt;=0),"",TODAY()-$A397)</f>
        <v/>
      </c>
      <c r="O397" s="20" t="str">
        <f aca="false">IF($B397="","",IFERROR(INDEX(차량목록!$D$3:$D$42,MATCH($B397,차량목록!$A$3:$A$42,0)),0))</f>
        <v/>
      </c>
      <c r="P397" s="18" t="str">
        <f aca="false">IF($J397="","",ROUND($J397*$O397,0))</f>
        <v/>
      </c>
    </row>
    <row r="398" customFormat="false" ht="15" hidden="false" customHeight="true" outlineLevel="0" collapsed="false">
      <c r="A398" s="13"/>
      <c r="B398" s="10"/>
      <c r="C398" s="14" t="str">
        <f aca="false">IF($B398="","",IFERROR(INDEX(차량목록!$B$3:$B$42,MATCH($B398,차량목록!$A$3:$A$42,0)),"미등록차량"))</f>
        <v/>
      </c>
      <c r="D398" s="10"/>
      <c r="E398" s="10"/>
      <c r="F398" s="15"/>
      <c r="G398" s="15"/>
      <c r="H398" s="16" t="str">
        <f aca="false">IF(OR($F398="",$G398=""),"",ROUND(IF($G398&lt;1,$G398*24,INT($G398/100)+MOD($G398,100)/60)-IF($F398&lt;1,$F398*24,INT($F398/100)+MOD($F398,100)/60),2))</f>
        <v/>
      </c>
      <c r="I398" s="17"/>
      <c r="J398" s="18" t="str">
        <f aca="false">IF(OR($H398="",$I398=""),"",ROUND($H398*$I398,0))</f>
        <v/>
      </c>
      <c r="K398" s="13"/>
      <c r="L398" s="17"/>
      <c r="M398" s="18" t="str">
        <f aca="false">IF($J398="","",$J398-IF($L398="",0,$L398))</f>
        <v/>
      </c>
      <c r="N398" s="19" t="str">
        <f aca="true">IF(OR($A398="",$M398="",$M398&lt;=0),"",TODAY()-$A398)</f>
        <v/>
      </c>
      <c r="O398" s="20" t="str">
        <f aca="false">IF($B398="","",IFERROR(INDEX(차량목록!$D$3:$D$42,MATCH($B398,차량목록!$A$3:$A$42,0)),0))</f>
        <v/>
      </c>
      <c r="P398" s="18" t="str">
        <f aca="false">IF($J398="","",ROUND($J398*$O398,0))</f>
        <v/>
      </c>
    </row>
    <row r="399" customFormat="false" ht="15" hidden="false" customHeight="true" outlineLevel="0" collapsed="false">
      <c r="A399" s="13"/>
      <c r="B399" s="10"/>
      <c r="C399" s="14" t="str">
        <f aca="false">IF($B399="","",IFERROR(INDEX(차량목록!$B$3:$B$42,MATCH($B399,차량목록!$A$3:$A$42,0)),"미등록차량"))</f>
        <v/>
      </c>
      <c r="D399" s="10"/>
      <c r="E399" s="10"/>
      <c r="F399" s="15"/>
      <c r="G399" s="15"/>
      <c r="H399" s="16" t="str">
        <f aca="false">IF(OR($F399="",$G399=""),"",ROUND(IF($G399&lt;1,$G399*24,INT($G399/100)+MOD($G399,100)/60)-IF($F399&lt;1,$F399*24,INT($F399/100)+MOD($F399,100)/60),2))</f>
        <v/>
      </c>
      <c r="I399" s="17"/>
      <c r="J399" s="18" t="str">
        <f aca="false">IF(OR($H399="",$I399=""),"",ROUND($H399*$I399,0))</f>
        <v/>
      </c>
      <c r="K399" s="13"/>
      <c r="L399" s="17"/>
      <c r="M399" s="18" t="str">
        <f aca="false">IF($J399="","",$J399-IF($L399="",0,$L399))</f>
        <v/>
      </c>
      <c r="N399" s="19" t="str">
        <f aca="true">IF(OR($A399="",$M399="",$M399&lt;=0),"",TODAY()-$A399)</f>
        <v/>
      </c>
      <c r="O399" s="20" t="str">
        <f aca="false">IF($B399="","",IFERROR(INDEX(차량목록!$D$3:$D$42,MATCH($B399,차량목록!$A$3:$A$42,0)),0))</f>
        <v/>
      </c>
      <c r="P399" s="18" t="str">
        <f aca="false">IF($J399="","",ROUND($J399*$O399,0))</f>
        <v/>
      </c>
    </row>
    <row r="400" customFormat="false" ht="15" hidden="false" customHeight="true" outlineLevel="0" collapsed="false">
      <c r="A400" s="13"/>
      <c r="B400" s="10"/>
      <c r="C400" s="14" t="str">
        <f aca="false">IF($B400="","",IFERROR(INDEX(차량목록!$B$3:$B$42,MATCH($B400,차량목록!$A$3:$A$42,0)),"미등록차량"))</f>
        <v/>
      </c>
      <c r="D400" s="10"/>
      <c r="E400" s="10"/>
      <c r="F400" s="15"/>
      <c r="G400" s="15"/>
      <c r="H400" s="16" t="str">
        <f aca="false">IF(OR($F400="",$G400=""),"",ROUND(IF($G400&lt;1,$G400*24,INT($G400/100)+MOD($G400,100)/60)-IF($F400&lt;1,$F400*24,INT($F400/100)+MOD($F400,100)/60),2))</f>
        <v/>
      </c>
      <c r="I400" s="17"/>
      <c r="J400" s="18" t="str">
        <f aca="false">IF(OR($H400="",$I400=""),"",ROUND($H400*$I400,0))</f>
        <v/>
      </c>
      <c r="K400" s="13"/>
      <c r="L400" s="17"/>
      <c r="M400" s="18" t="str">
        <f aca="false">IF($J400="","",$J400-IF($L400="",0,$L400))</f>
        <v/>
      </c>
      <c r="N400" s="19" t="str">
        <f aca="true">IF(OR($A400="",$M400="",$M400&lt;=0),"",TODAY()-$A400)</f>
        <v/>
      </c>
      <c r="O400" s="20" t="str">
        <f aca="false">IF($B400="","",IFERROR(INDEX(차량목록!$D$3:$D$42,MATCH($B400,차량목록!$A$3:$A$42,0)),0))</f>
        <v/>
      </c>
      <c r="P400" s="18" t="str">
        <f aca="false">IF($J400="","",ROUND($J400*$O400,0))</f>
        <v/>
      </c>
    </row>
    <row r="401" customFormat="false" ht="15" hidden="false" customHeight="true" outlineLevel="0" collapsed="false">
      <c r="A401" s="13"/>
      <c r="B401" s="10"/>
      <c r="C401" s="14" t="str">
        <f aca="false">IF($B401="","",IFERROR(INDEX(차량목록!$B$3:$B$42,MATCH($B401,차량목록!$A$3:$A$42,0)),"미등록차량"))</f>
        <v/>
      </c>
      <c r="D401" s="10"/>
      <c r="E401" s="10"/>
      <c r="F401" s="15"/>
      <c r="G401" s="15"/>
      <c r="H401" s="16" t="str">
        <f aca="false">IF(OR($F401="",$G401=""),"",ROUND(IF($G401&lt;1,$G401*24,INT($G401/100)+MOD($G401,100)/60)-IF($F401&lt;1,$F401*24,INT($F401/100)+MOD($F401,100)/60),2))</f>
        <v/>
      </c>
      <c r="I401" s="17"/>
      <c r="J401" s="18" t="str">
        <f aca="false">IF(OR($H401="",$I401=""),"",ROUND($H401*$I401,0))</f>
        <v/>
      </c>
      <c r="K401" s="13"/>
      <c r="L401" s="17"/>
      <c r="M401" s="18" t="str">
        <f aca="false">IF($J401="","",$J401-IF($L401="",0,$L401))</f>
        <v/>
      </c>
      <c r="N401" s="19" t="str">
        <f aca="true">IF(OR($A401="",$M401="",$M401&lt;=0),"",TODAY()-$A401)</f>
        <v/>
      </c>
      <c r="O401" s="20" t="str">
        <f aca="false">IF($B401="","",IFERROR(INDEX(차량목록!$D$3:$D$42,MATCH($B401,차량목록!$A$3:$A$42,0)),0))</f>
        <v/>
      </c>
      <c r="P401" s="18" t="str">
        <f aca="false">IF($J401="","",ROUND($J401*$O401,0))</f>
        <v/>
      </c>
    </row>
    <row r="402" customFormat="false" ht="15" hidden="false" customHeight="true" outlineLevel="0" collapsed="false">
      <c r="A402" s="13"/>
      <c r="B402" s="10"/>
      <c r="C402" s="14" t="str">
        <f aca="false">IF($B402="","",IFERROR(INDEX(차량목록!$B$3:$B$42,MATCH($B402,차량목록!$A$3:$A$42,0)),"미등록차량"))</f>
        <v/>
      </c>
      <c r="D402" s="10"/>
      <c r="E402" s="10"/>
      <c r="F402" s="15"/>
      <c r="G402" s="15"/>
      <c r="H402" s="16" t="str">
        <f aca="false">IF(OR($F402="",$G402=""),"",ROUND(IF($G402&lt;1,$G402*24,INT($G402/100)+MOD($G402,100)/60)-IF($F402&lt;1,$F402*24,INT($F402/100)+MOD($F402,100)/60),2))</f>
        <v/>
      </c>
      <c r="I402" s="17"/>
      <c r="J402" s="18" t="str">
        <f aca="false">IF(OR($H402="",$I402=""),"",ROUND($H402*$I402,0))</f>
        <v/>
      </c>
      <c r="K402" s="13"/>
      <c r="L402" s="17"/>
      <c r="M402" s="18" t="str">
        <f aca="false">IF($J402="","",$J402-IF($L402="",0,$L402))</f>
        <v/>
      </c>
      <c r="N402" s="19" t="str">
        <f aca="true">IF(OR($A402="",$M402="",$M402&lt;=0),"",TODAY()-$A402)</f>
        <v/>
      </c>
      <c r="O402" s="20" t="str">
        <f aca="false">IF($B402="","",IFERROR(INDEX(차량목록!$D$3:$D$42,MATCH($B402,차량목록!$A$3:$A$42,0)),0))</f>
        <v/>
      </c>
      <c r="P402" s="18" t="str">
        <f aca="false">IF($J402="","",ROUND($J402*$O402,0))</f>
        <v/>
      </c>
    </row>
    <row r="403" customFormat="false" ht="15" hidden="false" customHeight="true" outlineLevel="0" collapsed="false">
      <c r="A403" s="13"/>
      <c r="B403" s="10"/>
      <c r="C403" s="14" t="str">
        <f aca="false">IF($B403="","",IFERROR(INDEX(차량목록!$B$3:$B$42,MATCH($B403,차량목록!$A$3:$A$42,0)),"미등록차량"))</f>
        <v/>
      </c>
      <c r="D403" s="10"/>
      <c r="E403" s="10"/>
      <c r="F403" s="15"/>
      <c r="G403" s="15"/>
      <c r="H403" s="16" t="str">
        <f aca="false">IF(OR($F403="",$G403=""),"",ROUND(IF($G403&lt;1,$G403*24,INT($G403/100)+MOD($G403,100)/60)-IF($F403&lt;1,$F403*24,INT($F403/100)+MOD($F403,100)/60),2))</f>
        <v/>
      </c>
      <c r="I403" s="17"/>
      <c r="J403" s="18" t="str">
        <f aca="false">IF(OR($H403="",$I403=""),"",ROUND($H403*$I403,0))</f>
        <v/>
      </c>
      <c r="K403" s="13"/>
      <c r="L403" s="17"/>
      <c r="M403" s="18" t="str">
        <f aca="false">IF($J403="","",$J403-IF($L403="",0,$L403))</f>
        <v/>
      </c>
      <c r="N403" s="19" t="str">
        <f aca="true">IF(OR($A403="",$M403="",$M403&lt;=0),"",TODAY()-$A403)</f>
        <v/>
      </c>
      <c r="O403" s="20" t="str">
        <f aca="false">IF($B403="","",IFERROR(INDEX(차량목록!$D$3:$D$42,MATCH($B403,차량목록!$A$3:$A$42,0)),0))</f>
        <v/>
      </c>
      <c r="P403" s="18" t="str">
        <f aca="false">IF($J403="","",ROUND($J403*$O403,0))</f>
        <v/>
      </c>
    </row>
    <row r="404" customFormat="false" ht="15" hidden="false" customHeight="true" outlineLevel="0" collapsed="false">
      <c r="A404" s="13"/>
      <c r="B404" s="10"/>
      <c r="C404" s="14" t="str">
        <f aca="false">IF($B404="","",IFERROR(INDEX(차량목록!$B$3:$B$42,MATCH($B404,차량목록!$A$3:$A$42,0)),"미등록차량"))</f>
        <v/>
      </c>
      <c r="D404" s="10"/>
      <c r="E404" s="10"/>
      <c r="F404" s="15"/>
      <c r="G404" s="15"/>
      <c r="H404" s="16" t="str">
        <f aca="false">IF(OR($F404="",$G404=""),"",ROUND(IF($G404&lt;1,$G404*24,INT($G404/100)+MOD($G404,100)/60)-IF($F404&lt;1,$F404*24,INT($F404/100)+MOD($F404,100)/60),2))</f>
        <v/>
      </c>
      <c r="I404" s="17"/>
      <c r="J404" s="18" t="str">
        <f aca="false">IF(OR($H404="",$I404=""),"",ROUND($H404*$I404,0))</f>
        <v/>
      </c>
      <c r="K404" s="13"/>
      <c r="L404" s="17"/>
      <c r="M404" s="18" t="str">
        <f aca="false">IF($J404="","",$J404-IF($L404="",0,$L404))</f>
        <v/>
      </c>
      <c r="N404" s="19" t="str">
        <f aca="true">IF(OR($A404="",$M404="",$M404&lt;=0),"",TODAY()-$A404)</f>
        <v/>
      </c>
      <c r="O404" s="20" t="str">
        <f aca="false">IF($B404="","",IFERROR(INDEX(차량목록!$D$3:$D$42,MATCH($B404,차량목록!$A$3:$A$42,0)),0))</f>
        <v/>
      </c>
      <c r="P404" s="18" t="str">
        <f aca="false">IF($J404="","",ROUND($J404*$O404,0))</f>
        <v/>
      </c>
    </row>
    <row r="405" customFormat="false" ht="15" hidden="false" customHeight="true" outlineLevel="0" collapsed="false">
      <c r="A405" s="13"/>
      <c r="B405" s="10"/>
      <c r="C405" s="14" t="str">
        <f aca="false">IF($B405="","",IFERROR(INDEX(차량목록!$B$3:$B$42,MATCH($B405,차량목록!$A$3:$A$42,0)),"미등록차량"))</f>
        <v/>
      </c>
      <c r="D405" s="10"/>
      <c r="E405" s="10"/>
      <c r="F405" s="15"/>
      <c r="G405" s="15"/>
      <c r="H405" s="16" t="str">
        <f aca="false">IF(OR($F405="",$G405=""),"",ROUND(IF($G405&lt;1,$G405*24,INT($G405/100)+MOD($G405,100)/60)-IF($F405&lt;1,$F405*24,INT($F405/100)+MOD($F405,100)/60),2))</f>
        <v/>
      </c>
      <c r="I405" s="17"/>
      <c r="J405" s="18" t="str">
        <f aca="false">IF(OR($H405="",$I405=""),"",ROUND($H405*$I405,0))</f>
        <v/>
      </c>
      <c r="K405" s="13"/>
      <c r="L405" s="17"/>
      <c r="M405" s="18" t="str">
        <f aca="false">IF($J405="","",$J405-IF($L405="",0,$L405))</f>
        <v/>
      </c>
      <c r="N405" s="19" t="str">
        <f aca="true">IF(OR($A405="",$M405="",$M405&lt;=0),"",TODAY()-$A405)</f>
        <v/>
      </c>
      <c r="O405" s="20" t="str">
        <f aca="false">IF($B405="","",IFERROR(INDEX(차량목록!$D$3:$D$42,MATCH($B405,차량목록!$A$3:$A$42,0)),0))</f>
        <v/>
      </c>
      <c r="P405" s="18" t="str">
        <f aca="false">IF($J405="","",ROUND($J405*$O405,0))</f>
        <v/>
      </c>
    </row>
    <row r="406" customFormat="false" ht="15" hidden="false" customHeight="true" outlineLevel="0" collapsed="false">
      <c r="A406" s="13"/>
      <c r="B406" s="10"/>
      <c r="C406" s="14" t="str">
        <f aca="false">IF($B406="","",IFERROR(INDEX(차량목록!$B$3:$B$42,MATCH($B406,차량목록!$A$3:$A$42,0)),"미등록차량"))</f>
        <v/>
      </c>
      <c r="D406" s="10"/>
      <c r="E406" s="10"/>
      <c r="F406" s="15"/>
      <c r="G406" s="15"/>
      <c r="H406" s="16" t="str">
        <f aca="false">IF(OR($F406="",$G406=""),"",ROUND(IF($G406&lt;1,$G406*24,INT($G406/100)+MOD($G406,100)/60)-IF($F406&lt;1,$F406*24,INT($F406/100)+MOD($F406,100)/60),2))</f>
        <v/>
      </c>
      <c r="I406" s="17"/>
      <c r="J406" s="18" t="str">
        <f aca="false">IF(OR($H406="",$I406=""),"",ROUND($H406*$I406,0))</f>
        <v/>
      </c>
      <c r="K406" s="13"/>
      <c r="L406" s="17"/>
      <c r="M406" s="18" t="str">
        <f aca="false">IF($J406="","",$J406-IF($L406="",0,$L406))</f>
        <v/>
      </c>
      <c r="N406" s="19" t="str">
        <f aca="true">IF(OR($A406="",$M406="",$M406&lt;=0),"",TODAY()-$A406)</f>
        <v/>
      </c>
      <c r="O406" s="20" t="str">
        <f aca="false">IF($B406="","",IFERROR(INDEX(차량목록!$D$3:$D$42,MATCH($B406,차량목록!$A$3:$A$42,0)),0))</f>
        <v/>
      </c>
      <c r="P406" s="18" t="str">
        <f aca="false">IF($J406="","",ROUND($J406*$O406,0))</f>
        <v/>
      </c>
    </row>
    <row r="407" customFormat="false" ht="15" hidden="false" customHeight="true" outlineLevel="0" collapsed="false">
      <c r="A407" s="13"/>
      <c r="B407" s="10"/>
      <c r="C407" s="14" t="str">
        <f aca="false">IF($B407="","",IFERROR(INDEX(차량목록!$B$3:$B$42,MATCH($B407,차량목록!$A$3:$A$42,0)),"미등록차량"))</f>
        <v/>
      </c>
      <c r="D407" s="10"/>
      <c r="E407" s="10"/>
      <c r="F407" s="15"/>
      <c r="G407" s="15"/>
      <c r="H407" s="16" t="str">
        <f aca="false">IF(OR($F407="",$G407=""),"",ROUND(IF($G407&lt;1,$G407*24,INT($G407/100)+MOD($G407,100)/60)-IF($F407&lt;1,$F407*24,INT($F407/100)+MOD($F407,100)/60),2))</f>
        <v/>
      </c>
      <c r="I407" s="17"/>
      <c r="J407" s="18" t="str">
        <f aca="false">IF(OR($H407="",$I407=""),"",ROUND($H407*$I407,0))</f>
        <v/>
      </c>
      <c r="K407" s="13"/>
      <c r="L407" s="17"/>
      <c r="M407" s="18" t="str">
        <f aca="false">IF($J407="","",$J407-IF($L407="",0,$L407))</f>
        <v/>
      </c>
      <c r="N407" s="19" t="str">
        <f aca="true">IF(OR($A407="",$M407="",$M407&lt;=0),"",TODAY()-$A407)</f>
        <v/>
      </c>
      <c r="O407" s="20" t="str">
        <f aca="false">IF($B407="","",IFERROR(INDEX(차량목록!$D$3:$D$42,MATCH($B407,차량목록!$A$3:$A$42,0)),0))</f>
        <v/>
      </c>
      <c r="P407" s="18" t="str">
        <f aca="false">IF($J407="","",ROUND($J407*$O407,0))</f>
        <v/>
      </c>
    </row>
    <row r="408" customFormat="false" ht="15" hidden="false" customHeight="true" outlineLevel="0" collapsed="false">
      <c r="A408" s="13"/>
      <c r="B408" s="10"/>
      <c r="C408" s="14" t="str">
        <f aca="false">IF($B408="","",IFERROR(INDEX(차량목록!$B$3:$B$42,MATCH($B408,차량목록!$A$3:$A$42,0)),"미등록차량"))</f>
        <v/>
      </c>
      <c r="D408" s="10"/>
      <c r="E408" s="10"/>
      <c r="F408" s="15"/>
      <c r="G408" s="15"/>
      <c r="H408" s="16" t="str">
        <f aca="false">IF(OR($F408="",$G408=""),"",ROUND(IF($G408&lt;1,$G408*24,INT($G408/100)+MOD($G408,100)/60)-IF($F408&lt;1,$F408*24,INT($F408/100)+MOD($F408,100)/60),2))</f>
        <v/>
      </c>
      <c r="I408" s="17"/>
      <c r="J408" s="18" t="str">
        <f aca="false">IF(OR($H408="",$I408=""),"",ROUND($H408*$I408,0))</f>
        <v/>
      </c>
      <c r="K408" s="13"/>
      <c r="L408" s="17"/>
      <c r="M408" s="18" t="str">
        <f aca="false">IF($J408="","",$J408-IF($L408="",0,$L408))</f>
        <v/>
      </c>
      <c r="N408" s="19" t="str">
        <f aca="true">IF(OR($A408="",$M408="",$M408&lt;=0),"",TODAY()-$A408)</f>
        <v/>
      </c>
      <c r="O408" s="20" t="str">
        <f aca="false">IF($B408="","",IFERROR(INDEX(차량목록!$D$3:$D$42,MATCH($B408,차량목록!$A$3:$A$42,0)),0))</f>
        <v/>
      </c>
      <c r="P408" s="18" t="str">
        <f aca="false">IF($J408="","",ROUND($J408*$O408,0))</f>
        <v/>
      </c>
    </row>
    <row r="409" customFormat="false" ht="15" hidden="false" customHeight="true" outlineLevel="0" collapsed="false">
      <c r="A409" s="13"/>
      <c r="B409" s="10"/>
      <c r="C409" s="14" t="str">
        <f aca="false">IF($B409="","",IFERROR(INDEX(차량목록!$B$3:$B$42,MATCH($B409,차량목록!$A$3:$A$42,0)),"미등록차량"))</f>
        <v/>
      </c>
      <c r="D409" s="10"/>
      <c r="E409" s="10"/>
      <c r="F409" s="15"/>
      <c r="G409" s="15"/>
      <c r="H409" s="16" t="str">
        <f aca="false">IF(OR($F409="",$G409=""),"",ROUND(IF($G409&lt;1,$G409*24,INT($G409/100)+MOD($G409,100)/60)-IF($F409&lt;1,$F409*24,INT($F409/100)+MOD($F409,100)/60),2))</f>
        <v/>
      </c>
      <c r="I409" s="17"/>
      <c r="J409" s="18" t="str">
        <f aca="false">IF(OR($H409="",$I409=""),"",ROUND($H409*$I409,0))</f>
        <v/>
      </c>
      <c r="K409" s="13"/>
      <c r="L409" s="17"/>
      <c r="M409" s="18" t="str">
        <f aca="false">IF($J409="","",$J409-IF($L409="",0,$L409))</f>
        <v/>
      </c>
      <c r="N409" s="19" t="str">
        <f aca="true">IF(OR($A409="",$M409="",$M409&lt;=0),"",TODAY()-$A409)</f>
        <v/>
      </c>
      <c r="O409" s="20" t="str">
        <f aca="false">IF($B409="","",IFERROR(INDEX(차량목록!$D$3:$D$42,MATCH($B409,차량목록!$A$3:$A$42,0)),0))</f>
        <v/>
      </c>
      <c r="P409" s="18" t="str">
        <f aca="false">IF($J409="","",ROUND($J409*$O409,0))</f>
        <v/>
      </c>
    </row>
    <row r="410" customFormat="false" ht="15" hidden="false" customHeight="true" outlineLevel="0" collapsed="false">
      <c r="A410" s="13"/>
      <c r="B410" s="10"/>
      <c r="C410" s="14" t="str">
        <f aca="false">IF($B410="","",IFERROR(INDEX(차량목록!$B$3:$B$42,MATCH($B410,차량목록!$A$3:$A$42,0)),"미등록차량"))</f>
        <v/>
      </c>
      <c r="D410" s="10"/>
      <c r="E410" s="10"/>
      <c r="F410" s="15"/>
      <c r="G410" s="15"/>
      <c r="H410" s="16" t="str">
        <f aca="false">IF(OR($F410="",$G410=""),"",ROUND(IF($G410&lt;1,$G410*24,INT($G410/100)+MOD($G410,100)/60)-IF($F410&lt;1,$F410*24,INT($F410/100)+MOD($F410,100)/60),2))</f>
        <v/>
      </c>
      <c r="I410" s="17"/>
      <c r="J410" s="18" t="str">
        <f aca="false">IF(OR($H410="",$I410=""),"",ROUND($H410*$I410,0))</f>
        <v/>
      </c>
      <c r="K410" s="13"/>
      <c r="L410" s="17"/>
      <c r="M410" s="18" t="str">
        <f aca="false">IF($J410="","",$J410-IF($L410="",0,$L410))</f>
        <v/>
      </c>
      <c r="N410" s="19" t="str">
        <f aca="true">IF(OR($A410="",$M410="",$M410&lt;=0),"",TODAY()-$A410)</f>
        <v/>
      </c>
      <c r="O410" s="20" t="str">
        <f aca="false">IF($B410="","",IFERROR(INDEX(차량목록!$D$3:$D$42,MATCH($B410,차량목록!$A$3:$A$42,0)),0))</f>
        <v/>
      </c>
      <c r="P410" s="18" t="str">
        <f aca="false">IF($J410="","",ROUND($J410*$O410,0))</f>
        <v/>
      </c>
    </row>
    <row r="411" customFormat="false" ht="15" hidden="false" customHeight="true" outlineLevel="0" collapsed="false">
      <c r="A411" s="13"/>
      <c r="B411" s="10"/>
      <c r="C411" s="14" t="str">
        <f aca="false">IF($B411="","",IFERROR(INDEX(차량목록!$B$3:$B$42,MATCH($B411,차량목록!$A$3:$A$42,0)),"미등록차량"))</f>
        <v/>
      </c>
      <c r="D411" s="10"/>
      <c r="E411" s="10"/>
      <c r="F411" s="15"/>
      <c r="G411" s="15"/>
      <c r="H411" s="16" t="str">
        <f aca="false">IF(OR($F411="",$G411=""),"",ROUND(IF($G411&lt;1,$G411*24,INT($G411/100)+MOD($G411,100)/60)-IF($F411&lt;1,$F411*24,INT($F411/100)+MOD($F411,100)/60),2))</f>
        <v/>
      </c>
      <c r="I411" s="17"/>
      <c r="J411" s="18" t="str">
        <f aca="false">IF(OR($H411="",$I411=""),"",ROUND($H411*$I411,0))</f>
        <v/>
      </c>
      <c r="K411" s="13"/>
      <c r="L411" s="17"/>
      <c r="M411" s="18" t="str">
        <f aca="false">IF($J411="","",$J411-IF($L411="",0,$L411))</f>
        <v/>
      </c>
      <c r="N411" s="19" t="str">
        <f aca="true">IF(OR($A411="",$M411="",$M411&lt;=0),"",TODAY()-$A411)</f>
        <v/>
      </c>
      <c r="O411" s="20" t="str">
        <f aca="false">IF($B411="","",IFERROR(INDEX(차량목록!$D$3:$D$42,MATCH($B411,차량목록!$A$3:$A$42,0)),0))</f>
        <v/>
      </c>
      <c r="P411" s="18" t="str">
        <f aca="false">IF($J411="","",ROUND($J411*$O411,0))</f>
        <v/>
      </c>
    </row>
    <row r="412" customFormat="false" ht="15" hidden="false" customHeight="true" outlineLevel="0" collapsed="false">
      <c r="A412" s="13"/>
      <c r="B412" s="10"/>
      <c r="C412" s="14" t="str">
        <f aca="false">IF($B412="","",IFERROR(INDEX(차량목록!$B$3:$B$42,MATCH($B412,차량목록!$A$3:$A$42,0)),"미등록차량"))</f>
        <v/>
      </c>
      <c r="D412" s="10"/>
      <c r="E412" s="10"/>
      <c r="F412" s="15"/>
      <c r="G412" s="15"/>
      <c r="H412" s="16" t="str">
        <f aca="false">IF(OR($F412="",$G412=""),"",ROUND(IF($G412&lt;1,$G412*24,INT($G412/100)+MOD($G412,100)/60)-IF($F412&lt;1,$F412*24,INT($F412/100)+MOD($F412,100)/60),2))</f>
        <v/>
      </c>
      <c r="I412" s="17"/>
      <c r="J412" s="18" t="str">
        <f aca="false">IF(OR($H412="",$I412=""),"",ROUND($H412*$I412,0))</f>
        <v/>
      </c>
      <c r="K412" s="13"/>
      <c r="L412" s="17"/>
      <c r="M412" s="18" t="str">
        <f aca="false">IF($J412="","",$J412-IF($L412="",0,$L412))</f>
        <v/>
      </c>
      <c r="N412" s="19" t="str">
        <f aca="true">IF(OR($A412="",$M412="",$M412&lt;=0),"",TODAY()-$A412)</f>
        <v/>
      </c>
      <c r="O412" s="20" t="str">
        <f aca="false">IF($B412="","",IFERROR(INDEX(차량목록!$D$3:$D$42,MATCH($B412,차량목록!$A$3:$A$42,0)),0))</f>
        <v/>
      </c>
      <c r="P412" s="18" t="str">
        <f aca="false">IF($J412="","",ROUND($J412*$O412,0))</f>
        <v/>
      </c>
    </row>
    <row r="413" customFormat="false" ht="15" hidden="false" customHeight="true" outlineLevel="0" collapsed="false">
      <c r="A413" s="13"/>
      <c r="B413" s="10"/>
      <c r="C413" s="14" t="str">
        <f aca="false">IF($B413="","",IFERROR(INDEX(차량목록!$B$3:$B$42,MATCH($B413,차량목록!$A$3:$A$42,0)),"미등록차량"))</f>
        <v/>
      </c>
      <c r="D413" s="10"/>
      <c r="E413" s="10"/>
      <c r="F413" s="15"/>
      <c r="G413" s="15"/>
      <c r="H413" s="16" t="str">
        <f aca="false">IF(OR($F413="",$G413=""),"",ROUND(IF($G413&lt;1,$G413*24,INT($G413/100)+MOD($G413,100)/60)-IF($F413&lt;1,$F413*24,INT($F413/100)+MOD($F413,100)/60),2))</f>
        <v/>
      </c>
      <c r="I413" s="17"/>
      <c r="J413" s="18" t="str">
        <f aca="false">IF(OR($H413="",$I413=""),"",ROUND($H413*$I413,0))</f>
        <v/>
      </c>
      <c r="K413" s="13"/>
      <c r="L413" s="17"/>
      <c r="M413" s="18" t="str">
        <f aca="false">IF($J413="","",$J413-IF($L413="",0,$L413))</f>
        <v/>
      </c>
      <c r="N413" s="19" t="str">
        <f aca="true">IF(OR($A413="",$M413="",$M413&lt;=0),"",TODAY()-$A413)</f>
        <v/>
      </c>
      <c r="O413" s="20" t="str">
        <f aca="false">IF($B413="","",IFERROR(INDEX(차량목록!$D$3:$D$42,MATCH($B413,차량목록!$A$3:$A$42,0)),0))</f>
        <v/>
      </c>
      <c r="P413" s="18" t="str">
        <f aca="false">IF($J413="","",ROUND($J413*$O413,0))</f>
        <v/>
      </c>
    </row>
    <row r="414" customFormat="false" ht="15" hidden="false" customHeight="true" outlineLevel="0" collapsed="false">
      <c r="A414" s="13"/>
      <c r="B414" s="10"/>
      <c r="C414" s="14" t="str">
        <f aca="false">IF($B414="","",IFERROR(INDEX(차량목록!$B$3:$B$42,MATCH($B414,차량목록!$A$3:$A$42,0)),"미등록차량"))</f>
        <v/>
      </c>
      <c r="D414" s="10"/>
      <c r="E414" s="10"/>
      <c r="F414" s="15"/>
      <c r="G414" s="15"/>
      <c r="H414" s="16" t="str">
        <f aca="false">IF(OR($F414="",$G414=""),"",ROUND(IF($G414&lt;1,$G414*24,INT($G414/100)+MOD($G414,100)/60)-IF($F414&lt;1,$F414*24,INT($F414/100)+MOD($F414,100)/60),2))</f>
        <v/>
      </c>
      <c r="I414" s="17"/>
      <c r="J414" s="18" t="str">
        <f aca="false">IF(OR($H414="",$I414=""),"",ROUND($H414*$I414,0))</f>
        <v/>
      </c>
      <c r="K414" s="13"/>
      <c r="L414" s="17"/>
      <c r="M414" s="18" t="str">
        <f aca="false">IF($J414="","",$J414-IF($L414="",0,$L414))</f>
        <v/>
      </c>
      <c r="N414" s="19" t="str">
        <f aca="true">IF(OR($A414="",$M414="",$M414&lt;=0),"",TODAY()-$A414)</f>
        <v/>
      </c>
      <c r="O414" s="20" t="str">
        <f aca="false">IF($B414="","",IFERROR(INDEX(차량목록!$D$3:$D$42,MATCH($B414,차량목록!$A$3:$A$42,0)),0))</f>
        <v/>
      </c>
      <c r="P414" s="18" t="str">
        <f aca="false">IF($J414="","",ROUND($J414*$O414,0))</f>
        <v/>
      </c>
    </row>
    <row r="415" customFormat="false" ht="15" hidden="false" customHeight="true" outlineLevel="0" collapsed="false">
      <c r="A415" s="13"/>
      <c r="B415" s="10"/>
      <c r="C415" s="14" t="str">
        <f aca="false">IF($B415="","",IFERROR(INDEX(차량목록!$B$3:$B$42,MATCH($B415,차량목록!$A$3:$A$42,0)),"미등록차량"))</f>
        <v/>
      </c>
      <c r="D415" s="10"/>
      <c r="E415" s="10"/>
      <c r="F415" s="15"/>
      <c r="G415" s="15"/>
      <c r="H415" s="16" t="str">
        <f aca="false">IF(OR($F415="",$G415=""),"",ROUND(IF($G415&lt;1,$G415*24,INT($G415/100)+MOD($G415,100)/60)-IF($F415&lt;1,$F415*24,INT($F415/100)+MOD($F415,100)/60),2))</f>
        <v/>
      </c>
      <c r="I415" s="17"/>
      <c r="J415" s="18" t="str">
        <f aca="false">IF(OR($H415="",$I415=""),"",ROUND($H415*$I415,0))</f>
        <v/>
      </c>
      <c r="K415" s="13"/>
      <c r="L415" s="17"/>
      <c r="M415" s="18" t="str">
        <f aca="false">IF($J415="","",$J415-IF($L415="",0,$L415))</f>
        <v/>
      </c>
      <c r="N415" s="19" t="str">
        <f aca="true">IF(OR($A415="",$M415="",$M415&lt;=0),"",TODAY()-$A415)</f>
        <v/>
      </c>
      <c r="O415" s="20" t="str">
        <f aca="false">IF($B415="","",IFERROR(INDEX(차량목록!$D$3:$D$42,MATCH($B415,차량목록!$A$3:$A$42,0)),0))</f>
        <v/>
      </c>
      <c r="P415" s="18" t="str">
        <f aca="false">IF($J415="","",ROUND($J415*$O415,0))</f>
        <v/>
      </c>
    </row>
    <row r="416" customFormat="false" ht="15" hidden="false" customHeight="true" outlineLevel="0" collapsed="false">
      <c r="A416" s="13"/>
      <c r="B416" s="10"/>
      <c r="C416" s="14" t="str">
        <f aca="false">IF($B416="","",IFERROR(INDEX(차량목록!$B$3:$B$42,MATCH($B416,차량목록!$A$3:$A$42,0)),"미등록차량"))</f>
        <v/>
      </c>
      <c r="D416" s="10"/>
      <c r="E416" s="10"/>
      <c r="F416" s="15"/>
      <c r="G416" s="15"/>
      <c r="H416" s="16" t="str">
        <f aca="false">IF(OR($F416="",$G416=""),"",ROUND(IF($G416&lt;1,$G416*24,INT($G416/100)+MOD($G416,100)/60)-IF($F416&lt;1,$F416*24,INT($F416/100)+MOD($F416,100)/60),2))</f>
        <v/>
      </c>
      <c r="I416" s="17"/>
      <c r="J416" s="18" t="str">
        <f aca="false">IF(OR($H416="",$I416=""),"",ROUND($H416*$I416,0))</f>
        <v/>
      </c>
      <c r="K416" s="13"/>
      <c r="L416" s="17"/>
      <c r="M416" s="18" t="str">
        <f aca="false">IF($J416="","",$J416-IF($L416="",0,$L416))</f>
        <v/>
      </c>
      <c r="N416" s="19" t="str">
        <f aca="true">IF(OR($A416="",$M416="",$M416&lt;=0),"",TODAY()-$A416)</f>
        <v/>
      </c>
      <c r="O416" s="20" t="str">
        <f aca="false">IF($B416="","",IFERROR(INDEX(차량목록!$D$3:$D$42,MATCH($B416,차량목록!$A$3:$A$42,0)),0))</f>
        <v/>
      </c>
      <c r="P416" s="18" t="str">
        <f aca="false">IF($J416="","",ROUND($J416*$O416,0))</f>
        <v/>
      </c>
    </row>
    <row r="417" customFormat="false" ht="15" hidden="false" customHeight="true" outlineLevel="0" collapsed="false">
      <c r="A417" s="13"/>
      <c r="B417" s="10"/>
      <c r="C417" s="14" t="str">
        <f aca="false">IF($B417="","",IFERROR(INDEX(차량목록!$B$3:$B$42,MATCH($B417,차량목록!$A$3:$A$42,0)),"미등록차량"))</f>
        <v/>
      </c>
      <c r="D417" s="10"/>
      <c r="E417" s="10"/>
      <c r="F417" s="15"/>
      <c r="G417" s="15"/>
      <c r="H417" s="16" t="str">
        <f aca="false">IF(OR($F417="",$G417=""),"",ROUND(IF($G417&lt;1,$G417*24,INT($G417/100)+MOD($G417,100)/60)-IF($F417&lt;1,$F417*24,INT($F417/100)+MOD($F417,100)/60),2))</f>
        <v/>
      </c>
      <c r="I417" s="17"/>
      <c r="J417" s="18" t="str">
        <f aca="false">IF(OR($H417="",$I417=""),"",ROUND($H417*$I417,0))</f>
        <v/>
      </c>
      <c r="K417" s="13"/>
      <c r="L417" s="17"/>
      <c r="M417" s="18" t="str">
        <f aca="false">IF($J417="","",$J417-IF($L417="",0,$L417))</f>
        <v/>
      </c>
      <c r="N417" s="19" t="str">
        <f aca="true">IF(OR($A417="",$M417="",$M417&lt;=0),"",TODAY()-$A417)</f>
        <v/>
      </c>
      <c r="O417" s="20" t="str">
        <f aca="false">IF($B417="","",IFERROR(INDEX(차량목록!$D$3:$D$42,MATCH($B417,차량목록!$A$3:$A$42,0)),0))</f>
        <v/>
      </c>
      <c r="P417" s="18" t="str">
        <f aca="false">IF($J417="","",ROUND($J417*$O417,0))</f>
        <v/>
      </c>
    </row>
    <row r="418" customFormat="false" ht="15" hidden="false" customHeight="true" outlineLevel="0" collapsed="false">
      <c r="A418" s="13"/>
      <c r="B418" s="10"/>
      <c r="C418" s="14" t="str">
        <f aca="false">IF($B418="","",IFERROR(INDEX(차량목록!$B$3:$B$42,MATCH($B418,차량목록!$A$3:$A$42,0)),"미등록차량"))</f>
        <v/>
      </c>
      <c r="D418" s="10"/>
      <c r="E418" s="10"/>
      <c r="F418" s="15"/>
      <c r="G418" s="15"/>
      <c r="H418" s="16" t="str">
        <f aca="false">IF(OR($F418="",$G418=""),"",ROUND(IF($G418&lt;1,$G418*24,INT($G418/100)+MOD($G418,100)/60)-IF($F418&lt;1,$F418*24,INT($F418/100)+MOD($F418,100)/60),2))</f>
        <v/>
      </c>
      <c r="I418" s="17"/>
      <c r="J418" s="18" t="str">
        <f aca="false">IF(OR($H418="",$I418=""),"",ROUND($H418*$I418,0))</f>
        <v/>
      </c>
      <c r="K418" s="13"/>
      <c r="L418" s="17"/>
      <c r="M418" s="18" t="str">
        <f aca="false">IF($J418="","",$J418-IF($L418="",0,$L418))</f>
        <v/>
      </c>
      <c r="N418" s="19" t="str">
        <f aca="true">IF(OR($A418="",$M418="",$M418&lt;=0),"",TODAY()-$A418)</f>
        <v/>
      </c>
      <c r="O418" s="20" t="str">
        <f aca="false">IF($B418="","",IFERROR(INDEX(차량목록!$D$3:$D$42,MATCH($B418,차량목록!$A$3:$A$42,0)),0))</f>
        <v/>
      </c>
      <c r="P418" s="18" t="str">
        <f aca="false">IF($J418="","",ROUND($J418*$O418,0))</f>
        <v/>
      </c>
    </row>
    <row r="419" customFormat="false" ht="15" hidden="false" customHeight="true" outlineLevel="0" collapsed="false">
      <c r="A419" s="13"/>
      <c r="B419" s="10"/>
      <c r="C419" s="14" t="str">
        <f aca="false">IF($B419="","",IFERROR(INDEX(차량목록!$B$3:$B$42,MATCH($B419,차량목록!$A$3:$A$42,0)),"미등록차량"))</f>
        <v/>
      </c>
      <c r="D419" s="10"/>
      <c r="E419" s="10"/>
      <c r="F419" s="15"/>
      <c r="G419" s="15"/>
      <c r="H419" s="16" t="str">
        <f aca="false">IF(OR($F419="",$G419=""),"",ROUND(IF($G419&lt;1,$G419*24,INT($G419/100)+MOD($G419,100)/60)-IF($F419&lt;1,$F419*24,INT($F419/100)+MOD($F419,100)/60),2))</f>
        <v/>
      </c>
      <c r="I419" s="17"/>
      <c r="J419" s="18" t="str">
        <f aca="false">IF(OR($H419="",$I419=""),"",ROUND($H419*$I419,0))</f>
        <v/>
      </c>
      <c r="K419" s="13"/>
      <c r="L419" s="17"/>
      <c r="M419" s="18" t="str">
        <f aca="false">IF($J419="","",$J419-IF($L419="",0,$L419))</f>
        <v/>
      </c>
      <c r="N419" s="19" t="str">
        <f aca="true">IF(OR($A419="",$M419="",$M419&lt;=0),"",TODAY()-$A419)</f>
        <v/>
      </c>
      <c r="O419" s="20" t="str">
        <f aca="false">IF($B419="","",IFERROR(INDEX(차량목록!$D$3:$D$42,MATCH($B419,차량목록!$A$3:$A$42,0)),0))</f>
        <v/>
      </c>
      <c r="P419" s="18" t="str">
        <f aca="false">IF($J419="","",ROUND($J419*$O419,0))</f>
        <v/>
      </c>
    </row>
    <row r="420" customFormat="false" ht="15" hidden="false" customHeight="true" outlineLevel="0" collapsed="false">
      <c r="A420" s="13"/>
      <c r="B420" s="10"/>
      <c r="C420" s="14" t="str">
        <f aca="false">IF($B420="","",IFERROR(INDEX(차량목록!$B$3:$B$42,MATCH($B420,차량목록!$A$3:$A$42,0)),"미등록차량"))</f>
        <v/>
      </c>
      <c r="D420" s="10"/>
      <c r="E420" s="10"/>
      <c r="F420" s="15"/>
      <c r="G420" s="15"/>
      <c r="H420" s="16" t="str">
        <f aca="false">IF(OR($F420="",$G420=""),"",ROUND(IF($G420&lt;1,$G420*24,INT($G420/100)+MOD($G420,100)/60)-IF($F420&lt;1,$F420*24,INT($F420/100)+MOD($F420,100)/60),2))</f>
        <v/>
      </c>
      <c r="I420" s="17"/>
      <c r="J420" s="18" t="str">
        <f aca="false">IF(OR($H420="",$I420=""),"",ROUND($H420*$I420,0))</f>
        <v/>
      </c>
      <c r="K420" s="13"/>
      <c r="L420" s="17"/>
      <c r="M420" s="18" t="str">
        <f aca="false">IF($J420="","",$J420-IF($L420="",0,$L420))</f>
        <v/>
      </c>
      <c r="N420" s="19" t="str">
        <f aca="true">IF(OR($A420="",$M420="",$M420&lt;=0),"",TODAY()-$A420)</f>
        <v/>
      </c>
      <c r="O420" s="20" t="str">
        <f aca="false">IF($B420="","",IFERROR(INDEX(차량목록!$D$3:$D$42,MATCH($B420,차량목록!$A$3:$A$42,0)),0))</f>
        <v/>
      </c>
      <c r="P420" s="18" t="str">
        <f aca="false">IF($J420="","",ROUND($J420*$O420,0))</f>
        <v/>
      </c>
    </row>
    <row r="421" customFormat="false" ht="15" hidden="false" customHeight="true" outlineLevel="0" collapsed="false">
      <c r="A421" s="13"/>
      <c r="B421" s="10"/>
      <c r="C421" s="14" t="str">
        <f aca="false">IF($B421="","",IFERROR(INDEX(차량목록!$B$3:$B$42,MATCH($B421,차량목록!$A$3:$A$42,0)),"미등록차량"))</f>
        <v/>
      </c>
      <c r="D421" s="10"/>
      <c r="E421" s="10"/>
      <c r="F421" s="15"/>
      <c r="G421" s="15"/>
      <c r="H421" s="16" t="str">
        <f aca="false">IF(OR($F421="",$G421=""),"",ROUND(IF($G421&lt;1,$G421*24,INT($G421/100)+MOD($G421,100)/60)-IF($F421&lt;1,$F421*24,INT($F421/100)+MOD($F421,100)/60),2))</f>
        <v/>
      </c>
      <c r="I421" s="17"/>
      <c r="J421" s="18" t="str">
        <f aca="false">IF(OR($H421="",$I421=""),"",ROUND($H421*$I421,0))</f>
        <v/>
      </c>
      <c r="K421" s="13"/>
      <c r="L421" s="17"/>
      <c r="M421" s="18" t="str">
        <f aca="false">IF($J421="","",$J421-IF($L421="",0,$L421))</f>
        <v/>
      </c>
      <c r="N421" s="19" t="str">
        <f aca="true">IF(OR($A421="",$M421="",$M421&lt;=0),"",TODAY()-$A421)</f>
        <v/>
      </c>
      <c r="O421" s="20" t="str">
        <f aca="false">IF($B421="","",IFERROR(INDEX(차량목록!$D$3:$D$42,MATCH($B421,차량목록!$A$3:$A$42,0)),0))</f>
        <v/>
      </c>
      <c r="P421" s="18" t="str">
        <f aca="false">IF($J421="","",ROUND($J421*$O421,0))</f>
        <v/>
      </c>
    </row>
    <row r="422" customFormat="false" ht="15" hidden="false" customHeight="true" outlineLevel="0" collapsed="false">
      <c r="A422" s="13"/>
      <c r="B422" s="10"/>
      <c r="C422" s="14" t="str">
        <f aca="false">IF($B422="","",IFERROR(INDEX(차량목록!$B$3:$B$42,MATCH($B422,차량목록!$A$3:$A$42,0)),"미등록차량"))</f>
        <v/>
      </c>
      <c r="D422" s="10"/>
      <c r="E422" s="10"/>
      <c r="F422" s="15"/>
      <c r="G422" s="15"/>
      <c r="H422" s="16" t="str">
        <f aca="false">IF(OR($F422="",$G422=""),"",ROUND(IF($G422&lt;1,$G422*24,INT($G422/100)+MOD($G422,100)/60)-IF($F422&lt;1,$F422*24,INT($F422/100)+MOD($F422,100)/60),2))</f>
        <v/>
      </c>
      <c r="I422" s="17"/>
      <c r="J422" s="18" t="str">
        <f aca="false">IF(OR($H422="",$I422=""),"",ROUND($H422*$I422,0))</f>
        <v/>
      </c>
      <c r="K422" s="13"/>
      <c r="L422" s="17"/>
      <c r="M422" s="18" t="str">
        <f aca="false">IF($J422="","",$J422-IF($L422="",0,$L422))</f>
        <v/>
      </c>
      <c r="N422" s="19" t="str">
        <f aca="true">IF(OR($A422="",$M422="",$M422&lt;=0),"",TODAY()-$A422)</f>
        <v/>
      </c>
      <c r="O422" s="20" t="str">
        <f aca="false">IF($B422="","",IFERROR(INDEX(차량목록!$D$3:$D$42,MATCH($B422,차량목록!$A$3:$A$42,0)),0))</f>
        <v/>
      </c>
      <c r="P422" s="18" t="str">
        <f aca="false">IF($J422="","",ROUND($J422*$O422,0))</f>
        <v/>
      </c>
    </row>
    <row r="423" customFormat="false" ht="15" hidden="false" customHeight="true" outlineLevel="0" collapsed="false">
      <c r="A423" s="13"/>
      <c r="B423" s="10"/>
      <c r="C423" s="14" t="str">
        <f aca="false">IF($B423="","",IFERROR(INDEX(차량목록!$B$3:$B$42,MATCH($B423,차량목록!$A$3:$A$42,0)),"미등록차량"))</f>
        <v/>
      </c>
      <c r="D423" s="10"/>
      <c r="E423" s="10"/>
      <c r="F423" s="15"/>
      <c r="G423" s="15"/>
      <c r="H423" s="16" t="str">
        <f aca="false">IF(OR($F423="",$G423=""),"",ROUND(IF($G423&lt;1,$G423*24,INT($G423/100)+MOD($G423,100)/60)-IF($F423&lt;1,$F423*24,INT($F423/100)+MOD($F423,100)/60),2))</f>
        <v/>
      </c>
      <c r="I423" s="17"/>
      <c r="J423" s="18" t="str">
        <f aca="false">IF(OR($H423="",$I423=""),"",ROUND($H423*$I423,0))</f>
        <v/>
      </c>
      <c r="K423" s="13"/>
      <c r="L423" s="17"/>
      <c r="M423" s="18" t="str">
        <f aca="false">IF($J423="","",$J423-IF($L423="",0,$L423))</f>
        <v/>
      </c>
      <c r="N423" s="19" t="str">
        <f aca="true">IF(OR($A423="",$M423="",$M423&lt;=0),"",TODAY()-$A423)</f>
        <v/>
      </c>
      <c r="O423" s="20" t="str">
        <f aca="false">IF($B423="","",IFERROR(INDEX(차량목록!$D$3:$D$42,MATCH($B423,차량목록!$A$3:$A$42,0)),0))</f>
        <v/>
      </c>
      <c r="P423" s="18" t="str">
        <f aca="false">IF($J423="","",ROUND($J423*$O423,0))</f>
        <v/>
      </c>
    </row>
    <row r="424" customFormat="false" ht="15" hidden="false" customHeight="true" outlineLevel="0" collapsed="false">
      <c r="A424" s="13"/>
      <c r="B424" s="10"/>
      <c r="C424" s="14" t="str">
        <f aca="false">IF($B424="","",IFERROR(INDEX(차량목록!$B$3:$B$42,MATCH($B424,차량목록!$A$3:$A$42,0)),"미등록차량"))</f>
        <v/>
      </c>
      <c r="D424" s="10"/>
      <c r="E424" s="10"/>
      <c r="F424" s="15"/>
      <c r="G424" s="15"/>
      <c r="H424" s="16" t="str">
        <f aca="false">IF(OR($F424="",$G424=""),"",ROUND(IF($G424&lt;1,$G424*24,INT($G424/100)+MOD($G424,100)/60)-IF($F424&lt;1,$F424*24,INT($F424/100)+MOD($F424,100)/60),2))</f>
        <v/>
      </c>
      <c r="I424" s="17"/>
      <c r="J424" s="18" t="str">
        <f aca="false">IF(OR($H424="",$I424=""),"",ROUND($H424*$I424,0))</f>
        <v/>
      </c>
      <c r="K424" s="13"/>
      <c r="L424" s="17"/>
      <c r="M424" s="18" t="str">
        <f aca="false">IF($J424="","",$J424-IF($L424="",0,$L424))</f>
        <v/>
      </c>
      <c r="N424" s="19" t="str">
        <f aca="true">IF(OR($A424="",$M424="",$M424&lt;=0),"",TODAY()-$A424)</f>
        <v/>
      </c>
      <c r="O424" s="20" t="str">
        <f aca="false">IF($B424="","",IFERROR(INDEX(차량목록!$D$3:$D$42,MATCH($B424,차량목록!$A$3:$A$42,0)),0))</f>
        <v/>
      </c>
      <c r="P424" s="18" t="str">
        <f aca="false">IF($J424="","",ROUND($J424*$O424,0))</f>
        <v/>
      </c>
    </row>
    <row r="425" customFormat="false" ht="15" hidden="false" customHeight="true" outlineLevel="0" collapsed="false">
      <c r="A425" s="13"/>
      <c r="B425" s="10"/>
      <c r="C425" s="14" t="str">
        <f aca="false">IF($B425="","",IFERROR(INDEX(차량목록!$B$3:$B$42,MATCH($B425,차량목록!$A$3:$A$42,0)),"미등록차량"))</f>
        <v/>
      </c>
      <c r="D425" s="10"/>
      <c r="E425" s="10"/>
      <c r="F425" s="15"/>
      <c r="G425" s="15"/>
      <c r="H425" s="16" t="str">
        <f aca="false">IF(OR($F425="",$G425=""),"",ROUND(IF($G425&lt;1,$G425*24,INT($G425/100)+MOD($G425,100)/60)-IF($F425&lt;1,$F425*24,INT($F425/100)+MOD($F425,100)/60),2))</f>
        <v/>
      </c>
      <c r="I425" s="17"/>
      <c r="J425" s="18" t="str">
        <f aca="false">IF(OR($H425="",$I425=""),"",ROUND($H425*$I425,0))</f>
        <v/>
      </c>
      <c r="K425" s="13"/>
      <c r="L425" s="17"/>
      <c r="M425" s="18" t="str">
        <f aca="false">IF($J425="","",$J425-IF($L425="",0,$L425))</f>
        <v/>
      </c>
      <c r="N425" s="19" t="str">
        <f aca="true">IF(OR($A425="",$M425="",$M425&lt;=0),"",TODAY()-$A425)</f>
        <v/>
      </c>
      <c r="O425" s="20" t="str">
        <f aca="false">IF($B425="","",IFERROR(INDEX(차량목록!$D$3:$D$42,MATCH($B425,차량목록!$A$3:$A$42,0)),0))</f>
        <v/>
      </c>
      <c r="P425" s="18" t="str">
        <f aca="false">IF($J425="","",ROUND($J425*$O425,0))</f>
        <v/>
      </c>
    </row>
    <row r="426" customFormat="false" ht="15" hidden="false" customHeight="true" outlineLevel="0" collapsed="false">
      <c r="A426" s="13"/>
      <c r="B426" s="10"/>
      <c r="C426" s="14" t="str">
        <f aca="false">IF($B426="","",IFERROR(INDEX(차량목록!$B$3:$B$42,MATCH($B426,차량목록!$A$3:$A$42,0)),"미등록차량"))</f>
        <v/>
      </c>
      <c r="D426" s="10"/>
      <c r="E426" s="10"/>
      <c r="F426" s="15"/>
      <c r="G426" s="15"/>
      <c r="H426" s="16" t="str">
        <f aca="false">IF(OR($F426="",$G426=""),"",ROUND(IF($G426&lt;1,$G426*24,INT($G426/100)+MOD($G426,100)/60)-IF($F426&lt;1,$F426*24,INT($F426/100)+MOD($F426,100)/60),2))</f>
        <v/>
      </c>
      <c r="I426" s="17"/>
      <c r="J426" s="18" t="str">
        <f aca="false">IF(OR($H426="",$I426=""),"",ROUND($H426*$I426,0))</f>
        <v/>
      </c>
      <c r="K426" s="13"/>
      <c r="L426" s="17"/>
      <c r="M426" s="18" t="str">
        <f aca="false">IF($J426="","",$J426-IF($L426="",0,$L426))</f>
        <v/>
      </c>
      <c r="N426" s="19" t="str">
        <f aca="true">IF(OR($A426="",$M426="",$M426&lt;=0),"",TODAY()-$A426)</f>
        <v/>
      </c>
      <c r="O426" s="20" t="str">
        <f aca="false">IF($B426="","",IFERROR(INDEX(차량목록!$D$3:$D$42,MATCH($B426,차량목록!$A$3:$A$42,0)),0))</f>
        <v/>
      </c>
      <c r="P426" s="18" t="str">
        <f aca="false">IF($J426="","",ROUND($J426*$O426,0))</f>
        <v/>
      </c>
    </row>
    <row r="427" customFormat="false" ht="15" hidden="false" customHeight="true" outlineLevel="0" collapsed="false">
      <c r="A427" s="13"/>
      <c r="B427" s="10"/>
      <c r="C427" s="14" t="str">
        <f aca="false">IF($B427="","",IFERROR(INDEX(차량목록!$B$3:$B$42,MATCH($B427,차량목록!$A$3:$A$42,0)),"미등록차량"))</f>
        <v/>
      </c>
      <c r="D427" s="10"/>
      <c r="E427" s="10"/>
      <c r="F427" s="15"/>
      <c r="G427" s="15"/>
      <c r="H427" s="16" t="str">
        <f aca="false">IF(OR($F427="",$G427=""),"",ROUND(IF($G427&lt;1,$G427*24,INT($G427/100)+MOD($G427,100)/60)-IF($F427&lt;1,$F427*24,INT($F427/100)+MOD($F427,100)/60),2))</f>
        <v/>
      </c>
      <c r="I427" s="17"/>
      <c r="J427" s="18" t="str">
        <f aca="false">IF(OR($H427="",$I427=""),"",ROUND($H427*$I427,0))</f>
        <v/>
      </c>
      <c r="K427" s="13"/>
      <c r="L427" s="17"/>
      <c r="M427" s="18" t="str">
        <f aca="false">IF($J427="","",$J427-IF($L427="",0,$L427))</f>
        <v/>
      </c>
      <c r="N427" s="19" t="str">
        <f aca="true">IF(OR($A427="",$M427="",$M427&lt;=0),"",TODAY()-$A427)</f>
        <v/>
      </c>
      <c r="O427" s="20" t="str">
        <f aca="false">IF($B427="","",IFERROR(INDEX(차량목록!$D$3:$D$42,MATCH($B427,차량목록!$A$3:$A$42,0)),0))</f>
        <v/>
      </c>
      <c r="P427" s="18" t="str">
        <f aca="false">IF($J427="","",ROUND($J427*$O427,0))</f>
        <v/>
      </c>
    </row>
    <row r="428" customFormat="false" ht="15" hidden="false" customHeight="true" outlineLevel="0" collapsed="false">
      <c r="A428" s="13"/>
      <c r="B428" s="10"/>
      <c r="C428" s="14" t="str">
        <f aca="false">IF($B428="","",IFERROR(INDEX(차량목록!$B$3:$B$42,MATCH($B428,차량목록!$A$3:$A$42,0)),"미등록차량"))</f>
        <v/>
      </c>
      <c r="D428" s="10"/>
      <c r="E428" s="10"/>
      <c r="F428" s="15"/>
      <c r="G428" s="15"/>
      <c r="H428" s="16" t="str">
        <f aca="false">IF(OR($F428="",$G428=""),"",ROUND(IF($G428&lt;1,$G428*24,INT($G428/100)+MOD($G428,100)/60)-IF($F428&lt;1,$F428*24,INT($F428/100)+MOD($F428,100)/60),2))</f>
        <v/>
      </c>
      <c r="I428" s="17"/>
      <c r="J428" s="18" t="str">
        <f aca="false">IF(OR($H428="",$I428=""),"",ROUND($H428*$I428,0))</f>
        <v/>
      </c>
      <c r="K428" s="13"/>
      <c r="L428" s="17"/>
      <c r="M428" s="18" t="str">
        <f aca="false">IF($J428="","",$J428-IF($L428="",0,$L428))</f>
        <v/>
      </c>
      <c r="N428" s="19" t="str">
        <f aca="true">IF(OR($A428="",$M428="",$M428&lt;=0),"",TODAY()-$A428)</f>
        <v/>
      </c>
      <c r="O428" s="20" t="str">
        <f aca="false">IF($B428="","",IFERROR(INDEX(차량목록!$D$3:$D$42,MATCH($B428,차량목록!$A$3:$A$42,0)),0))</f>
        <v/>
      </c>
      <c r="P428" s="18" t="str">
        <f aca="false">IF($J428="","",ROUND($J428*$O428,0))</f>
        <v/>
      </c>
    </row>
    <row r="429" customFormat="false" ht="15" hidden="false" customHeight="true" outlineLevel="0" collapsed="false">
      <c r="A429" s="13"/>
      <c r="B429" s="10"/>
      <c r="C429" s="14" t="str">
        <f aca="false">IF($B429="","",IFERROR(INDEX(차량목록!$B$3:$B$42,MATCH($B429,차량목록!$A$3:$A$42,0)),"미등록차량"))</f>
        <v/>
      </c>
      <c r="D429" s="10"/>
      <c r="E429" s="10"/>
      <c r="F429" s="15"/>
      <c r="G429" s="15"/>
      <c r="H429" s="16" t="str">
        <f aca="false">IF(OR($F429="",$G429=""),"",ROUND(IF($G429&lt;1,$G429*24,INT($G429/100)+MOD($G429,100)/60)-IF($F429&lt;1,$F429*24,INT($F429/100)+MOD($F429,100)/60),2))</f>
        <v/>
      </c>
      <c r="I429" s="17"/>
      <c r="J429" s="18" t="str">
        <f aca="false">IF(OR($H429="",$I429=""),"",ROUND($H429*$I429,0))</f>
        <v/>
      </c>
      <c r="K429" s="13"/>
      <c r="L429" s="17"/>
      <c r="M429" s="18" t="str">
        <f aca="false">IF($J429="","",$J429-IF($L429="",0,$L429))</f>
        <v/>
      </c>
      <c r="N429" s="19" t="str">
        <f aca="true">IF(OR($A429="",$M429="",$M429&lt;=0),"",TODAY()-$A429)</f>
        <v/>
      </c>
      <c r="O429" s="20" t="str">
        <f aca="false">IF($B429="","",IFERROR(INDEX(차량목록!$D$3:$D$42,MATCH($B429,차량목록!$A$3:$A$42,0)),0))</f>
        <v/>
      </c>
      <c r="P429" s="18" t="str">
        <f aca="false">IF($J429="","",ROUND($J429*$O429,0))</f>
        <v/>
      </c>
    </row>
    <row r="430" customFormat="false" ht="15" hidden="false" customHeight="true" outlineLevel="0" collapsed="false">
      <c r="A430" s="13"/>
      <c r="B430" s="10"/>
      <c r="C430" s="14" t="str">
        <f aca="false">IF($B430="","",IFERROR(INDEX(차량목록!$B$3:$B$42,MATCH($B430,차량목록!$A$3:$A$42,0)),"미등록차량"))</f>
        <v/>
      </c>
      <c r="D430" s="10"/>
      <c r="E430" s="10"/>
      <c r="F430" s="15"/>
      <c r="G430" s="15"/>
      <c r="H430" s="16" t="str">
        <f aca="false">IF(OR($F430="",$G430=""),"",ROUND(IF($G430&lt;1,$G430*24,INT($G430/100)+MOD($G430,100)/60)-IF($F430&lt;1,$F430*24,INT($F430/100)+MOD($F430,100)/60),2))</f>
        <v/>
      </c>
      <c r="I430" s="17"/>
      <c r="J430" s="18" t="str">
        <f aca="false">IF(OR($H430="",$I430=""),"",ROUND($H430*$I430,0))</f>
        <v/>
      </c>
      <c r="K430" s="13"/>
      <c r="L430" s="17"/>
      <c r="M430" s="18" t="str">
        <f aca="false">IF($J430="","",$J430-IF($L430="",0,$L430))</f>
        <v/>
      </c>
      <c r="N430" s="19" t="str">
        <f aca="true">IF(OR($A430="",$M430="",$M430&lt;=0),"",TODAY()-$A430)</f>
        <v/>
      </c>
      <c r="O430" s="20" t="str">
        <f aca="false">IF($B430="","",IFERROR(INDEX(차량목록!$D$3:$D$42,MATCH($B430,차량목록!$A$3:$A$42,0)),0))</f>
        <v/>
      </c>
      <c r="P430" s="18" t="str">
        <f aca="false">IF($J430="","",ROUND($J430*$O430,0))</f>
        <v/>
      </c>
    </row>
    <row r="431" customFormat="false" ht="15" hidden="false" customHeight="true" outlineLevel="0" collapsed="false">
      <c r="A431" s="13"/>
      <c r="B431" s="10"/>
      <c r="C431" s="14" t="str">
        <f aca="false">IF($B431="","",IFERROR(INDEX(차량목록!$B$3:$B$42,MATCH($B431,차량목록!$A$3:$A$42,0)),"미등록차량"))</f>
        <v/>
      </c>
      <c r="D431" s="10"/>
      <c r="E431" s="10"/>
      <c r="F431" s="15"/>
      <c r="G431" s="15"/>
      <c r="H431" s="16" t="str">
        <f aca="false">IF(OR($F431="",$G431=""),"",ROUND(IF($G431&lt;1,$G431*24,INT($G431/100)+MOD($G431,100)/60)-IF($F431&lt;1,$F431*24,INT($F431/100)+MOD($F431,100)/60),2))</f>
        <v/>
      </c>
      <c r="I431" s="17"/>
      <c r="J431" s="18" t="str">
        <f aca="false">IF(OR($H431="",$I431=""),"",ROUND($H431*$I431,0))</f>
        <v/>
      </c>
      <c r="K431" s="13"/>
      <c r="L431" s="17"/>
      <c r="M431" s="18" t="str">
        <f aca="false">IF($J431="","",$J431-IF($L431="",0,$L431))</f>
        <v/>
      </c>
      <c r="N431" s="19" t="str">
        <f aca="true">IF(OR($A431="",$M431="",$M431&lt;=0),"",TODAY()-$A431)</f>
        <v/>
      </c>
      <c r="O431" s="20" t="str">
        <f aca="false">IF($B431="","",IFERROR(INDEX(차량목록!$D$3:$D$42,MATCH($B431,차량목록!$A$3:$A$42,0)),0))</f>
        <v/>
      </c>
      <c r="P431" s="18" t="str">
        <f aca="false">IF($J431="","",ROUND($J431*$O431,0))</f>
        <v/>
      </c>
    </row>
    <row r="432" customFormat="false" ht="15" hidden="false" customHeight="true" outlineLevel="0" collapsed="false">
      <c r="A432" s="13"/>
      <c r="B432" s="10"/>
      <c r="C432" s="14" t="str">
        <f aca="false">IF($B432="","",IFERROR(INDEX(차량목록!$B$3:$B$42,MATCH($B432,차량목록!$A$3:$A$42,0)),"미등록차량"))</f>
        <v/>
      </c>
      <c r="D432" s="10"/>
      <c r="E432" s="10"/>
      <c r="F432" s="15"/>
      <c r="G432" s="15"/>
      <c r="H432" s="16" t="str">
        <f aca="false">IF(OR($F432="",$G432=""),"",ROUND(IF($G432&lt;1,$G432*24,INT($G432/100)+MOD($G432,100)/60)-IF($F432&lt;1,$F432*24,INT($F432/100)+MOD($F432,100)/60),2))</f>
        <v/>
      </c>
      <c r="I432" s="17"/>
      <c r="J432" s="18" t="str">
        <f aca="false">IF(OR($H432="",$I432=""),"",ROUND($H432*$I432,0))</f>
        <v/>
      </c>
      <c r="K432" s="13"/>
      <c r="L432" s="17"/>
      <c r="M432" s="18" t="str">
        <f aca="false">IF($J432="","",$J432-IF($L432="",0,$L432))</f>
        <v/>
      </c>
      <c r="N432" s="19" t="str">
        <f aca="true">IF(OR($A432="",$M432="",$M432&lt;=0),"",TODAY()-$A432)</f>
        <v/>
      </c>
      <c r="O432" s="20" t="str">
        <f aca="false">IF($B432="","",IFERROR(INDEX(차량목록!$D$3:$D$42,MATCH($B432,차량목록!$A$3:$A$42,0)),0))</f>
        <v/>
      </c>
      <c r="P432" s="18" t="str">
        <f aca="false">IF($J432="","",ROUND($J432*$O432,0))</f>
        <v/>
      </c>
    </row>
    <row r="433" customFormat="false" ht="15" hidden="false" customHeight="true" outlineLevel="0" collapsed="false">
      <c r="A433" s="13"/>
      <c r="B433" s="10"/>
      <c r="C433" s="14" t="str">
        <f aca="false">IF($B433="","",IFERROR(INDEX(차량목록!$B$3:$B$42,MATCH($B433,차량목록!$A$3:$A$42,0)),"미등록차량"))</f>
        <v/>
      </c>
      <c r="D433" s="10"/>
      <c r="E433" s="10"/>
      <c r="F433" s="15"/>
      <c r="G433" s="15"/>
      <c r="H433" s="16" t="str">
        <f aca="false">IF(OR($F433="",$G433=""),"",ROUND(IF($G433&lt;1,$G433*24,INT($G433/100)+MOD($G433,100)/60)-IF($F433&lt;1,$F433*24,INT($F433/100)+MOD($F433,100)/60),2))</f>
        <v/>
      </c>
      <c r="I433" s="17"/>
      <c r="J433" s="18" t="str">
        <f aca="false">IF(OR($H433="",$I433=""),"",ROUND($H433*$I433,0))</f>
        <v/>
      </c>
      <c r="K433" s="13"/>
      <c r="L433" s="17"/>
      <c r="M433" s="18" t="str">
        <f aca="false">IF($J433="","",$J433-IF($L433="",0,$L433))</f>
        <v/>
      </c>
      <c r="N433" s="19" t="str">
        <f aca="true">IF(OR($A433="",$M433="",$M433&lt;=0),"",TODAY()-$A433)</f>
        <v/>
      </c>
      <c r="O433" s="20" t="str">
        <f aca="false">IF($B433="","",IFERROR(INDEX(차량목록!$D$3:$D$42,MATCH($B433,차량목록!$A$3:$A$42,0)),0))</f>
        <v/>
      </c>
      <c r="P433" s="18" t="str">
        <f aca="false">IF($J433="","",ROUND($J433*$O433,0))</f>
        <v/>
      </c>
    </row>
    <row r="434" customFormat="false" ht="15" hidden="false" customHeight="true" outlineLevel="0" collapsed="false">
      <c r="A434" s="13"/>
      <c r="B434" s="10"/>
      <c r="C434" s="14" t="str">
        <f aca="false">IF($B434="","",IFERROR(INDEX(차량목록!$B$3:$B$42,MATCH($B434,차량목록!$A$3:$A$42,0)),"미등록차량"))</f>
        <v/>
      </c>
      <c r="D434" s="10"/>
      <c r="E434" s="10"/>
      <c r="F434" s="15"/>
      <c r="G434" s="15"/>
      <c r="H434" s="16" t="str">
        <f aca="false">IF(OR($F434="",$G434=""),"",ROUND(IF($G434&lt;1,$G434*24,INT($G434/100)+MOD($G434,100)/60)-IF($F434&lt;1,$F434*24,INT($F434/100)+MOD($F434,100)/60),2))</f>
        <v/>
      </c>
      <c r="I434" s="17"/>
      <c r="J434" s="18" t="str">
        <f aca="false">IF(OR($H434="",$I434=""),"",ROUND($H434*$I434,0))</f>
        <v/>
      </c>
      <c r="K434" s="13"/>
      <c r="L434" s="17"/>
      <c r="M434" s="18" t="str">
        <f aca="false">IF($J434="","",$J434-IF($L434="",0,$L434))</f>
        <v/>
      </c>
      <c r="N434" s="19" t="str">
        <f aca="true">IF(OR($A434="",$M434="",$M434&lt;=0),"",TODAY()-$A434)</f>
        <v/>
      </c>
      <c r="O434" s="20" t="str">
        <f aca="false">IF($B434="","",IFERROR(INDEX(차량목록!$D$3:$D$42,MATCH($B434,차량목록!$A$3:$A$42,0)),0))</f>
        <v/>
      </c>
      <c r="P434" s="18" t="str">
        <f aca="false">IF($J434="","",ROUND($J434*$O434,0))</f>
        <v/>
      </c>
    </row>
    <row r="435" customFormat="false" ht="15" hidden="false" customHeight="true" outlineLevel="0" collapsed="false">
      <c r="A435" s="13"/>
      <c r="B435" s="10"/>
      <c r="C435" s="14" t="str">
        <f aca="false">IF($B435="","",IFERROR(INDEX(차량목록!$B$3:$B$42,MATCH($B435,차량목록!$A$3:$A$42,0)),"미등록차량"))</f>
        <v/>
      </c>
      <c r="D435" s="10"/>
      <c r="E435" s="10"/>
      <c r="F435" s="15"/>
      <c r="G435" s="15"/>
      <c r="H435" s="16" t="str">
        <f aca="false">IF(OR($F435="",$G435=""),"",ROUND(IF($G435&lt;1,$G435*24,INT($G435/100)+MOD($G435,100)/60)-IF($F435&lt;1,$F435*24,INT($F435/100)+MOD($F435,100)/60),2))</f>
        <v/>
      </c>
      <c r="I435" s="17"/>
      <c r="J435" s="18" t="str">
        <f aca="false">IF(OR($H435="",$I435=""),"",ROUND($H435*$I435,0))</f>
        <v/>
      </c>
      <c r="K435" s="13"/>
      <c r="L435" s="17"/>
      <c r="M435" s="18" t="str">
        <f aca="false">IF($J435="","",$J435-IF($L435="",0,$L435))</f>
        <v/>
      </c>
      <c r="N435" s="19" t="str">
        <f aca="true">IF(OR($A435="",$M435="",$M435&lt;=0),"",TODAY()-$A435)</f>
        <v/>
      </c>
      <c r="O435" s="20" t="str">
        <f aca="false">IF($B435="","",IFERROR(INDEX(차량목록!$D$3:$D$42,MATCH($B435,차량목록!$A$3:$A$42,0)),0))</f>
        <v/>
      </c>
      <c r="P435" s="18" t="str">
        <f aca="false">IF($J435="","",ROUND($J435*$O435,0))</f>
        <v/>
      </c>
    </row>
    <row r="436" customFormat="false" ht="15" hidden="false" customHeight="true" outlineLevel="0" collapsed="false">
      <c r="A436" s="13"/>
      <c r="B436" s="10"/>
      <c r="C436" s="14" t="str">
        <f aca="false">IF($B436="","",IFERROR(INDEX(차량목록!$B$3:$B$42,MATCH($B436,차량목록!$A$3:$A$42,0)),"미등록차량"))</f>
        <v/>
      </c>
      <c r="D436" s="10"/>
      <c r="E436" s="10"/>
      <c r="F436" s="15"/>
      <c r="G436" s="15"/>
      <c r="H436" s="16" t="str">
        <f aca="false">IF(OR($F436="",$G436=""),"",ROUND(IF($G436&lt;1,$G436*24,INT($G436/100)+MOD($G436,100)/60)-IF($F436&lt;1,$F436*24,INT($F436/100)+MOD($F436,100)/60),2))</f>
        <v/>
      </c>
      <c r="I436" s="17"/>
      <c r="J436" s="18" t="str">
        <f aca="false">IF(OR($H436="",$I436=""),"",ROUND($H436*$I436,0))</f>
        <v/>
      </c>
      <c r="K436" s="13"/>
      <c r="L436" s="17"/>
      <c r="M436" s="18" t="str">
        <f aca="false">IF($J436="","",$J436-IF($L436="",0,$L436))</f>
        <v/>
      </c>
      <c r="N436" s="19" t="str">
        <f aca="true">IF(OR($A436="",$M436="",$M436&lt;=0),"",TODAY()-$A436)</f>
        <v/>
      </c>
      <c r="O436" s="20" t="str">
        <f aca="false">IF($B436="","",IFERROR(INDEX(차량목록!$D$3:$D$42,MATCH($B436,차량목록!$A$3:$A$42,0)),0))</f>
        <v/>
      </c>
      <c r="P436" s="18" t="str">
        <f aca="false">IF($J436="","",ROUND($J436*$O436,0))</f>
        <v/>
      </c>
    </row>
    <row r="437" customFormat="false" ht="15" hidden="false" customHeight="true" outlineLevel="0" collapsed="false">
      <c r="A437" s="13"/>
      <c r="B437" s="10"/>
      <c r="C437" s="14" t="str">
        <f aca="false">IF($B437="","",IFERROR(INDEX(차량목록!$B$3:$B$42,MATCH($B437,차량목록!$A$3:$A$42,0)),"미등록차량"))</f>
        <v/>
      </c>
      <c r="D437" s="10"/>
      <c r="E437" s="10"/>
      <c r="F437" s="15"/>
      <c r="G437" s="15"/>
      <c r="H437" s="16" t="str">
        <f aca="false">IF(OR($F437="",$G437=""),"",ROUND(IF($G437&lt;1,$G437*24,INT($G437/100)+MOD($G437,100)/60)-IF($F437&lt;1,$F437*24,INT($F437/100)+MOD($F437,100)/60),2))</f>
        <v/>
      </c>
      <c r="I437" s="17"/>
      <c r="J437" s="18" t="str">
        <f aca="false">IF(OR($H437="",$I437=""),"",ROUND($H437*$I437,0))</f>
        <v/>
      </c>
      <c r="K437" s="13"/>
      <c r="L437" s="17"/>
      <c r="M437" s="18" t="str">
        <f aca="false">IF($J437="","",$J437-IF($L437="",0,$L437))</f>
        <v/>
      </c>
      <c r="N437" s="19" t="str">
        <f aca="true">IF(OR($A437="",$M437="",$M437&lt;=0),"",TODAY()-$A437)</f>
        <v/>
      </c>
      <c r="O437" s="20" t="str">
        <f aca="false">IF($B437="","",IFERROR(INDEX(차량목록!$D$3:$D$42,MATCH($B437,차량목록!$A$3:$A$42,0)),0))</f>
        <v/>
      </c>
      <c r="P437" s="18" t="str">
        <f aca="false">IF($J437="","",ROUND($J437*$O437,0))</f>
        <v/>
      </c>
    </row>
    <row r="438" customFormat="false" ht="15" hidden="false" customHeight="true" outlineLevel="0" collapsed="false">
      <c r="A438" s="13"/>
      <c r="B438" s="10"/>
      <c r="C438" s="14" t="str">
        <f aca="false">IF($B438="","",IFERROR(INDEX(차량목록!$B$3:$B$42,MATCH($B438,차량목록!$A$3:$A$42,0)),"미등록차량"))</f>
        <v/>
      </c>
      <c r="D438" s="10"/>
      <c r="E438" s="10"/>
      <c r="F438" s="15"/>
      <c r="G438" s="15"/>
      <c r="H438" s="16" t="str">
        <f aca="false">IF(OR($F438="",$G438=""),"",ROUND(IF($G438&lt;1,$G438*24,INT($G438/100)+MOD($G438,100)/60)-IF($F438&lt;1,$F438*24,INT($F438/100)+MOD($F438,100)/60),2))</f>
        <v/>
      </c>
      <c r="I438" s="17"/>
      <c r="J438" s="18" t="str">
        <f aca="false">IF(OR($H438="",$I438=""),"",ROUND($H438*$I438,0))</f>
        <v/>
      </c>
      <c r="K438" s="13"/>
      <c r="L438" s="17"/>
      <c r="M438" s="18" t="str">
        <f aca="false">IF($J438="","",$J438-IF($L438="",0,$L438))</f>
        <v/>
      </c>
      <c r="N438" s="19" t="str">
        <f aca="true">IF(OR($A438="",$M438="",$M438&lt;=0),"",TODAY()-$A438)</f>
        <v/>
      </c>
      <c r="O438" s="20" t="str">
        <f aca="false">IF($B438="","",IFERROR(INDEX(차량목록!$D$3:$D$42,MATCH($B438,차량목록!$A$3:$A$42,0)),0))</f>
        <v/>
      </c>
      <c r="P438" s="18" t="str">
        <f aca="false">IF($J438="","",ROUND($J438*$O438,0))</f>
        <v/>
      </c>
    </row>
    <row r="439" customFormat="false" ht="15" hidden="false" customHeight="true" outlineLevel="0" collapsed="false">
      <c r="A439" s="13"/>
      <c r="B439" s="10"/>
      <c r="C439" s="14" t="str">
        <f aca="false">IF($B439="","",IFERROR(INDEX(차량목록!$B$3:$B$42,MATCH($B439,차량목록!$A$3:$A$42,0)),"미등록차량"))</f>
        <v/>
      </c>
      <c r="D439" s="10"/>
      <c r="E439" s="10"/>
      <c r="F439" s="15"/>
      <c r="G439" s="15"/>
      <c r="H439" s="16" t="str">
        <f aca="false">IF(OR($F439="",$G439=""),"",ROUND(IF($G439&lt;1,$G439*24,INT($G439/100)+MOD($G439,100)/60)-IF($F439&lt;1,$F439*24,INT($F439/100)+MOD($F439,100)/60),2))</f>
        <v/>
      </c>
      <c r="I439" s="17"/>
      <c r="J439" s="18" t="str">
        <f aca="false">IF(OR($H439="",$I439=""),"",ROUND($H439*$I439,0))</f>
        <v/>
      </c>
      <c r="K439" s="13"/>
      <c r="L439" s="17"/>
      <c r="M439" s="18" t="str">
        <f aca="false">IF($J439="","",$J439-IF($L439="",0,$L439))</f>
        <v/>
      </c>
      <c r="N439" s="19" t="str">
        <f aca="true">IF(OR($A439="",$M439="",$M439&lt;=0),"",TODAY()-$A439)</f>
        <v/>
      </c>
      <c r="O439" s="20" t="str">
        <f aca="false">IF($B439="","",IFERROR(INDEX(차량목록!$D$3:$D$42,MATCH($B439,차량목록!$A$3:$A$42,0)),0))</f>
        <v/>
      </c>
      <c r="P439" s="18" t="str">
        <f aca="false">IF($J439="","",ROUND($J439*$O439,0))</f>
        <v/>
      </c>
    </row>
    <row r="440" customFormat="false" ht="15" hidden="false" customHeight="true" outlineLevel="0" collapsed="false">
      <c r="A440" s="13"/>
      <c r="B440" s="10"/>
      <c r="C440" s="14" t="str">
        <f aca="false">IF($B440="","",IFERROR(INDEX(차량목록!$B$3:$B$42,MATCH($B440,차량목록!$A$3:$A$42,0)),"미등록차량"))</f>
        <v/>
      </c>
      <c r="D440" s="10"/>
      <c r="E440" s="10"/>
      <c r="F440" s="15"/>
      <c r="G440" s="15"/>
      <c r="H440" s="16" t="str">
        <f aca="false">IF(OR($F440="",$G440=""),"",ROUND(IF($G440&lt;1,$G440*24,INT($G440/100)+MOD($G440,100)/60)-IF($F440&lt;1,$F440*24,INT($F440/100)+MOD($F440,100)/60),2))</f>
        <v/>
      </c>
      <c r="I440" s="17"/>
      <c r="J440" s="18" t="str">
        <f aca="false">IF(OR($H440="",$I440=""),"",ROUND($H440*$I440,0))</f>
        <v/>
      </c>
      <c r="K440" s="13"/>
      <c r="L440" s="17"/>
      <c r="M440" s="18" t="str">
        <f aca="false">IF($J440="","",$J440-IF($L440="",0,$L440))</f>
        <v/>
      </c>
      <c r="N440" s="19" t="str">
        <f aca="true">IF(OR($A440="",$M440="",$M440&lt;=0),"",TODAY()-$A440)</f>
        <v/>
      </c>
      <c r="O440" s="20" t="str">
        <f aca="false">IF($B440="","",IFERROR(INDEX(차량목록!$D$3:$D$42,MATCH($B440,차량목록!$A$3:$A$42,0)),0))</f>
        <v/>
      </c>
      <c r="P440" s="18" t="str">
        <f aca="false">IF($J440="","",ROUND($J440*$O440,0))</f>
        <v/>
      </c>
    </row>
    <row r="441" customFormat="false" ht="15" hidden="false" customHeight="true" outlineLevel="0" collapsed="false">
      <c r="A441" s="13"/>
      <c r="B441" s="10"/>
      <c r="C441" s="14" t="str">
        <f aca="false">IF($B441="","",IFERROR(INDEX(차량목록!$B$3:$B$42,MATCH($B441,차량목록!$A$3:$A$42,0)),"미등록차량"))</f>
        <v/>
      </c>
      <c r="D441" s="10"/>
      <c r="E441" s="10"/>
      <c r="F441" s="15"/>
      <c r="G441" s="15"/>
      <c r="H441" s="16" t="str">
        <f aca="false">IF(OR($F441="",$G441=""),"",ROUND(IF($G441&lt;1,$G441*24,INT($G441/100)+MOD($G441,100)/60)-IF($F441&lt;1,$F441*24,INT($F441/100)+MOD($F441,100)/60),2))</f>
        <v/>
      </c>
      <c r="I441" s="17"/>
      <c r="J441" s="18" t="str">
        <f aca="false">IF(OR($H441="",$I441=""),"",ROUND($H441*$I441,0))</f>
        <v/>
      </c>
      <c r="K441" s="13"/>
      <c r="L441" s="17"/>
      <c r="M441" s="18" t="str">
        <f aca="false">IF($J441="","",$J441-IF($L441="",0,$L441))</f>
        <v/>
      </c>
      <c r="N441" s="19" t="str">
        <f aca="true">IF(OR($A441="",$M441="",$M441&lt;=0),"",TODAY()-$A441)</f>
        <v/>
      </c>
      <c r="O441" s="20" t="str">
        <f aca="false">IF($B441="","",IFERROR(INDEX(차량목록!$D$3:$D$42,MATCH($B441,차량목록!$A$3:$A$42,0)),0))</f>
        <v/>
      </c>
      <c r="P441" s="18" t="str">
        <f aca="false">IF($J441="","",ROUND($J441*$O441,0))</f>
        <v/>
      </c>
    </row>
    <row r="442" customFormat="false" ht="15" hidden="false" customHeight="true" outlineLevel="0" collapsed="false">
      <c r="A442" s="13"/>
      <c r="B442" s="10"/>
      <c r="C442" s="14" t="str">
        <f aca="false">IF($B442="","",IFERROR(INDEX(차량목록!$B$3:$B$42,MATCH($B442,차량목록!$A$3:$A$42,0)),"미등록차량"))</f>
        <v/>
      </c>
      <c r="D442" s="10"/>
      <c r="E442" s="10"/>
      <c r="F442" s="15"/>
      <c r="G442" s="15"/>
      <c r="H442" s="16" t="str">
        <f aca="false">IF(OR($F442="",$G442=""),"",ROUND(IF($G442&lt;1,$G442*24,INT($G442/100)+MOD($G442,100)/60)-IF($F442&lt;1,$F442*24,INT($F442/100)+MOD($F442,100)/60),2))</f>
        <v/>
      </c>
      <c r="I442" s="17"/>
      <c r="J442" s="18" t="str">
        <f aca="false">IF(OR($H442="",$I442=""),"",ROUND($H442*$I442,0))</f>
        <v/>
      </c>
      <c r="K442" s="13"/>
      <c r="L442" s="17"/>
      <c r="M442" s="18" t="str">
        <f aca="false">IF($J442="","",$J442-IF($L442="",0,$L442))</f>
        <v/>
      </c>
      <c r="N442" s="19" t="str">
        <f aca="true">IF(OR($A442="",$M442="",$M442&lt;=0),"",TODAY()-$A442)</f>
        <v/>
      </c>
      <c r="O442" s="20" t="str">
        <f aca="false">IF($B442="","",IFERROR(INDEX(차량목록!$D$3:$D$42,MATCH($B442,차량목록!$A$3:$A$42,0)),0))</f>
        <v/>
      </c>
      <c r="P442" s="18" t="str">
        <f aca="false">IF($J442="","",ROUND($J442*$O442,0))</f>
        <v/>
      </c>
    </row>
    <row r="443" customFormat="false" ht="15" hidden="false" customHeight="true" outlineLevel="0" collapsed="false">
      <c r="A443" s="13"/>
      <c r="B443" s="10"/>
      <c r="C443" s="14" t="str">
        <f aca="false">IF($B443="","",IFERROR(INDEX(차량목록!$B$3:$B$42,MATCH($B443,차량목록!$A$3:$A$42,0)),"미등록차량"))</f>
        <v/>
      </c>
      <c r="D443" s="10"/>
      <c r="E443" s="10"/>
      <c r="F443" s="15"/>
      <c r="G443" s="15"/>
      <c r="H443" s="16" t="str">
        <f aca="false">IF(OR($F443="",$G443=""),"",ROUND(IF($G443&lt;1,$G443*24,INT($G443/100)+MOD($G443,100)/60)-IF($F443&lt;1,$F443*24,INT($F443/100)+MOD($F443,100)/60),2))</f>
        <v/>
      </c>
      <c r="I443" s="17"/>
      <c r="J443" s="18" t="str">
        <f aca="false">IF(OR($H443="",$I443=""),"",ROUND($H443*$I443,0))</f>
        <v/>
      </c>
      <c r="K443" s="13"/>
      <c r="L443" s="17"/>
      <c r="M443" s="18" t="str">
        <f aca="false">IF($J443="","",$J443-IF($L443="",0,$L443))</f>
        <v/>
      </c>
      <c r="N443" s="19" t="str">
        <f aca="true">IF(OR($A443="",$M443="",$M443&lt;=0),"",TODAY()-$A443)</f>
        <v/>
      </c>
      <c r="O443" s="20" t="str">
        <f aca="false">IF($B443="","",IFERROR(INDEX(차량목록!$D$3:$D$42,MATCH($B443,차량목록!$A$3:$A$42,0)),0))</f>
        <v/>
      </c>
      <c r="P443" s="18" t="str">
        <f aca="false">IF($J443="","",ROUND($J443*$O443,0))</f>
        <v/>
      </c>
    </row>
    <row r="444" customFormat="false" ht="15" hidden="false" customHeight="true" outlineLevel="0" collapsed="false">
      <c r="A444" s="13"/>
      <c r="B444" s="10"/>
      <c r="C444" s="14" t="str">
        <f aca="false">IF($B444="","",IFERROR(INDEX(차량목록!$B$3:$B$42,MATCH($B444,차량목록!$A$3:$A$42,0)),"미등록차량"))</f>
        <v/>
      </c>
      <c r="D444" s="10"/>
      <c r="E444" s="10"/>
      <c r="F444" s="15"/>
      <c r="G444" s="15"/>
      <c r="H444" s="16" t="str">
        <f aca="false">IF(OR($F444="",$G444=""),"",ROUND(IF($G444&lt;1,$G444*24,INT($G444/100)+MOD($G444,100)/60)-IF($F444&lt;1,$F444*24,INT($F444/100)+MOD($F444,100)/60),2))</f>
        <v/>
      </c>
      <c r="I444" s="17"/>
      <c r="J444" s="18" t="str">
        <f aca="false">IF(OR($H444="",$I444=""),"",ROUND($H444*$I444,0))</f>
        <v/>
      </c>
      <c r="K444" s="13"/>
      <c r="L444" s="17"/>
      <c r="M444" s="18" t="str">
        <f aca="false">IF($J444="","",$J444-IF($L444="",0,$L444))</f>
        <v/>
      </c>
      <c r="N444" s="19" t="str">
        <f aca="true">IF(OR($A444="",$M444="",$M444&lt;=0),"",TODAY()-$A444)</f>
        <v/>
      </c>
      <c r="O444" s="20" t="str">
        <f aca="false">IF($B444="","",IFERROR(INDEX(차량목록!$D$3:$D$42,MATCH($B444,차량목록!$A$3:$A$42,0)),0))</f>
        <v/>
      </c>
      <c r="P444" s="18" t="str">
        <f aca="false">IF($J444="","",ROUND($J444*$O444,0))</f>
        <v/>
      </c>
    </row>
    <row r="445" customFormat="false" ht="15" hidden="false" customHeight="true" outlineLevel="0" collapsed="false">
      <c r="A445" s="13"/>
      <c r="B445" s="10"/>
      <c r="C445" s="14" t="str">
        <f aca="false">IF($B445="","",IFERROR(INDEX(차량목록!$B$3:$B$42,MATCH($B445,차량목록!$A$3:$A$42,0)),"미등록차량"))</f>
        <v/>
      </c>
      <c r="D445" s="10"/>
      <c r="E445" s="10"/>
      <c r="F445" s="15"/>
      <c r="G445" s="15"/>
      <c r="H445" s="16" t="str">
        <f aca="false">IF(OR($F445="",$G445=""),"",ROUND(IF($G445&lt;1,$G445*24,INT($G445/100)+MOD($G445,100)/60)-IF($F445&lt;1,$F445*24,INT($F445/100)+MOD($F445,100)/60),2))</f>
        <v/>
      </c>
      <c r="I445" s="17"/>
      <c r="J445" s="18" t="str">
        <f aca="false">IF(OR($H445="",$I445=""),"",ROUND($H445*$I445,0))</f>
        <v/>
      </c>
      <c r="K445" s="13"/>
      <c r="L445" s="17"/>
      <c r="M445" s="18" t="str">
        <f aca="false">IF($J445="","",$J445-IF($L445="",0,$L445))</f>
        <v/>
      </c>
      <c r="N445" s="19" t="str">
        <f aca="true">IF(OR($A445="",$M445="",$M445&lt;=0),"",TODAY()-$A445)</f>
        <v/>
      </c>
      <c r="O445" s="20" t="str">
        <f aca="false">IF($B445="","",IFERROR(INDEX(차량목록!$D$3:$D$42,MATCH($B445,차량목록!$A$3:$A$42,0)),0))</f>
        <v/>
      </c>
      <c r="P445" s="18" t="str">
        <f aca="false">IF($J445="","",ROUND($J445*$O445,0))</f>
        <v/>
      </c>
    </row>
    <row r="446" customFormat="false" ht="15" hidden="false" customHeight="true" outlineLevel="0" collapsed="false">
      <c r="A446" s="13"/>
      <c r="B446" s="10"/>
      <c r="C446" s="14" t="str">
        <f aca="false">IF($B446="","",IFERROR(INDEX(차량목록!$B$3:$B$42,MATCH($B446,차량목록!$A$3:$A$42,0)),"미등록차량"))</f>
        <v/>
      </c>
      <c r="D446" s="10"/>
      <c r="E446" s="10"/>
      <c r="F446" s="15"/>
      <c r="G446" s="15"/>
      <c r="H446" s="16" t="str">
        <f aca="false">IF(OR($F446="",$G446=""),"",ROUND(IF($G446&lt;1,$G446*24,INT($G446/100)+MOD($G446,100)/60)-IF($F446&lt;1,$F446*24,INT($F446/100)+MOD($F446,100)/60),2))</f>
        <v/>
      </c>
      <c r="I446" s="17"/>
      <c r="J446" s="18" t="str">
        <f aca="false">IF(OR($H446="",$I446=""),"",ROUND($H446*$I446,0))</f>
        <v/>
      </c>
      <c r="K446" s="13"/>
      <c r="L446" s="17"/>
      <c r="M446" s="18" t="str">
        <f aca="false">IF($J446="","",$J446-IF($L446="",0,$L446))</f>
        <v/>
      </c>
      <c r="N446" s="19" t="str">
        <f aca="true">IF(OR($A446="",$M446="",$M446&lt;=0),"",TODAY()-$A446)</f>
        <v/>
      </c>
      <c r="O446" s="20" t="str">
        <f aca="false">IF($B446="","",IFERROR(INDEX(차량목록!$D$3:$D$42,MATCH($B446,차량목록!$A$3:$A$42,0)),0))</f>
        <v/>
      </c>
      <c r="P446" s="18" t="str">
        <f aca="false">IF($J446="","",ROUND($J446*$O446,0))</f>
        <v/>
      </c>
    </row>
    <row r="447" customFormat="false" ht="15" hidden="false" customHeight="true" outlineLevel="0" collapsed="false">
      <c r="A447" s="13"/>
      <c r="B447" s="10"/>
      <c r="C447" s="14" t="str">
        <f aca="false">IF($B447="","",IFERROR(INDEX(차량목록!$B$3:$B$42,MATCH($B447,차량목록!$A$3:$A$42,0)),"미등록차량"))</f>
        <v/>
      </c>
      <c r="D447" s="10"/>
      <c r="E447" s="10"/>
      <c r="F447" s="15"/>
      <c r="G447" s="15"/>
      <c r="H447" s="16" t="str">
        <f aca="false">IF(OR($F447="",$G447=""),"",ROUND(IF($G447&lt;1,$G447*24,INT($G447/100)+MOD($G447,100)/60)-IF($F447&lt;1,$F447*24,INT($F447/100)+MOD($F447,100)/60),2))</f>
        <v/>
      </c>
      <c r="I447" s="17"/>
      <c r="J447" s="18" t="str">
        <f aca="false">IF(OR($H447="",$I447=""),"",ROUND($H447*$I447,0))</f>
        <v/>
      </c>
      <c r="K447" s="13"/>
      <c r="L447" s="17"/>
      <c r="M447" s="18" t="str">
        <f aca="false">IF($J447="","",$J447-IF($L447="",0,$L447))</f>
        <v/>
      </c>
      <c r="N447" s="19" t="str">
        <f aca="true">IF(OR($A447="",$M447="",$M447&lt;=0),"",TODAY()-$A447)</f>
        <v/>
      </c>
      <c r="O447" s="20" t="str">
        <f aca="false">IF($B447="","",IFERROR(INDEX(차량목록!$D$3:$D$42,MATCH($B447,차량목록!$A$3:$A$42,0)),0))</f>
        <v/>
      </c>
      <c r="P447" s="18" t="str">
        <f aca="false">IF($J447="","",ROUND($J447*$O447,0))</f>
        <v/>
      </c>
    </row>
    <row r="448" customFormat="false" ht="15" hidden="false" customHeight="true" outlineLevel="0" collapsed="false">
      <c r="A448" s="13"/>
      <c r="B448" s="10"/>
      <c r="C448" s="14" t="str">
        <f aca="false">IF($B448="","",IFERROR(INDEX(차량목록!$B$3:$B$42,MATCH($B448,차량목록!$A$3:$A$42,0)),"미등록차량"))</f>
        <v/>
      </c>
      <c r="D448" s="10"/>
      <c r="E448" s="10"/>
      <c r="F448" s="15"/>
      <c r="G448" s="15"/>
      <c r="H448" s="16" t="str">
        <f aca="false">IF(OR($F448="",$G448=""),"",ROUND(IF($G448&lt;1,$G448*24,INT($G448/100)+MOD($G448,100)/60)-IF($F448&lt;1,$F448*24,INT($F448/100)+MOD($F448,100)/60),2))</f>
        <v/>
      </c>
      <c r="I448" s="17"/>
      <c r="J448" s="18" t="str">
        <f aca="false">IF(OR($H448="",$I448=""),"",ROUND($H448*$I448,0))</f>
        <v/>
      </c>
      <c r="K448" s="13"/>
      <c r="L448" s="17"/>
      <c r="M448" s="18" t="str">
        <f aca="false">IF($J448="","",$J448-IF($L448="",0,$L448))</f>
        <v/>
      </c>
      <c r="N448" s="19" t="str">
        <f aca="true">IF(OR($A448="",$M448="",$M448&lt;=0),"",TODAY()-$A448)</f>
        <v/>
      </c>
      <c r="O448" s="20" t="str">
        <f aca="false">IF($B448="","",IFERROR(INDEX(차량목록!$D$3:$D$42,MATCH($B448,차량목록!$A$3:$A$42,0)),0))</f>
        <v/>
      </c>
      <c r="P448" s="18" t="str">
        <f aca="false">IF($J448="","",ROUND($J448*$O448,0))</f>
        <v/>
      </c>
    </row>
    <row r="449" customFormat="false" ht="15" hidden="false" customHeight="true" outlineLevel="0" collapsed="false">
      <c r="A449" s="13"/>
      <c r="B449" s="10"/>
      <c r="C449" s="14" t="str">
        <f aca="false">IF($B449="","",IFERROR(INDEX(차량목록!$B$3:$B$42,MATCH($B449,차량목록!$A$3:$A$42,0)),"미등록차량"))</f>
        <v/>
      </c>
      <c r="D449" s="10"/>
      <c r="E449" s="10"/>
      <c r="F449" s="15"/>
      <c r="G449" s="15"/>
      <c r="H449" s="16" t="str">
        <f aca="false">IF(OR($F449="",$G449=""),"",ROUND(IF($G449&lt;1,$G449*24,INT($G449/100)+MOD($G449,100)/60)-IF($F449&lt;1,$F449*24,INT($F449/100)+MOD($F449,100)/60),2))</f>
        <v/>
      </c>
      <c r="I449" s="17"/>
      <c r="J449" s="18" t="str">
        <f aca="false">IF(OR($H449="",$I449=""),"",ROUND($H449*$I449,0))</f>
        <v/>
      </c>
      <c r="K449" s="13"/>
      <c r="L449" s="17"/>
      <c r="M449" s="18" t="str">
        <f aca="false">IF($J449="","",$J449-IF($L449="",0,$L449))</f>
        <v/>
      </c>
      <c r="N449" s="19" t="str">
        <f aca="true">IF(OR($A449="",$M449="",$M449&lt;=0),"",TODAY()-$A449)</f>
        <v/>
      </c>
      <c r="O449" s="20" t="str">
        <f aca="false">IF($B449="","",IFERROR(INDEX(차량목록!$D$3:$D$42,MATCH($B449,차량목록!$A$3:$A$42,0)),0))</f>
        <v/>
      </c>
      <c r="P449" s="18" t="str">
        <f aca="false">IF($J449="","",ROUND($J449*$O449,0))</f>
        <v/>
      </c>
    </row>
    <row r="450" customFormat="false" ht="15" hidden="false" customHeight="true" outlineLevel="0" collapsed="false">
      <c r="A450" s="13"/>
      <c r="B450" s="10"/>
      <c r="C450" s="14" t="str">
        <f aca="false">IF($B450="","",IFERROR(INDEX(차량목록!$B$3:$B$42,MATCH($B450,차량목록!$A$3:$A$42,0)),"미등록차량"))</f>
        <v/>
      </c>
      <c r="D450" s="10"/>
      <c r="E450" s="10"/>
      <c r="F450" s="15"/>
      <c r="G450" s="15"/>
      <c r="H450" s="16" t="str">
        <f aca="false">IF(OR($F450="",$G450=""),"",ROUND(IF($G450&lt;1,$G450*24,INT($G450/100)+MOD($G450,100)/60)-IF($F450&lt;1,$F450*24,INT($F450/100)+MOD($F450,100)/60),2))</f>
        <v/>
      </c>
      <c r="I450" s="17"/>
      <c r="J450" s="18" t="str">
        <f aca="false">IF(OR($H450="",$I450=""),"",ROUND($H450*$I450,0))</f>
        <v/>
      </c>
      <c r="K450" s="13"/>
      <c r="L450" s="17"/>
      <c r="M450" s="18" t="str">
        <f aca="false">IF($J450="","",$J450-IF($L450="",0,$L450))</f>
        <v/>
      </c>
      <c r="N450" s="19" t="str">
        <f aca="true">IF(OR($A450="",$M450="",$M450&lt;=0),"",TODAY()-$A450)</f>
        <v/>
      </c>
      <c r="O450" s="20" t="str">
        <f aca="false">IF($B450="","",IFERROR(INDEX(차량목록!$D$3:$D$42,MATCH($B450,차량목록!$A$3:$A$42,0)),0))</f>
        <v/>
      </c>
      <c r="P450" s="18" t="str">
        <f aca="false">IF($J450="","",ROUND($J450*$O450,0))</f>
        <v/>
      </c>
    </row>
    <row r="451" customFormat="false" ht="15" hidden="false" customHeight="true" outlineLevel="0" collapsed="false">
      <c r="A451" s="13"/>
      <c r="B451" s="10"/>
      <c r="C451" s="14" t="str">
        <f aca="false">IF($B451="","",IFERROR(INDEX(차량목록!$B$3:$B$42,MATCH($B451,차량목록!$A$3:$A$42,0)),"미등록차량"))</f>
        <v/>
      </c>
      <c r="D451" s="10"/>
      <c r="E451" s="10"/>
      <c r="F451" s="15"/>
      <c r="G451" s="15"/>
      <c r="H451" s="16" t="str">
        <f aca="false">IF(OR($F451="",$G451=""),"",ROUND(IF($G451&lt;1,$G451*24,INT($G451/100)+MOD($G451,100)/60)-IF($F451&lt;1,$F451*24,INT($F451/100)+MOD($F451,100)/60),2))</f>
        <v/>
      </c>
      <c r="I451" s="17"/>
      <c r="J451" s="18" t="str">
        <f aca="false">IF(OR($H451="",$I451=""),"",ROUND($H451*$I451,0))</f>
        <v/>
      </c>
      <c r="K451" s="13"/>
      <c r="L451" s="17"/>
      <c r="M451" s="18" t="str">
        <f aca="false">IF($J451="","",$J451-IF($L451="",0,$L451))</f>
        <v/>
      </c>
      <c r="N451" s="19" t="str">
        <f aca="true">IF(OR($A451="",$M451="",$M451&lt;=0),"",TODAY()-$A451)</f>
        <v/>
      </c>
      <c r="O451" s="20" t="str">
        <f aca="false">IF($B451="","",IFERROR(INDEX(차량목록!$D$3:$D$42,MATCH($B451,차량목록!$A$3:$A$42,0)),0))</f>
        <v/>
      </c>
      <c r="P451" s="18" t="str">
        <f aca="false">IF($J451="","",ROUND($J451*$O451,0))</f>
        <v/>
      </c>
    </row>
    <row r="452" customFormat="false" ht="15" hidden="false" customHeight="true" outlineLevel="0" collapsed="false">
      <c r="A452" s="13"/>
      <c r="B452" s="10"/>
      <c r="C452" s="14" t="str">
        <f aca="false">IF($B452="","",IFERROR(INDEX(차량목록!$B$3:$B$42,MATCH($B452,차량목록!$A$3:$A$42,0)),"미등록차량"))</f>
        <v/>
      </c>
      <c r="D452" s="10"/>
      <c r="E452" s="10"/>
      <c r="F452" s="15"/>
      <c r="G452" s="15"/>
      <c r="H452" s="16" t="str">
        <f aca="false">IF(OR($F452="",$G452=""),"",ROUND(IF($G452&lt;1,$G452*24,INT($G452/100)+MOD($G452,100)/60)-IF($F452&lt;1,$F452*24,INT($F452/100)+MOD($F452,100)/60),2))</f>
        <v/>
      </c>
      <c r="I452" s="17"/>
      <c r="J452" s="18" t="str">
        <f aca="false">IF(OR($H452="",$I452=""),"",ROUND($H452*$I452,0))</f>
        <v/>
      </c>
      <c r="K452" s="13"/>
      <c r="L452" s="17"/>
      <c r="M452" s="18" t="str">
        <f aca="false">IF($J452="","",$J452-IF($L452="",0,$L452))</f>
        <v/>
      </c>
      <c r="N452" s="19" t="str">
        <f aca="true">IF(OR($A452="",$M452="",$M452&lt;=0),"",TODAY()-$A452)</f>
        <v/>
      </c>
      <c r="O452" s="20" t="str">
        <f aca="false">IF($B452="","",IFERROR(INDEX(차량목록!$D$3:$D$42,MATCH($B452,차량목록!$A$3:$A$42,0)),0))</f>
        <v/>
      </c>
      <c r="P452" s="18" t="str">
        <f aca="false">IF($J452="","",ROUND($J452*$O452,0))</f>
        <v/>
      </c>
    </row>
    <row r="453" customFormat="false" ht="15" hidden="false" customHeight="true" outlineLevel="0" collapsed="false">
      <c r="A453" s="13"/>
      <c r="B453" s="10"/>
      <c r="C453" s="14" t="str">
        <f aca="false">IF($B453="","",IFERROR(INDEX(차량목록!$B$3:$B$42,MATCH($B453,차량목록!$A$3:$A$42,0)),"미등록차량"))</f>
        <v/>
      </c>
      <c r="D453" s="10"/>
      <c r="E453" s="10"/>
      <c r="F453" s="15"/>
      <c r="G453" s="15"/>
      <c r="H453" s="16" t="str">
        <f aca="false">IF(OR($F453="",$G453=""),"",ROUND(IF($G453&lt;1,$G453*24,INT($G453/100)+MOD($G453,100)/60)-IF($F453&lt;1,$F453*24,INT($F453/100)+MOD($F453,100)/60),2))</f>
        <v/>
      </c>
      <c r="I453" s="17"/>
      <c r="J453" s="18" t="str">
        <f aca="false">IF(OR($H453="",$I453=""),"",ROUND($H453*$I453,0))</f>
        <v/>
      </c>
      <c r="K453" s="13"/>
      <c r="L453" s="17"/>
      <c r="M453" s="18" t="str">
        <f aca="false">IF($J453="","",$J453-IF($L453="",0,$L453))</f>
        <v/>
      </c>
      <c r="N453" s="19" t="str">
        <f aca="true">IF(OR($A453="",$M453="",$M453&lt;=0),"",TODAY()-$A453)</f>
        <v/>
      </c>
      <c r="O453" s="20" t="str">
        <f aca="false">IF($B453="","",IFERROR(INDEX(차량목록!$D$3:$D$42,MATCH($B453,차량목록!$A$3:$A$42,0)),0))</f>
        <v/>
      </c>
      <c r="P453" s="18" t="str">
        <f aca="false">IF($J453="","",ROUND($J453*$O453,0))</f>
        <v/>
      </c>
    </row>
    <row r="454" customFormat="false" ht="15" hidden="false" customHeight="true" outlineLevel="0" collapsed="false">
      <c r="A454" s="13"/>
      <c r="B454" s="10"/>
      <c r="C454" s="14" t="str">
        <f aca="false">IF($B454="","",IFERROR(INDEX(차량목록!$B$3:$B$42,MATCH($B454,차량목록!$A$3:$A$42,0)),"미등록차량"))</f>
        <v/>
      </c>
      <c r="D454" s="10"/>
      <c r="E454" s="10"/>
      <c r="F454" s="15"/>
      <c r="G454" s="15"/>
      <c r="H454" s="16" t="str">
        <f aca="false">IF(OR($F454="",$G454=""),"",ROUND(IF($G454&lt;1,$G454*24,INT($G454/100)+MOD($G454,100)/60)-IF($F454&lt;1,$F454*24,INT($F454/100)+MOD($F454,100)/60),2))</f>
        <v/>
      </c>
      <c r="I454" s="17"/>
      <c r="J454" s="18" t="str">
        <f aca="false">IF(OR($H454="",$I454=""),"",ROUND($H454*$I454,0))</f>
        <v/>
      </c>
      <c r="K454" s="13"/>
      <c r="L454" s="17"/>
      <c r="M454" s="18" t="str">
        <f aca="false">IF($J454="","",$J454-IF($L454="",0,$L454))</f>
        <v/>
      </c>
      <c r="N454" s="19" t="str">
        <f aca="true">IF(OR($A454="",$M454="",$M454&lt;=0),"",TODAY()-$A454)</f>
        <v/>
      </c>
      <c r="O454" s="20" t="str">
        <f aca="false">IF($B454="","",IFERROR(INDEX(차량목록!$D$3:$D$42,MATCH($B454,차량목록!$A$3:$A$42,0)),0))</f>
        <v/>
      </c>
      <c r="P454" s="18" t="str">
        <f aca="false">IF($J454="","",ROUND($J454*$O454,0))</f>
        <v/>
      </c>
    </row>
    <row r="455" customFormat="false" ht="15" hidden="false" customHeight="true" outlineLevel="0" collapsed="false">
      <c r="A455" s="13"/>
      <c r="B455" s="10"/>
      <c r="C455" s="14" t="str">
        <f aca="false">IF($B455="","",IFERROR(INDEX(차량목록!$B$3:$B$42,MATCH($B455,차량목록!$A$3:$A$42,0)),"미등록차량"))</f>
        <v/>
      </c>
      <c r="D455" s="10"/>
      <c r="E455" s="10"/>
      <c r="F455" s="15"/>
      <c r="G455" s="15"/>
      <c r="H455" s="16" t="str">
        <f aca="false">IF(OR($F455="",$G455=""),"",ROUND(IF($G455&lt;1,$G455*24,INT($G455/100)+MOD($G455,100)/60)-IF($F455&lt;1,$F455*24,INT($F455/100)+MOD($F455,100)/60),2))</f>
        <v/>
      </c>
      <c r="I455" s="17"/>
      <c r="J455" s="18" t="str">
        <f aca="false">IF(OR($H455="",$I455=""),"",ROUND($H455*$I455,0))</f>
        <v/>
      </c>
      <c r="K455" s="13"/>
      <c r="L455" s="17"/>
      <c r="M455" s="18" t="str">
        <f aca="false">IF($J455="","",$J455-IF($L455="",0,$L455))</f>
        <v/>
      </c>
      <c r="N455" s="19" t="str">
        <f aca="true">IF(OR($A455="",$M455="",$M455&lt;=0),"",TODAY()-$A455)</f>
        <v/>
      </c>
      <c r="O455" s="20" t="str">
        <f aca="false">IF($B455="","",IFERROR(INDEX(차량목록!$D$3:$D$42,MATCH($B455,차량목록!$A$3:$A$42,0)),0))</f>
        <v/>
      </c>
      <c r="P455" s="18" t="str">
        <f aca="false">IF($J455="","",ROUND($J455*$O455,0))</f>
        <v/>
      </c>
    </row>
    <row r="456" customFormat="false" ht="15" hidden="false" customHeight="true" outlineLevel="0" collapsed="false">
      <c r="A456" s="13"/>
      <c r="B456" s="10"/>
      <c r="C456" s="14" t="str">
        <f aca="false">IF($B456="","",IFERROR(INDEX(차량목록!$B$3:$B$42,MATCH($B456,차량목록!$A$3:$A$42,0)),"미등록차량"))</f>
        <v/>
      </c>
      <c r="D456" s="10"/>
      <c r="E456" s="10"/>
      <c r="F456" s="15"/>
      <c r="G456" s="15"/>
      <c r="H456" s="16" t="str">
        <f aca="false">IF(OR($F456="",$G456=""),"",ROUND(IF($G456&lt;1,$G456*24,INT($G456/100)+MOD($G456,100)/60)-IF($F456&lt;1,$F456*24,INT($F456/100)+MOD($F456,100)/60),2))</f>
        <v/>
      </c>
      <c r="I456" s="17"/>
      <c r="J456" s="18" t="str">
        <f aca="false">IF(OR($H456="",$I456=""),"",ROUND($H456*$I456,0))</f>
        <v/>
      </c>
      <c r="K456" s="13"/>
      <c r="L456" s="17"/>
      <c r="M456" s="18" t="str">
        <f aca="false">IF($J456="","",$J456-IF($L456="",0,$L456))</f>
        <v/>
      </c>
      <c r="N456" s="19" t="str">
        <f aca="true">IF(OR($A456="",$M456="",$M456&lt;=0),"",TODAY()-$A456)</f>
        <v/>
      </c>
      <c r="O456" s="20" t="str">
        <f aca="false">IF($B456="","",IFERROR(INDEX(차량목록!$D$3:$D$42,MATCH($B456,차량목록!$A$3:$A$42,0)),0))</f>
        <v/>
      </c>
      <c r="P456" s="18" t="str">
        <f aca="false">IF($J456="","",ROUND($J456*$O456,0))</f>
        <v/>
      </c>
    </row>
    <row r="457" customFormat="false" ht="15" hidden="false" customHeight="true" outlineLevel="0" collapsed="false">
      <c r="A457" s="13"/>
      <c r="B457" s="10"/>
      <c r="C457" s="14" t="str">
        <f aca="false">IF($B457="","",IFERROR(INDEX(차량목록!$B$3:$B$42,MATCH($B457,차량목록!$A$3:$A$42,0)),"미등록차량"))</f>
        <v/>
      </c>
      <c r="D457" s="10"/>
      <c r="E457" s="10"/>
      <c r="F457" s="15"/>
      <c r="G457" s="15"/>
      <c r="H457" s="16" t="str">
        <f aca="false">IF(OR($F457="",$G457=""),"",ROUND(IF($G457&lt;1,$G457*24,INT($G457/100)+MOD($G457,100)/60)-IF($F457&lt;1,$F457*24,INT($F457/100)+MOD($F457,100)/60),2))</f>
        <v/>
      </c>
      <c r="I457" s="17"/>
      <c r="J457" s="18" t="str">
        <f aca="false">IF(OR($H457="",$I457=""),"",ROUND($H457*$I457,0))</f>
        <v/>
      </c>
      <c r="K457" s="13"/>
      <c r="L457" s="17"/>
      <c r="M457" s="18" t="str">
        <f aca="false">IF($J457="","",$J457-IF($L457="",0,$L457))</f>
        <v/>
      </c>
      <c r="N457" s="19" t="str">
        <f aca="true">IF(OR($A457="",$M457="",$M457&lt;=0),"",TODAY()-$A457)</f>
        <v/>
      </c>
      <c r="O457" s="20" t="str">
        <f aca="false">IF($B457="","",IFERROR(INDEX(차량목록!$D$3:$D$42,MATCH($B457,차량목록!$A$3:$A$42,0)),0))</f>
        <v/>
      </c>
      <c r="P457" s="18" t="str">
        <f aca="false">IF($J457="","",ROUND($J457*$O457,0))</f>
        <v/>
      </c>
    </row>
    <row r="458" customFormat="false" ht="15" hidden="false" customHeight="true" outlineLevel="0" collapsed="false">
      <c r="A458" s="13"/>
      <c r="B458" s="10"/>
      <c r="C458" s="14" t="str">
        <f aca="false">IF($B458="","",IFERROR(INDEX(차량목록!$B$3:$B$42,MATCH($B458,차량목록!$A$3:$A$42,0)),"미등록차량"))</f>
        <v/>
      </c>
      <c r="D458" s="10"/>
      <c r="E458" s="10"/>
      <c r="F458" s="15"/>
      <c r="G458" s="15"/>
      <c r="H458" s="16" t="str">
        <f aca="false">IF(OR($F458="",$G458=""),"",ROUND(IF($G458&lt;1,$G458*24,INT($G458/100)+MOD($G458,100)/60)-IF($F458&lt;1,$F458*24,INT($F458/100)+MOD($F458,100)/60),2))</f>
        <v/>
      </c>
      <c r="I458" s="17"/>
      <c r="J458" s="18" t="str">
        <f aca="false">IF(OR($H458="",$I458=""),"",ROUND($H458*$I458,0))</f>
        <v/>
      </c>
      <c r="K458" s="13"/>
      <c r="L458" s="17"/>
      <c r="M458" s="18" t="str">
        <f aca="false">IF($J458="","",$J458-IF($L458="",0,$L458))</f>
        <v/>
      </c>
      <c r="N458" s="19" t="str">
        <f aca="true">IF(OR($A458="",$M458="",$M458&lt;=0),"",TODAY()-$A458)</f>
        <v/>
      </c>
      <c r="O458" s="20" t="str">
        <f aca="false">IF($B458="","",IFERROR(INDEX(차량목록!$D$3:$D$42,MATCH($B458,차량목록!$A$3:$A$42,0)),0))</f>
        <v/>
      </c>
      <c r="P458" s="18" t="str">
        <f aca="false">IF($J458="","",ROUND($J458*$O458,0))</f>
        <v/>
      </c>
    </row>
    <row r="459" customFormat="false" ht="15" hidden="false" customHeight="true" outlineLevel="0" collapsed="false">
      <c r="A459" s="13"/>
      <c r="B459" s="10"/>
      <c r="C459" s="14" t="str">
        <f aca="false">IF($B459="","",IFERROR(INDEX(차량목록!$B$3:$B$42,MATCH($B459,차량목록!$A$3:$A$42,0)),"미등록차량"))</f>
        <v/>
      </c>
      <c r="D459" s="10"/>
      <c r="E459" s="10"/>
      <c r="F459" s="15"/>
      <c r="G459" s="15"/>
      <c r="H459" s="16" t="str">
        <f aca="false">IF(OR($F459="",$G459=""),"",ROUND(IF($G459&lt;1,$G459*24,INT($G459/100)+MOD($G459,100)/60)-IF($F459&lt;1,$F459*24,INT($F459/100)+MOD($F459,100)/60),2))</f>
        <v/>
      </c>
      <c r="I459" s="17"/>
      <c r="J459" s="18" t="str">
        <f aca="false">IF(OR($H459="",$I459=""),"",ROUND($H459*$I459,0))</f>
        <v/>
      </c>
      <c r="K459" s="13"/>
      <c r="L459" s="17"/>
      <c r="M459" s="18" t="str">
        <f aca="false">IF($J459="","",$J459-IF($L459="",0,$L459))</f>
        <v/>
      </c>
      <c r="N459" s="19" t="str">
        <f aca="true">IF(OR($A459="",$M459="",$M459&lt;=0),"",TODAY()-$A459)</f>
        <v/>
      </c>
      <c r="O459" s="20" t="str">
        <f aca="false">IF($B459="","",IFERROR(INDEX(차량목록!$D$3:$D$42,MATCH($B459,차량목록!$A$3:$A$42,0)),0))</f>
        <v/>
      </c>
      <c r="P459" s="18" t="str">
        <f aca="false">IF($J459="","",ROUND($J459*$O459,0))</f>
        <v/>
      </c>
    </row>
    <row r="460" customFormat="false" ht="15" hidden="false" customHeight="true" outlineLevel="0" collapsed="false">
      <c r="A460" s="13"/>
      <c r="B460" s="10"/>
      <c r="C460" s="14" t="str">
        <f aca="false">IF($B460="","",IFERROR(INDEX(차량목록!$B$3:$B$42,MATCH($B460,차량목록!$A$3:$A$42,0)),"미등록차량"))</f>
        <v/>
      </c>
      <c r="D460" s="10"/>
      <c r="E460" s="10"/>
      <c r="F460" s="15"/>
      <c r="G460" s="15"/>
      <c r="H460" s="16" t="str">
        <f aca="false">IF(OR($F460="",$G460=""),"",ROUND(IF($G460&lt;1,$G460*24,INT($G460/100)+MOD($G460,100)/60)-IF($F460&lt;1,$F460*24,INT($F460/100)+MOD($F460,100)/60),2))</f>
        <v/>
      </c>
      <c r="I460" s="17"/>
      <c r="J460" s="18" t="str">
        <f aca="false">IF(OR($H460="",$I460=""),"",ROUND($H460*$I460,0))</f>
        <v/>
      </c>
      <c r="K460" s="13"/>
      <c r="L460" s="17"/>
      <c r="M460" s="18" t="str">
        <f aca="false">IF($J460="","",$J460-IF($L460="",0,$L460))</f>
        <v/>
      </c>
      <c r="N460" s="19" t="str">
        <f aca="true">IF(OR($A460="",$M460="",$M460&lt;=0),"",TODAY()-$A460)</f>
        <v/>
      </c>
      <c r="O460" s="20" t="str">
        <f aca="false">IF($B460="","",IFERROR(INDEX(차량목록!$D$3:$D$42,MATCH($B460,차량목록!$A$3:$A$42,0)),0))</f>
        <v/>
      </c>
      <c r="P460" s="18" t="str">
        <f aca="false">IF($J460="","",ROUND($J460*$O460,0))</f>
        <v/>
      </c>
    </row>
    <row r="461" customFormat="false" ht="15" hidden="false" customHeight="true" outlineLevel="0" collapsed="false">
      <c r="A461" s="13"/>
      <c r="B461" s="10"/>
      <c r="C461" s="14" t="str">
        <f aca="false">IF($B461="","",IFERROR(INDEX(차량목록!$B$3:$B$42,MATCH($B461,차량목록!$A$3:$A$42,0)),"미등록차량"))</f>
        <v/>
      </c>
      <c r="D461" s="10"/>
      <c r="E461" s="10"/>
      <c r="F461" s="15"/>
      <c r="G461" s="15"/>
      <c r="H461" s="16" t="str">
        <f aca="false">IF(OR($F461="",$G461=""),"",ROUND(IF($G461&lt;1,$G461*24,INT($G461/100)+MOD($G461,100)/60)-IF($F461&lt;1,$F461*24,INT($F461/100)+MOD($F461,100)/60),2))</f>
        <v/>
      </c>
      <c r="I461" s="17"/>
      <c r="J461" s="18" t="str">
        <f aca="false">IF(OR($H461="",$I461=""),"",ROUND($H461*$I461,0))</f>
        <v/>
      </c>
      <c r="K461" s="13"/>
      <c r="L461" s="17"/>
      <c r="M461" s="18" t="str">
        <f aca="false">IF($J461="","",$J461-IF($L461="",0,$L461))</f>
        <v/>
      </c>
      <c r="N461" s="19" t="str">
        <f aca="true">IF(OR($A461="",$M461="",$M461&lt;=0),"",TODAY()-$A461)</f>
        <v/>
      </c>
      <c r="O461" s="20" t="str">
        <f aca="false">IF($B461="","",IFERROR(INDEX(차량목록!$D$3:$D$42,MATCH($B461,차량목록!$A$3:$A$42,0)),0))</f>
        <v/>
      </c>
      <c r="P461" s="18" t="str">
        <f aca="false">IF($J461="","",ROUND($J461*$O461,0))</f>
        <v/>
      </c>
    </row>
    <row r="462" customFormat="false" ht="15" hidden="false" customHeight="true" outlineLevel="0" collapsed="false">
      <c r="A462" s="13"/>
      <c r="B462" s="10"/>
      <c r="C462" s="14" t="str">
        <f aca="false">IF($B462="","",IFERROR(INDEX(차량목록!$B$3:$B$42,MATCH($B462,차량목록!$A$3:$A$42,0)),"미등록차량"))</f>
        <v/>
      </c>
      <c r="D462" s="10"/>
      <c r="E462" s="10"/>
      <c r="F462" s="15"/>
      <c r="G462" s="15"/>
      <c r="H462" s="16" t="str">
        <f aca="false">IF(OR($F462="",$G462=""),"",ROUND(IF($G462&lt;1,$G462*24,INT($G462/100)+MOD($G462,100)/60)-IF($F462&lt;1,$F462*24,INT($F462/100)+MOD($F462,100)/60),2))</f>
        <v/>
      </c>
      <c r="I462" s="17"/>
      <c r="J462" s="18" t="str">
        <f aca="false">IF(OR($H462="",$I462=""),"",ROUND($H462*$I462,0))</f>
        <v/>
      </c>
      <c r="K462" s="13"/>
      <c r="L462" s="17"/>
      <c r="M462" s="18" t="str">
        <f aca="false">IF($J462="","",$J462-IF($L462="",0,$L462))</f>
        <v/>
      </c>
      <c r="N462" s="19" t="str">
        <f aca="true">IF(OR($A462="",$M462="",$M462&lt;=0),"",TODAY()-$A462)</f>
        <v/>
      </c>
      <c r="O462" s="20" t="str">
        <f aca="false">IF($B462="","",IFERROR(INDEX(차량목록!$D$3:$D$42,MATCH($B462,차량목록!$A$3:$A$42,0)),0))</f>
        <v/>
      </c>
      <c r="P462" s="18" t="str">
        <f aca="false">IF($J462="","",ROUND($J462*$O462,0))</f>
        <v/>
      </c>
    </row>
    <row r="463" customFormat="false" ht="15" hidden="false" customHeight="true" outlineLevel="0" collapsed="false">
      <c r="A463" s="13"/>
      <c r="B463" s="10"/>
      <c r="C463" s="14" t="str">
        <f aca="false">IF($B463="","",IFERROR(INDEX(차량목록!$B$3:$B$42,MATCH($B463,차량목록!$A$3:$A$42,0)),"미등록차량"))</f>
        <v/>
      </c>
      <c r="D463" s="10"/>
      <c r="E463" s="10"/>
      <c r="F463" s="15"/>
      <c r="G463" s="15"/>
      <c r="H463" s="16" t="str">
        <f aca="false">IF(OR($F463="",$G463=""),"",ROUND(IF($G463&lt;1,$G463*24,INT($G463/100)+MOD($G463,100)/60)-IF($F463&lt;1,$F463*24,INT($F463/100)+MOD($F463,100)/60),2))</f>
        <v/>
      </c>
      <c r="I463" s="17"/>
      <c r="J463" s="18" t="str">
        <f aca="false">IF(OR($H463="",$I463=""),"",ROUND($H463*$I463,0))</f>
        <v/>
      </c>
      <c r="K463" s="13"/>
      <c r="L463" s="17"/>
      <c r="M463" s="18" t="str">
        <f aca="false">IF($J463="","",$J463-IF($L463="",0,$L463))</f>
        <v/>
      </c>
      <c r="N463" s="19" t="str">
        <f aca="true">IF(OR($A463="",$M463="",$M463&lt;=0),"",TODAY()-$A463)</f>
        <v/>
      </c>
      <c r="O463" s="20" t="str">
        <f aca="false">IF($B463="","",IFERROR(INDEX(차량목록!$D$3:$D$42,MATCH($B463,차량목록!$A$3:$A$42,0)),0))</f>
        <v/>
      </c>
      <c r="P463" s="18" t="str">
        <f aca="false">IF($J463="","",ROUND($J463*$O463,0))</f>
        <v/>
      </c>
    </row>
    <row r="464" customFormat="false" ht="15" hidden="false" customHeight="true" outlineLevel="0" collapsed="false">
      <c r="A464" s="13"/>
      <c r="B464" s="10"/>
      <c r="C464" s="14" t="str">
        <f aca="false">IF($B464="","",IFERROR(INDEX(차량목록!$B$3:$B$42,MATCH($B464,차량목록!$A$3:$A$42,0)),"미등록차량"))</f>
        <v/>
      </c>
      <c r="D464" s="10"/>
      <c r="E464" s="10"/>
      <c r="F464" s="15"/>
      <c r="G464" s="15"/>
      <c r="H464" s="16" t="str">
        <f aca="false">IF(OR($F464="",$G464=""),"",ROUND(IF($G464&lt;1,$G464*24,INT($G464/100)+MOD($G464,100)/60)-IF($F464&lt;1,$F464*24,INT($F464/100)+MOD($F464,100)/60),2))</f>
        <v/>
      </c>
      <c r="I464" s="17"/>
      <c r="J464" s="18" t="str">
        <f aca="false">IF(OR($H464="",$I464=""),"",ROUND($H464*$I464,0))</f>
        <v/>
      </c>
      <c r="K464" s="13"/>
      <c r="L464" s="17"/>
      <c r="M464" s="18" t="str">
        <f aca="false">IF($J464="","",$J464-IF($L464="",0,$L464))</f>
        <v/>
      </c>
      <c r="N464" s="19" t="str">
        <f aca="true">IF(OR($A464="",$M464="",$M464&lt;=0),"",TODAY()-$A464)</f>
        <v/>
      </c>
      <c r="O464" s="20" t="str">
        <f aca="false">IF($B464="","",IFERROR(INDEX(차량목록!$D$3:$D$42,MATCH($B464,차량목록!$A$3:$A$42,0)),0))</f>
        <v/>
      </c>
      <c r="P464" s="18" t="str">
        <f aca="false">IF($J464="","",ROUND($J464*$O464,0))</f>
        <v/>
      </c>
    </row>
    <row r="465" customFormat="false" ht="15" hidden="false" customHeight="true" outlineLevel="0" collapsed="false">
      <c r="A465" s="13"/>
      <c r="B465" s="10"/>
      <c r="C465" s="14" t="str">
        <f aca="false">IF($B465="","",IFERROR(INDEX(차량목록!$B$3:$B$42,MATCH($B465,차량목록!$A$3:$A$42,0)),"미등록차량"))</f>
        <v/>
      </c>
      <c r="D465" s="10"/>
      <c r="E465" s="10"/>
      <c r="F465" s="15"/>
      <c r="G465" s="15"/>
      <c r="H465" s="16" t="str">
        <f aca="false">IF(OR($F465="",$G465=""),"",ROUND(IF($G465&lt;1,$G465*24,INT($G465/100)+MOD($G465,100)/60)-IF($F465&lt;1,$F465*24,INT($F465/100)+MOD($F465,100)/60),2))</f>
        <v/>
      </c>
      <c r="I465" s="17"/>
      <c r="J465" s="18" t="str">
        <f aca="false">IF(OR($H465="",$I465=""),"",ROUND($H465*$I465,0))</f>
        <v/>
      </c>
      <c r="K465" s="13"/>
      <c r="L465" s="17"/>
      <c r="M465" s="18" t="str">
        <f aca="false">IF($J465="","",$J465-IF($L465="",0,$L465))</f>
        <v/>
      </c>
      <c r="N465" s="19" t="str">
        <f aca="true">IF(OR($A465="",$M465="",$M465&lt;=0),"",TODAY()-$A465)</f>
        <v/>
      </c>
      <c r="O465" s="20" t="str">
        <f aca="false">IF($B465="","",IFERROR(INDEX(차량목록!$D$3:$D$42,MATCH($B465,차량목록!$A$3:$A$42,0)),0))</f>
        <v/>
      </c>
      <c r="P465" s="18" t="str">
        <f aca="false">IF($J465="","",ROUND($J465*$O465,0))</f>
        <v/>
      </c>
    </row>
    <row r="466" customFormat="false" ht="15" hidden="false" customHeight="true" outlineLevel="0" collapsed="false">
      <c r="A466" s="13"/>
      <c r="B466" s="10"/>
      <c r="C466" s="14" t="str">
        <f aca="false">IF($B466="","",IFERROR(INDEX(차량목록!$B$3:$B$42,MATCH($B466,차량목록!$A$3:$A$42,0)),"미등록차량"))</f>
        <v/>
      </c>
      <c r="D466" s="10"/>
      <c r="E466" s="10"/>
      <c r="F466" s="15"/>
      <c r="G466" s="15"/>
      <c r="H466" s="16" t="str">
        <f aca="false">IF(OR($F466="",$G466=""),"",ROUND(IF($G466&lt;1,$G466*24,INT($G466/100)+MOD($G466,100)/60)-IF($F466&lt;1,$F466*24,INT($F466/100)+MOD($F466,100)/60),2))</f>
        <v/>
      </c>
      <c r="I466" s="17"/>
      <c r="J466" s="18" t="str">
        <f aca="false">IF(OR($H466="",$I466=""),"",ROUND($H466*$I466,0))</f>
        <v/>
      </c>
      <c r="K466" s="13"/>
      <c r="L466" s="17"/>
      <c r="M466" s="18" t="str">
        <f aca="false">IF($J466="","",$J466-IF($L466="",0,$L466))</f>
        <v/>
      </c>
      <c r="N466" s="19" t="str">
        <f aca="true">IF(OR($A466="",$M466="",$M466&lt;=0),"",TODAY()-$A466)</f>
        <v/>
      </c>
      <c r="O466" s="20" t="str">
        <f aca="false">IF($B466="","",IFERROR(INDEX(차량목록!$D$3:$D$42,MATCH($B466,차량목록!$A$3:$A$42,0)),0))</f>
        <v/>
      </c>
      <c r="P466" s="18" t="str">
        <f aca="false">IF($J466="","",ROUND($J466*$O466,0))</f>
        <v/>
      </c>
    </row>
    <row r="467" customFormat="false" ht="15" hidden="false" customHeight="true" outlineLevel="0" collapsed="false">
      <c r="A467" s="13"/>
      <c r="B467" s="10"/>
      <c r="C467" s="14" t="str">
        <f aca="false">IF($B467="","",IFERROR(INDEX(차량목록!$B$3:$B$42,MATCH($B467,차량목록!$A$3:$A$42,0)),"미등록차량"))</f>
        <v/>
      </c>
      <c r="D467" s="10"/>
      <c r="E467" s="10"/>
      <c r="F467" s="15"/>
      <c r="G467" s="15"/>
      <c r="H467" s="16" t="str">
        <f aca="false">IF(OR($F467="",$G467=""),"",ROUND(IF($G467&lt;1,$G467*24,INT($G467/100)+MOD($G467,100)/60)-IF($F467&lt;1,$F467*24,INT($F467/100)+MOD($F467,100)/60),2))</f>
        <v/>
      </c>
      <c r="I467" s="17"/>
      <c r="J467" s="18" t="str">
        <f aca="false">IF(OR($H467="",$I467=""),"",ROUND($H467*$I467,0))</f>
        <v/>
      </c>
      <c r="K467" s="13"/>
      <c r="L467" s="17"/>
      <c r="M467" s="18" t="str">
        <f aca="false">IF($J467="","",$J467-IF($L467="",0,$L467))</f>
        <v/>
      </c>
      <c r="N467" s="19" t="str">
        <f aca="true">IF(OR($A467="",$M467="",$M467&lt;=0),"",TODAY()-$A467)</f>
        <v/>
      </c>
      <c r="O467" s="20" t="str">
        <f aca="false">IF($B467="","",IFERROR(INDEX(차량목록!$D$3:$D$42,MATCH($B467,차량목록!$A$3:$A$42,0)),0))</f>
        <v/>
      </c>
      <c r="P467" s="18" t="str">
        <f aca="false">IF($J467="","",ROUND($J467*$O467,0))</f>
        <v/>
      </c>
    </row>
    <row r="468" customFormat="false" ht="15" hidden="false" customHeight="true" outlineLevel="0" collapsed="false">
      <c r="A468" s="13"/>
      <c r="B468" s="10"/>
      <c r="C468" s="14" t="str">
        <f aca="false">IF($B468="","",IFERROR(INDEX(차량목록!$B$3:$B$42,MATCH($B468,차량목록!$A$3:$A$42,0)),"미등록차량"))</f>
        <v/>
      </c>
      <c r="D468" s="10"/>
      <c r="E468" s="10"/>
      <c r="F468" s="15"/>
      <c r="G468" s="15"/>
      <c r="H468" s="16" t="str">
        <f aca="false">IF(OR($F468="",$G468=""),"",ROUND(IF($G468&lt;1,$G468*24,INT($G468/100)+MOD($G468,100)/60)-IF($F468&lt;1,$F468*24,INT($F468/100)+MOD($F468,100)/60),2))</f>
        <v/>
      </c>
      <c r="I468" s="17"/>
      <c r="J468" s="18" t="str">
        <f aca="false">IF(OR($H468="",$I468=""),"",ROUND($H468*$I468,0))</f>
        <v/>
      </c>
      <c r="K468" s="13"/>
      <c r="L468" s="17"/>
      <c r="M468" s="18" t="str">
        <f aca="false">IF($J468="","",$J468-IF($L468="",0,$L468))</f>
        <v/>
      </c>
      <c r="N468" s="19" t="str">
        <f aca="true">IF(OR($A468="",$M468="",$M468&lt;=0),"",TODAY()-$A468)</f>
        <v/>
      </c>
      <c r="O468" s="20" t="str">
        <f aca="false">IF($B468="","",IFERROR(INDEX(차량목록!$D$3:$D$42,MATCH($B468,차량목록!$A$3:$A$42,0)),0))</f>
        <v/>
      </c>
      <c r="P468" s="18" t="str">
        <f aca="false">IF($J468="","",ROUND($J468*$O468,0))</f>
        <v/>
      </c>
    </row>
    <row r="469" customFormat="false" ht="15" hidden="false" customHeight="true" outlineLevel="0" collapsed="false">
      <c r="A469" s="13"/>
      <c r="B469" s="10"/>
      <c r="C469" s="14" t="str">
        <f aca="false">IF($B469="","",IFERROR(INDEX(차량목록!$B$3:$B$42,MATCH($B469,차량목록!$A$3:$A$42,0)),"미등록차량"))</f>
        <v/>
      </c>
      <c r="D469" s="10"/>
      <c r="E469" s="10"/>
      <c r="F469" s="15"/>
      <c r="G469" s="15"/>
      <c r="H469" s="16" t="str">
        <f aca="false">IF(OR($F469="",$G469=""),"",ROUND(IF($G469&lt;1,$G469*24,INT($G469/100)+MOD($G469,100)/60)-IF($F469&lt;1,$F469*24,INT($F469/100)+MOD($F469,100)/60),2))</f>
        <v/>
      </c>
      <c r="I469" s="17"/>
      <c r="J469" s="18" t="str">
        <f aca="false">IF(OR($H469="",$I469=""),"",ROUND($H469*$I469,0))</f>
        <v/>
      </c>
      <c r="K469" s="13"/>
      <c r="L469" s="17"/>
      <c r="M469" s="18" t="str">
        <f aca="false">IF($J469="","",$J469-IF($L469="",0,$L469))</f>
        <v/>
      </c>
      <c r="N469" s="19" t="str">
        <f aca="true">IF(OR($A469="",$M469="",$M469&lt;=0),"",TODAY()-$A469)</f>
        <v/>
      </c>
      <c r="O469" s="20" t="str">
        <f aca="false">IF($B469="","",IFERROR(INDEX(차량목록!$D$3:$D$42,MATCH($B469,차량목록!$A$3:$A$42,0)),0))</f>
        <v/>
      </c>
      <c r="P469" s="18" t="str">
        <f aca="false">IF($J469="","",ROUND($J469*$O469,0))</f>
        <v/>
      </c>
    </row>
    <row r="470" customFormat="false" ht="15" hidden="false" customHeight="true" outlineLevel="0" collapsed="false">
      <c r="A470" s="13"/>
      <c r="B470" s="10"/>
      <c r="C470" s="14" t="str">
        <f aca="false">IF($B470="","",IFERROR(INDEX(차량목록!$B$3:$B$42,MATCH($B470,차량목록!$A$3:$A$42,0)),"미등록차량"))</f>
        <v/>
      </c>
      <c r="D470" s="10"/>
      <c r="E470" s="10"/>
      <c r="F470" s="15"/>
      <c r="G470" s="15"/>
      <c r="H470" s="16" t="str">
        <f aca="false">IF(OR($F470="",$G470=""),"",ROUND(IF($G470&lt;1,$G470*24,INT($G470/100)+MOD($G470,100)/60)-IF($F470&lt;1,$F470*24,INT($F470/100)+MOD($F470,100)/60),2))</f>
        <v/>
      </c>
      <c r="I470" s="17"/>
      <c r="J470" s="18" t="str">
        <f aca="false">IF(OR($H470="",$I470=""),"",ROUND($H470*$I470,0))</f>
        <v/>
      </c>
      <c r="K470" s="13"/>
      <c r="L470" s="17"/>
      <c r="M470" s="18" t="str">
        <f aca="false">IF($J470="","",$J470-IF($L470="",0,$L470))</f>
        <v/>
      </c>
      <c r="N470" s="19" t="str">
        <f aca="true">IF(OR($A470="",$M470="",$M470&lt;=0),"",TODAY()-$A470)</f>
        <v/>
      </c>
      <c r="O470" s="20" t="str">
        <f aca="false">IF($B470="","",IFERROR(INDEX(차량목록!$D$3:$D$42,MATCH($B470,차량목록!$A$3:$A$42,0)),0))</f>
        <v/>
      </c>
      <c r="P470" s="18" t="str">
        <f aca="false">IF($J470="","",ROUND($J470*$O470,0))</f>
        <v/>
      </c>
    </row>
    <row r="471" customFormat="false" ht="15" hidden="false" customHeight="true" outlineLevel="0" collapsed="false">
      <c r="A471" s="13"/>
      <c r="B471" s="10"/>
      <c r="C471" s="14" t="str">
        <f aca="false">IF($B471="","",IFERROR(INDEX(차량목록!$B$3:$B$42,MATCH($B471,차량목록!$A$3:$A$42,0)),"미등록차량"))</f>
        <v/>
      </c>
      <c r="D471" s="10"/>
      <c r="E471" s="10"/>
      <c r="F471" s="15"/>
      <c r="G471" s="15"/>
      <c r="H471" s="16" t="str">
        <f aca="false">IF(OR($F471="",$G471=""),"",ROUND(IF($G471&lt;1,$G471*24,INT($G471/100)+MOD($G471,100)/60)-IF($F471&lt;1,$F471*24,INT($F471/100)+MOD($F471,100)/60),2))</f>
        <v/>
      </c>
      <c r="I471" s="17"/>
      <c r="J471" s="18" t="str">
        <f aca="false">IF(OR($H471="",$I471=""),"",ROUND($H471*$I471,0))</f>
        <v/>
      </c>
      <c r="K471" s="13"/>
      <c r="L471" s="17"/>
      <c r="M471" s="18" t="str">
        <f aca="false">IF($J471="","",$J471-IF($L471="",0,$L471))</f>
        <v/>
      </c>
      <c r="N471" s="19" t="str">
        <f aca="true">IF(OR($A471="",$M471="",$M471&lt;=0),"",TODAY()-$A471)</f>
        <v/>
      </c>
      <c r="O471" s="20" t="str">
        <f aca="false">IF($B471="","",IFERROR(INDEX(차량목록!$D$3:$D$42,MATCH($B471,차량목록!$A$3:$A$42,0)),0))</f>
        <v/>
      </c>
      <c r="P471" s="18" t="str">
        <f aca="false">IF($J471="","",ROUND($J471*$O471,0))</f>
        <v/>
      </c>
    </row>
    <row r="472" customFormat="false" ht="15" hidden="false" customHeight="true" outlineLevel="0" collapsed="false">
      <c r="A472" s="13"/>
      <c r="B472" s="10"/>
      <c r="C472" s="14" t="str">
        <f aca="false">IF($B472="","",IFERROR(INDEX(차량목록!$B$3:$B$42,MATCH($B472,차량목록!$A$3:$A$42,0)),"미등록차량"))</f>
        <v/>
      </c>
      <c r="D472" s="10"/>
      <c r="E472" s="10"/>
      <c r="F472" s="15"/>
      <c r="G472" s="15"/>
      <c r="H472" s="16" t="str">
        <f aca="false">IF(OR($F472="",$G472=""),"",ROUND(IF($G472&lt;1,$G472*24,INT($G472/100)+MOD($G472,100)/60)-IF($F472&lt;1,$F472*24,INT($F472/100)+MOD($F472,100)/60),2))</f>
        <v/>
      </c>
      <c r="I472" s="17"/>
      <c r="J472" s="18" t="str">
        <f aca="false">IF(OR($H472="",$I472=""),"",ROUND($H472*$I472,0))</f>
        <v/>
      </c>
      <c r="K472" s="13"/>
      <c r="L472" s="17"/>
      <c r="M472" s="18" t="str">
        <f aca="false">IF($J472="","",$J472-IF($L472="",0,$L472))</f>
        <v/>
      </c>
      <c r="N472" s="19" t="str">
        <f aca="true">IF(OR($A472="",$M472="",$M472&lt;=0),"",TODAY()-$A472)</f>
        <v/>
      </c>
      <c r="O472" s="20" t="str">
        <f aca="false">IF($B472="","",IFERROR(INDEX(차량목록!$D$3:$D$42,MATCH($B472,차량목록!$A$3:$A$42,0)),0))</f>
        <v/>
      </c>
      <c r="P472" s="18" t="str">
        <f aca="false">IF($J472="","",ROUND($J472*$O472,0))</f>
        <v/>
      </c>
    </row>
    <row r="473" customFormat="false" ht="15" hidden="false" customHeight="true" outlineLevel="0" collapsed="false">
      <c r="A473" s="13"/>
      <c r="B473" s="10"/>
      <c r="C473" s="14" t="str">
        <f aca="false">IF($B473="","",IFERROR(INDEX(차량목록!$B$3:$B$42,MATCH($B473,차량목록!$A$3:$A$42,0)),"미등록차량"))</f>
        <v/>
      </c>
      <c r="D473" s="10"/>
      <c r="E473" s="10"/>
      <c r="F473" s="15"/>
      <c r="G473" s="15"/>
      <c r="H473" s="16" t="str">
        <f aca="false">IF(OR($F473="",$G473=""),"",ROUND(IF($G473&lt;1,$G473*24,INT($G473/100)+MOD($G473,100)/60)-IF($F473&lt;1,$F473*24,INT($F473/100)+MOD($F473,100)/60),2))</f>
        <v/>
      </c>
      <c r="I473" s="17"/>
      <c r="J473" s="18" t="str">
        <f aca="false">IF(OR($H473="",$I473=""),"",ROUND($H473*$I473,0))</f>
        <v/>
      </c>
      <c r="K473" s="13"/>
      <c r="L473" s="17"/>
      <c r="M473" s="18" t="str">
        <f aca="false">IF($J473="","",$J473-IF($L473="",0,$L473))</f>
        <v/>
      </c>
      <c r="N473" s="19" t="str">
        <f aca="true">IF(OR($A473="",$M473="",$M473&lt;=0),"",TODAY()-$A473)</f>
        <v/>
      </c>
      <c r="O473" s="20" t="str">
        <f aca="false">IF($B473="","",IFERROR(INDEX(차량목록!$D$3:$D$42,MATCH($B473,차량목록!$A$3:$A$42,0)),0))</f>
        <v/>
      </c>
      <c r="P473" s="18" t="str">
        <f aca="false">IF($J473="","",ROUND($J473*$O473,0))</f>
        <v/>
      </c>
    </row>
    <row r="474" customFormat="false" ht="15" hidden="false" customHeight="true" outlineLevel="0" collapsed="false">
      <c r="A474" s="13"/>
      <c r="B474" s="10"/>
      <c r="C474" s="14" t="str">
        <f aca="false">IF($B474="","",IFERROR(INDEX(차량목록!$B$3:$B$42,MATCH($B474,차량목록!$A$3:$A$42,0)),"미등록차량"))</f>
        <v/>
      </c>
      <c r="D474" s="10"/>
      <c r="E474" s="10"/>
      <c r="F474" s="15"/>
      <c r="G474" s="15"/>
      <c r="H474" s="16" t="str">
        <f aca="false">IF(OR($F474="",$G474=""),"",ROUND(IF($G474&lt;1,$G474*24,INT($G474/100)+MOD($G474,100)/60)-IF($F474&lt;1,$F474*24,INT($F474/100)+MOD($F474,100)/60),2))</f>
        <v/>
      </c>
      <c r="I474" s="17"/>
      <c r="J474" s="18" t="str">
        <f aca="false">IF(OR($H474="",$I474=""),"",ROUND($H474*$I474,0))</f>
        <v/>
      </c>
      <c r="K474" s="13"/>
      <c r="L474" s="17"/>
      <c r="M474" s="18" t="str">
        <f aca="false">IF($J474="","",$J474-IF($L474="",0,$L474))</f>
        <v/>
      </c>
      <c r="N474" s="19" t="str">
        <f aca="true">IF(OR($A474="",$M474="",$M474&lt;=0),"",TODAY()-$A474)</f>
        <v/>
      </c>
      <c r="O474" s="20" t="str">
        <f aca="false">IF($B474="","",IFERROR(INDEX(차량목록!$D$3:$D$42,MATCH($B474,차량목록!$A$3:$A$42,0)),0))</f>
        <v/>
      </c>
      <c r="P474" s="18" t="str">
        <f aca="false">IF($J474="","",ROUND($J474*$O474,0))</f>
        <v/>
      </c>
    </row>
    <row r="475" customFormat="false" ht="15" hidden="false" customHeight="true" outlineLevel="0" collapsed="false">
      <c r="A475" s="13"/>
      <c r="B475" s="10"/>
      <c r="C475" s="14" t="str">
        <f aca="false">IF($B475="","",IFERROR(INDEX(차량목록!$B$3:$B$42,MATCH($B475,차량목록!$A$3:$A$42,0)),"미등록차량"))</f>
        <v/>
      </c>
      <c r="D475" s="10"/>
      <c r="E475" s="10"/>
      <c r="F475" s="15"/>
      <c r="G475" s="15"/>
      <c r="H475" s="16" t="str">
        <f aca="false">IF(OR($F475="",$G475=""),"",ROUND(IF($G475&lt;1,$G475*24,INT($G475/100)+MOD($G475,100)/60)-IF($F475&lt;1,$F475*24,INT($F475/100)+MOD($F475,100)/60),2))</f>
        <v/>
      </c>
      <c r="I475" s="17"/>
      <c r="J475" s="18" t="str">
        <f aca="false">IF(OR($H475="",$I475=""),"",ROUND($H475*$I475,0))</f>
        <v/>
      </c>
      <c r="K475" s="13"/>
      <c r="L475" s="17"/>
      <c r="M475" s="18" t="str">
        <f aca="false">IF($J475="","",$J475-IF($L475="",0,$L475))</f>
        <v/>
      </c>
      <c r="N475" s="19" t="str">
        <f aca="true">IF(OR($A475="",$M475="",$M475&lt;=0),"",TODAY()-$A475)</f>
        <v/>
      </c>
      <c r="O475" s="20" t="str">
        <f aca="false">IF($B475="","",IFERROR(INDEX(차량목록!$D$3:$D$42,MATCH($B475,차량목록!$A$3:$A$42,0)),0))</f>
        <v/>
      </c>
      <c r="P475" s="18" t="str">
        <f aca="false">IF($J475="","",ROUND($J475*$O475,0))</f>
        <v/>
      </c>
    </row>
    <row r="476" customFormat="false" ht="15" hidden="false" customHeight="true" outlineLevel="0" collapsed="false">
      <c r="A476" s="13"/>
      <c r="B476" s="10"/>
      <c r="C476" s="14" t="str">
        <f aca="false">IF($B476="","",IFERROR(INDEX(차량목록!$B$3:$B$42,MATCH($B476,차량목록!$A$3:$A$42,0)),"미등록차량"))</f>
        <v/>
      </c>
      <c r="D476" s="10"/>
      <c r="E476" s="10"/>
      <c r="F476" s="15"/>
      <c r="G476" s="15"/>
      <c r="H476" s="16" t="str">
        <f aca="false">IF(OR($F476="",$G476=""),"",ROUND(IF($G476&lt;1,$G476*24,INT($G476/100)+MOD($G476,100)/60)-IF($F476&lt;1,$F476*24,INT($F476/100)+MOD($F476,100)/60),2))</f>
        <v/>
      </c>
      <c r="I476" s="17"/>
      <c r="J476" s="18" t="str">
        <f aca="false">IF(OR($H476="",$I476=""),"",ROUND($H476*$I476,0))</f>
        <v/>
      </c>
      <c r="K476" s="13"/>
      <c r="L476" s="17"/>
      <c r="M476" s="18" t="str">
        <f aca="false">IF($J476="","",$J476-IF($L476="",0,$L476))</f>
        <v/>
      </c>
      <c r="N476" s="19" t="str">
        <f aca="true">IF(OR($A476="",$M476="",$M476&lt;=0),"",TODAY()-$A476)</f>
        <v/>
      </c>
      <c r="O476" s="20" t="str">
        <f aca="false">IF($B476="","",IFERROR(INDEX(차량목록!$D$3:$D$42,MATCH($B476,차량목록!$A$3:$A$42,0)),0))</f>
        <v/>
      </c>
      <c r="P476" s="18" t="str">
        <f aca="false">IF($J476="","",ROUND($J476*$O476,0))</f>
        <v/>
      </c>
    </row>
    <row r="477" customFormat="false" ht="15" hidden="false" customHeight="true" outlineLevel="0" collapsed="false">
      <c r="A477" s="13"/>
      <c r="B477" s="10"/>
      <c r="C477" s="14" t="str">
        <f aca="false">IF($B477="","",IFERROR(INDEX(차량목록!$B$3:$B$42,MATCH($B477,차량목록!$A$3:$A$42,0)),"미등록차량"))</f>
        <v/>
      </c>
      <c r="D477" s="10"/>
      <c r="E477" s="10"/>
      <c r="F477" s="15"/>
      <c r="G477" s="15"/>
      <c r="H477" s="16" t="str">
        <f aca="false">IF(OR($F477="",$G477=""),"",ROUND(IF($G477&lt;1,$G477*24,INT($G477/100)+MOD($G477,100)/60)-IF($F477&lt;1,$F477*24,INT($F477/100)+MOD($F477,100)/60),2))</f>
        <v/>
      </c>
      <c r="I477" s="17"/>
      <c r="J477" s="18" t="str">
        <f aca="false">IF(OR($H477="",$I477=""),"",ROUND($H477*$I477,0))</f>
        <v/>
      </c>
      <c r="K477" s="13"/>
      <c r="L477" s="17"/>
      <c r="M477" s="18" t="str">
        <f aca="false">IF($J477="","",$J477-IF($L477="",0,$L477))</f>
        <v/>
      </c>
      <c r="N477" s="19" t="str">
        <f aca="true">IF(OR($A477="",$M477="",$M477&lt;=0),"",TODAY()-$A477)</f>
        <v/>
      </c>
      <c r="O477" s="20" t="str">
        <f aca="false">IF($B477="","",IFERROR(INDEX(차량목록!$D$3:$D$42,MATCH($B477,차량목록!$A$3:$A$42,0)),0))</f>
        <v/>
      </c>
      <c r="P477" s="18" t="str">
        <f aca="false">IF($J477="","",ROUND($J477*$O477,0))</f>
        <v/>
      </c>
    </row>
    <row r="478" customFormat="false" ht="15" hidden="false" customHeight="true" outlineLevel="0" collapsed="false">
      <c r="A478" s="13"/>
      <c r="B478" s="10"/>
      <c r="C478" s="14" t="str">
        <f aca="false">IF($B478="","",IFERROR(INDEX(차량목록!$B$3:$B$42,MATCH($B478,차량목록!$A$3:$A$42,0)),"미등록차량"))</f>
        <v/>
      </c>
      <c r="D478" s="10"/>
      <c r="E478" s="10"/>
      <c r="F478" s="15"/>
      <c r="G478" s="15"/>
      <c r="H478" s="16" t="str">
        <f aca="false">IF(OR($F478="",$G478=""),"",ROUND(IF($G478&lt;1,$G478*24,INT($G478/100)+MOD($G478,100)/60)-IF($F478&lt;1,$F478*24,INT($F478/100)+MOD($F478,100)/60),2))</f>
        <v/>
      </c>
      <c r="I478" s="17"/>
      <c r="J478" s="18" t="str">
        <f aca="false">IF(OR($H478="",$I478=""),"",ROUND($H478*$I478,0))</f>
        <v/>
      </c>
      <c r="K478" s="13"/>
      <c r="L478" s="17"/>
      <c r="M478" s="18" t="str">
        <f aca="false">IF($J478="","",$J478-IF($L478="",0,$L478))</f>
        <v/>
      </c>
      <c r="N478" s="19" t="str">
        <f aca="true">IF(OR($A478="",$M478="",$M478&lt;=0),"",TODAY()-$A478)</f>
        <v/>
      </c>
      <c r="O478" s="20" t="str">
        <f aca="false">IF($B478="","",IFERROR(INDEX(차량목록!$D$3:$D$42,MATCH($B478,차량목록!$A$3:$A$42,0)),0))</f>
        <v/>
      </c>
      <c r="P478" s="18" t="str">
        <f aca="false">IF($J478="","",ROUND($J478*$O478,0))</f>
        <v/>
      </c>
    </row>
    <row r="479" customFormat="false" ht="15" hidden="false" customHeight="true" outlineLevel="0" collapsed="false">
      <c r="A479" s="13"/>
      <c r="B479" s="10"/>
      <c r="C479" s="14" t="str">
        <f aca="false">IF($B479="","",IFERROR(INDEX(차량목록!$B$3:$B$42,MATCH($B479,차량목록!$A$3:$A$42,0)),"미등록차량"))</f>
        <v/>
      </c>
      <c r="D479" s="10"/>
      <c r="E479" s="10"/>
      <c r="F479" s="15"/>
      <c r="G479" s="15"/>
      <c r="H479" s="16" t="str">
        <f aca="false">IF(OR($F479="",$G479=""),"",ROUND(IF($G479&lt;1,$G479*24,INT($G479/100)+MOD($G479,100)/60)-IF($F479&lt;1,$F479*24,INT($F479/100)+MOD($F479,100)/60),2))</f>
        <v/>
      </c>
      <c r="I479" s="17"/>
      <c r="J479" s="18" t="str">
        <f aca="false">IF(OR($H479="",$I479=""),"",ROUND($H479*$I479,0))</f>
        <v/>
      </c>
      <c r="K479" s="13"/>
      <c r="L479" s="17"/>
      <c r="M479" s="18" t="str">
        <f aca="false">IF($J479="","",$J479-IF($L479="",0,$L479))</f>
        <v/>
      </c>
      <c r="N479" s="19" t="str">
        <f aca="true">IF(OR($A479="",$M479="",$M479&lt;=0),"",TODAY()-$A479)</f>
        <v/>
      </c>
      <c r="O479" s="20" t="str">
        <f aca="false">IF($B479="","",IFERROR(INDEX(차량목록!$D$3:$D$42,MATCH($B479,차량목록!$A$3:$A$42,0)),0))</f>
        <v/>
      </c>
      <c r="P479" s="18" t="str">
        <f aca="false">IF($J479="","",ROUND($J479*$O479,0))</f>
        <v/>
      </c>
    </row>
    <row r="480" customFormat="false" ht="15" hidden="false" customHeight="true" outlineLevel="0" collapsed="false">
      <c r="A480" s="13"/>
      <c r="B480" s="10"/>
      <c r="C480" s="14" t="str">
        <f aca="false">IF($B480="","",IFERROR(INDEX(차량목록!$B$3:$B$42,MATCH($B480,차량목록!$A$3:$A$42,0)),"미등록차량"))</f>
        <v/>
      </c>
      <c r="D480" s="10"/>
      <c r="E480" s="10"/>
      <c r="F480" s="15"/>
      <c r="G480" s="15"/>
      <c r="H480" s="16" t="str">
        <f aca="false">IF(OR($F480="",$G480=""),"",ROUND(IF($G480&lt;1,$G480*24,INT($G480/100)+MOD($G480,100)/60)-IF($F480&lt;1,$F480*24,INT($F480/100)+MOD($F480,100)/60),2))</f>
        <v/>
      </c>
      <c r="I480" s="17"/>
      <c r="J480" s="18" t="str">
        <f aca="false">IF(OR($H480="",$I480=""),"",ROUND($H480*$I480,0))</f>
        <v/>
      </c>
      <c r="K480" s="13"/>
      <c r="L480" s="17"/>
      <c r="M480" s="18" t="str">
        <f aca="false">IF($J480="","",$J480-IF($L480="",0,$L480))</f>
        <v/>
      </c>
      <c r="N480" s="19" t="str">
        <f aca="true">IF(OR($A480="",$M480="",$M480&lt;=0),"",TODAY()-$A480)</f>
        <v/>
      </c>
      <c r="O480" s="20" t="str">
        <f aca="false">IF($B480="","",IFERROR(INDEX(차량목록!$D$3:$D$42,MATCH($B480,차량목록!$A$3:$A$42,0)),0))</f>
        <v/>
      </c>
      <c r="P480" s="18" t="str">
        <f aca="false">IF($J480="","",ROUND($J480*$O480,0))</f>
        <v/>
      </c>
    </row>
    <row r="481" customFormat="false" ht="15" hidden="false" customHeight="true" outlineLevel="0" collapsed="false">
      <c r="A481" s="13"/>
      <c r="B481" s="10"/>
      <c r="C481" s="14" t="str">
        <f aca="false">IF($B481="","",IFERROR(INDEX(차량목록!$B$3:$B$42,MATCH($B481,차량목록!$A$3:$A$42,0)),"미등록차량"))</f>
        <v/>
      </c>
      <c r="D481" s="10"/>
      <c r="E481" s="10"/>
      <c r="F481" s="15"/>
      <c r="G481" s="15"/>
      <c r="H481" s="16" t="str">
        <f aca="false">IF(OR($F481="",$G481=""),"",ROUND(IF($G481&lt;1,$G481*24,INT($G481/100)+MOD($G481,100)/60)-IF($F481&lt;1,$F481*24,INT($F481/100)+MOD($F481,100)/60),2))</f>
        <v/>
      </c>
      <c r="I481" s="17"/>
      <c r="J481" s="18" t="str">
        <f aca="false">IF(OR($H481="",$I481=""),"",ROUND($H481*$I481,0))</f>
        <v/>
      </c>
      <c r="K481" s="13"/>
      <c r="L481" s="17"/>
      <c r="M481" s="18" t="str">
        <f aca="false">IF($J481="","",$J481-IF($L481="",0,$L481))</f>
        <v/>
      </c>
      <c r="N481" s="19" t="str">
        <f aca="true">IF(OR($A481="",$M481="",$M481&lt;=0),"",TODAY()-$A481)</f>
        <v/>
      </c>
      <c r="O481" s="20" t="str">
        <f aca="false">IF($B481="","",IFERROR(INDEX(차량목록!$D$3:$D$42,MATCH($B481,차량목록!$A$3:$A$42,0)),0))</f>
        <v/>
      </c>
      <c r="P481" s="18" t="str">
        <f aca="false">IF($J481="","",ROUND($J481*$O481,0))</f>
        <v/>
      </c>
    </row>
    <row r="482" customFormat="false" ht="15" hidden="false" customHeight="true" outlineLevel="0" collapsed="false">
      <c r="A482" s="13"/>
      <c r="B482" s="10"/>
      <c r="C482" s="14" t="str">
        <f aca="false">IF($B482="","",IFERROR(INDEX(차량목록!$B$3:$B$42,MATCH($B482,차량목록!$A$3:$A$42,0)),"미등록차량"))</f>
        <v/>
      </c>
      <c r="D482" s="10"/>
      <c r="E482" s="10"/>
      <c r="F482" s="15"/>
      <c r="G482" s="15"/>
      <c r="H482" s="16" t="str">
        <f aca="false">IF(OR($F482="",$G482=""),"",ROUND(IF($G482&lt;1,$G482*24,INT($G482/100)+MOD($G482,100)/60)-IF($F482&lt;1,$F482*24,INT($F482/100)+MOD($F482,100)/60),2))</f>
        <v/>
      </c>
      <c r="I482" s="17"/>
      <c r="J482" s="18" t="str">
        <f aca="false">IF(OR($H482="",$I482=""),"",ROUND($H482*$I482,0))</f>
        <v/>
      </c>
      <c r="K482" s="13"/>
      <c r="L482" s="17"/>
      <c r="M482" s="18" t="str">
        <f aca="false">IF($J482="","",$J482-IF($L482="",0,$L482))</f>
        <v/>
      </c>
      <c r="N482" s="19" t="str">
        <f aca="true">IF(OR($A482="",$M482="",$M482&lt;=0),"",TODAY()-$A482)</f>
        <v/>
      </c>
      <c r="O482" s="20" t="str">
        <f aca="false">IF($B482="","",IFERROR(INDEX(차량목록!$D$3:$D$42,MATCH($B482,차량목록!$A$3:$A$42,0)),0))</f>
        <v/>
      </c>
      <c r="P482" s="18" t="str">
        <f aca="false">IF($J482="","",ROUND($J482*$O482,0))</f>
        <v/>
      </c>
    </row>
    <row r="483" customFormat="false" ht="15" hidden="false" customHeight="true" outlineLevel="0" collapsed="false">
      <c r="A483" s="13"/>
      <c r="B483" s="10"/>
      <c r="C483" s="14" t="str">
        <f aca="false">IF($B483="","",IFERROR(INDEX(차량목록!$B$3:$B$42,MATCH($B483,차량목록!$A$3:$A$42,0)),"미등록차량"))</f>
        <v/>
      </c>
      <c r="D483" s="10"/>
      <c r="E483" s="10"/>
      <c r="F483" s="15"/>
      <c r="G483" s="15"/>
      <c r="H483" s="16" t="str">
        <f aca="false">IF(OR($F483="",$G483=""),"",ROUND(IF($G483&lt;1,$G483*24,INT($G483/100)+MOD($G483,100)/60)-IF($F483&lt;1,$F483*24,INT($F483/100)+MOD($F483,100)/60),2))</f>
        <v/>
      </c>
      <c r="I483" s="17"/>
      <c r="J483" s="18" t="str">
        <f aca="false">IF(OR($H483="",$I483=""),"",ROUND($H483*$I483,0))</f>
        <v/>
      </c>
      <c r="K483" s="13"/>
      <c r="L483" s="17"/>
      <c r="M483" s="18" t="str">
        <f aca="false">IF($J483="","",$J483-IF($L483="",0,$L483))</f>
        <v/>
      </c>
      <c r="N483" s="19" t="str">
        <f aca="true">IF(OR($A483="",$M483="",$M483&lt;=0),"",TODAY()-$A483)</f>
        <v/>
      </c>
      <c r="O483" s="20" t="str">
        <f aca="false">IF($B483="","",IFERROR(INDEX(차량목록!$D$3:$D$42,MATCH($B483,차량목록!$A$3:$A$42,0)),0))</f>
        <v/>
      </c>
      <c r="P483" s="18" t="str">
        <f aca="false">IF($J483="","",ROUND($J483*$O483,0))</f>
        <v/>
      </c>
    </row>
    <row r="484" customFormat="false" ht="15" hidden="false" customHeight="true" outlineLevel="0" collapsed="false">
      <c r="A484" s="13"/>
      <c r="B484" s="10"/>
      <c r="C484" s="14" t="str">
        <f aca="false">IF($B484="","",IFERROR(INDEX(차량목록!$B$3:$B$42,MATCH($B484,차량목록!$A$3:$A$42,0)),"미등록차량"))</f>
        <v/>
      </c>
      <c r="D484" s="10"/>
      <c r="E484" s="10"/>
      <c r="F484" s="15"/>
      <c r="G484" s="15"/>
      <c r="H484" s="16" t="str">
        <f aca="false">IF(OR($F484="",$G484=""),"",ROUND(IF($G484&lt;1,$G484*24,INT($G484/100)+MOD($G484,100)/60)-IF($F484&lt;1,$F484*24,INT($F484/100)+MOD($F484,100)/60),2))</f>
        <v/>
      </c>
      <c r="I484" s="17"/>
      <c r="J484" s="18" t="str">
        <f aca="false">IF(OR($H484="",$I484=""),"",ROUND($H484*$I484,0))</f>
        <v/>
      </c>
      <c r="K484" s="13"/>
      <c r="L484" s="17"/>
      <c r="M484" s="18" t="str">
        <f aca="false">IF($J484="","",$J484-IF($L484="",0,$L484))</f>
        <v/>
      </c>
      <c r="N484" s="19" t="str">
        <f aca="true">IF(OR($A484="",$M484="",$M484&lt;=0),"",TODAY()-$A484)</f>
        <v/>
      </c>
      <c r="O484" s="20" t="str">
        <f aca="false">IF($B484="","",IFERROR(INDEX(차량목록!$D$3:$D$42,MATCH($B484,차량목록!$A$3:$A$42,0)),0))</f>
        <v/>
      </c>
      <c r="P484" s="18" t="str">
        <f aca="false">IF($J484="","",ROUND($J484*$O484,0))</f>
        <v/>
      </c>
    </row>
    <row r="485" customFormat="false" ht="15" hidden="false" customHeight="true" outlineLevel="0" collapsed="false">
      <c r="A485" s="13"/>
      <c r="B485" s="10"/>
      <c r="C485" s="14" t="str">
        <f aca="false">IF($B485="","",IFERROR(INDEX(차량목록!$B$3:$B$42,MATCH($B485,차량목록!$A$3:$A$42,0)),"미등록차량"))</f>
        <v/>
      </c>
      <c r="D485" s="10"/>
      <c r="E485" s="10"/>
      <c r="F485" s="15"/>
      <c r="G485" s="15"/>
      <c r="H485" s="16" t="str">
        <f aca="false">IF(OR($F485="",$G485=""),"",ROUND(IF($G485&lt;1,$G485*24,INT($G485/100)+MOD($G485,100)/60)-IF($F485&lt;1,$F485*24,INT($F485/100)+MOD($F485,100)/60),2))</f>
        <v/>
      </c>
      <c r="I485" s="17"/>
      <c r="J485" s="18" t="str">
        <f aca="false">IF(OR($H485="",$I485=""),"",ROUND($H485*$I485,0))</f>
        <v/>
      </c>
      <c r="K485" s="13"/>
      <c r="L485" s="17"/>
      <c r="M485" s="18" t="str">
        <f aca="false">IF($J485="","",$J485-IF($L485="",0,$L485))</f>
        <v/>
      </c>
      <c r="N485" s="19" t="str">
        <f aca="true">IF(OR($A485="",$M485="",$M485&lt;=0),"",TODAY()-$A485)</f>
        <v/>
      </c>
      <c r="O485" s="20" t="str">
        <f aca="false">IF($B485="","",IFERROR(INDEX(차량목록!$D$3:$D$42,MATCH($B485,차량목록!$A$3:$A$42,0)),0))</f>
        <v/>
      </c>
      <c r="P485" s="18" t="str">
        <f aca="false">IF($J485="","",ROUND($J485*$O485,0))</f>
        <v/>
      </c>
    </row>
    <row r="486" customFormat="false" ht="15" hidden="false" customHeight="true" outlineLevel="0" collapsed="false">
      <c r="A486" s="13"/>
      <c r="B486" s="10"/>
      <c r="C486" s="14" t="str">
        <f aca="false">IF($B486="","",IFERROR(INDEX(차량목록!$B$3:$B$42,MATCH($B486,차량목록!$A$3:$A$42,0)),"미등록차량"))</f>
        <v/>
      </c>
      <c r="D486" s="10"/>
      <c r="E486" s="10"/>
      <c r="F486" s="15"/>
      <c r="G486" s="15"/>
      <c r="H486" s="16" t="str">
        <f aca="false">IF(OR($F486="",$G486=""),"",ROUND(IF($G486&lt;1,$G486*24,INT($G486/100)+MOD($G486,100)/60)-IF($F486&lt;1,$F486*24,INT($F486/100)+MOD($F486,100)/60),2))</f>
        <v/>
      </c>
      <c r="I486" s="17"/>
      <c r="J486" s="18" t="str">
        <f aca="false">IF(OR($H486="",$I486=""),"",ROUND($H486*$I486,0))</f>
        <v/>
      </c>
      <c r="K486" s="13"/>
      <c r="L486" s="17"/>
      <c r="M486" s="18" t="str">
        <f aca="false">IF($J486="","",$J486-IF($L486="",0,$L486))</f>
        <v/>
      </c>
      <c r="N486" s="19" t="str">
        <f aca="true">IF(OR($A486="",$M486="",$M486&lt;=0),"",TODAY()-$A486)</f>
        <v/>
      </c>
      <c r="O486" s="20" t="str">
        <f aca="false">IF($B486="","",IFERROR(INDEX(차량목록!$D$3:$D$42,MATCH($B486,차량목록!$A$3:$A$42,0)),0))</f>
        <v/>
      </c>
      <c r="P486" s="18" t="str">
        <f aca="false">IF($J486="","",ROUND($J486*$O486,0))</f>
        <v/>
      </c>
    </row>
    <row r="487" customFormat="false" ht="15" hidden="false" customHeight="true" outlineLevel="0" collapsed="false">
      <c r="A487" s="13"/>
      <c r="B487" s="10"/>
      <c r="C487" s="14" t="str">
        <f aca="false">IF($B487="","",IFERROR(INDEX(차량목록!$B$3:$B$42,MATCH($B487,차량목록!$A$3:$A$42,0)),"미등록차량"))</f>
        <v/>
      </c>
      <c r="D487" s="10"/>
      <c r="E487" s="10"/>
      <c r="F487" s="15"/>
      <c r="G487" s="15"/>
      <c r="H487" s="16" t="str">
        <f aca="false">IF(OR($F487="",$G487=""),"",ROUND(IF($G487&lt;1,$G487*24,INT($G487/100)+MOD($G487,100)/60)-IF($F487&lt;1,$F487*24,INT($F487/100)+MOD($F487,100)/60),2))</f>
        <v/>
      </c>
      <c r="I487" s="17"/>
      <c r="J487" s="18" t="str">
        <f aca="false">IF(OR($H487="",$I487=""),"",ROUND($H487*$I487,0))</f>
        <v/>
      </c>
      <c r="K487" s="13"/>
      <c r="L487" s="17"/>
      <c r="M487" s="18" t="str">
        <f aca="false">IF($J487="","",$J487-IF($L487="",0,$L487))</f>
        <v/>
      </c>
      <c r="N487" s="19" t="str">
        <f aca="true">IF(OR($A487="",$M487="",$M487&lt;=0),"",TODAY()-$A487)</f>
        <v/>
      </c>
      <c r="O487" s="20" t="str">
        <f aca="false">IF($B487="","",IFERROR(INDEX(차량목록!$D$3:$D$42,MATCH($B487,차량목록!$A$3:$A$42,0)),0))</f>
        <v/>
      </c>
      <c r="P487" s="18" t="str">
        <f aca="false">IF($J487="","",ROUND($J487*$O487,0))</f>
        <v/>
      </c>
    </row>
    <row r="488" customFormat="false" ht="15" hidden="false" customHeight="true" outlineLevel="0" collapsed="false">
      <c r="A488" s="13"/>
      <c r="B488" s="10"/>
      <c r="C488" s="14" t="str">
        <f aca="false">IF($B488="","",IFERROR(INDEX(차량목록!$B$3:$B$42,MATCH($B488,차량목록!$A$3:$A$42,0)),"미등록차량"))</f>
        <v/>
      </c>
      <c r="D488" s="10"/>
      <c r="E488" s="10"/>
      <c r="F488" s="15"/>
      <c r="G488" s="15"/>
      <c r="H488" s="16" t="str">
        <f aca="false">IF(OR($F488="",$G488=""),"",ROUND(IF($G488&lt;1,$G488*24,INT($G488/100)+MOD($G488,100)/60)-IF($F488&lt;1,$F488*24,INT($F488/100)+MOD($F488,100)/60),2))</f>
        <v/>
      </c>
      <c r="I488" s="17"/>
      <c r="J488" s="18" t="str">
        <f aca="false">IF(OR($H488="",$I488=""),"",ROUND($H488*$I488,0))</f>
        <v/>
      </c>
      <c r="K488" s="13"/>
      <c r="L488" s="17"/>
      <c r="M488" s="18" t="str">
        <f aca="false">IF($J488="","",$J488-IF($L488="",0,$L488))</f>
        <v/>
      </c>
      <c r="N488" s="19" t="str">
        <f aca="true">IF(OR($A488="",$M488="",$M488&lt;=0),"",TODAY()-$A488)</f>
        <v/>
      </c>
      <c r="O488" s="20" t="str">
        <f aca="false">IF($B488="","",IFERROR(INDEX(차량목록!$D$3:$D$42,MATCH($B488,차량목록!$A$3:$A$42,0)),0))</f>
        <v/>
      </c>
      <c r="P488" s="18" t="str">
        <f aca="false">IF($J488="","",ROUND($J488*$O488,0))</f>
        <v/>
      </c>
    </row>
    <row r="489" customFormat="false" ht="15" hidden="false" customHeight="true" outlineLevel="0" collapsed="false">
      <c r="A489" s="13"/>
      <c r="B489" s="10"/>
      <c r="C489" s="14" t="str">
        <f aca="false">IF($B489="","",IFERROR(INDEX(차량목록!$B$3:$B$42,MATCH($B489,차량목록!$A$3:$A$42,0)),"미등록차량"))</f>
        <v/>
      </c>
      <c r="D489" s="10"/>
      <c r="E489" s="10"/>
      <c r="F489" s="15"/>
      <c r="G489" s="15"/>
      <c r="H489" s="16" t="str">
        <f aca="false">IF(OR($F489="",$G489=""),"",ROUND(IF($G489&lt;1,$G489*24,INT($G489/100)+MOD($G489,100)/60)-IF($F489&lt;1,$F489*24,INT($F489/100)+MOD($F489,100)/60),2))</f>
        <v/>
      </c>
      <c r="I489" s="17"/>
      <c r="J489" s="18" t="str">
        <f aca="false">IF(OR($H489="",$I489=""),"",ROUND($H489*$I489,0))</f>
        <v/>
      </c>
      <c r="K489" s="13"/>
      <c r="L489" s="17"/>
      <c r="M489" s="18" t="str">
        <f aca="false">IF($J489="","",$J489-IF($L489="",0,$L489))</f>
        <v/>
      </c>
      <c r="N489" s="19" t="str">
        <f aca="true">IF(OR($A489="",$M489="",$M489&lt;=0),"",TODAY()-$A489)</f>
        <v/>
      </c>
      <c r="O489" s="20" t="str">
        <f aca="false">IF($B489="","",IFERROR(INDEX(차량목록!$D$3:$D$42,MATCH($B489,차량목록!$A$3:$A$42,0)),0))</f>
        <v/>
      </c>
      <c r="P489" s="18" t="str">
        <f aca="false">IF($J489="","",ROUND($J489*$O489,0))</f>
        <v/>
      </c>
    </row>
    <row r="490" customFormat="false" ht="15" hidden="false" customHeight="true" outlineLevel="0" collapsed="false">
      <c r="A490" s="13"/>
      <c r="B490" s="10"/>
      <c r="C490" s="14" t="str">
        <f aca="false">IF($B490="","",IFERROR(INDEX(차량목록!$B$3:$B$42,MATCH($B490,차량목록!$A$3:$A$42,0)),"미등록차량"))</f>
        <v/>
      </c>
      <c r="D490" s="10"/>
      <c r="E490" s="10"/>
      <c r="F490" s="15"/>
      <c r="G490" s="15"/>
      <c r="H490" s="16" t="str">
        <f aca="false">IF(OR($F490="",$G490=""),"",ROUND(IF($G490&lt;1,$G490*24,INT($G490/100)+MOD($G490,100)/60)-IF($F490&lt;1,$F490*24,INT($F490/100)+MOD($F490,100)/60),2))</f>
        <v/>
      </c>
      <c r="I490" s="17"/>
      <c r="J490" s="18" t="str">
        <f aca="false">IF(OR($H490="",$I490=""),"",ROUND($H490*$I490,0))</f>
        <v/>
      </c>
      <c r="K490" s="13"/>
      <c r="L490" s="17"/>
      <c r="M490" s="18" t="str">
        <f aca="false">IF($J490="","",$J490-IF($L490="",0,$L490))</f>
        <v/>
      </c>
      <c r="N490" s="19" t="str">
        <f aca="true">IF(OR($A490="",$M490="",$M490&lt;=0),"",TODAY()-$A490)</f>
        <v/>
      </c>
      <c r="O490" s="20" t="str">
        <f aca="false">IF($B490="","",IFERROR(INDEX(차량목록!$D$3:$D$42,MATCH($B490,차량목록!$A$3:$A$42,0)),0))</f>
        <v/>
      </c>
      <c r="P490" s="18" t="str">
        <f aca="false">IF($J490="","",ROUND($J490*$O490,0))</f>
        <v/>
      </c>
    </row>
    <row r="491" customFormat="false" ht="15" hidden="false" customHeight="true" outlineLevel="0" collapsed="false">
      <c r="A491" s="13"/>
      <c r="B491" s="10"/>
      <c r="C491" s="14" t="str">
        <f aca="false">IF($B491="","",IFERROR(INDEX(차량목록!$B$3:$B$42,MATCH($B491,차량목록!$A$3:$A$42,0)),"미등록차량"))</f>
        <v/>
      </c>
      <c r="D491" s="10"/>
      <c r="E491" s="10"/>
      <c r="F491" s="15"/>
      <c r="G491" s="15"/>
      <c r="H491" s="16" t="str">
        <f aca="false">IF(OR($F491="",$G491=""),"",ROUND(IF($G491&lt;1,$G491*24,INT($G491/100)+MOD($G491,100)/60)-IF($F491&lt;1,$F491*24,INT($F491/100)+MOD($F491,100)/60),2))</f>
        <v/>
      </c>
      <c r="I491" s="17"/>
      <c r="J491" s="18" t="str">
        <f aca="false">IF(OR($H491="",$I491=""),"",ROUND($H491*$I491,0))</f>
        <v/>
      </c>
      <c r="K491" s="13"/>
      <c r="L491" s="17"/>
      <c r="M491" s="18" t="str">
        <f aca="false">IF($J491="","",$J491-IF($L491="",0,$L491))</f>
        <v/>
      </c>
      <c r="N491" s="19" t="str">
        <f aca="true">IF(OR($A491="",$M491="",$M491&lt;=0),"",TODAY()-$A491)</f>
        <v/>
      </c>
      <c r="O491" s="20" t="str">
        <f aca="false">IF($B491="","",IFERROR(INDEX(차량목록!$D$3:$D$42,MATCH($B491,차량목록!$A$3:$A$42,0)),0))</f>
        <v/>
      </c>
      <c r="P491" s="18" t="str">
        <f aca="false">IF($J491="","",ROUND($J491*$O491,0))</f>
        <v/>
      </c>
    </row>
    <row r="492" customFormat="false" ht="15" hidden="false" customHeight="true" outlineLevel="0" collapsed="false">
      <c r="A492" s="13"/>
      <c r="B492" s="10"/>
      <c r="C492" s="14" t="str">
        <f aca="false">IF($B492="","",IFERROR(INDEX(차량목록!$B$3:$B$42,MATCH($B492,차량목록!$A$3:$A$42,0)),"미등록차량"))</f>
        <v/>
      </c>
      <c r="D492" s="10"/>
      <c r="E492" s="10"/>
      <c r="F492" s="15"/>
      <c r="G492" s="15"/>
      <c r="H492" s="16" t="str">
        <f aca="false">IF(OR($F492="",$G492=""),"",ROUND(IF($G492&lt;1,$G492*24,INT($G492/100)+MOD($G492,100)/60)-IF($F492&lt;1,$F492*24,INT($F492/100)+MOD($F492,100)/60),2))</f>
        <v/>
      </c>
      <c r="I492" s="17"/>
      <c r="J492" s="18" t="str">
        <f aca="false">IF(OR($H492="",$I492=""),"",ROUND($H492*$I492,0))</f>
        <v/>
      </c>
      <c r="K492" s="13"/>
      <c r="L492" s="17"/>
      <c r="M492" s="18" t="str">
        <f aca="false">IF($J492="","",$J492-IF($L492="",0,$L492))</f>
        <v/>
      </c>
      <c r="N492" s="19" t="str">
        <f aca="true">IF(OR($A492="",$M492="",$M492&lt;=0),"",TODAY()-$A492)</f>
        <v/>
      </c>
      <c r="O492" s="20" t="str">
        <f aca="false">IF($B492="","",IFERROR(INDEX(차량목록!$D$3:$D$42,MATCH($B492,차량목록!$A$3:$A$42,0)),0))</f>
        <v/>
      </c>
      <c r="P492" s="18" t="str">
        <f aca="false">IF($J492="","",ROUND($J492*$O492,0))</f>
        <v/>
      </c>
    </row>
    <row r="493" customFormat="false" ht="15" hidden="false" customHeight="true" outlineLevel="0" collapsed="false">
      <c r="A493" s="13"/>
      <c r="B493" s="10"/>
      <c r="C493" s="14" t="str">
        <f aca="false">IF($B493="","",IFERROR(INDEX(차량목록!$B$3:$B$42,MATCH($B493,차량목록!$A$3:$A$42,0)),"미등록차량"))</f>
        <v/>
      </c>
      <c r="D493" s="10"/>
      <c r="E493" s="10"/>
      <c r="F493" s="15"/>
      <c r="G493" s="15"/>
      <c r="H493" s="16" t="str">
        <f aca="false">IF(OR($F493="",$G493=""),"",ROUND(IF($G493&lt;1,$G493*24,INT($G493/100)+MOD($G493,100)/60)-IF($F493&lt;1,$F493*24,INT($F493/100)+MOD($F493,100)/60),2))</f>
        <v/>
      </c>
      <c r="I493" s="17"/>
      <c r="J493" s="18" t="str">
        <f aca="false">IF(OR($H493="",$I493=""),"",ROUND($H493*$I493,0))</f>
        <v/>
      </c>
      <c r="K493" s="13"/>
      <c r="L493" s="17"/>
      <c r="M493" s="18" t="str">
        <f aca="false">IF($J493="","",$J493-IF($L493="",0,$L493))</f>
        <v/>
      </c>
      <c r="N493" s="19" t="str">
        <f aca="true">IF(OR($A493="",$M493="",$M493&lt;=0),"",TODAY()-$A493)</f>
        <v/>
      </c>
      <c r="O493" s="20" t="str">
        <f aca="false">IF($B493="","",IFERROR(INDEX(차량목록!$D$3:$D$42,MATCH($B493,차량목록!$A$3:$A$42,0)),0))</f>
        <v/>
      </c>
      <c r="P493" s="18" t="str">
        <f aca="false">IF($J493="","",ROUND($J493*$O493,0))</f>
        <v/>
      </c>
    </row>
    <row r="494" customFormat="false" ht="15" hidden="false" customHeight="true" outlineLevel="0" collapsed="false">
      <c r="A494" s="13"/>
      <c r="B494" s="10"/>
      <c r="C494" s="14" t="str">
        <f aca="false">IF($B494="","",IFERROR(INDEX(차량목록!$B$3:$B$42,MATCH($B494,차량목록!$A$3:$A$42,0)),"미등록차량"))</f>
        <v/>
      </c>
      <c r="D494" s="10"/>
      <c r="E494" s="10"/>
      <c r="F494" s="15"/>
      <c r="G494" s="15"/>
      <c r="H494" s="16" t="str">
        <f aca="false">IF(OR($F494="",$G494=""),"",ROUND(IF($G494&lt;1,$G494*24,INT($G494/100)+MOD($G494,100)/60)-IF($F494&lt;1,$F494*24,INT($F494/100)+MOD($F494,100)/60),2))</f>
        <v/>
      </c>
      <c r="I494" s="17"/>
      <c r="J494" s="18" t="str">
        <f aca="false">IF(OR($H494="",$I494=""),"",ROUND($H494*$I494,0))</f>
        <v/>
      </c>
      <c r="K494" s="13"/>
      <c r="L494" s="17"/>
      <c r="M494" s="18" t="str">
        <f aca="false">IF($J494="","",$J494-IF($L494="",0,$L494))</f>
        <v/>
      </c>
      <c r="N494" s="19" t="str">
        <f aca="true">IF(OR($A494="",$M494="",$M494&lt;=0),"",TODAY()-$A494)</f>
        <v/>
      </c>
      <c r="O494" s="20" t="str">
        <f aca="false">IF($B494="","",IFERROR(INDEX(차량목록!$D$3:$D$42,MATCH($B494,차량목록!$A$3:$A$42,0)),0))</f>
        <v/>
      </c>
      <c r="P494" s="18" t="str">
        <f aca="false">IF($J494="","",ROUND($J494*$O494,0))</f>
        <v/>
      </c>
    </row>
    <row r="495" customFormat="false" ht="15" hidden="false" customHeight="true" outlineLevel="0" collapsed="false">
      <c r="A495" s="13"/>
      <c r="B495" s="10"/>
      <c r="C495" s="14" t="str">
        <f aca="false">IF($B495="","",IFERROR(INDEX(차량목록!$B$3:$B$42,MATCH($B495,차량목록!$A$3:$A$42,0)),"미등록차량"))</f>
        <v/>
      </c>
      <c r="D495" s="10"/>
      <c r="E495" s="10"/>
      <c r="F495" s="15"/>
      <c r="G495" s="15"/>
      <c r="H495" s="16" t="str">
        <f aca="false">IF(OR($F495="",$G495=""),"",ROUND(IF($G495&lt;1,$G495*24,INT($G495/100)+MOD($G495,100)/60)-IF($F495&lt;1,$F495*24,INT($F495/100)+MOD($F495,100)/60),2))</f>
        <v/>
      </c>
      <c r="I495" s="17"/>
      <c r="J495" s="18" t="str">
        <f aca="false">IF(OR($H495="",$I495=""),"",ROUND($H495*$I495,0))</f>
        <v/>
      </c>
      <c r="K495" s="13"/>
      <c r="L495" s="17"/>
      <c r="M495" s="18" t="str">
        <f aca="false">IF($J495="","",$J495-IF($L495="",0,$L495))</f>
        <v/>
      </c>
      <c r="N495" s="19" t="str">
        <f aca="true">IF(OR($A495="",$M495="",$M495&lt;=0),"",TODAY()-$A495)</f>
        <v/>
      </c>
      <c r="O495" s="20" t="str">
        <f aca="false">IF($B495="","",IFERROR(INDEX(차량목록!$D$3:$D$42,MATCH($B495,차량목록!$A$3:$A$42,0)),0))</f>
        <v/>
      </c>
      <c r="P495" s="18" t="str">
        <f aca="false">IF($J495="","",ROUND($J495*$O495,0))</f>
        <v/>
      </c>
    </row>
    <row r="496" customFormat="false" ht="15" hidden="false" customHeight="true" outlineLevel="0" collapsed="false">
      <c r="A496" s="13"/>
      <c r="B496" s="10"/>
      <c r="C496" s="14" t="str">
        <f aca="false">IF($B496="","",IFERROR(INDEX(차량목록!$B$3:$B$42,MATCH($B496,차량목록!$A$3:$A$42,0)),"미등록차량"))</f>
        <v/>
      </c>
      <c r="D496" s="10"/>
      <c r="E496" s="10"/>
      <c r="F496" s="15"/>
      <c r="G496" s="15"/>
      <c r="H496" s="16" t="str">
        <f aca="false">IF(OR($F496="",$G496=""),"",ROUND(IF($G496&lt;1,$G496*24,INT($G496/100)+MOD($G496,100)/60)-IF($F496&lt;1,$F496*24,INT($F496/100)+MOD($F496,100)/60),2))</f>
        <v/>
      </c>
      <c r="I496" s="17"/>
      <c r="J496" s="18" t="str">
        <f aca="false">IF(OR($H496="",$I496=""),"",ROUND($H496*$I496,0))</f>
        <v/>
      </c>
      <c r="K496" s="13"/>
      <c r="L496" s="17"/>
      <c r="M496" s="18" t="str">
        <f aca="false">IF($J496="","",$J496-IF($L496="",0,$L496))</f>
        <v/>
      </c>
      <c r="N496" s="19" t="str">
        <f aca="true">IF(OR($A496="",$M496="",$M496&lt;=0),"",TODAY()-$A496)</f>
        <v/>
      </c>
      <c r="O496" s="20" t="str">
        <f aca="false">IF($B496="","",IFERROR(INDEX(차량목록!$D$3:$D$42,MATCH($B496,차량목록!$A$3:$A$42,0)),0))</f>
        <v/>
      </c>
      <c r="P496" s="18" t="str">
        <f aca="false">IF($J496="","",ROUND($J496*$O496,0))</f>
        <v/>
      </c>
    </row>
    <row r="497" customFormat="false" ht="15" hidden="false" customHeight="true" outlineLevel="0" collapsed="false">
      <c r="A497" s="13"/>
      <c r="B497" s="10"/>
      <c r="C497" s="14" t="str">
        <f aca="false">IF($B497="","",IFERROR(INDEX(차량목록!$B$3:$B$42,MATCH($B497,차량목록!$A$3:$A$42,0)),"미등록차량"))</f>
        <v/>
      </c>
      <c r="D497" s="10"/>
      <c r="E497" s="10"/>
      <c r="F497" s="15"/>
      <c r="G497" s="15"/>
      <c r="H497" s="16" t="str">
        <f aca="false">IF(OR($F497="",$G497=""),"",ROUND(IF($G497&lt;1,$G497*24,INT($G497/100)+MOD($G497,100)/60)-IF($F497&lt;1,$F497*24,INT($F497/100)+MOD($F497,100)/60),2))</f>
        <v/>
      </c>
      <c r="I497" s="17"/>
      <c r="J497" s="18" t="str">
        <f aca="false">IF(OR($H497="",$I497=""),"",ROUND($H497*$I497,0))</f>
        <v/>
      </c>
      <c r="K497" s="13"/>
      <c r="L497" s="17"/>
      <c r="M497" s="18" t="str">
        <f aca="false">IF($J497="","",$J497-IF($L497="",0,$L497))</f>
        <v/>
      </c>
      <c r="N497" s="19" t="str">
        <f aca="true">IF(OR($A497="",$M497="",$M497&lt;=0),"",TODAY()-$A497)</f>
        <v/>
      </c>
      <c r="O497" s="20" t="str">
        <f aca="false">IF($B497="","",IFERROR(INDEX(차량목록!$D$3:$D$42,MATCH($B497,차량목록!$A$3:$A$42,0)),0))</f>
        <v/>
      </c>
      <c r="P497" s="18" t="str">
        <f aca="false">IF($J497="","",ROUND($J497*$O497,0))</f>
        <v/>
      </c>
    </row>
    <row r="498" customFormat="false" ht="15" hidden="false" customHeight="true" outlineLevel="0" collapsed="false">
      <c r="A498" s="13"/>
      <c r="B498" s="10"/>
      <c r="C498" s="14" t="str">
        <f aca="false">IF($B498="","",IFERROR(INDEX(차량목록!$B$3:$B$42,MATCH($B498,차량목록!$A$3:$A$42,0)),"미등록차량"))</f>
        <v/>
      </c>
      <c r="D498" s="10"/>
      <c r="E498" s="10"/>
      <c r="F498" s="15"/>
      <c r="G498" s="15"/>
      <c r="H498" s="16" t="str">
        <f aca="false">IF(OR($F498="",$G498=""),"",ROUND(IF($G498&lt;1,$G498*24,INT($G498/100)+MOD($G498,100)/60)-IF($F498&lt;1,$F498*24,INT($F498/100)+MOD($F498,100)/60),2))</f>
        <v/>
      </c>
      <c r="I498" s="17"/>
      <c r="J498" s="18" t="str">
        <f aca="false">IF(OR($H498="",$I498=""),"",ROUND($H498*$I498,0))</f>
        <v/>
      </c>
      <c r="K498" s="13"/>
      <c r="L498" s="17"/>
      <c r="M498" s="18" t="str">
        <f aca="false">IF($J498="","",$J498-IF($L498="",0,$L498))</f>
        <v/>
      </c>
      <c r="N498" s="19" t="str">
        <f aca="true">IF(OR($A498="",$M498="",$M498&lt;=0),"",TODAY()-$A498)</f>
        <v/>
      </c>
      <c r="O498" s="20" t="str">
        <f aca="false">IF($B498="","",IFERROR(INDEX(차량목록!$D$3:$D$42,MATCH($B498,차량목록!$A$3:$A$42,0)),0))</f>
        <v/>
      </c>
      <c r="P498" s="18" t="str">
        <f aca="false">IF($J498="","",ROUND($J498*$O498,0))</f>
        <v/>
      </c>
    </row>
    <row r="499" customFormat="false" ht="15" hidden="false" customHeight="true" outlineLevel="0" collapsed="false">
      <c r="A499" s="13"/>
      <c r="B499" s="10"/>
      <c r="C499" s="14" t="str">
        <f aca="false">IF($B499="","",IFERROR(INDEX(차량목록!$B$3:$B$42,MATCH($B499,차량목록!$A$3:$A$42,0)),"미등록차량"))</f>
        <v/>
      </c>
      <c r="D499" s="10"/>
      <c r="E499" s="10"/>
      <c r="F499" s="15"/>
      <c r="G499" s="15"/>
      <c r="H499" s="16" t="str">
        <f aca="false">IF(OR($F499="",$G499=""),"",ROUND(IF($G499&lt;1,$G499*24,INT($G499/100)+MOD($G499,100)/60)-IF($F499&lt;1,$F499*24,INT($F499/100)+MOD($F499,100)/60),2))</f>
        <v/>
      </c>
      <c r="I499" s="17"/>
      <c r="J499" s="18" t="str">
        <f aca="false">IF(OR($H499="",$I499=""),"",ROUND($H499*$I499,0))</f>
        <v/>
      </c>
      <c r="K499" s="13"/>
      <c r="L499" s="17"/>
      <c r="M499" s="18" t="str">
        <f aca="false">IF($J499="","",$J499-IF($L499="",0,$L499))</f>
        <v/>
      </c>
      <c r="N499" s="19" t="str">
        <f aca="true">IF(OR($A499="",$M499="",$M499&lt;=0),"",TODAY()-$A499)</f>
        <v/>
      </c>
      <c r="O499" s="20" t="str">
        <f aca="false">IF($B499="","",IFERROR(INDEX(차량목록!$D$3:$D$42,MATCH($B499,차량목록!$A$3:$A$42,0)),0))</f>
        <v/>
      </c>
      <c r="P499" s="18" t="str">
        <f aca="false">IF($J499="","",ROUND($J499*$O499,0))</f>
        <v/>
      </c>
    </row>
    <row r="500" customFormat="false" ht="15" hidden="false" customHeight="true" outlineLevel="0" collapsed="false">
      <c r="A500" s="13"/>
      <c r="B500" s="10"/>
      <c r="C500" s="14" t="str">
        <f aca="false">IF($B500="","",IFERROR(INDEX(차량목록!$B$3:$B$42,MATCH($B500,차량목록!$A$3:$A$42,0)),"미등록차량"))</f>
        <v/>
      </c>
      <c r="D500" s="10"/>
      <c r="E500" s="10"/>
      <c r="F500" s="15"/>
      <c r="G500" s="15"/>
      <c r="H500" s="16" t="str">
        <f aca="false">IF(OR($F500="",$G500=""),"",ROUND(IF($G500&lt;1,$G500*24,INT($G500/100)+MOD($G500,100)/60)-IF($F500&lt;1,$F500*24,INT($F500/100)+MOD($F500,100)/60),2))</f>
        <v/>
      </c>
      <c r="I500" s="17"/>
      <c r="J500" s="18" t="str">
        <f aca="false">IF(OR($H500="",$I500=""),"",ROUND($H500*$I500,0))</f>
        <v/>
      </c>
      <c r="K500" s="13"/>
      <c r="L500" s="17"/>
      <c r="M500" s="18" t="str">
        <f aca="false">IF($J500="","",$J500-IF($L500="",0,$L500))</f>
        <v/>
      </c>
      <c r="N500" s="19" t="str">
        <f aca="true">IF(OR($A500="",$M500="",$M500&lt;=0),"",TODAY()-$A500)</f>
        <v/>
      </c>
      <c r="O500" s="20" t="str">
        <f aca="false">IF($B500="","",IFERROR(INDEX(차량목록!$D$3:$D$42,MATCH($B500,차량목록!$A$3:$A$42,0)),0))</f>
        <v/>
      </c>
      <c r="P500" s="18" t="str">
        <f aca="false">IF($J500="","",ROUND($J500*$O500,0))</f>
        <v/>
      </c>
    </row>
    <row r="501" customFormat="false" ht="15" hidden="false" customHeight="true" outlineLevel="0" collapsed="false">
      <c r="A501" s="13"/>
      <c r="B501" s="10"/>
      <c r="C501" s="14" t="str">
        <f aca="false">IF($B501="","",IFERROR(INDEX(차량목록!$B$3:$B$42,MATCH($B501,차량목록!$A$3:$A$42,0)),"미등록차량"))</f>
        <v/>
      </c>
      <c r="D501" s="10"/>
      <c r="E501" s="10"/>
      <c r="F501" s="15"/>
      <c r="G501" s="15"/>
      <c r="H501" s="16" t="str">
        <f aca="false">IF(OR($F501="",$G501=""),"",ROUND(IF($G501&lt;1,$G501*24,INT($G501/100)+MOD($G501,100)/60)-IF($F501&lt;1,$F501*24,INT($F501/100)+MOD($F501,100)/60),2))</f>
        <v/>
      </c>
      <c r="I501" s="17"/>
      <c r="J501" s="18" t="str">
        <f aca="false">IF(OR($H501="",$I501=""),"",ROUND($H501*$I501,0))</f>
        <v/>
      </c>
      <c r="K501" s="13"/>
      <c r="L501" s="17"/>
      <c r="M501" s="18" t="str">
        <f aca="false">IF($J501="","",$J501-IF($L501="",0,$L501))</f>
        <v/>
      </c>
      <c r="N501" s="19" t="str">
        <f aca="true">IF(OR($A501="",$M501="",$M501&lt;=0),"",TODAY()-$A501)</f>
        <v/>
      </c>
      <c r="O501" s="20" t="str">
        <f aca="false">IF($B501="","",IFERROR(INDEX(차량목록!$D$3:$D$42,MATCH($B501,차량목록!$A$3:$A$42,0)),0))</f>
        <v/>
      </c>
      <c r="P501" s="18" t="str">
        <f aca="false">IF($J501="","",ROUND($J501*$O501,0))</f>
        <v/>
      </c>
    </row>
    <row r="502" customFormat="false" ht="15" hidden="false" customHeight="true" outlineLevel="0" collapsed="false">
      <c r="A502" s="13"/>
      <c r="B502" s="10"/>
      <c r="C502" s="14" t="str">
        <f aca="false">IF($B502="","",IFERROR(INDEX(차량목록!$B$3:$B$42,MATCH($B502,차량목록!$A$3:$A$42,0)),"미등록차량"))</f>
        <v/>
      </c>
      <c r="D502" s="10"/>
      <c r="E502" s="10"/>
      <c r="F502" s="15"/>
      <c r="G502" s="15"/>
      <c r="H502" s="16" t="str">
        <f aca="false">IF(OR($F502="",$G502=""),"",ROUND(IF($G502&lt;1,$G502*24,INT($G502/100)+MOD($G502,100)/60)-IF($F502&lt;1,$F502*24,INT($F502/100)+MOD($F502,100)/60),2))</f>
        <v/>
      </c>
      <c r="I502" s="17"/>
      <c r="J502" s="18" t="str">
        <f aca="false">IF(OR($H502="",$I502=""),"",ROUND($H502*$I502,0))</f>
        <v/>
      </c>
      <c r="K502" s="13"/>
      <c r="L502" s="17"/>
      <c r="M502" s="18" t="str">
        <f aca="false">IF($J502="","",$J502-IF($L502="",0,$L502))</f>
        <v/>
      </c>
      <c r="N502" s="19" t="str">
        <f aca="true">IF(OR($A502="",$M502="",$M502&lt;=0),"",TODAY()-$A502)</f>
        <v/>
      </c>
      <c r="O502" s="20" t="str">
        <f aca="false">IF($B502="","",IFERROR(INDEX(차량목록!$D$3:$D$42,MATCH($B502,차량목록!$A$3:$A$42,0)),0))</f>
        <v/>
      </c>
      <c r="P502" s="18" t="str">
        <f aca="false">IF($J502="","",ROUND($J502*$O502,0))</f>
        <v/>
      </c>
    </row>
  </sheetData>
  <mergeCells count="1">
    <mergeCell ref="A1:P1"/>
  </mergeCells>
  <conditionalFormatting sqref="A3:P502">
    <cfRule type="expression" priority="2" aboveAverage="0" equalAverage="0" bottom="0" percent="0" rank="0" text="" dxfId="0">
      <formula>AND($N3&lt;&gt;"",$N3&gt;사용안내!$C$17)</formula>
    </cfRule>
  </conditionalFormatting>
  <dataValidations count="3">
    <dataValidation allowBlank="true" errorStyle="stop" operator="between" showDropDown="false" showErrorMessage="false" showInputMessage="false" sqref="B3:B502" type="list">
      <formula1>차량목록!$A$3:$A$42</formula1>
      <formula2>0</formula2>
    </dataValidation>
    <dataValidation allowBlank="true" error="콜론(:) 없이 숫자 네 자리로 입력하세요.&#10;오전 8시 → 800&#10;오후 5시 30분 → 1730" errorStyle="stop" errorTitle="시각 입력 형식" operator="between" prompt="예) 1730 = 17시 30분" promptTitle="시각 입력" showDropDown="false" showErrorMessage="true" showInputMessage="true" sqref="F3:G502" type="whole">
      <formula1>0</formula1>
      <formula2>2359</formula2>
    </dataValidation>
    <dataValidation allowBlank="true" errorStyle="stop" operator="between" showDropDown="false" showErrorMessage="false" showInputMessage="false" sqref="D3:D502" type="list">
      <formula1>거래처목록!$A$3:$A$62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7" min="4" style="1" width="16"/>
  </cols>
  <sheetData>
    <row r="1" customFormat="false" ht="25.5" hidden="false" customHeight="true" outlineLevel="0" collapsed="false">
      <c r="A1" s="2" t="s">
        <v>59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8" t="s">
        <v>26</v>
      </c>
      <c r="B2" s="8" t="s">
        <v>27</v>
      </c>
      <c r="C2" s="8" t="s">
        <v>60</v>
      </c>
      <c r="D2" s="8" t="s">
        <v>61</v>
      </c>
      <c r="E2" s="8" t="s">
        <v>62</v>
      </c>
      <c r="F2" s="8" t="s">
        <v>63</v>
      </c>
      <c r="G2" s="8" t="s">
        <v>64</v>
      </c>
    </row>
    <row r="3" customFormat="false" ht="15" hidden="false" customHeight="true" outlineLevel="0" collapsed="false">
      <c r="A3" s="21" t="str">
        <f aca="false">IF(차량목록!$A3="","",차량목록!$A3)</f>
        <v>경기00가1234</v>
      </c>
      <c r="B3" s="21" t="str">
        <f aca="false">IF($A3="","",차량목록!$B3)</f>
        <v>김기사</v>
      </c>
      <c r="C3" s="21" t="n">
        <f aca="false">IF($A3="","",COUNTIFS(배차일보!$B$3:$B$502,$A3))</f>
        <v>3</v>
      </c>
      <c r="D3" s="16" t="n">
        <f aca="false">IF($A3="","",ROUND(SUMIFS(배차일보!$H$3:$H$502,배차일보!$B$3:$B$502,$A3),2))</f>
        <v>20.5</v>
      </c>
      <c r="E3" s="18" t="n">
        <f aca="false">IF($A3="","",SUMIFS(배차일보!$J$3:$J$502,배차일보!$B$3:$B$502,$A3))</f>
        <v>2460000</v>
      </c>
      <c r="F3" s="18" t="n">
        <f aca="false">IF($A3="","",SUMIFS(배차일보!$L$3:$L$502,배차일보!$B$3:$B$502,$A3))</f>
        <v>1140000</v>
      </c>
      <c r="G3" s="18" t="n">
        <f aca="false">IF($A3="","",$E3-$F3)</f>
        <v>1320000</v>
      </c>
    </row>
    <row r="4" customFormat="false" ht="15" hidden="false" customHeight="true" outlineLevel="0" collapsed="false">
      <c r="A4" s="21" t="str">
        <f aca="false">IF(차량목록!$A4="","",차량목록!$A4)</f>
        <v>경기00가5678</v>
      </c>
      <c r="B4" s="21" t="str">
        <f aca="false">IF($A4="","",차량목록!$B4)</f>
        <v>이기사</v>
      </c>
      <c r="C4" s="21" t="n">
        <f aca="false">IF($A4="","",COUNTIFS(배차일보!$B$3:$B$502,$A4))</f>
        <v>2</v>
      </c>
      <c r="D4" s="16" t="n">
        <f aca="false">IF($A4="","",ROUND(SUMIFS(배차일보!$H$3:$H$502,배차일보!$B$3:$B$502,$A4),2))</f>
        <v>18</v>
      </c>
      <c r="E4" s="18" t="n">
        <f aca="false">IF($A4="","",SUMIFS(배차일보!$J$3:$J$502,배차일보!$B$3:$B$502,$A4))</f>
        <v>2700000</v>
      </c>
      <c r="F4" s="18" t="n">
        <f aca="false">IF($A4="","",SUMIFS(배차일보!$L$3:$L$502,배차일보!$B$3:$B$502,$A4))</f>
        <v>0</v>
      </c>
      <c r="G4" s="18" t="n">
        <f aca="false">IF($A4="","",$E4-$F4)</f>
        <v>2700000</v>
      </c>
    </row>
    <row r="5" customFormat="false" ht="15" hidden="false" customHeight="true" outlineLevel="0" collapsed="false">
      <c r="A5" s="21" t="str">
        <f aca="false">IF(차량목록!$A5="","",차량목록!$A5)</f>
        <v/>
      </c>
      <c r="B5" s="21" t="str">
        <f aca="false">IF($A5="","",차량목록!$B5)</f>
        <v/>
      </c>
      <c r="C5" s="21" t="str">
        <f aca="false">IF($A5="","",COUNTIFS(배차일보!$B$3:$B$502,$A5))</f>
        <v/>
      </c>
      <c r="D5" s="16" t="str">
        <f aca="false">IF($A5="","",ROUND(SUMIFS(배차일보!$H$3:$H$502,배차일보!$B$3:$B$502,$A5),2))</f>
        <v/>
      </c>
      <c r="E5" s="18" t="str">
        <f aca="false">IF($A5="","",SUMIFS(배차일보!$J$3:$J$502,배차일보!$B$3:$B$502,$A5))</f>
        <v/>
      </c>
      <c r="F5" s="18" t="str">
        <f aca="false">IF($A5="","",SUMIFS(배차일보!$L$3:$L$502,배차일보!$B$3:$B$502,$A5))</f>
        <v/>
      </c>
      <c r="G5" s="18" t="str">
        <f aca="false">IF($A5="","",$E5-$F5)</f>
        <v/>
      </c>
    </row>
    <row r="6" customFormat="false" ht="15" hidden="false" customHeight="true" outlineLevel="0" collapsed="false">
      <c r="A6" s="21" t="str">
        <f aca="false">IF(차량목록!$A6="","",차량목록!$A6)</f>
        <v/>
      </c>
      <c r="B6" s="21" t="str">
        <f aca="false">IF($A6="","",차량목록!$B6)</f>
        <v/>
      </c>
      <c r="C6" s="21" t="str">
        <f aca="false">IF($A6="","",COUNTIFS(배차일보!$B$3:$B$502,$A6))</f>
        <v/>
      </c>
      <c r="D6" s="16" t="str">
        <f aca="false">IF($A6="","",ROUND(SUMIFS(배차일보!$H$3:$H$502,배차일보!$B$3:$B$502,$A6),2))</f>
        <v/>
      </c>
      <c r="E6" s="18" t="str">
        <f aca="false">IF($A6="","",SUMIFS(배차일보!$J$3:$J$502,배차일보!$B$3:$B$502,$A6))</f>
        <v/>
      </c>
      <c r="F6" s="18" t="str">
        <f aca="false">IF($A6="","",SUMIFS(배차일보!$L$3:$L$502,배차일보!$B$3:$B$502,$A6))</f>
        <v/>
      </c>
      <c r="G6" s="18" t="str">
        <f aca="false">IF($A6="","",$E6-$F6)</f>
        <v/>
      </c>
    </row>
    <row r="7" customFormat="false" ht="15" hidden="false" customHeight="true" outlineLevel="0" collapsed="false">
      <c r="A7" s="21" t="str">
        <f aca="false">IF(차량목록!$A7="","",차량목록!$A7)</f>
        <v/>
      </c>
      <c r="B7" s="21" t="str">
        <f aca="false">IF($A7="","",차량목록!$B7)</f>
        <v/>
      </c>
      <c r="C7" s="21" t="str">
        <f aca="false">IF($A7="","",COUNTIFS(배차일보!$B$3:$B$502,$A7))</f>
        <v/>
      </c>
      <c r="D7" s="16" t="str">
        <f aca="false">IF($A7="","",ROUND(SUMIFS(배차일보!$H$3:$H$502,배차일보!$B$3:$B$502,$A7),2))</f>
        <v/>
      </c>
      <c r="E7" s="18" t="str">
        <f aca="false">IF($A7="","",SUMIFS(배차일보!$J$3:$J$502,배차일보!$B$3:$B$502,$A7))</f>
        <v/>
      </c>
      <c r="F7" s="18" t="str">
        <f aca="false">IF($A7="","",SUMIFS(배차일보!$L$3:$L$502,배차일보!$B$3:$B$502,$A7))</f>
        <v/>
      </c>
      <c r="G7" s="18" t="str">
        <f aca="false">IF($A7="","",$E7-$F7)</f>
        <v/>
      </c>
    </row>
    <row r="8" customFormat="false" ht="15" hidden="false" customHeight="true" outlineLevel="0" collapsed="false">
      <c r="A8" s="21" t="str">
        <f aca="false">IF(차량목록!$A8="","",차량목록!$A8)</f>
        <v/>
      </c>
      <c r="B8" s="21" t="str">
        <f aca="false">IF($A8="","",차량목록!$B8)</f>
        <v/>
      </c>
      <c r="C8" s="21" t="str">
        <f aca="false">IF($A8="","",COUNTIFS(배차일보!$B$3:$B$502,$A8))</f>
        <v/>
      </c>
      <c r="D8" s="16" t="str">
        <f aca="false">IF($A8="","",ROUND(SUMIFS(배차일보!$H$3:$H$502,배차일보!$B$3:$B$502,$A8),2))</f>
        <v/>
      </c>
      <c r="E8" s="18" t="str">
        <f aca="false">IF($A8="","",SUMIFS(배차일보!$J$3:$J$502,배차일보!$B$3:$B$502,$A8))</f>
        <v/>
      </c>
      <c r="F8" s="18" t="str">
        <f aca="false">IF($A8="","",SUMIFS(배차일보!$L$3:$L$502,배차일보!$B$3:$B$502,$A8))</f>
        <v/>
      </c>
      <c r="G8" s="18" t="str">
        <f aca="false">IF($A8="","",$E8-$F8)</f>
        <v/>
      </c>
    </row>
    <row r="9" customFormat="false" ht="15" hidden="false" customHeight="true" outlineLevel="0" collapsed="false">
      <c r="A9" s="21" t="str">
        <f aca="false">IF(차량목록!$A9="","",차량목록!$A9)</f>
        <v/>
      </c>
      <c r="B9" s="21" t="str">
        <f aca="false">IF($A9="","",차량목록!$B9)</f>
        <v/>
      </c>
      <c r="C9" s="21" t="str">
        <f aca="false">IF($A9="","",COUNTIFS(배차일보!$B$3:$B$502,$A9))</f>
        <v/>
      </c>
      <c r="D9" s="16" t="str">
        <f aca="false">IF($A9="","",ROUND(SUMIFS(배차일보!$H$3:$H$502,배차일보!$B$3:$B$502,$A9),2))</f>
        <v/>
      </c>
      <c r="E9" s="18" t="str">
        <f aca="false">IF($A9="","",SUMIFS(배차일보!$J$3:$J$502,배차일보!$B$3:$B$502,$A9))</f>
        <v/>
      </c>
      <c r="F9" s="18" t="str">
        <f aca="false">IF($A9="","",SUMIFS(배차일보!$L$3:$L$502,배차일보!$B$3:$B$502,$A9))</f>
        <v/>
      </c>
      <c r="G9" s="18" t="str">
        <f aca="false">IF($A9="","",$E9-$F9)</f>
        <v/>
      </c>
    </row>
    <row r="10" customFormat="false" ht="15" hidden="false" customHeight="true" outlineLevel="0" collapsed="false">
      <c r="A10" s="21" t="str">
        <f aca="false">IF(차량목록!$A10="","",차량목록!$A10)</f>
        <v/>
      </c>
      <c r="B10" s="21" t="str">
        <f aca="false">IF($A10="","",차량목록!$B10)</f>
        <v/>
      </c>
      <c r="C10" s="21" t="str">
        <f aca="false">IF($A10="","",COUNTIFS(배차일보!$B$3:$B$502,$A10))</f>
        <v/>
      </c>
      <c r="D10" s="16" t="str">
        <f aca="false">IF($A10="","",ROUND(SUMIFS(배차일보!$H$3:$H$502,배차일보!$B$3:$B$502,$A10),2))</f>
        <v/>
      </c>
      <c r="E10" s="18" t="str">
        <f aca="false">IF($A10="","",SUMIFS(배차일보!$J$3:$J$502,배차일보!$B$3:$B$502,$A10))</f>
        <v/>
      </c>
      <c r="F10" s="18" t="str">
        <f aca="false">IF($A10="","",SUMIFS(배차일보!$L$3:$L$502,배차일보!$B$3:$B$502,$A10))</f>
        <v/>
      </c>
      <c r="G10" s="18" t="str">
        <f aca="false">IF($A10="","",$E10-$F10)</f>
        <v/>
      </c>
    </row>
    <row r="11" customFormat="false" ht="15" hidden="false" customHeight="true" outlineLevel="0" collapsed="false">
      <c r="A11" s="21" t="str">
        <f aca="false">IF(차량목록!$A11="","",차량목록!$A11)</f>
        <v/>
      </c>
      <c r="B11" s="21" t="str">
        <f aca="false">IF($A11="","",차량목록!$B11)</f>
        <v/>
      </c>
      <c r="C11" s="21" t="str">
        <f aca="false">IF($A11="","",COUNTIFS(배차일보!$B$3:$B$502,$A11))</f>
        <v/>
      </c>
      <c r="D11" s="16" t="str">
        <f aca="false">IF($A11="","",ROUND(SUMIFS(배차일보!$H$3:$H$502,배차일보!$B$3:$B$502,$A11),2))</f>
        <v/>
      </c>
      <c r="E11" s="18" t="str">
        <f aca="false">IF($A11="","",SUMIFS(배차일보!$J$3:$J$502,배차일보!$B$3:$B$502,$A11))</f>
        <v/>
      </c>
      <c r="F11" s="18" t="str">
        <f aca="false">IF($A11="","",SUMIFS(배차일보!$L$3:$L$502,배차일보!$B$3:$B$502,$A11))</f>
        <v/>
      </c>
      <c r="G11" s="18" t="str">
        <f aca="false">IF($A11="","",$E11-$F11)</f>
        <v/>
      </c>
    </row>
    <row r="12" customFormat="false" ht="15" hidden="false" customHeight="true" outlineLevel="0" collapsed="false">
      <c r="A12" s="21" t="str">
        <f aca="false">IF(차량목록!$A12="","",차량목록!$A12)</f>
        <v/>
      </c>
      <c r="B12" s="21" t="str">
        <f aca="false">IF($A12="","",차량목록!$B12)</f>
        <v/>
      </c>
      <c r="C12" s="21" t="str">
        <f aca="false">IF($A12="","",COUNTIFS(배차일보!$B$3:$B$502,$A12))</f>
        <v/>
      </c>
      <c r="D12" s="16" t="str">
        <f aca="false">IF($A12="","",ROUND(SUMIFS(배차일보!$H$3:$H$502,배차일보!$B$3:$B$502,$A12),2))</f>
        <v/>
      </c>
      <c r="E12" s="18" t="str">
        <f aca="false">IF($A12="","",SUMIFS(배차일보!$J$3:$J$502,배차일보!$B$3:$B$502,$A12))</f>
        <v/>
      </c>
      <c r="F12" s="18" t="str">
        <f aca="false">IF($A12="","",SUMIFS(배차일보!$L$3:$L$502,배차일보!$B$3:$B$502,$A12))</f>
        <v/>
      </c>
      <c r="G12" s="18" t="str">
        <f aca="false">IF($A12="","",$E12-$F12)</f>
        <v/>
      </c>
    </row>
    <row r="13" customFormat="false" ht="15" hidden="false" customHeight="true" outlineLevel="0" collapsed="false">
      <c r="A13" s="21" t="str">
        <f aca="false">IF(차량목록!$A13="","",차량목록!$A13)</f>
        <v/>
      </c>
      <c r="B13" s="21" t="str">
        <f aca="false">IF($A13="","",차량목록!$B13)</f>
        <v/>
      </c>
      <c r="C13" s="21" t="str">
        <f aca="false">IF($A13="","",COUNTIFS(배차일보!$B$3:$B$502,$A13))</f>
        <v/>
      </c>
      <c r="D13" s="16" t="str">
        <f aca="false">IF($A13="","",ROUND(SUMIFS(배차일보!$H$3:$H$502,배차일보!$B$3:$B$502,$A13),2))</f>
        <v/>
      </c>
      <c r="E13" s="18" t="str">
        <f aca="false">IF($A13="","",SUMIFS(배차일보!$J$3:$J$502,배차일보!$B$3:$B$502,$A13))</f>
        <v/>
      </c>
      <c r="F13" s="18" t="str">
        <f aca="false">IF($A13="","",SUMIFS(배차일보!$L$3:$L$502,배차일보!$B$3:$B$502,$A13))</f>
        <v/>
      </c>
      <c r="G13" s="18" t="str">
        <f aca="false">IF($A13="","",$E13-$F13)</f>
        <v/>
      </c>
    </row>
    <row r="14" customFormat="false" ht="15" hidden="false" customHeight="true" outlineLevel="0" collapsed="false">
      <c r="A14" s="21" t="str">
        <f aca="false">IF(차량목록!$A14="","",차량목록!$A14)</f>
        <v/>
      </c>
      <c r="B14" s="21" t="str">
        <f aca="false">IF($A14="","",차량목록!$B14)</f>
        <v/>
      </c>
      <c r="C14" s="21" t="str">
        <f aca="false">IF($A14="","",COUNTIFS(배차일보!$B$3:$B$502,$A14))</f>
        <v/>
      </c>
      <c r="D14" s="16" t="str">
        <f aca="false">IF($A14="","",ROUND(SUMIFS(배차일보!$H$3:$H$502,배차일보!$B$3:$B$502,$A14),2))</f>
        <v/>
      </c>
      <c r="E14" s="18" t="str">
        <f aca="false">IF($A14="","",SUMIFS(배차일보!$J$3:$J$502,배차일보!$B$3:$B$502,$A14))</f>
        <v/>
      </c>
      <c r="F14" s="18" t="str">
        <f aca="false">IF($A14="","",SUMIFS(배차일보!$L$3:$L$502,배차일보!$B$3:$B$502,$A14))</f>
        <v/>
      </c>
      <c r="G14" s="18" t="str">
        <f aca="false">IF($A14="","",$E14-$F14)</f>
        <v/>
      </c>
    </row>
    <row r="15" customFormat="false" ht="15" hidden="false" customHeight="true" outlineLevel="0" collapsed="false">
      <c r="A15" s="21" t="str">
        <f aca="false">IF(차량목록!$A15="","",차량목록!$A15)</f>
        <v/>
      </c>
      <c r="B15" s="21" t="str">
        <f aca="false">IF($A15="","",차량목록!$B15)</f>
        <v/>
      </c>
      <c r="C15" s="21" t="str">
        <f aca="false">IF($A15="","",COUNTIFS(배차일보!$B$3:$B$502,$A15))</f>
        <v/>
      </c>
      <c r="D15" s="16" t="str">
        <f aca="false">IF($A15="","",ROUND(SUMIFS(배차일보!$H$3:$H$502,배차일보!$B$3:$B$502,$A15),2))</f>
        <v/>
      </c>
      <c r="E15" s="18" t="str">
        <f aca="false">IF($A15="","",SUMIFS(배차일보!$J$3:$J$502,배차일보!$B$3:$B$502,$A15))</f>
        <v/>
      </c>
      <c r="F15" s="18" t="str">
        <f aca="false">IF($A15="","",SUMIFS(배차일보!$L$3:$L$502,배차일보!$B$3:$B$502,$A15))</f>
        <v/>
      </c>
      <c r="G15" s="18" t="str">
        <f aca="false">IF($A15="","",$E15-$F15)</f>
        <v/>
      </c>
    </row>
    <row r="16" customFormat="false" ht="15" hidden="false" customHeight="true" outlineLevel="0" collapsed="false">
      <c r="A16" s="21" t="str">
        <f aca="false">IF(차량목록!$A16="","",차량목록!$A16)</f>
        <v/>
      </c>
      <c r="B16" s="21" t="str">
        <f aca="false">IF($A16="","",차량목록!$B16)</f>
        <v/>
      </c>
      <c r="C16" s="21" t="str">
        <f aca="false">IF($A16="","",COUNTIFS(배차일보!$B$3:$B$502,$A16))</f>
        <v/>
      </c>
      <c r="D16" s="16" t="str">
        <f aca="false">IF($A16="","",ROUND(SUMIFS(배차일보!$H$3:$H$502,배차일보!$B$3:$B$502,$A16),2))</f>
        <v/>
      </c>
      <c r="E16" s="18" t="str">
        <f aca="false">IF($A16="","",SUMIFS(배차일보!$J$3:$J$502,배차일보!$B$3:$B$502,$A16))</f>
        <v/>
      </c>
      <c r="F16" s="18" t="str">
        <f aca="false">IF($A16="","",SUMIFS(배차일보!$L$3:$L$502,배차일보!$B$3:$B$502,$A16))</f>
        <v/>
      </c>
      <c r="G16" s="18" t="str">
        <f aca="false">IF($A16="","",$E16-$F16)</f>
        <v/>
      </c>
    </row>
    <row r="17" customFormat="false" ht="15" hidden="false" customHeight="true" outlineLevel="0" collapsed="false">
      <c r="A17" s="21" t="str">
        <f aca="false">IF(차량목록!$A17="","",차량목록!$A17)</f>
        <v/>
      </c>
      <c r="B17" s="21" t="str">
        <f aca="false">IF($A17="","",차량목록!$B17)</f>
        <v/>
      </c>
      <c r="C17" s="21" t="str">
        <f aca="false">IF($A17="","",COUNTIFS(배차일보!$B$3:$B$502,$A17))</f>
        <v/>
      </c>
      <c r="D17" s="16" t="str">
        <f aca="false">IF($A17="","",ROUND(SUMIFS(배차일보!$H$3:$H$502,배차일보!$B$3:$B$502,$A17),2))</f>
        <v/>
      </c>
      <c r="E17" s="18" t="str">
        <f aca="false">IF($A17="","",SUMIFS(배차일보!$J$3:$J$502,배차일보!$B$3:$B$502,$A17))</f>
        <v/>
      </c>
      <c r="F17" s="18" t="str">
        <f aca="false">IF($A17="","",SUMIFS(배차일보!$L$3:$L$502,배차일보!$B$3:$B$502,$A17))</f>
        <v/>
      </c>
      <c r="G17" s="18" t="str">
        <f aca="false">IF($A17="","",$E17-$F17)</f>
        <v/>
      </c>
    </row>
    <row r="18" customFormat="false" ht="15" hidden="false" customHeight="true" outlineLevel="0" collapsed="false">
      <c r="A18" s="21" t="str">
        <f aca="false">IF(차량목록!$A18="","",차량목록!$A18)</f>
        <v/>
      </c>
      <c r="B18" s="21" t="str">
        <f aca="false">IF($A18="","",차량목록!$B18)</f>
        <v/>
      </c>
      <c r="C18" s="21" t="str">
        <f aca="false">IF($A18="","",COUNTIFS(배차일보!$B$3:$B$502,$A18))</f>
        <v/>
      </c>
      <c r="D18" s="16" t="str">
        <f aca="false">IF($A18="","",ROUND(SUMIFS(배차일보!$H$3:$H$502,배차일보!$B$3:$B$502,$A18),2))</f>
        <v/>
      </c>
      <c r="E18" s="18" t="str">
        <f aca="false">IF($A18="","",SUMIFS(배차일보!$J$3:$J$502,배차일보!$B$3:$B$502,$A18))</f>
        <v/>
      </c>
      <c r="F18" s="18" t="str">
        <f aca="false">IF($A18="","",SUMIFS(배차일보!$L$3:$L$502,배차일보!$B$3:$B$502,$A18))</f>
        <v/>
      </c>
      <c r="G18" s="18" t="str">
        <f aca="false">IF($A18="","",$E18-$F18)</f>
        <v/>
      </c>
    </row>
    <row r="19" customFormat="false" ht="15" hidden="false" customHeight="true" outlineLevel="0" collapsed="false">
      <c r="A19" s="21" t="str">
        <f aca="false">IF(차량목록!$A19="","",차량목록!$A19)</f>
        <v/>
      </c>
      <c r="B19" s="21" t="str">
        <f aca="false">IF($A19="","",차량목록!$B19)</f>
        <v/>
      </c>
      <c r="C19" s="21" t="str">
        <f aca="false">IF($A19="","",COUNTIFS(배차일보!$B$3:$B$502,$A19))</f>
        <v/>
      </c>
      <c r="D19" s="16" t="str">
        <f aca="false">IF($A19="","",ROUND(SUMIFS(배차일보!$H$3:$H$502,배차일보!$B$3:$B$502,$A19),2))</f>
        <v/>
      </c>
      <c r="E19" s="18" t="str">
        <f aca="false">IF($A19="","",SUMIFS(배차일보!$J$3:$J$502,배차일보!$B$3:$B$502,$A19))</f>
        <v/>
      </c>
      <c r="F19" s="18" t="str">
        <f aca="false">IF($A19="","",SUMIFS(배차일보!$L$3:$L$502,배차일보!$B$3:$B$502,$A19))</f>
        <v/>
      </c>
      <c r="G19" s="18" t="str">
        <f aca="false">IF($A19="","",$E19-$F19)</f>
        <v/>
      </c>
    </row>
    <row r="20" customFormat="false" ht="15" hidden="false" customHeight="true" outlineLevel="0" collapsed="false">
      <c r="A20" s="21" t="str">
        <f aca="false">IF(차량목록!$A20="","",차량목록!$A20)</f>
        <v/>
      </c>
      <c r="B20" s="21" t="str">
        <f aca="false">IF($A20="","",차량목록!$B20)</f>
        <v/>
      </c>
      <c r="C20" s="21" t="str">
        <f aca="false">IF($A20="","",COUNTIFS(배차일보!$B$3:$B$502,$A20))</f>
        <v/>
      </c>
      <c r="D20" s="16" t="str">
        <f aca="false">IF($A20="","",ROUND(SUMIFS(배차일보!$H$3:$H$502,배차일보!$B$3:$B$502,$A20),2))</f>
        <v/>
      </c>
      <c r="E20" s="18" t="str">
        <f aca="false">IF($A20="","",SUMIFS(배차일보!$J$3:$J$502,배차일보!$B$3:$B$502,$A20))</f>
        <v/>
      </c>
      <c r="F20" s="18" t="str">
        <f aca="false">IF($A20="","",SUMIFS(배차일보!$L$3:$L$502,배차일보!$B$3:$B$502,$A20))</f>
        <v/>
      </c>
      <c r="G20" s="18" t="str">
        <f aca="false">IF($A20="","",$E20-$F20)</f>
        <v/>
      </c>
    </row>
    <row r="21" customFormat="false" ht="15" hidden="false" customHeight="true" outlineLevel="0" collapsed="false">
      <c r="A21" s="21" t="str">
        <f aca="false">IF(차량목록!$A21="","",차량목록!$A21)</f>
        <v/>
      </c>
      <c r="B21" s="21" t="str">
        <f aca="false">IF($A21="","",차량목록!$B21)</f>
        <v/>
      </c>
      <c r="C21" s="21" t="str">
        <f aca="false">IF($A21="","",COUNTIFS(배차일보!$B$3:$B$502,$A21))</f>
        <v/>
      </c>
      <c r="D21" s="16" t="str">
        <f aca="false">IF($A21="","",ROUND(SUMIFS(배차일보!$H$3:$H$502,배차일보!$B$3:$B$502,$A21),2))</f>
        <v/>
      </c>
      <c r="E21" s="18" t="str">
        <f aca="false">IF($A21="","",SUMIFS(배차일보!$J$3:$J$502,배차일보!$B$3:$B$502,$A21))</f>
        <v/>
      </c>
      <c r="F21" s="18" t="str">
        <f aca="false">IF($A21="","",SUMIFS(배차일보!$L$3:$L$502,배차일보!$B$3:$B$502,$A21))</f>
        <v/>
      </c>
      <c r="G21" s="18" t="str">
        <f aca="false">IF($A21="","",$E21-$F21)</f>
        <v/>
      </c>
    </row>
    <row r="22" customFormat="false" ht="15" hidden="false" customHeight="true" outlineLevel="0" collapsed="false">
      <c r="A22" s="21" t="str">
        <f aca="false">IF(차량목록!$A22="","",차량목록!$A22)</f>
        <v/>
      </c>
      <c r="B22" s="21" t="str">
        <f aca="false">IF($A22="","",차량목록!$B22)</f>
        <v/>
      </c>
      <c r="C22" s="21" t="str">
        <f aca="false">IF($A22="","",COUNTIFS(배차일보!$B$3:$B$502,$A22))</f>
        <v/>
      </c>
      <c r="D22" s="16" t="str">
        <f aca="false">IF($A22="","",ROUND(SUMIFS(배차일보!$H$3:$H$502,배차일보!$B$3:$B$502,$A22),2))</f>
        <v/>
      </c>
      <c r="E22" s="18" t="str">
        <f aca="false">IF($A22="","",SUMIFS(배차일보!$J$3:$J$502,배차일보!$B$3:$B$502,$A22))</f>
        <v/>
      </c>
      <c r="F22" s="18" t="str">
        <f aca="false">IF($A22="","",SUMIFS(배차일보!$L$3:$L$502,배차일보!$B$3:$B$502,$A22))</f>
        <v/>
      </c>
      <c r="G22" s="18" t="str">
        <f aca="false">IF($A22="","",$E22-$F22)</f>
        <v/>
      </c>
    </row>
    <row r="23" customFormat="false" ht="15" hidden="false" customHeight="true" outlineLevel="0" collapsed="false">
      <c r="A23" s="21" t="str">
        <f aca="false">IF(차량목록!$A23="","",차량목록!$A23)</f>
        <v/>
      </c>
      <c r="B23" s="21" t="str">
        <f aca="false">IF($A23="","",차량목록!$B23)</f>
        <v/>
      </c>
      <c r="C23" s="21" t="str">
        <f aca="false">IF($A23="","",COUNTIFS(배차일보!$B$3:$B$502,$A23))</f>
        <v/>
      </c>
      <c r="D23" s="16" t="str">
        <f aca="false">IF($A23="","",ROUND(SUMIFS(배차일보!$H$3:$H$502,배차일보!$B$3:$B$502,$A23),2))</f>
        <v/>
      </c>
      <c r="E23" s="18" t="str">
        <f aca="false">IF($A23="","",SUMIFS(배차일보!$J$3:$J$502,배차일보!$B$3:$B$502,$A23))</f>
        <v/>
      </c>
      <c r="F23" s="18" t="str">
        <f aca="false">IF($A23="","",SUMIFS(배차일보!$L$3:$L$502,배차일보!$B$3:$B$502,$A23))</f>
        <v/>
      </c>
      <c r="G23" s="18" t="str">
        <f aca="false">IF($A23="","",$E23-$F23)</f>
        <v/>
      </c>
    </row>
    <row r="24" customFormat="false" ht="15" hidden="false" customHeight="true" outlineLevel="0" collapsed="false">
      <c r="A24" s="21" t="str">
        <f aca="false">IF(차량목록!$A24="","",차량목록!$A24)</f>
        <v/>
      </c>
      <c r="B24" s="21" t="str">
        <f aca="false">IF($A24="","",차량목록!$B24)</f>
        <v/>
      </c>
      <c r="C24" s="21" t="str">
        <f aca="false">IF($A24="","",COUNTIFS(배차일보!$B$3:$B$502,$A24))</f>
        <v/>
      </c>
      <c r="D24" s="16" t="str">
        <f aca="false">IF($A24="","",ROUND(SUMIFS(배차일보!$H$3:$H$502,배차일보!$B$3:$B$502,$A24),2))</f>
        <v/>
      </c>
      <c r="E24" s="18" t="str">
        <f aca="false">IF($A24="","",SUMIFS(배차일보!$J$3:$J$502,배차일보!$B$3:$B$502,$A24))</f>
        <v/>
      </c>
      <c r="F24" s="18" t="str">
        <f aca="false">IF($A24="","",SUMIFS(배차일보!$L$3:$L$502,배차일보!$B$3:$B$502,$A24))</f>
        <v/>
      </c>
      <c r="G24" s="18" t="str">
        <f aca="false">IF($A24="","",$E24-$F24)</f>
        <v/>
      </c>
    </row>
    <row r="25" customFormat="false" ht="15" hidden="false" customHeight="true" outlineLevel="0" collapsed="false">
      <c r="A25" s="21" t="str">
        <f aca="false">IF(차량목록!$A25="","",차량목록!$A25)</f>
        <v/>
      </c>
      <c r="B25" s="21" t="str">
        <f aca="false">IF($A25="","",차량목록!$B25)</f>
        <v/>
      </c>
      <c r="C25" s="21" t="str">
        <f aca="false">IF($A25="","",COUNTIFS(배차일보!$B$3:$B$502,$A25))</f>
        <v/>
      </c>
      <c r="D25" s="16" t="str">
        <f aca="false">IF($A25="","",ROUND(SUMIFS(배차일보!$H$3:$H$502,배차일보!$B$3:$B$502,$A25),2))</f>
        <v/>
      </c>
      <c r="E25" s="18" t="str">
        <f aca="false">IF($A25="","",SUMIFS(배차일보!$J$3:$J$502,배차일보!$B$3:$B$502,$A25))</f>
        <v/>
      </c>
      <c r="F25" s="18" t="str">
        <f aca="false">IF($A25="","",SUMIFS(배차일보!$L$3:$L$502,배차일보!$B$3:$B$502,$A25))</f>
        <v/>
      </c>
      <c r="G25" s="18" t="str">
        <f aca="false">IF($A25="","",$E25-$F25)</f>
        <v/>
      </c>
    </row>
    <row r="26" customFormat="false" ht="15" hidden="false" customHeight="true" outlineLevel="0" collapsed="false">
      <c r="A26" s="21" t="str">
        <f aca="false">IF(차량목록!$A26="","",차량목록!$A26)</f>
        <v/>
      </c>
      <c r="B26" s="21" t="str">
        <f aca="false">IF($A26="","",차량목록!$B26)</f>
        <v/>
      </c>
      <c r="C26" s="21" t="str">
        <f aca="false">IF($A26="","",COUNTIFS(배차일보!$B$3:$B$502,$A26))</f>
        <v/>
      </c>
      <c r="D26" s="16" t="str">
        <f aca="false">IF($A26="","",ROUND(SUMIFS(배차일보!$H$3:$H$502,배차일보!$B$3:$B$502,$A26),2))</f>
        <v/>
      </c>
      <c r="E26" s="18" t="str">
        <f aca="false">IF($A26="","",SUMIFS(배차일보!$J$3:$J$502,배차일보!$B$3:$B$502,$A26))</f>
        <v/>
      </c>
      <c r="F26" s="18" t="str">
        <f aca="false">IF($A26="","",SUMIFS(배차일보!$L$3:$L$502,배차일보!$B$3:$B$502,$A26))</f>
        <v/>
      </c>
      <c r="G26" s="18" t="str">
        <f aca="false">IF($A26="","",$E26-$F26)</f>
        <v/>
      </c>
    </row>
    <row r="27" customFormat="false" ht="15" hidden="false" customHeight="true" outlineLevel="0" collapsed="false">
      <c r="A27" s="21" t="str">
        <f aca="false">IF(차량목록!$A27="","",차량목록!$A27)</f>
        <v/>
      </c>
      <c r="B27" s="21" t="str">
        <f aca="false">IF($A27="","",차량목록!$B27)</f>
        <v/>
      </c>
      <c r="C27" s="21" t="str">
        <f aca="false">IF($A27="","",COUNTIFS(배차일보!$B$3:$B$502,$A27))</f>
        <v/>
      </c>
      <c r="D27" s="16" t="str">
        <f aca="false">IF($A27="","",ROUND(SUMIFS(배차일보!$H$3:$H$502,배차일보!$B$3:$B$502,$A27),2))</f>
        <v/>
      </c>
      <c r="E27" s="18" t="str">
        <f aca="false">IF($A27="","",SUMIFS(배차일보!$J$3:$J$502,배차일보!$B$3:$B$502,$A27))</f>
        <v/>
      </c>
      <c r="F27" s="18" t="str">
        <f aca="false">IF($A27="","",SUMIFS(배차일보!$L$3:$L$502,배차일보!$B$3:$B$502,$A27))</f>
        <v/>
      </c>
      <c r="G27" s="18" t="str">
        <f aca="false">IF($A27="","",$E27-$F27)</f>
        <v/>
      </c>
    </row>
    <row r="28" customFormat="false" ht="15" hidden="false" customHeight="true" outlineLevel="0" collapsed="false">
      <c r="A28" s="21" t="str">
        <f aca="false">IF(차량목록!$A28="","",차량목록!$A28)</f>
        <v/>
      </c>
      <c r="B28" s="21" t="str">
        <f aca="false">IF($A28="","",차량목록!$B28)</f>
        <v/>
      </c>
      <c r="C28" s="21" t="str">
        <f aca="false">IF($A28="","",COUNTIFS(배차일보!$B$3:$B$502,$A28))</f>
        <v/>
      </c>
      <c r="D28" s="16" t="str">
        <f aca="false">IF($A28="","",ROUND(SUMIFS(배차일보!$H$3:$H$502,배차일보!$B$3:$B$502,$A28),2))</f>
        <v/>
      </c>
      <c r="E28" s="18" t="str">
        <f aca="false">IF($A28="","",SUMIFS(배차일보!$J$3:$J$502,배차일보!$B$3:$B$502,$A28))</f>
        <v/>
      </c>
      <c r="F28" s="18" t="str">
        <f aca="false">IF($A28="","",SUMIFS(배차일보!$L$3:$L$502,배차일보!$B$3:$B$502,$A28))</f>
        <v/>
      </c>
      <c r="G28" s="18" t="str">
        <f aca="false">IF($A28="","",$E28-$F28)</f>
        <v/>
      </c>
    </row>
    <row r="29" customFormat="false" ht="15" hidden="false" customHeight="true" outlineLevel="0" collapsed="false">
      <c r="A29" s="21" t="str">
        <f aca="false">IF(차량목록!$A29="","",차량목록!$A29)</f>
        <v/>
      </c>
      <c r="B29" s="21" t="str">
        <f aca="false">IF($A29="","",차량목록!$B29)</f>
        <v/>
      </c>
      <c r="C29" s="21" t="str">
        <f aca="false">IF($A29="","",COUNTIFS(배차일보!$B$3:$B$502,$A29))</f>
        <v/>
      </c>
      <c r="D29" s="16" t="str">
        <f aca="false">IF($A29="","",ROUND(SUMIFS(배차일보!$H$3:$H$502,배차일보!$B$3:$B$502,$A29),2))</f>
        <v/>
      </c>
      <c r="E29" s="18" t="str">
        <f aca="false">IF($A29="","",SUMIFS(배차일보!$J$3:$J$502,배차일보!$B$3:$B$502,$A29))</f>
        <v/>
      </c>
      <c r="F29" s="18" t="str">
        <f aca="false">IF($A29="","",SUMIFS(배차일보!$L$3:$L$502,배차일보!$B$3:$B$502,$A29))</f>
        <v/>
      </c>
      <c r="G29" s="18" t="str">
        <f aca="false">IF($A29="","",$E29-$F29)</f>
        <v/>
      </c>
    </row>
    <row r="30" customFormat="false" ht="15" hidden="false" customHeight="true" outlineLevel="0" collapsed="false">
      <c r="A30" s="21" t="str">
        <f aca="false">IF(차량목록!$A30="","",차량목록!$A30)</f>
        <v/>
      </c>
      <c r="B30" s="21" t="str">
        <f aca="false">IF($A30="","",차량목록!$B30)</f>
        <v/>
      </c>
      <c r="C30" s="21" t="str">
        <f aca="false">IF($A30="","",COUNTIFS(배차일보!$B$3:$B$502,$A30))</f>
        <v/>
      </c>
      <c r="D30" s="16" t="str">
        <f aca="false">IF($A30="","",ROUND(SUMIFS(배차일보!$H$3:$H$502,배차일보!$B$3:$B$502,$A30),2))</f>
        <v/>
      </c>
      <c r="E30" s="18" t="str">
        <f aca="false">IF($A30="","",SUMIFS(배차일보!$J$3:$J$502,배차일보!$B$3:$B$502,$A30))</f>
        <v/>
      </c>
      <c r="F30" s="18" t="str">
        <f aca="false">IF($A30="","",SUMIFS(배차일보!$L$3:$L$502,배차일보!$B$3:$B$502,$A30))</f>
        <v/>
      </c>
      <c r="G30" s="18" t="str">
        <f aca="false">IF($A30="","",$E30-$F30)</f>
        <v/>
      </c>
    </row>
    <row r="31" customFormat="false" ht="15" hidden="false" customHeight="true" outlineLevel="0" collapsed="false">
      <c r="A31" s="21" t="str">
        <f aca="false">IF(차량목록!$A31="","",차량목록!$A31)</f>
        <v/>
      </c>
      <c r="B31" s="21" t="str">
        <f aca="false">IF($A31="","",차량목록!$B31)</f>
        <v/>
      </c>
      <c r="C31" s="21" t="str">
        <f aca="false">IF($A31="","",COUNTIFS(배차일보!$B$3:$B$502,$A31))</f>
        <v/>
      </c>
      <c r="D31" s="16" t="str">
        <f aca="false">IF($A31="","",ROUND(SUMIFS(배차일보!$H$3:$H$502,배차일보!$B$3:$B$502,$A31),2))</f>
        <v/>
      </c>
      <c r="E31" s="18" t="str">
        <f aca="false">IF($A31="","",SUMIFS(배차일보!$J$3:$J$502,배차일보!$B$3:$B$502,$A31))</f>
        <v/>
      </c>
      <c r="F31" s="18" t="str">
        <f aca="false">IF($A31="","",SUMIFS(배차일보!$L$3:$L$502,배차일보!$B$3:$B$502,$A31))</f>
        <v/>
      </c>
      <c r="G31" s="18" t="str">
        <f aca="false">IF($A31="","",$E31-$F31)</f>
        <v/>
      </c>
    </row>
    <row r="32" customFormat="false" ht="15" hidden="false" customHeight="true" outlineLevel="0" collapsed="false">
      <c r="A32" s="21" t="str">
        <f aca="false">IF(차량목록!$A32="","",차량목록!$A32)</f>
        <v/>
      </c>
      <c r="B32" s="21" t="str">
        <f aca="false">IF($A32="","",차량목록!$B32)</f>
        <v/>
      </c>
      <c r="C32" s="21" t="str">
        <f aca="false">IF($A32="","",COUNTIFS(배차일보!$B$3:$B$502,$A32))</f>
        <v/>
      </c>
      <c r="D32" s="16" t="str">
        <f aca="false">IF($A32="","",ROUND(SUMIFS(배차일보!$H$3:$H$502,배차일보!$B$3:$B$502,$A32),2))</f>
        <v/>
      </c>
      <c r="E32" s="18" t="str">
        <f aca="false">IF($A32="","",SUMIFS(배차일보!$J$3:$J$502,배차일보!$B$3:$B$502,$A32))</f>
        <v/>
      </c>
      <c r="F32" s="18" t="str">
        <f aca="false">IF($A32="","",SUMIFS(배차일보!$L$3:$L$502,배차일보!$B$3:$B$502,$A32))</f>
        <v/>
      </c>
      <c r="G32" s="18" t="str">
        <f aca="false">IF($A32="","",$E32-$F32)</f>
        <v/>
      </c>
    </row>
    <row r="33" customFormat="false" ht="15" hidden="false" customHeight="true" outlineLevel="0" collapsed="false">
      <c r="A33" s="21" t="str">
        <f aca="false">IF(차량목록!$A33="","",차량목록!$A33)</f>
        <v/>
      </c>
      <c r="B33" s="21" t="str">
        <f aca="false">IF($A33="","",차량목록!$B33)</f>
        <v/>
      </c>
      <c r="C33" s="21" t="str">
        <f aca="false">IF($A33="","",COUNTIFS(배차일보!$B$3:$B$502,$A33))</f>
        <v/>
      </c>
      <c r="D33" s="16" t="str">
        <f aca="false">IF($A33="","",ROUND(SUMIFS(배차일보!$H$3:$H$502,배차일보!$B$3:$B$502,$A33),2))</f>
        <v/>
      </c>
      <c r="E33" s="18" t="str">
        <f aca="false">IF($A33="","",SUMIFS(배차일보!$J$3:$J$502,배차일보!$B$3:$B$502,$A33))</f>
        <v/>
      </c>
      <c r="F33" s="18" t="str">
        <f aca="false">IF($A33="","",SUMIFS(배차일보!$L$3:$L$502,배차일보!$B$3:$B$502,$A33))</f>
        <v/>
      </c>
      <c r="G33" s="18" t="str">
        <f aca="false">IF($A33="","",$E33-$F33)</f>
        <v/>
      </c>
    </row>
    <row r="34" customFormat="false" ht="15" hidden="false" customHeight="true" outlineLevel="0" collapsed="false">
      <c r="A34" s="21" t="str">
        <f aca="false">IF(차량목록!$A34="","",차량목록!$A34)</f>
        <v/>
      </c>
      <c r="B34" s="21" t="str">
        <f aca="false">IF($A34="","",차량목록!$B34)</f>
        <v/>
      </c>
      <c r="C34" s="21" t="str">
        <f aca="false">IF($A34="","",COUNTIFS(배차일보!$B$3:$B$502,$A34))</f>
        <v/>
      </c>
      <c r="D34" s="16" t="str">
        <f aca="false">IF($A34="","",ROUND(SUMIFS(배차일보!$H$3:$H$502,배차일보!$B$3:$B$502,$A34),2))</f>
        <v/>
      </c>
      <c r="E34" s="18" t="str">
        <f aca="false">IF($A34="","",SUMIFS(배차일보!$J$3:$J$502,배차일보!$B$3:$B$502,$A34))</f>
        <v/>
      </c>
      <c r="F34" s="18" t="str">
        <f aca="false">IF($A34="","",SUMIFS(배차일보!$L$3:$L$502,배차일보!$B$3:$B$502,$A34))</f>
        <v/>
      </c>
      <c r="G34" s="18" t="str">
        <f aca="false">IF($A34="","",$E34-$F34)</f>
        <v/>
      </c>
    </row>
    <row r="35" customFormat="false" ht="15" hidden="false" customHeight="true" outlineLevel="0" collapsed="false">
      <c r="A35" s="21" t="str">
        <f aca="false">IF(차량목록!$A35="","",차량목록!$A35)</f>
        <v/>
      </c>
      <c r="B35" s="21" t="str">
        <f aca="false">IF($A35="","",차량목록!$B35)</f>
        <v/>
      </c>
      <c r="C35" s="21" t="str">
        <f aca="false">IF($A35="","",COUNTIFS(배차일보!$B$3:$B$502,$A35))</f>
        <v/>
      </c>
      <c r="D35" s="16" t="str">
        <f aca="false">IF($A35="","",ROUND(SUMIFS(배차일보!$H$3:$H$502,배차일보!$B$3:$B$502,$A35),2))</f>
        <v/>
      </c>
      <c r="E35" s="18" t="str">
        <f aca="false">IF($A35="","",SUMIFS(배차일보!$J$3:$J$502,배차일보!$B$3:$B$502,$A35))</f>
        <v/>
      </c>
      <c r="F35" s="18" t="str">
        <f aca="false">IF($A35="","",SUMIFS(배차일보!$L$3:$L$502,배차일보!$B$3:$B$502,$A35))</f>
        <v/>
      </c>
      <c r="G35" s="18" t="str">
        <f aca="false">IF($A35="","",$E35-$F35)</f>
        <v/>
      </c>
    </row>
    <row r="36" customFormat="false" ht="15" hidden="false" customHeight="true" outlineLevel="0" collapsed="false">
      <c r="A36" s="21" t="str">
        <f aca="false">IF(차량목록!$A36="","",차량목록!$A36)</f>
        <v/>
      </c>
      <c r="B36" s="21" t="str">
        <f aca="false">IF($A36="","",차량목록!$B36)</f>
        <v/>
      </c>
      <c r="C36" s="21" t="str">
        <f aca="false">IF($A36="","",COUNTIFS(배차일보!$B$3:$B$502,$A36))</f>
        <v/>
      </c>
      <c r="D36" s="16" t="str">
        <f aca="false">IF($A36="","",ROUND(SUMIFS(배차일보!$H$3:$H$502,배차일보!$B$3:$B$502,$A36),2))</f>
        <v/>
      </c>
      <c r="E36" s="18" t="str">
        <f aca="false">IF($A36="","",SUMIFS(배차일보!$J$3:$J$502,배차일보!$B$3:$B$502,$A36))</f>
        <v/>
      </c>
      <c r="F36" s="18" t="str">
        <f aca="false">IF($A36="","",SUMIFS(배차일보!$L$3:$L$502,배차일보!$B$3:$B$502,$A36))</f>
        <v/>
      </c>
      <c r="G36" s="18" t="str">
        <f aca="false">IF($A36="","",$E36-$F36)</f>
        <v/>
      </c>
    </row>
    <row r="37" customFormat="false" ht="15" hidden="false" customHeight="true" outlineLevel="0" collapsed="false">
      <c r="A37" s="21" t="str">
        <f aca="false">IF(차량목록!$A37="","",차량목록!$A37)</f>
        <v/>
      </c>
      <c r="B37" s="21" t="str">
        <f aca="false">IF($A37="","",차량목록!$B37)</f>
        <v/>
      </c>
      <c r="C37" s="21" t="str">
        <f aca="false">IF($A37="","",COUNTIFS(배차일보!$B$3:$B$502,$A37))</f>
        <v/>
      </c>
      <c r="D37" s="16" t="str">
        <f aca="false">IF($A37="","",ROUND(SUMIFS(배차일보!$H$3:$H$502,배차일보!$B$3:$B$502,$A37),2))</f>
        <v/>
      </c>
      <c r="E37" s="18" t="str">
        <f aca="false">IF($A37="","",SUMIFS(배차일보!$J$3:$J$502,배차일보!$B$3:$B$502,$A37))</f>
        <v/>
      </c>
      <c r="F37" s="18" t="str">
        <f aca="false">IF($A37="","",SUMIFS(배차일보!$L$3:$L$502,배차일보!$B$3:$B$502,$A37))</f>
        <v/>
      </c>
      <c r="G37" s="18" t="str">
        <f aca="false">IF($A37="","",$E37-$F37)</f>
        <v/>
      </c>
    </row>
    <row r="38" customFormat="false" ht="15" hidden="false" customHeight="true" outlineLevel="0" collapsed="false">
      <c r="A38" s="21" t="str">
        <f aca="false">IF(차량목록!$A38="","",차량목록!$A38)</f>
        <v/>
      </c>
      <c r="B38" s="21" t="str">
        <f aca="false">IF($A38="","",차량목록!$B38)</f>
        <v/>
      </c>
      <c r="C38" s="21" t="str">
        <f aca="false">IF($A38="","",COUNTIFS(배차일보!$B$3:$B$502,$A38))</f>
        <v/>
      </c>
      <c r="D38" s="16" t="str">
        <f aca="false">IF($A38="","",ROUND(SUMIFS(배차일보!$H$3:$H$502,배차일보!$B$3:$B$502,$A38),2))</f>
        <v/>
      </c>
      <c r="E38" s="18" t="str">
        <f aca="false">IF($A38="","",SUMIFS(배차일보!$J$3:$J$502,배차일보!$B$3:$B$502,$A38))</f>
        <v/>
      </c>
      <c r="F38" s="18" t="str">
        <f aca="false">IF($A38="","",SUMIFS(배차일보!$L$3:$L$502,배차일보!$B$3:$B$502,$A38))</f>
        <v/>
      </c>
      <c r="G38" s="18" t="str">
        <f aca="false">IF($A38="","",$E38-$F38)</f>
        <v/>
      </c>
    </row>
    <row r="39" customFormat="false" ht="15" hidden="false" customHeight="true" outlineLevel="0" collapsed="false">
      <c r="A39" s="21" t="str">
        <f aca="false">IF(차량목록!$A39="","",차량목록!$A39)</f>
        <v/>
      </c>
      <c r="B39" s="21" t="str">
        <f aca="false">IF($A39="","",차량목록!$B39)</f>
        <v/>
      </c>
      <c r="C39" s="21" t="str">
        <f aca="false">IF($A39="","",COUNTIFS(배차일보!$B$3:$B$502,$A39))</f>
        <v/>
      </c>
      <c r="D39" s="16" t="str">
        <f aca="false">IF($A39="","",ROUND(SUMIFS(배차일보!$H$3:$H$502,배차일보!$B$3:$B$502,$A39),2))</f>
        <v/>
      </c>
      <c r="E39" s="18" t="str">
        <f aca="false">IF($A39="","",SUMIFS(배차일보!$J$3:$J$502,배차일보!$B$3:$B$502,$A39))</f>
        <v/>
      </c>
      <c r="F39" s="18" t="str">
        <f aca="false">IF($A39="","",SUMIFS(배차일보!$L$3:$L$502,배차일보!$B$3:$B$502,$A39))</f>
        <v/>
      </c>
      <c r="G39" s="18" t="str">
        <f aca="false">IF($A39="","",$E39-$F39)</f>
        <v/>
      </c>
    </row>
    <row r="40" customFormat="false" ht="15" hidden="false" customHeight="true" outlineLevel="0" collapsed="false">
      <c r="A40" s="21" t="str">
        <f aca="false">IF(차량목록!$A40="","",차량목록!$A40)</f>
        <v/>
      </c>
      <c r="B40" s="21" t="str">
        <f aca="false">IF($A40="","",차량목록!$B40)</f>
        <v/>
      </c>
      <c r="C40" s="21" t="str">
        <f aca="false">IF($A40="","",COUNTIFS(배차일보!$B$3:$B$502,$A40))</f>
        <v/>
      </c>
      <c r="D40" s="16" t="str">
        <f aca="false">IF($A40="","",ROUND(SUMIFS(배차일보!$H$3:$H$502,배차일보!$B$3:$B$502,$A40),2))</f>
        <v/>
      </c>
      <c r="E40" s="18" t="str">
        <f aca="false">IF($A40="","",SUMIFS(배차일보!$J$3:$J$502,배차일보!$B$3:$B$502,$A40))</f>
        <v/>
      </c>
      <c r="F40" s="18" t="str">
        <f aca="false">IF($A40="","",SUMIFS(배차일보!$L$3:$L$502,배차일보!$B$3:$B$502,$A40))</f>
        <v/>
      </c>
      <c r="G40" s="18" t="str">
        <f aca="false">IF($A40="","",$E40-$F40)</f>
        <v/>
      </c>
    </row>
    <row r="41" customFormat="false" ht="15" hidden="false" customHeight="true" outlineLevel="0" collapsed="false">
      <c r="A41" s="21" t="str">
        <f aca="false">IF(차량목록!$A41="","",차량목록!$A41)</f>
        <v/>
      </c>
      <c r="B41" s="21" t="str">
        <f aca="false">IF($A41="","",차량목록!$B41)</f>
        <v/>
      </c>
      <c r="C41" s="21" t="str">
        <f aca="false">IF($A41="","",COUNTIFS(배차일보!$B$3:$B$502,$A41))</f>
        <v/>
      </c>
      <c r="D41" s="16" t="str">
        <f aca="false">IF($A41="","",ROUND(SUMIFS(배차일보!$H$3:$H$502,배차일보!$B$3:$B$502,$A41),2))</f>
        <v/>
      </c>
      <c r="E41" s="18" t="str">
        <f aca="false">IF($A41="","",SUMIFS(배차일보!$J$3:$J$502,배차일보!$B$3:$B$502,$A41))</f>
        <v/>
      </c>
      <c r="F41" s="18" t="str">
        <f aca="false">IF($A41="","",SUMIFS(배차일보!$L$3:$L$502,배차일보!$B$3:$B$502,$A41))</f>
        <v/>
      </c>
      <c r="G41" s="18" t="str">
        <f aca="false">IF($A41="","",$E41-$F41)</f>
        <v/>
      </c>
    </row>
    <row r="42" customFormat="false" ht="15" hidden="false" customHeight="true" outlineLevel="0" collapsed="false">
      <c r="A42" s="21" t="str">
        <f aca="false">IF(차량목록!$A42="","",차량목록!$A42)</f>
        <v/>
      </c>
      <c r="B42" s="21" t="str">
        <f aca="false">IF($A42="","",차량목록!$B42)</f>
        <v/>
      </c>
      <c r="C42" s="21" t="str">
        <f aca="false">IF($A42="","",COUNTIFS(배차일보!$B$3:$B$502,$A42))</f>
        <v/>
      </c>
      <c r="D42" s="16" t="str">
        <f aca="false">IF($A42="","",ROUND(SUMIFS(배차일보!$H$3:$H$502,배차일보!$B$3:$B$502,$A42),2))</f>
        <v/>
      </c>
      <c r="E42" s="18" t="str">
        <f aca="false">IF($A42="","",SUMIFS(배차일보!$J$3:$J$502,배차일보!$B$3:$B$502,$A42))</f>
        <v/>
      </c>
      <c r="F42" s="18" t="str">
        <f aca="false">IF($A42="","",SUMIFS(배차일보!$L$3:$L$502,배차일보!$B$3:$B$502,$A42))</f>
        <v/>
      </c>
      <c r="G42" s="18" t="str">
        <f aca="false">IF($A42="","",$E42-$F42)</f>
        <v/>
      </c>
    </row>
    <row r="44" customFormat="false" ht="15" hidden="false" customHeight="true" outlineLevel="0" collapsed="false">
      <c r="B44" s="22" t="s">
        <v>65</v>
      </c>
      <c r="C44" s="23" t="n">
        <f aca="false">SUM(C3:C42)</f>
        <v>5</v>
      </c>
      <c r="D44" s="24" t="n">
        <f aca="false">SUM(D3:D42)</f>
        <v>38.5</v>
      </c>
      <c r="E44" s="23" t="n">
        <f aca="false">SUM(E3:E42)</f>
        <v>5160000</v>
      </c>
      <c r="F44" s="23" t="n">
        <f aca="false">SUM(F3:F42)</f>
        <v>1140000</v>
      </c>
      <c r="G44" s="23" t="n">
        <f aca="false">SUM(G3:G42)</f>
        <v>4020000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5" min="3" style="1" width="16"/>
    <col collapsed="false" customWidth="true" hidden="false" outlineLevel="0" max="6" min="6" style="1" width="12"/>
    <col collapsed="false" customWidth="true" hidden="false" outlineLevel="0" max="7" min="7" style="1" width="14"/>
  </cols>
  <sheetData>
    <row r="1" customFormat="false" ht="25.5" hidden="false" customHeight="true" outlineLevel="0" collapsed="false">
      <c r="A1" s="2" t="s">
        <v>66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8" t="s">
        <v>39</v>
      </c>
      <c r="B2" s="8" t="s">
        <v>67</v>
      </c>
      <c r="C2" s="8" t="s">
        <v>62</v>
      </c>
      <c r="D2" s="8" t="s">
        <v>63</v>
      </c>
      <c r="E2" s="8" t="s">
        <v>64</v>
      </c>
      <c r="F2" s="8" t="s">
        <v>68</v>
      </c>
      <c r="G2" s="8" t="s">
        <v>69</v>
      </c>
    </row>
    <row r="3" customFormat="false" ht="15" hidden="false" customHeight="true" outlineLevel="0" collapsed="false">
      <c r="A3" s="21" t="str">
        <f aca="false">IF(거래처목록!$A3="","",거래처목록!$A3)</f>
        <v>○○종합건설</v>
      </c>
      <c r="B3" s="21" t="n">
        <f aca="false">IF($A3="","",COUNTIFS(배차일보!$D$3:$D$502,$A3))</f>
        <v>3</v>
      </c>
      <c r="C3" s="18" t="n">
        <f aca="false">IF($A3="","",SUMIFS(배차일보!$J$3:$J$502,배차일보!$D$3:$D$502,$A3))</f>
        <v>3330000</v>
      </c>
      <c r="D3" s="18" t="n">
        <f aca="false">IF($A3="","",SUMIFS(배차일보!$L$3:$L$502,배차일보!$D$3:$D$502,$A3))</f>
        <v>1140000</v>
      </c>
      <c r="E3" s="18" t="n">
        <f aca="false">IF($A3="","",$C3-$D3)</f>
        <v>2190000</v>
      </c>
      <c r="F3" s="21" t="n">
        <f aca="false">IF($A3="","",COUNTIFS(배차일보!$D$3:$D$502,$A3,배차일보!$M$3:$M$502,"&gt;0"))</f>
        <v>2</v>
      </c>
      <c r="G3" s="19" t="n">
        <f aca="true">IF($A3="","",IF($F3=0,0,TODAY()-_xlfn.MINIFS(배차일보!$A$3:$A$502,배차일보!$D$3:$D$502,$A3,배차일보!$M$3:$M$502,"&gt;0")))</f>
        <v>33</v>
      </c>
    </row>
    <row r="4" customFormat="false" ht="15" hidden="false" customHeight="true" outlineLevel="0" collapsed="false">
      <c r="A4" s="21" t="str">
        <f aca="false">IF(거래처목록!$A4="","",거래처목록!$A4)</f>
        <v>△△건설</v>
      </c>
      <c r="B4" s="21" t="n">
        <f aca="false">IF($A4="","",COUNTIFS(배차일보!$D$3:$D$502,$A4))</f>
        <v>2</v>
      </c>
      <c r="C4" s="18" t="n">
        <f aca="false">IF($A4="","",SUMIFS(배차일보!$J$3:$J$502,배차일보!$D$3:$D$502,$A4))</f>
        <v>1830000</v>
      </c>
      <c r="D4" s="18" t="n">
        <f aca="false">IF($A4="","",SUMIFS(배차일보!$L$3:$L$502,배차일보!$D$3:$D$502,$A4))</f>
        <v>0</v>
      </c>
      <c r="E4" s="18" t="n">
        <f aca="false">IF($A4="","",$C4-$D4)</f>
        <v>1830000</v>
      </c>
      <c r="F4" s="21" t="n">
        <f aca="false">IF($A4="","",COUNTIFS(배차일보!$D$3:$D$502,$A4,배차일보!$M$3:$M$502,"&gt;0"))</f>
        <v>2</v>
      </c>
      <c r="G4" s="19" t="n">
        <f aca="true">IF($A4="","",IF($F4=0,0,TODAY()-_xlfn.MINIFS(배차일보!$A$3:$A$502,배차일보!$D$3:$D$502,$A4,배차일보!$M$3:$M$502,"&gt;0")))</f>
        <v>25</v>
      </c>
    </row>
    <row r="5" customFormat="false" ht="15" hidden="false" customHeight="true" outlineLevel="0" collapsed="false">
      <c r="A5" s="21" t="str">
        <f aca="false">IF(거래처목록!$A5="","",거래처목록!$A5)</f>
        <v/>
      </c>
      <c r="B5" s="21" t="str">
        <f aca="false">IF($A5="","",COUNTIFS(배차일보!$D$3:$D$502,$A5))</f>
        <v/>
      </c>
      <c r="C5" s="18" t="str">
        <f aca="false">IF($A5="","",SUMIFS(배차일보!$J$3:$J$502,배차일보!$D$3:$D$502,$A5))</f>
        <v/>
      </c>
      <c r="D5" s="18" t="str">
        <f aca="false">IF($A5="","",SUMIFS(배차일보!$L$3:$L$502,배차일보!$D$3:$D$502,$A5))</f>
        <v/>
      </c>
      <c r="E5" s="18" t="str">
        <f aca="false">IF($A5="","",$C5-$D5)</f>
        <v/>
      </c>
      <c r="F5" s="21" t="str">
        <f aca="false">IF($A5="","",COUNTIFS(배차일보!$D$3:$D$502,$A5,배차일보!$M$3:$M$502,"&gt;0"))</f>
        <v/>
      </c>
      <c r="G5" s="19" t="str">
        <f aca="true">IF($A5="","",IF($F5=0,0,TODAY()-_xlfn.MINIFS(배차일보!$A$3:$A$502,배차일보!$D$3:$D$502,$A5,배차일보!$M$3:$M$502,"&gt;0")))</f>
        <v/>
      </c>
    </row>
    <row r="6" customFormat="false" ht="15" hidden="false" customHeight="true" outlineLevel="0" collapsed="false">
      <c r="A6" s="21" t="str">
        <f aca="false">IF(거래처목록!$A6="","",거래처목록!$A6)</f>
        <v/>
      </c>
      <c r="B6" s="21" t="str">
        <f aca="false">IF($A6="","",COUNTIFS(배차일보!$D$3:$D$502,$A6))</f>
        <v/>
      </c>
      <c r="C6" s="18" t="str">
        <f aca="false">IF($A6="","",SUMIFS(배차일보!$J$3:$J$502,배차일보!$D$3:$D$502,$A6))</f>
        <v/>
      </c>
      <c r="D6" s="18" t="str">
        <f aca="false">IF($A6="","",SUMIFS(배차일보!$L$3:$L$502,배차일보!$D$3:$D$502,$A6))</f>
        <v/>
      </c>
      <c r="E6" s="18" t="str">
        <f aca="false">IF($A6="","",$C6-$D6)</f>
        <v/>
      </c>
      <c r="F6" s="21" t="str">
        <f aca="false">IF($A6="","",COUNTIFS(배차일보!$D$3:$D$502,$A6,배차일보!$M$3:$M$502,"&gt;0"))</f>
        <v/>
      </c>
      <c r="G6" s="19" t="str">
        <f aca="true">IF($A6="","",IF($F6=0,0,TODAY()-_xlfn.MINIFS(배차일보!$A$3:$A$502,배차일보!$D$3:$D$502,$A6,배차일보!$M$3:$M$502,"&gt;0")))</f>
        <v/>
      </c>
    </row>
    <row r="7" customFormat="false" ht="15" hidden="false" customHeight="true" outlineLevel="0" collapsed="false">
      <c r="A7" s="21" t="str">
        <f aca="false">IF(거래처목록!$A7="","",거래처목록!$A7)</f>
        <v/>
      </c>
      <c r="B7" s="21" t="str">
        <f aca="false">IF($A7="","",COUNTIFS(배차일보!$D$3:$D$502,$A7))</f>
        <v/>
      </c>
      <c r="C7" s="18" t="str">
        <f aca="false">IF($A7="","",SUMIFS(배차일보!$J$3:$J$502,배차일보!$D$3:$D$502,$A7))</f>
        <v/>
      </c>
      <c r="D7" s="18" t="str">
        <f aca="false">IF($A7="","",SUMIFS(배차일보!$L$3:$L$502,배차일보!$D$3:$D$502,$A7))</f>
        <v/>
      </c>
      <c r="E7" s="18" t="str">
        <f aca="false">IF($A7="","",$C7-$D7)</f>
        <v/>
      </c>
      <c r="F7" s="21" t="str">
        <f aca="false">IF($A7="","",COUNTIFS(배차일보!$D$3:$D$502,$A7,배차일보!$M$3:$M$502,"&gt;0"))</f>
        <v/>
      </c>
      <c r="G7" s="19" t="str">
        <f aca="true">IF($A7="","",IF($F7=0,0,TODAY()-_xlfn.MINIFS(배차일보!$A$3:$A$502,배차일보!$D$3:$D$502,$A7,배차일보!$M$3:$M$502,"&gt;0")))</f>
        <v/>
      </c>
    </row>
    <row r="8" customFormat="false" ht="15" hidden="false" customHeight="true" outlineLevel="0" collapsed="false">
      <c r="A8" s="21" t="str">
        <f aca="false">IF(거래처목록!$A8="","",거래처목록!$A8)</f>
        <v/>
      </c>
      <c r="B8" s="21" t="str">
        <f aca="false">IF($A8="","",COUNTIFS(배차일보!$D$3:$D$502,$A8))</f>
        <v/>
      </c>
      <c r="C8" s="18" t="str">
        <f aca="false">IF($A8="","",SUMIFS(배차일보!$J$3:$J$502,배차일보!$D$3:$D$502,$A8))</f>
        <v/>
      </c>
      <c r="D8" s="18" t="str">
        <f aca="false">IF($A8="","",SUMIFS(배차일보!$L$3:$L$502,배차일보!$D$3:$D$502,$A8))</f>
        <v/>
      </c>
      <c r="E8" s="18" t="str">
        <f aca="false">IF($A8="","",$C8-$D8)</f>
        <v/>
      </c>
      <c r="F8" s="21" t="str">
        <f aca="false">IF($A8="","",COUNTIFS(배차일보!$D$3:$D$502,$A8,배차일보!$M$3:$M$502,"&gt;0"))</f>
        <v/>
      </c>
      <c r="G8" s="19" t="str">
        <f aca="true">IF($A8="","",IF($F8=0,0,TODAY()-_xlfn.MINIFS(배차일보!$A$3:$A$502,배차일보!$D$3:$D$502,$A8,배차일보!$M$3:$M$502,"&gt;0")))</f>
        <v/>
      </c>
    </row>
    <row r="9" customFormat="false" ht="15" hidden="false" customHeight="true" outlineLevel="0" collapsed="false">
      <c r="A9" s="21" t="str">
        <f aca="false">IF(거래처목록!$A9="","",거래처목록!$A9)</f>
        <v/>
      </c>
      <c r="B9" s="21" t="str">
        <f aca="false">IF($A9="","",COUNTIFS(배차일보!$D$3:$D$502,$A9))</f>
        <v/>
      </c>
      <c r="C9" s="18" t="str">
        <f aca="false">IF($A9="","",SUMIFS(배차일보!$J$3:$J$502,배차일보!$D$3:$D$502,$A9))</f>
        <v/>
      </c>
      <c r="D9" s="18" t="str">
        <f aca="false">IF($A9="","",SUMIFS(배차일보!$L$3:$L$502,배차일보!$D$3:$D$502,$A9))</f>
        <v/>
      </c>
      <c r="E9" s="18" t="str">
        <f aca="false">IF($A9="","",$C9-$D9)</f>
        <v/>
      </c>
      <c r="F9" s="21" t="str">
        <f aca="false">IF($A9="","",COUNTIFS(배차일보!$D$3:$D$502,$A9,배차일보!$M$3:$M$502,"&gt;0"))</f>
        <v/>
      </c>
      <c r="G9" s="19" t="str">
        <f aca="true">IF($A9="","",IF($F9=0,0,TODAY()-_xlfn.MINIFS(배차일보!$A$3:$A$502,배차일보!$D$3:$D$502,$A9,배차일보!$M$3:$M$502,"&gt;0")))</f>
        <v/>
      </c>
    </row>
    <row r="10" customFormat="false" ht="15" hidden="false" customHeight="true" outlineLevel="0" collapsed="false">
      <c r="A10" s="21" t="str">
        <f aca="false">IF(거래처목록!$A10="","",거래처목록!$A10)</f>
        <v/>
      </c>
      <c r="B10" s="21" t="str">
        <f aca="false">IF($A10="","",COUNTIFS(배차일보!$D$3:$D$502,$A10))</f>
        <v/>
      </c>
      <c r="C10" s="18" t="str">
        <f aca="false">IF($A10="","",SUMIFS(배차일보!$J$3:$J$502,배차일보!$D$3:$D$502,$A10))</f>
        <v/>
      </c>
      <c r="D10" s="18" t="str">
        <f aca="false">IF($A10="","",SUMIFS(배차일보!$L$3:$L$502,배차일보!$D$3:$D$502,$A10))</f>
        <v/>
      </c>
      <c r="E10" s="18" t="str">
        <f aca="false">IF($A10="","",$C10-$D10)</f>
        <v/>
      </c>
      <c r="F10" s="21" t="str">
        <f aca="false">IF($A10="","",COUNTIFS(배차일보!$D$3:$D$502,$A10,배차일보!$M$3:$M$502,"&gt;0"))</f>
        <v/>
      </c>
      <c r="G10" s="19" t="str">
        <f aca="true">IF($A10="","",IF($F10=0,0,TODAY()-_xlfn.MINIFS(배차일보!$A$3:$A$502,배차일보!$D$3:$D$502,$A10,배차일보!$M$3:$M$502,"&gt;0")))</f>
        <v/>
      </c>
    </row>
    <row r="11" customFormat="false" ht="15" hidden="false" customHeight="true" outlineLevel="0" collapsed="false">
      <c r="A11" s="21" t="str">
        <f aca="false">IF(거래처목록!$A11="","",거래처목록!$A11)</f>
        <v/>
      </c>
      <c r="B11" s="21" t="str">
        <f aca="false">IF($A11="","",COUNTIFS(배차일보!$D$3:$D$502,$A11))</f>
        <v/>
      </c>
      <c r="C11" s="18" t="str">
        <f aca="false">IF($A11="","",SUMIFS(배차일보!$J$3:$J$502,배차일보!$D$3:$D$502,$A11))</f>
        <v/>
      </c>
      <c r="D11" s="18" t="str">
        <f aca="false">IF($A11="","",SUMIFS(배차일보!$L$3:$L$502,배차일보!$D$3:$D$502,$A11))</f>
        <v/>
      </c>
      <c r="E11" s="18" t="str">
        <f aca="false">IF($A11="","",$C11-$D11)</f>
        <v/>
      </c>
      <c r="F11" s="21" t="str">
        <f aca="false">IF($A11="","",COUNTIFS(배차일보!$D$3:$D$502,$A11,배차일보!$M$3:$M$502,"&gt;0"))</f>
        <v/>
      </c>
      <c r="G11" s="19" t="str">
        <f aca="true">IF($A11="","",IF($F11=0,0,TODAY()-_xlfn.MINIFS(배차일보!$A$3:$A$502,배차일보!$D$3:$D$502,$A11,배차일보!$M$3:$M$502,"&gt;0")))</f>
        <v/>
      </c>
    </row>
    <row r="12" customFormat="false" ht="15" hidden="false" customHeight="true" outlineLevel="0" collapsed="false">
      <c r="A12" s="21" t="str">
        <f aca="false">IF(거래처목록!$A12="","",거래처목록!$A12)</f>
        <v/>
      </c>
      <c r="B12" s="21" t="str">
        <f aca="false">IF($A12="","",COUNTIFS(배차일보!$D$3:$D$502,$A12))</f>
        <v/>
      </c>
      <c r="C12" s="18" t="str">
        <f aca="false">IF($A12="","",SUMIFS(배차일보!$J$3:$J$502,배차일보!$D$3:$D$502,$A12))</f>
        <v/>
      </c>
      <c r="D12" s="18" t="str">
        <f aca="false">IF($A12="","",SUMIFS(배차일보!$L$3:$L$502,배차일보!$D$3:$D$502,$A12))</f>
        <v/>
      </c>
      <c r="E12" s="18" t="str">
        <f aca="false">IF($A12="","",$C12-$D12)</f>
        <v/>
      </c>
      <c r="F12" s="21" t="str">
        <f aca="false">IF($A12="","",COUNTIFS(배차일보!$D$3:$D$502,$A12,배차일보!$M$3:$M$502,"&gt;0"))</f>
        <v/>
      </c>
      <c r="G12" s="19" t="str">
        <f aca="true">IF($A12="","",IF($F12=0,0,TODAY()-_xlfn.MINIFS(배차일보!$A$3:$A$502,배차일보!$D$3:$D$502,$A12,배차일보!$M$3:$M$502,"&gt;0")))</f>
        <v/>
      </c>
    </row>
    <row r="13" customFormat="false" ht="15" hidden="false" customHeight="true" outlineLevel="0" collapsed="false">
      <c r="A13" s="21" t="str">
        <f aca="false">IF(거래처목록!$A13="","",거래처목록!$A13)</f>
        <v/>
      </c>
      <c r="B13" s="21" t="str">
        <f aca="false">IF($A13="","",COUNTIFS(배차일보!$D$3:$D$502,$A13))</f>
        <v/>
      </c>
      <c r="C13" s="18" t="str">
        <f aca="false">IF($A13="","",SUMIFS(배차일보!$J$3:$J$502,배차일보!$D$3:$D$502,$A13))</f>
        <v/>
      </c>
      <c r="D13" s="18" t="str">
        <f aca="false">IF($A13="","",SUMIFS(배차일보!$L$3:$L$502,배차일보!$D$3:$D$502,$A13))</f>
        <v/>
      </c>
      <c r="E13" s="18" t="str">
        <f aca="false">IF($A13="","",$C13-$D13)</f>
        <v/>
      </c>
      <c r="F13" s="21" t="str">
        <f aca="false">IF($A13="","",COUNTIFS(배차일보!$D$3:$D$502,$A13,배차일보!$M$3:$M$502,"&gt;0"))</f>
        <v/>
      </c>
      <c r="G13" s="19" t="str">
        <f aca="true">IF($A13="","",IF($F13=0,0,TODAY()-_xlfn.MINIFS(배차일보!$A$3:$A$502,배차일보!$D$3:$D$502,$A13,배차일보!$M$3:$M$502,"&gt;0")))</f>
        <v/>
      </c>
    </row>
    <row r="14" customFormat="false" ht="15" hidden="false" customHeight="true" outlineLevel="0" collapsed="false">
      <c r="A14" s="21" t="str">
        <f aca="false">IF(거래처목록!$A14="","",거래처목록!$A14)</f>
        <v/>
      </c>
      <c r="B14" s="21" t="str">
        <f aca="false">IF($A14="","",COUNTIFS(배차일보!$D$3:$D$502,$A14))</f>
        <v/>
      </c>
      <c r="C14" s="18" t="str">
        <f aca="false">IF($A14="","",SUMIFS(배차일보!$J$3:$J$502,배차일보!$D$3:$D$502,$A14))</f>
        <v/>
      </c>
      <c r="D14" s="18" t="str">
        <f aca="false">IF($A14="","",SUMIFS(배차일보!$L$3:$L$502,배차일보!$D$3:$D$502,$A14))</f>
        <v/>
      </c>
      <c r="E14" s="18" t="str">
        <f aca="false">IF($A14="","",$C14-$D14)</f>
        <v/>
      </c>
      <c r="F14" s="21" t="str">
        <f aca="false">IF($A14="","",COUNTIFS(배차일보!$D$3:$D$502,$A14,배차일보!$M$3:$M$502,"&gt;0"))</f>
        <v/>
      </c>
      <c r="G14" s="19" t="str">
        <f aca="true">IF($A14="","",IF($F14=0,0,TODAY()-_xlfn.MINIFS(배차일보!$A$3:$A$502,배차일보!$D$3:$D$502,$A14,배차일보!$M$3:$M$502,"&gt;0")))</f>
        <v/>
      </c>
    </row>
    <row r="15" customFormat="false" ht="15" hidden="false" customHeight="true" outlineLevel="0" collapsed="false">
      <c r="A15" s="21" t="str">
        <f aca="false">IF(거래처목록!$A15="","",거래처목록!$A15)</f>
        <v/>
      </c>
      <c r="B15" s="21" t="str">
        <f aca="false">IF($A15="","",COUNTIFS(배차일보!$D$3:$D$502,$A15))</f>
        <v/>
      </c>
      <c r="C15" s="18" t="str">
        <f aca="false">IF($A15="","",SUMIFS(배차일보!$J$3:$J$502,배차일보!$D$3:$D$502,$A15))</f>
        <v/>
      </c>
      <c r="D15" s="18" t="str">
        <f aca="false">IF($A15="","",SUMIFS(배차일보!$L$3:$L$502,배차일보!$D$3:$D$502,$A15))</f>
        <v/>
      </c>
      <c r="E15" s="18" t="str">
        <f aca="false">IF($A15="","",$C15-$D15)</f>
        <v/>
      </c>
      <c r="F15" s="21" t="str">
        <f aca="false">IF($A15="","",COUNTIFS(배차일보!$D$3:$D$502,$A15,배차일보!$M$3:$M$502,"&gt;0"))</f>
        <v/>
      </c>
      <c r="G15" s="19" t="str">
        <f aca="true">IF($A15="","",IF($F15=0,0,TODAY()-_xlfn.MINIFS(배차일보!$A$3:$A$502,배차일보!$D$3:$D$502,$A15,배차일보!$M$3:$M$502,"&gt;0")))</f>
        <v/>
      </c>
    </row>
    <row r="16" customFormat="false" ht="15" hidden="false" customHeight="true" outlineLevel="0" collapsed="false">
      <c r="A16" s="21" t="str">
        <f aca="false">IF(거래처목록!$A16="","",거래처목록!$A16)</f>
        <v/>
      </c>
      <c r="B16" s="21" t="str">
        <f aca="false">IF($A16="","",COUNTIFS(배차일보!$D$3:$D$502,$A16))</f>
        <v/>
      </c>
      <c r="C16" s="18" t="str">
        <f aca="false">IF($A16="","",SUMIFS(배차일보!$J$3:$J$502,배차일보!$D$3:$D$502,$A16))</f>
        <v/>
      </c>
      <c r="D16" s="18" t="str">
        <f aca="false">IF($A16="","",SUMIFS(배차일보!$L$3:$L$502,배차일보!$D$3:$D$502,$A16))</f>
        <v/>
      </c>
      <c r="E16" s="18" t="str">
        <f aca="false">IF($A16="","",$C16-$D16)</f>
        <v/>
      </c>
      <c r="F16" s="21" t="str">
        <f aca="false">IF($A16="","",COUNTIFS(배차일보!$D$3:$D$502,$A16,배차일보!$M$3:$M$502,"&gt;0"))</f>
        <v/>
      </c>
      <c r="G16" s="19" t="str">
        <f aca="true">IF($A16="","",IF($F16=0,0,TODAY()-_xlfn.MINIFS(배차일보!$A$3:$A$502,배차일보!$D$3:$D$502,$A16,배차일보!$M$3:$M$502,"&gt;0")))</f>
        <v/>
      </c>
    </row>
    <row r="17" customFormat="false" ht="15" hidden="false" customHeight="true" outlineLevel="0" collapsed="false">
      <c r="A17" s="21" t="str">
        <f aca="false">IF(거래처목록!$A17="","",거래처목록!$A17)</f>
        <v/>
      </c>
      <c r="B17" s="21" t="str">
        <f aca="false">IF($A17="","",COUNTIFS(배차일보!$D$3:$D$502,$A17))</f>
        <v/>
      </c>
      <c r="C17" s="18" t="str">
        <f aca="false">IF($A17="","",SUMIFS(배차일보!$J$3:$J$502,배차일보!$D$3:$D$502,$A17))</f>
        <v/>
      </c>
      <c r="D17" s="18" t="str">
        <f aca="false">IF($A17="","",SUMIFS(배차일보!$L$3:$L$502,배차일보!$D$3:$D$502,$A17))</f>
        <v/>
      </c>
      <c r="E17" s="18" t="str">
        <f aca="false">IF($A17="","",$C17-$D17)</f>
        <v/>
      </c>
      <c r="F17" s="21" t="str">
        <f aca="false">IF($A17="","",COUNTIFS(배차일보!$D$3:$D$502,$A17,배차일보!$M$3:$M$502,"&gt;0"))</f>
        <v/>
      </c>
      <c r="G17" s="19" t="str">
        <f aca="true">IF($A17="","",IF($F17=0,0,TODAY()-_xlfn.MINIFS(배차일보!$A$3:$A$502,배차일보!$D$3:$D$502,$A17,배차일보!$M$3:$M$502,"&gt;0")))</f>
        <v/>
      </c>
    </row>
    <row r="18" customFormat="false" ht="15" hidden="false" customHeight="true" outlineLevel="0" collapsed="false">
      <c r="A18" s="21" t="str">
        <f aca="false">IF(거래처목록!$A18="","",거래처목록!$A18)</f>
        <v/>
      </c>
      <c r="B18" s="21" t="str">
        <f aca="false">IF($A18="","",COUNTIFS(배차일보!$D$3:$D$502,$A18))</f>
        <v/>
      </c>
      <c r="C18" s="18" t="str">
        <f aca="false">IF($A18="","",SUMIFS(배차일보!$J$3:$J$502,배차일보!$D$3:$D$502,$A18))</f>
        <v/>
      </c>
      <c r="D18" s="18" t="str">
        <f aca="false">IF($A18="","",SUMIFS(배차일보!$L$3:$L$502,배차일보!$D$3:$D$502,$A18))</f>
        <v/>
      </c>
      <c r="E18" s="18" t="str">
        <f aca="false">IF($A18="","",$C18-$D18)</f>
        <v/>
      </c>
      <c r="F18" s="21" t="str">
        <f aca="false">IF($A18="","",COUNTIFS(배차일보!$D$3:$D$502,$A18,배차일보!$M$3:$M$502,"&gt;0"))</f>
        <v/>
      </c>
      <c r="G18" s="19" t="str">
        <f aca="true">IF($A18="","",IF($F18=0,0,TODAY()-_xlfn.MINIFS(배차일보!$A$3:$A$502,배차일보!$D$3:$D$502,$A18,배차일보!$M$3:$M$502,"&gt;0")))</f>
        <v/>
      </c>
    </row>
    <row r="19" customFormat="false" ht="15" hidden="false" customHeight="true" outlineLevel="0" collapsed="false">
      <c r="A19" s="21" t="str">
        <f aca="false">IF(거래처목록!$A19="","",거래처목록!$A19)</f>
        <v/>
      </c>
      <c r="B19" s="21" t="str">
        <f aca="false">IF($A19="","",COUNTIFS(배차일보!$D$3:$D$502,$A19))</f>
        <v/>
      </c>
      <c r="C19" s="18" t="str">
        <f aca="false">IF($A19="","",SUMIFS(배차일보!$J$3:$J$502,배차일보!$D$3:$D$502,$A19))</f>
        <v/>
      </c>
      <c r="D19" s="18" t="str">
        <f aca="false">IF($A19="","",SUMIFS(배차일보!$L$3:$L$502,배차일보!$D$3:$D$502,$A19))</f>
        <v/>
      </c>
      <c r="E19" s="18" t="str">
        <f aca="false">IF($A19="","",$C19-$D19)</f>
        <v/>
      </c>
      <c r="F19" s="21" t="str">
        <f aca="false">IF($A19="","",COUNTIFS(배차일보!$D$3:$D$502,$A19,배차일보!$M$3:$M$502,"&gt;0"))</f>
        <v/>
      </c>
      <c r="G19" s="19" t="str">
        <f aca="true">IF($A19="","",IF($F19=0,0,TODAY()-_xlfn.MINIFS(배차일보!$A$3:$A$502,배차일보!$D$3:$D$502,$A19,배차일보!$M$3:$M$502,"&gt;0")))</f>
        <v/>
      </c>
    </row>
    <row r="20" customFormat="false" ht="15" hidden="false" customHeight="true" outlineLevel="0" collapsed="false">
      <c r="A20" s="21" t="str">
        <f aca="false">IF(거래처목록!$A20="","",거래처목록!$A20)</f>
        <v/>
      </c>
      <c r="B20" s="21" t="str">
        <f aca="false">IF($A20="","",COUNTIFS(배차일보!$D$3:$D$502,$A20))</f>
        <v/>
      </c>
      <c r="C20" s="18" t="str">
        <f aca="false">IF($A20="","",SUMIFS(배차일보!$J$3:$J$502,배차일보!$D$3:$D$502,$A20))</f>
        <v/>
      </c>
      <c r="D20" s="18" t="str">
        <f aca="false">IF($A20="","",SUMIFS(배차일보!$L$3:$L$502,배차일보!$D$3:$D$502,$A20))</f>
        <v/>
      </c>
      <c r="E20" s="18" t="str">
        <f aca="false">IF($A20="","",$C20-$D20)</f>
        <v/>
      </c>
      <c r="F20" s="21" t="str">
        <f aca="false">IF($A20="","",COUNTIFS(배차일보!$D$3:$D$502,$A20,배차일보!$M$3:$M$502,"&gt;0"))</f>
        <v/>
      </c>
      <c r="G20" s="19" t="str">
        <f aca="true">IF($A20="","",IF($F20=0,0,TODAY()-_xlfn.MINIFS(배차일보!$A$3:$A$502,배차일보!$D$3:$D$502,$A20,배차일보!$M$3:$M$502,"&gt;0")))</f>
        <v/>
      </c>
    </row>
    <row r="21" customFormat="false" ht="15" hidden="false" customHeight="true" outlineLevel="0" collapsed="false">
      <c r="A21" s="21" t="str">
        <f aca="false">IF(거래처목록!$A21="","",거래처목록!$A21)</f>
        <v/>
      </c>
      <c r="B21" s="21" t="str">
        <f aca="false">IF($A21="","",COUNTIFS(배차일보!$D$3:$D$502,$A21))</f>
        <v/>
      </c>
      <c r="C21" s="18" t="str">
        <f aca="false">IF($A21="","",SUMIFS(배차일보!$J$3:$J$502,배차일보!$D$3:$D$502,$A21))</f>
        <v/>
      </c>
      <c r="D21" s="18" t="str">
        <f aca="false">IF($A21="","",SUMIFS(배차일보!$L$3:$L$502,배차일보!$D$3:$D$502,$A21))</f>
        <v/>
      </c>
      <c r="E21" s="18" t="str">
        <f aca="false">IF($A21="","",$C21-$D21)</f>
        <v/>
      </c>
      <c r="F21" s="21" t="str">
        <f aca="false">IF($A21="","",COUNTIFS(배차일보!$D$3:$D$502,$A21,배차일보!$M$3:$M$502,"&gt;0"))</f>
        <v/>
      </c>
      <c r="G21" s="19" t="str">
        <f aca="true">IF($A21="","",IF($F21=0,0,TODAY()-_xlfn.MINIFS(배차일보!$A$3:$A$502,배차일보!$D$3:$D$502,$A21,배차일보!$M$3:$M$502,"&gt;0")))</f>
        <v/>
      </c>
    </row>
    <row r="22" customFormat="false" ht="15" hidden="false" customHeight="true" outlineLevel="0" collapsed="false">
      <c r="A22" s="21" t="str">
        <f aca="false">IF(거래처목록!$A22="","",거래처목록!$A22)</f>
        <v/>
      </c>
      <c r="B22" s="21" t="str">
        <f aca="false">IF($A22="","",COUNTIFS(배차일보!$D$3:$D$502,$A22))</f>
        <v/>
      </c>
      <c r="C22" s="18" t="str">
        <f aca="false">IF($A22="","",SUMIFS(배차일보!$J$3:$J$502,배차일보!$D$3:$D$502,$A22))</f>
        <v/>
      </c>
      <c r="D22" s="18" t="str">
        <f aca="false">IF($A22="","",SUMIFS(배차일보!$L$3:$L$502,배차일보!$D$3:$D$502,$A22))</f>
        <v/>
      </c>
      <c r="E22" s="18" t="str">
        <f aca="false">IF($A22="","",$C22-$D22)</f>
        <v/>
      </c>
      <c r="F22" s="21" t="str">
        <f aca="false">IF($A22="","",COUNTIFS(배차일보!$D$3:$D$502,$A22,배차일보!$M$3:$M$502,"&gt;0"))</f>
        <v/>
      </c>
      <c r="G22" s="19" t="str">
        <f aca="true">IF($A22="","",IF($F22=0,0,TODAY()-_xlfn.MINIFS(배차일보!$A$3:$A$502,배차일보!$D$3:$D$502,$A22,배차일보!$M$3:$M$502,"&gt;0")))</f>
        <v/>
      </c>
    </row>
    <row r="23" customFormat="false" ht="15" hidden="false" customHeight="true" outlineLevel="0" collapsed="false">
      <c r="A23" s="21" t="str">
        <f aca="false">IF(거래처목록!$A23="","",거래처목록!$A23)</f>
        <v/>
      </c>
      <c r="B23" s="21" t="str">
        <f aca="false">IF($A23="","",COUNTIFS(배차일보!$D$3:$D$502,$A23))</f>
        <v/>
      </c>
      <c r="C23" s="18" t="str">
        <f aca="false">IF($A23="","",SUMIFS(배차일보!$J$3:$J$502,배차일보!$D$3:$D$502,$A23))</f>
        <v/>
      </c>
      <c r="D23" s="18" t="str">
        <f aca="false">IF($A23="","",SUMIFS(배차일보!$L$3:$L$502,배차일보!$D$3:$D$502,$A23))</f>
        <v/>
      </c>
      <c r="E23" s="18" t="str">
        <f aca="false">IF($A23="","",$C23-$D23)</f>
        <v/>
      </c>
      <c r="F23" s="21" t="str">
        <f aca="false">IF($A23="","",COUNTIFS(배차일보!$D$3:$D$502,$A23,배차일보!$M$3:$M$502,"&gt;0"))</f>
        <v/>
      </c>
      <c r="G23" s="19" t="str">
        <f aca="true">IF($A23="","",IF($F23=0,0,TODAY()-_xlfn.MINIFS(배차일보!$A$3:$A$502,배차일보!$D$3:$D$502,$A23,배차일보!$M$3:$M$502,"&gt;0")))</f>
        <v/>
      </c>
    </row>
    <row r="24" customFormat="false" ht="15" hidden="false" customHeight="true" outlineLevel="0" collapsed="false">
      <c r="A24" s="21" t="str">
        <f aca="false">IF(거래처목록!$A24="","",거래처목록!$A24)</f>
        <v/>
      </c>
      <c r="B24" s="21" t="str">
        <f aca="false">IF($A24="","",COUNTIFS(배차일보!$D$3:$D$502,$A24))</f>
        <v/>
      </c>
      <c r="C24" s="18" t="str">
        <f aca="false">IF($A24="","",SUMIFS(배차일보!$J$3:$J$502,배차일보!$D$3:$D$502,$A24))</f>
        <v/>
      </c>
      <c r="D24" s="18" t="str">
        <f aca="false">IF($A24="","",SUMIFS(배차일보!$L$3:$L$502,배차일보!$D$3:$D$502,$A24))</f>
        <v/>
      </c>
      <c r="E24" s="18" t="str">
        <f aca="false">IF($A24="","",$C24-$D24)</f>
        <v/>
      </c>
      <c r="F24" s="21" t="str">
        <f aca="false">IF($A24="","",COUNTIFS(배차일보!$D$3:$D$502,$A24,배차일보!$M$3:$M$502,"&gt;0"))</f>
        <v/>
      </c>
      <c r="G24" s="19" t="str">
        <f aca="true">IF($A24="","",IF($F24=0,0,TODAY()-_xlfn.MINIFS(배차일보!$A$3:$A$502,배차일보!$D$3:$D$502,$A24,배차일보!$M$3:$M$502,"&gt;0")))</f>
        <v/>
      </c>
    </row>
    <row r="25" customFormat="false" ht="15" hidden="false" customHeight="true" outlineLevel="0" collapsed="false">
      <c r="A25" s="21" t="str">
        <f aca="false">IF(거래처목록!$A25="","",거래처목록!$A25)</f>
        <v/>
      </c>
      <c r="B25" s="21" t="str">
        <f aca="false">IF($A25="","",COUNTIFS(배차일보!$D$3:$D$502,$A25))</f>
        <v/>
      </c>
      <c r="C25" s="18" t="str">
        <f aca="false">IF($A25="","",SUMIFS(배차일보!$J$3:$J$502,배차일보!$D$3:$D$502,$A25))</f>
        <v/>
      </c>
      <c r="D25" s="18" t="str">
        <f aca="false">IF($A25="","",SUMIFS(배차일보!$L$3:$L$502,배차일보!$D$3:$D$502,$A25))</f>
        <v/>
      </c>
      <c r="E25" s="18" t="str">
        <f aca="false">IF($A25="","",$C25-$D25)</f>
        <v/>
      </c>
      <c r="F25" s="21" t="str">
        <f aca="false">IF($A25="","",COUNTIFS(배차일보!$D$3:$D$502,$A25,배차일보!$M$3:$M$502,"&gt;0"))</f>
        <v/>
      </c>
      <c r="G25" s="19" t="str">
        <f aca="true">IF($A25="","",IF($F25=0,0,TODAY()-_xlfn.MINIFS(배차일보!$A$3:$A$502,배차일보!$D$3:$D$502,$A25,배차일보!$M$3:$M$502,"&gt;0")))</f>
        <v/>
      </c>
    </row>
    <row r="26" customFormat="false" ht="15" hidden="false" customHeight="true" outlineLevel="0" collapsed="false">
      <c r="A26" s="21" t="str">
        <f aca="false">IF(거래처목록!$A26="","",거래처목록!$A26)</f>
        <v/>
      </c>
      <c r="B26" s="21" t="str">
        <f aca="false">IF($A26="","",COUNTIFS(배차일보!$D$3:$D$502,$A26))</f>
        <v/>
      </c>
      <c r="C26" s="18" t="str">
        <f aca="false">IF($A26="","",SUMIFS(배차일보!$J$3:$J$502,배차일보!$D$3:$D$502,$A26))</f>
        <v/>
      </c>
      <c r="D26" s="18" t="str">
        <f aca="false">IF($A26="","",SUMIFS(배차일보!$L$3:$L$502,배차일보!$D$3:$D$502,$A26))</f>
        <v/>
      </c>
      <c r="E26" s="18" t="str">
        <f aca="false">IF($A26="","",$C26-$D26)</f>
        <v/>
      </c>
      <c r="F26" s="21" t="str">
        <f aca="false">IF($A26="","",COUNTIFS(배차일보!$D$3:$D$502,$A26,배차일보!$M$3:$M$502,"&gt;0"))</f>
        <v/>
      </c>
      <c r="G26" s="19" t="str">
        <f aca="true">IF($A26="","",IF($F26=0,0,TODAY()-_xlfn.MINIFS(배차일보!$A$3:$A$502,배차일보!$D$3:$D$502,$A26,배차일보!$M$3:$M$502,"&gt;0")))</f>
        <v/>
      </c>
    </row>
    <row r="27" customFormat="false" ht="15" hidden="false" customHeight="true" outlineLevel="0" collapsed="false">
      <c r="A27" s="21" t="str">
        <f aca="false">IF(거래처목록!$A27="","",거래처목록!$A27)</f>
        <v/>
      </c>
      <c r="B27" s="21" t="str">
        <f aca="false">IF($A27="","",COUNTIFS(배차일보!$D$3:$D$502,$A27))</f>
        <v/>
      </c>
      <c r="C27" s="18" t="str">
        <f aca="false">IF($A27="","",SUMIFS(배차일보!$J$3:$J$502,배차일보!$D$3:$D$502,$A27))</f>
        <v/>
      </c>
      <c r="D27" s="18" t="str">
        <f aca="false">IF($A27="","",SUMIFS(배차일보!$L$3:$L$502,배차일보!$D$3:$D$502,$A27))</f>
        <v/>
      </c>
      <c r="E27" s="18" t="str">
        <f aca="false">IF($A27="","",$C27-$D27)</f>
        <v/>
      </c>
      <c r="F27" s="21" t="str">
        <f aca="false">IF($A27="","",COUNTIFS(배차일보!$D$3:$D$502,$A27,배차일보!$M$3:$M$502,"&gt;0"))</f>
        <v/>
      </c>
      <c r="G27" s="19" t="str">
        <f aca="true">IF($A27="","",IF($F27=0,0,TODAY()-_xlfn.MINIFS(배차일보!$A$3:$A$502,배차일보!$D$3:$D$502,$A27,배차일보!$M$3:$M$502,"&gt;0")))</f>
        <v/>
      </c>
    </row>
    <row r="28" customFormat="false" ht="15" hidden="false" customHeight="true" outlineLevel="0" collapsed="false">
      <c r="A28" s="21" t="str">
        <f aca="false">IF(거래처목록!$A28="","",거래처목록!$A28)</f>
        <v/>
      </c>
      <c r="B28" s="21" t="str">
        <f aca="false">IF($A28="","",COUNTIFS(배차일보!$D$3:$D$502,$A28))</f>
        <v/>
      </c>
      <c r="C28" s="18" t="str">
        <f aca="false">IF($A28="","",SUMIFS(배차일보!$J$3:$J$502,배차일보!$D$3:$D$502,$A28))</f>
        <v/>
      </c>
      <c r="D28" s="18" t="str">
        <f aca="false">IF($A28="","",SUMIFS(배차일보!$L$3:$L$502,배차일보!$D$3:$D$502,$A28))</f>
        <v/>
      </c>
      <c r="E28" s="18" t="str">
        <f aca="false">IF($A28="","",$C28-$D28)</f>
        <v/>
      </c>
      <c r="F28" s="21" t="str">
        <f aca="false">IF($A28="","",COUNTIFS(배차일보!$D$3:$D$502,$A28,배차일보!$M$3:$M$502,"&gt;0"))</f>
        <v/>
      </c>
      <c r="G28" s="19" t="str">
        <f aca="true">IF($A28="","",IF($F28=0,0,TODAY()-_xlfn.MINIFS(배차일보!$A$3:$A$502,배차일보!$D$3:$D$502,$A28,배차일보!$M$3:$M$502,"&gt;0")))</f>
        <v/>
      </c>
    </row>
    <row r="29" customFormat="false" ht="15" hidden="false" customHeight="true" outlineLevel="0" collapsed="false">
      <c r="A29" s="21" t="str">
        <f aca="false">IF(거래처목록!$A29="","",거래처목록!$A29)</f>
        <v/>
      </c>
      <c r="B29" s="21" t="str">
        <f aca="false">IF($A29="","",COUNTIFS(배차일보!$D$3:$D$502,$A29))</f>
        <v/>
      </c>
      <c r="C29" s="18" t="str">
        <f aca="false">IF($A29="","",SUMIFS(배차일보!$J$3:$J$502,배차일보!$D$3:$D$502,$A29))</f>
        <v/>
      </c>
      <c r="D29" s="18" t="str">
        <f aca="false">IF($A29="","",SUMIFS(배차일보!$L$3:$L$502,배차일보!$D$3:$D$502,$A29))</f>
        <v/>
      </c>
      <c r="E29" s="18" t="str">
        <f aca="false">IF($A29="","",$C29-$D29)</f>
        <v/>
      </c>
      <c r="F29" s="21" t="str">
        <f aca="false">IF($A29="","",COUNTIFS(배차일보!$D$3:$D$502,$A29,배차일보!$M$3:$M$502,"&gt;0"))</f>
        <v/>
      </c>
      <c r="G29" s="19" t="str">
        <f aca="true">IF($A29="","",IF($F29=0,0,TODAY()-_xlfn.MINIFS(배차일보!$A$3:$A$502,배차일보!$D$3:$D$502,$A29,배차일보!$M$3:$M$502,"&gt;0")))</f>
        <v/>
      </c>
    </row>
    <row r="30" customFormat="false" ht="15" hidden="false" customHeight="true" outlineLevel="0" collapsed="false">
      <c r="A30" s="21" t="str">
        <f aca="false">IF(거래처목록!$A30="","",거래처목록!$A30)</f>
        <v/>
      </c>
      <c r="B30" s="21" t="str">
        <f aca="false">IF($A30="","",COUNTIFS(배차일보!$D$3:$D$502,$A30))</f>
        <v/>
      </c>
      <c r="C30" s="18" t="str">
        <f aca="false">IF($A30="","",SUMIFS(배차일보!$J$3:$J$502,배차일보!$D$3:$D$502,$A30))</f>
        <v/>
      </c>
      <c r="D30" s="18" t="str">
        <f aca="false">IF($A30="","",SUMIFS(배차일보!$L$3:$L$502,배차일보!$D$3:$D$502,$A30))</f>
        <v/>
      </c>
      <c r="E30" s="18" t="str">
        <f aca="false">IF($A30="","",$C30-$D30)</f>
        <v/>
      </c>
      <c r="F30" s="21" t="str">
        <f aca="false">IF($A30="","",COUNTIFS(배차일보!$D$3:$D$502,$A30,배차일보!$M$3:$M$502,"&gt;0"))</f>
        <v/>
      </c>
      <c r="G30" s="19" t="str">
        <f aca="true">IF($A30="","",IF($F30=0,0,TODAY()-_xlfn.MINIFS(배차일보!$A$3:$A$502,배차일보!$D$3:$D$502,$A30,배차일보!$M$3:$M$502,"&gt;0")))</f>
        <v/>
      </c>
    </row>
    <row r="31" customFormat="false" ht="15" hidden="false" customHeight="true" outlineLevel="0" collapsed="false">
      <c r="A31" s="21" t="str">
        <f aca="false">IF(거래처목록!$A31="","",거래처목록!$A31)</f>
        <v/>
      </c>
      <c r="B31" s="21" t="str">
        <f aca="false">IF($A31="","",COUNTIFS(배차일보!$D$3:$D$502,$A31))</f>
        <v/>
      </c>
      <c r="C31" s="18" t="str">
        <f aca="false">IF($A31="","",SUMIFS(배차일보!$J$3:$J$502,배차일보!$D$3:$D$502,$A31))</f>
        <v/>
      </c>
      <c r="D31" s="18" t="str">
        <f aca="false">IF($A31="","",SUMIFS(배차일보!$L$3:$L$502,배차일보!$D$3:$D$502,$A31))</f>
        <v/>
      </c>
      <c r="E31" s="18" t="str">
        <f aca="false">IF($A31="","",$C31-$D31)</f>
        <v/>
      </c>
      <c r="F31" s="21" t="str">
        <f aca="false">IF($A31="","",COUNTIFS(배차일보!$D$3:$D$502,$A31,배차일보!$M$3:$M$502,"&gt;0"))</f>
        <v/>
      </c>
      <c r="G31" s="19" t="str">
        <f aca="true">IF($A31="","",IF($F31=0,0,TODAY()-_xlfn.MINIFS(배차일보!$A$3:$A$502,배차일보!$D$3:$D$502,$A31,배차일보!$M$3:$M$502,"&gt;0")))</f>
        <v/>
      </c>
    </row>
    <row r="32" customFormat="false" ht="15" hidden="false" customHeight="true" outlineLevel="0" collapsed="false">
      <c r="A32" s="21" t="str">
        <f aca="false">IF(거래처목록!$A32="","",거래처목록!$A32)</f>
        <v/>
      </c>
      <c r="B32" s="21" t="str">
        <f aca="false">IF($A32="","",COUNTIFS(배차일보!$D$3:$D$502,$A32))</f>
        <v/>
      </c>
      <c r="C32" s="18" t="str">
        <f aca="false">IF($A32="","",SUMIFS(배차일보!$J$3:$J$502,배차일보!$D$3:$D$502,$A32))</f>
        <v/>
      </c>
      <c r="D32" s="18" t="str">
        <f aca="false">IF($A32="","",SUMIFS(배차일보!$L$3:$L$502,배차일보!$D$3:$D$502,$A32))</f>
        <v/>
      </c>
      <c r="E32" s="18" t="str">
        <f aca="false">IF($A32="","",$C32-$D32)</f>
        <v/>
      </c>
      <c r="F32" s="21" t="str">
        <f aca="false">IF($A32="","",COUNTIFS(배차일보!$D$3:$D$502,$A32,배차일보!$M$3:$M$502,"&gt;0"))</f>
        <v/>
      </c>
      <c r="G32" s="19" t="str">
        <f aca="true">IF($A32="","",IF($F32=0,0,TODAY()-_xlfn.MINIFS(배차일보!$A$3:$A$502,배차일보!$D$3:$D$502,$A32,배차일보!$M$3:$M$502,"&gt;0")))</f>
        <v/>
      </c>
    </row>
    <row r="33" customFormat="false" ht="15" hidden="false" customHeight="true" outlineLevel="0" collapsed="false">
      <c r="A33" s="21" t="str">
        <f aca="false">IF(거래처목록!$A33="","",거래처목록!$A33)</f>
        <v/>
      </c>
      <c r="B33" s="21" t="str">
        <f aca="false">IF($A33="","",COUNTIFS(배차일보!$D$3:$D$502,$A33))</f>
        <v/>
      </c>
      <c r="C33" s="18" t="str">
        <f aca="false">IF($A33="","",SUMIFS(배차일보!$J$3:$J$502,배차일보!$D$3:$D$502,$A33))</f>
        <v/>
      </c>
      <c r="D33" s="18" t="str">
        <f aca="false">IF($A33="","",SUMIFS(배차일보!$L$3:$L$502,배차일보!$D$3:$D$502,$A33))</f>
        <v/>
      </c>
      <c r="E33" s="18" t="str">
        <f aca="false">IF($A33="","",$C33-$D33)</f>
        <v/>
      </c>
      <c r="F33" s="21" t="str">
        <f aca="false">IF($A33="","",COUNTIFS(배차일보!$D$3:$D$502,$A33,배차일보!$M$3:$M$502,"&gt;0"))</f>
        <v/>
      </c>
      <c r="G33" s="19" t="str">
        <f aca="true">IF($A33="","",IF($F33=0,0,TODAY()-_xlfn.MINIFS(배차일보!$A$3:$A$502,배차일보!$D$3:$D$502,$A33,배차일보!$M$3:$M$502,"&gt;0")))</f>
        <v/>
      </c>
    </row>
    <row r="34" customFormat="false" ht="15" hidden="false" customHeight="true" outlineLevel="0" collapsed="false">
      <c r="A34" s="21" t="str">
        <f aca="false">IF(거래처목록!$A34="","",거래처목록!$A34)</f>
        <v/>
      </c>
      <c r="B34" s="21" t="str">
        <f aca="false">IF($A34="","",COUNTIFS(배차일보!$D$3:$D$502,$A34))</f>
        <v/>
      </c>
      <c r="C34" s="18" t="str">
        <f aca="false">IF($A34="","",SUMIFS(배차일보!$J$3:$J$502,배차일보!$D$3:$D$502,$A34))</f>
        <v/>
      </c>
      <c r="D34" s="18" t="str">
        <f aca="false">IF($A34="","",SUMIFS(배차일보!$L$3:$L$502,배차일보!$D$3:$D$502,$A34))</f>
        <v/>
      </c>
      <c r="E34" s="18" t="str">
        <f aca="false">IF($A34="","",$C34-$D34)</f>
        <v/>
      </c>
      <c r="F34" s="21" t="str">
        <f aca="false">IF($A34="","",COUNTIFS(배차일보!$D$3:$D$502,$A34,배차일보!$M$3:$M$502,"&gt;0"))</f>
        <v/>
      </c>
      <c r="G34" s="19" t="str">
        <f aca="true">IF($A34="","",IF($F34=0,0,TODAY()-_xlfn.MINIFS(배차일보!$A$3:$A$502,배차일보!$D$3:$D$502,$A34,배차일보!$M$3:$M$502,"&gt;0")))</f>
        <v/>
      </c>
    </row>
    <row r="35" customFormat="false" ht="15" hidden="false" customHeight="true" outlineLevel="0" collapsed="false">
      <c r="A35" s="21" t="str">
        <f aca="false">IF(거래처목록!$A35="","",거래처목록!$A35)</f>
        <v/>
      </c>
      <c r="B35" s="21" t="str">
        <f aca="false">IF($A35="","",COUNTIFS(배차일보!$D$3:$D$502,$A35))</f>
        <v/>
      </c>
      <c r="C35" s="18" t="str">
        <f aca="false">IF($A35="","",SUMIFS(배차일보!$J$3:$J$502,배차일보!$D$3:$D$502,$A35))</f>
        <v/>
      </c>
      <c r="D35" s="18" t="str">
        <f aca="false">IF($A35="","",SUMIFS(배차일보!$L$3:$L$502,배차일보!$D$3:$D$502,$A35))</f>
        <v/>
      </c>
      <c r="E35" s="18" t="str">
        <f aca="false">IF($A35="","",$C35-$D35)</f>
        <v/>
      </c>
      <c r="F35" s="21" t="str">
        <f aca="false">IF($A35="","",COUNTIFS(배차일보!$D$3:$D$502,$A35,배차일보!$M$3:$M$502,"&gt;0"))</f>
        <v/>
      </c>
      <c r="G35" s="19" t="str">
        <f aca="true">IF($A35="","",IF($F35=0,0,TODAY()-_xlfn.MINIFS(배차일보!$A$3:$A$502,배차일보!$D$3:$D$502,$A35,배차일보!$M$3:$M$502,"&gt;0")))</f>
        <v/>
      </c>
    </row>
    <row r="36" customFormat="false" ht="15" hidden="false" customHeight="true" outlineLevel="0" collapsed="false">
      <c r="A36" s="21" t="str">
        <f aca="false">IF(거래처목록!$A36="","",거래처목록!$A36)</f>
        <v/>
      </c>
      <c r="B36" s="21" t="str">
        <f aca="false">IF($A36="","",COUNTIFS(배차일보!$D$3:$D$502,$A36))</f>
        <v/>
      </c>
      <c r="C36" s="18" t="str">
        <f aca="false">IF($A36="","",SUMIFS(배차일보!$J$3:$J$502,배차일보!$D$3:$D$502,$A36))</f>
        <v/>
      </c>
      <c r="D36" s="18" t="str">
        <f aca="false">IF($A36="","",SUMIFS(배차일보!$L$3:$L$502,배차일보!$D$3:$D$502,$A36))</f>
        <v/>
      </c>
      <c r="E36" s="18" t="str">
        <f aca="false">IF($A36="","",$C36-$D36)</f>
        <v/>
      </c>
      <c r="F36" s="21" t="str">
        <f aca="false">IF($A36="","",COUNTIFS(배차일보!$D$3:$D$502,$A36,배차일보!$M$3:$M$502,"&gt;0"))</f>
        <v/>
      </c>
      <c r="G36" s="19" t="str">
        <f aca="true">IF($A36="","",IF($F36=0,0,TODAY()-_xlfn.MINIFS(배차일보!$A$3:$A$502,배차일보!$D$3:$D$502,$A36,배차일보!$M$3:$M$502,"&gt;0")))</f>
        <v/>
      </c>
    </row>
    <row r="37" customFormat="false" ht="15" hidden="false" customHeight="true" outlineLevel="0" collapsed="false">
      <c r="A37" s="21" t="str">
        <f aca="false">IF(거래처목록!$A37="","",거래처목록!$A37)</f>
        <v/>
      </c>
      <c r="B37" s="21" t="str">
        <f aca="false">IF($A37="","",COUNTIFS(배차일보!$D$3:$D$502,$A37))</f>
        <v/>
      </c>
      <c r="C37" s="18" t="str">
        <f aca="false">IF($A37="","",SUMIFS(배차일보!$J$3:$J$502,배차일보!$D$3:$D$502,$A37))</f>
        <v/>
      </c>
      <c r="D37" s="18" t="str">
        <f aca="false">IF($A37="","",SUMIFS(배차일보!$L$3:$L$502,배차일보!$D$3:$D$502,$A37))</f>
        <v/>
      </c>
      <c r="E37" s="18" t="str">
        <f aca="false">IF($A37="","",$C37-$D37)</f>
        <v/>
      </c>
      <c r="F37" s="21" t="str">
        <f aca="false">IF($A37="","",COUNTIFS(배차일보!$D$3:$D$502,$A37,배차일보!$M$3:$M$502,"&gt;0"))</f>
        <v/>
      </c>
      <c r="G37" s="19" t="str">
        <f aca="true">IF($A37="","",IF($F37=0,0,TODAY()-_xlfn.MINIFS(배차일보!$A$3:$A$502,배차일보!$D$3:$D$502,$A37,배차일보!$M$3:$M$502,"&gt;0")))</f>
        <v/>
      </c>
    </row>
    <row r="38" customFormat="false" ht="15" hidden="false" customHeight="true" outlineLevel="0" collapsed="false">
      <c r="A38" s="21" t="str">
        <f aca="false">IF(거래처목록!$A38="","",거래처목록!$A38)</f>
        <v/>
      </c>
      <c r="B38" s="21" t="str">
        <f aca="false">IF($A38="","",COUNTIFS(배차일보!$D$3:$D$502,$A38))</f>
        <v/>
      </c>
      <c r="C38" s="18" t="str">
        <f aca="false">IF($A38="","",SUMIFS(배차일보!$J$3:$J$502,배차일보!$D$3:$D$502,$A38))</f>
        <v/>
      </c>
      <c r="D38" s="18" t="str">
        <f aca="false">IF($A38="","",SUMIFS(배차일보!$L$3:$L$502,배차일보!$D$3:$D$502,$A38))</f>
        <v/>
      </c>
      <c r="E38" s="18" t="str">
        <f aca="false">IF($A38="","",$C38-$D38)</f>
        <v/>
      </c>
      <c r="F38" s="21" t="str">
        <f aca="false">IF($A38="","",COUNTIFS(배차일보!$D$3:$D$502,$A38,배차일보!$M$3:$M$502,"&gt;0"))</f>
        <v/>
      </c>
      <c r="G38" s="19" t="str">
        <f aca="true">IF($A38="","",IF($F38=0,0,TODAY()-_xlfn.MINIFS(배차일보!$A$3:$A$502,배차일보!$D$3:$D$502,$A38,배차일보!$M$3:$M$502,"&gt;0")))</f>
        <v/>
      </c>
    </row>
    <row r="39" customFormat="false" ht="15" hidden="false" customHeight="true" outlineLevel="0" collapsed="false">
      <c r="A39" s="21" t="str">
        <f aca="false">IF(거래처목록!$A39="","",거래처목록!$A39)</f>
        <v/>
      </c>
      <c r="B39" s="21" t="str">
        <f aca="false">IF($A39="","",COUNTIFS(배차일보!$D$3:$D$502,$A39))</f>
        <v/>
      </c>
      <c r="C39" s="18" t="str">
        <f aca="false">IF($A39="","",SUMIFS(배차일보!$J$3:$J$502,배차일보!$D$3:$D$502,$A39))</f>
        <v/>
      </c>
      <c r="D39" s="18" t="str">
        <f aca="false">IF($A39="","",SUMIFS(배차일보!$L$3:$L$502,배차일보!$D$3:$D$502,$A39))</f>
        <v/>
      </c>
      <c r="E39" s="18" t="str">
        <f aca="false">IF($A39="","",$C39-$D39)</f>
        <v/>
      </c>
      <c r="F39" s="21" t="str">
        <f aca="false">IF($A39="","",COUNTIFS(배차일보!$D$3:$D$502,$A39,배차일보!$M$3:$M$502,"&gt;0"))</f>
        <v/>
      </c>
      <c r="G39" s="19" t="str">
        <f aca="true">IF($A39="","",IF($F39=0,0,TODAY()-_xlfn.MINIFS(배차일보!$A$3:$A$502,배차일보!$D$3:$D$502,$A39,배차일보!$M$3:$M$502,"&gt;0")))</f>
        <v/>
      </c>
    </row>
    <row r="40" customFormat="false" ht="15" hidden="false" customHeight="true" outlineLevel="0" collapsed="false">
      <c r="A40" s="21" t="str">
        <f aca="false">IF(거래처목록!$A40="","",거래처목록!$A40)</f>
        <v/>
      </c>
      <c r="B40" s="21" t="str">
        <f aca="false">IF($A40="","",COUNTIFS(배차일보!$D$3:$D$502,$A40))</f>
        <v/>
      </c>
      <c r="C40" s="18" t="str">
        <f aca="false">IF($A40="","",SUMIFS(배차일보!$J$3:$J$502,배차일보!$D$3:$D$502,$A40))</f>
        <v/>
      </c>
      <c r="D40" s="18" t="str">
        <f aca="false">IF($A40="","",SUMIFS(배차일보!$L$3:$L$502,배차일보!$D$3:$D$502,$A40))</f>
        <v/>
      </c>
      <c r="E40" s="18" t="str">
        <f aca="false">IF($A40="","",$C40-$D40)</f>
        <v/>
      </c>
      <c r="F40" s="21" t="str">
        <f aca="false">IF($A40="","",COUNTIFS(배차일보!$D$3:$D$502,$A40,배차일보!$M$3:$M$502,"&gt;0"))</f>
        <v/>
      </c>
      <c r="G40" s="19" t="str">
        <f aca="true">IF($A40="","",IF($F40=0,0,TODAY()-_xlfn.MINIFS(배차일보!$A$3:$A$502,배차일보!$D$3:$D$502,$A40,배차일보!$M$3:$M$502,"&gt;0")))</f>
        <v/>
      </c>
    </row>
    <row r="41" customFormat="false" ht="15" hidden="false" customHeight="true" outlineLevel="0" collapsed="false">
      <c r="A41" s="21" t="str">
        <f aca="false">IF(거래처목록!$A41="","",거래처목록!$A41)</f>
        <v/>
      </c>
      <c r="B41" s="21" t="str">
        <f aca="false">IF($A41="","",COUNTIFS(배차일보!$D$3:$D$502,$A41))</f>
        <v/>
      </c>
      <c r="C41" s="18" t="str">
        <f aca="false">IF($A41="","",SUMIFS(배차일보!$J$3:$J$502,배차일보!$D$3:$D$502,$A41))</f>
        <v/>
      </c>
      <c r="D41" s="18" t="str">
        <f aca="false">IF($A41="","",SUMIFS(배차일보!$L$3:$L$502,배차일보!$D$3:$D$502,$A41))</f>
        <v/>
      </c>
      <c r="E41" s="18" t="str">
        <f aca="false">IF($A41="","",$C41-$D41)</f>
        <v/>
      </c>
      <c r="F41" s="21" t="str">
        <f aca="false">IF($A41="","",COUNTIFS(배차일보!$D$3:$D$502,$A41,배차일보!$M$3:$M$502,"&gt;0"))</f>
        <v/>
      </c>
      <c r="G41" s="19" t="str">
        <f aca="true">IF($A41="","",IF($F41=0,0,TODAY()-_xlfn.MINIFS(배차일보!$A$3:$A$502,배차일보!$D$3:$D$502,$A41,배차일보!$M$3:$M$502,"&gt;0")))</f>
        <v/>
      </c>
    </row>
    <row r="42" customFormat="false" ht="15" hidden="false" customHeight="true" outlineLevel="0" collapsed="false">
      <c r="A42" s="21" t="str">
        <f aca="false">IF(거래처목록!$A42="","",거래처목록!$A42)</f>
        <v/>
      </c>
      <c r="B42" s="21" t="str">
        <f aca="false">IF($A42="","",COUNTIFS(배차일보!$D$3:$D$502,$A42))</f>
        <v/>
      </c>
      <c r="C42" s="18" t="str">
        <f aca="false">IF($A42="","",SUMIFS(배차일보!$J$3:$J$502,배차일보!$D$3:$D$502,$A42))</f>
        <v/>
      </c>
      <c r="D42" s="18" t="str">
        <f aca="false">IF($A42="","",SUMIFS(배차일보!$L$3:$L$502,배차일보!$D$3:$D$502,$A42))</f>
        <v/>
      </c>
      <c r="E42" s="18" t="str">
        <f aca="false">IF($A42="","",$C42-$D42)</f>
        <v/>
      </c>
      <c r="F42" s="21" t="str">
        <f aca="false">IF($A42="","",COUNTIFS(배차일보!$D$3:$D$502,$A42,배차일보!$M$3:$M$502,"&gt;0"))</f>
        <v/>
      </c>
      <c r="G42" s="19" t="str">
        <f aca="true">IF($A42="","",IF($F42=0,0,TODAY()-_xlfn.MINIFS(배차일보!$A$3:$A$502,배차일보!$D$3:$D$502,$A42,배차일보!$M$3:$M$502,"&gt;0")))</f>
        <v/>
      </c>
    </row>
    <row r="43" customFormat="false" ht="15" hidden="false" customHeight="true" outlineLevel="0" collapsed="false">
      <c r="A43" s="21" t="str">
        <f aca="false">IF(거래처목록!$A43="","",거래처목록!$A43)</f>
        <v/>
      </c>
      <c r="B43" s="21" t="str">
        <f aca="false">IF($A43="","",COUNTIFS(배차일보!$D$3:$D$502,$A43))</f>
        <v/>
      </c>
      <c r="C43" s="18" t="str">
        <f aca="false">IF($A43="","",SUMIFS(배차일보!$J$3:$J$502,배차일보!$D$3:$D$502,$A43))</f>
        <v/>
      </c>
      <c r="D43" s="18" t="str">
        <f aca="false">IF($A43="","",SUMIFS(배차일보!$L$3:$L$502,배차일보!$D$3:$D$502,$A43))</f>
        <v/>
      </c>
      <c r="E43" s="18" t="str">
        <f aca="false">IF($A43="","",$C43-$D43)</f>
        <v/>
      </c>
      <c r="F43" s="21" t="str">
        <f aca="false">IF($A43="","",COUNTIFS(배차일보!$D$3:$D$502,$A43,배차일보!$M$3:$M$502,"&gt;0"))</f>
        <v/>
      </c>
      <c r="G43" s="19" t="str">
        <f aca="true">IF($A43="","",IF($F43=0,0,TODAY()-_xlfn.MINIFS(배차일보!$A$3:$A$502,배차일보!$D$3:$D$502,$A43,배차일보!$M$3:$M$502,"&gt;0")))</f>
        <v/>
      </c>
    </row>
    <row r="44" customFormat="false" ht="15" hidden="false" customHeight="true" outlineLevel="0" collapsed="false">
      <c r="A44" s="21" t="str">
        <f aca="false">IF(거래처목록!$A44="","",거래처목록!$A44)</f>
        <v/>
      </c>
      <c r="B44" s="21" t="str">
        <f aca="false">IF($A44="","",COUNTIFS(배차일보!$D$3:$D$502,$A44))</f>
        <v/>
      </c>
      <c r="C44" s="18" t="str">
        <f aca="false">IF($A44="","",SUMIFS(배차일보!$J$3:$J$502,배차일보!$D$3:$D$502,$A44))</f>
        <v/>
      </c>
      <c r="D44" s="18" t="str">
        <f aca="false">IF($A44="","",SUMIFS(배차일보!$L$3:$L$502,배차일보!$D$3:$D$502,$A44))</f>
        <v/>
      </c>
      <c r="E44" s="18" t="str">
        <f aca="false">IF($A44="","",$C44-$D44)</f>
        <v/>
      </c>
      <c r="F44" s="21" t="str">
        <f aca="false">IF($A44="","",COUNTIFS(배차일보!$D$3:$D$502,$A44,배차일보!$M$3:$M$502,"&gt;0"))</f>
        <v/>
      </c>
      <c r="G44" s="19" t="str">
        <f aca="true">IF($A44="","",IF($F44=0,0,TODAY()-_xlfn.MINIFS(배차일보!$A$3:$A$502,배차일보!$D$3:$D$502,$A44,배차일보!$M$3:$M$502,"&gt;0")))</f>
        <v/>
      </c>
    </row>
    <row r="45" customFormat="false" ht="15" hidden="false" customHeight="true" outlineLevel="0" collapsed="false">
      <c r="A45" s="21" t="str">
        <f aca="false">IF(거래처목록!$A45="","",거래처목록!$A45)</f>
        <v/>
      </c>
      <c r="B45" s="21" t="str">
        <f aca="false">IF($A45="","",COUNTIFS(배차일보!$D$3:$D$502,$A45))</f>
        <v/>
      </c>
      <c r="C45" s="18" t="str">
        <f aca="false">IF($A45="","",SUMIFS(배차일보!$J$3:$J$502,배차일보!$D$3:$D$502,$A45))</f>
        <v/>
      </c>
      <c r="D45" s="18" t="str">
        <f aca="false">IF($A45="","",SUMIFS(배차일보!$L$3:$L$502,배차일보!$D$3:$D$502,$A45))</f>
        <v/>
      </c>
      <c r="E45" s="18" t="str">
        <f aca="false">IF($A45="","",$C45-$D45)</f>
        <v/>
      </c>
      <c r="F45" s="21" t="str">
        <f aca="false">IF($A45="","",COUNTIFS(배차일보!$D$3:$D$502,$A45,배차일보!$M$3:$M$502,"&gt;0"))</f>
        <v/>
      </c>
      <c r="G45" s="19" t="str">
        <f aca="true">IF($A45="","",IF($F45=0,0,TODAY()-_xlfn.MINIFS(배차일보!$A$3:$A$502,배차일보!$D$3:$D$502,$A45,배차일보!$M$3:$M$502,"&gt;0")))</f>
        <v/>
      </c>
    </row>
    <row r="46" customFormat="false" ht="15" hidden="false" customHeight="true" outlineLevel="0" collapsed="false">
      <c r="A46" s="21" t="str">
        <f aca="false">IF(거래처목록!$A46="","",거래처목록!$A46)</f>
        <v/>
      </c>
      <c r="B46" s="21" t="str">
        <f aca="false">IF($A46="","",COUNTIFS(배차일보!$D$3:$D$502,$A46))</f>
        <v/>
      </c>
      <c r="C46" s="18" t="str">
        <f aca="false">IF($A46="","",SUMIFS(배차일보!$J$3:$J$502,배차일보!$D$3:$D$502,$A46))</f>
        <v/>
      </c>
      <c r="D46" s="18" t="str">
        <f aca="false">IF($A46="","",SUMIFS(배차일보!$L$3:$L$502,배차일보!$D$3:$D$502,$A46))</f>
        <v/>
      </c>
      <c r="E46" s="18" t="str">
        <f aca="false">IF($A46="","",$C46-$D46)</f>
        <v/>
      </c>
      <c r="F46" s="21" t="str">
        <f aca="false">IF($A46="","",COUNTIFS(배차일보!$D$3:$D$502,$A46,배차일보!$M$3:$M$502,"&gt;0"))</f>
        <v/>
      </c>
      <c r="G46" s="19" t="str">
        <f aca="true">IF($A46="","",IF($F46=0,0,TODAY()-_xlfn.MINIFS(배차일보!$A$3:$A$502,배차일보!$D$3:$D$502,$A46,배차일보!$M$3:$M$502,"&gt;0")))</f>
        <v/>
      </c>
    </row>
    <row r="47" customFormat="false" ht="15" hidden="false" customHeight="true" outlineLevel="0" collapsed="false">
      <c r="A47" s="21" t="str">
        <f aca="false">IF(거래처목록!$A47="","",거래처목록!$A47)</f>
        <v/>
      </c>
      <c r="B47" s="21" t="str">
        <f aca="false">IF($A47="","",COUNTIFS(배차일보!$D$3:$D$502,$A47))</f>
        <v/>
      </c>
      <c r="C47" s="18" t="str">
        <f aca="false">IF($A47="","",SUMIFS(배차일보!$J$3:$J$502,배차일보!$D$3:$D$502,$A47))</f>
        <v/>
      </c>
      <c r="D47" s="18" t="str">
        <f aca="false">IF($A47="","",SUMIFS(배차일보!$L$3:$L$502,배차일보!$D$3:$D$502,$A47))</f>
        <v/>
      </c>
      <c r="E47" s="18" t="str">
        <f aca="false">IF($A47="","",$C47-$D47)</f>
        <v/>
      </c>
      <c r="F47" s="21" t="str">
        <f aca="false">IF($A47="","",COUNTIFS(배차일보!$D$3:$D$502,$A47,배차일보!$M$3:$M$502,"&gt;0"))</f>
        <v/>
      </c>
      <c r="G47" s="19" t="str">
        <f aca="true">IF($A47="","",IF($F47=0,0,TODAY()-_xlfn.MINIFS(배차일보!$A$3:$A$502,배차일보!$D$3:$D$502,$A47,배차일보!$M$3:$M$502,"&gt;0")))</f>
        <v/>
      </c>
    </row>
    <row r="48" customFormat="false" ht="15" hidden="false" customHeight="true" outlineLevel="0" collapsed="false">
      <c r="A48" s="21" t="str">
        <f aca="false">IF(거래처목록!$A48="","",거래처목록!$A48)</f>
        <v/>
      </c>
      <c r="B48" s="21" t="str">
        <f aca="false">IF($A48="","",COUNTIFS(배차일보!$D$3:$D$502,$A48))</f>
        <v/>
      </c>
      <c r="C48" s="18" t="str">
        <f aca="false">IF($A48="","",SUMIFS(배차일보!$J$3:$J$502,배차일보!$D$3:$D$502,$A48))</f>
        <v/>
      </c>
      <c r="D48" s="18" t="str">
        <f aca="false">IF($A48="","",SUMIFS(배차일보!$L$3:$L$502,배차일보!$D$3:$D$502,$A48))</f>
        <v/>
      </c>
      <c r="E48" s="18" t="str">
        <f aca="false">IF($A48="","",$C48-$D48)</f>
        <v/>
      </c>
      <c r="F48" s="21" t="str">
        <f aca="false">IF($A48="","",COUNTIFS(배차일보!$D$3:$D$502,$A48,배차일보!$M$3:$M$502,"&gt;0"))</f>
        <v/>
      </c>
      <c r="G48" s="19" t="str">
        <f aca="true">IF($A48="","",IF($F48=0,0,TODAY()-_xlfn.MINIFS(배차일보!$A$3:$A$502,배차일보!$D$3:$D$502,$A48,배차일보!$M$3:$M$502,"&gt;0")))</f>
        <v/>
      </c>
    </row>
    <row r="49" customFormat="false" ht="15" hidden="false" customHeight="true" outlineLevel="0" collapsed="false">
      <c r="A49" s="21" t="str">
        <f aca="false">IF(거래처목록!$A49="","",거래처목록!$A49)</f>
        <v/>
      </c>
      <c r="B49" s="21" t="str">
        <f aca="false">IF($A49="","",COUNTIFS(배차일보!$D$3:$D$502,$A49))</f>
        <v/>
      </c>
      <c r="C49" s="18" t="str">
        <f aca="false">IF($A49="","",SUMIFS(배차일보!$J$3:$J$502,배차일보!$D$3:$D$502,$A49))</f>
        <v/>
      </c>
      <c r="D49" s="18" t="str">
        <f aca="false">IF($A49="","",SUMIFS(배차일보!$L$3:$L$502,배차일보!$D$3:$D$502,$A49))</f>
        <v/>
      </c>
      <c r="E49" s="18" t="str">
        <f aca="false">IF($A49="","",$C49-$D49)</f>
        <v/>
      </c>
      <c r="F49" s="21" t="str">
        <f aca="false">IF($A49="","",COUNTIFS(배차일보!$D$3:$D$502,$A49,배차일보!$M$3:$M$502,"&gt;0"))</f>
        <v/>
      </c>
      <c r="G49" s="19" t="str">
        <f aca="true">IF($A49="","",IF($F49=0,0,TODAY()-_xlfn.MINIFS(배차일보!$A$3:$A$502,배차일보!$D$3:$D$502,$A49,배차일보!$M$3:$M$502,"&gt;0")))</f>
        <v/>
      </c>
    </row>
    <row r="50" customFormat="false" ht="15" hidden="false" customHeight="true" outlineLevel="0" collapsed="false">
      <c r="A50" s="21" t="str">
        <f aca="false">IF(거래처목록!$A50="","",거래처목록!$A50)</f>
        <v/>
      </c>
      <c r="B50" s="21" t="str">
        <f aca="false">IF($A50="","",COUNTIFS(배차일보!$D$3:$D$502,$A50))</f>
        <v/>
      </c>
      <c r="C50" s="18" t="str">
        <f aca="false">IF($A50="","",SUMIFS(배차일보!$J$3:$J$502,배차일보!$D$3:$D$502,$A50))</f>
        <v/>
      </c>
      <c r="D50" s="18" t="str">
        <f aca="false">IF($A50="","",SUMIFS(배차일보!$L$3:$L$502,배차일보!$D$3:$D$502,$A50))</f>
        <v/>
      </c>
      <c r="E50" s="18" t="str">
        <f aca="false">IF($A50="","",$C50-$D50)</f>
        <v/>
      </c>
      <c r="F50" s="21" t="str">
        <f aca="false">IF($A50="","",COUNTIFS(배차일보!$D$3:$D$502,$A50,배차일보!$M$3:$M$502,"&gt;0"))</f>
        <v/>
      </c>
      <c r="G50" s="19" t="str">
        <f aca="true">IF($A50="","",IF($F50=0,0,TODAY()-_xlfn.MINIFS(배차일보!$A$3:$A$502,배차일보!$D$3:$D$502,$A50,배차일보!$M$3:$M$502,"&gt;0")))</f>
        <v/>
      </c>
    </row>
    <row r="51" customFormat="false" ht="15" hidden="false" customHeight="true" outlineLevel="0" collapsed="false">
      <c r="A51" s="21" t="str">
        <f aca="false">IF(거래처목록!$A51="","",거래처목록!$A51)</f>
        <v/>
      </c>
      <c r="B51" s="21" t="str">
        <f aca="false">IF($A51="","",COUNTIFS(배차일보!$D$3:$D$502,$A51))</f>
        <v/>
      </c>
      <c r="C51" s="18" t="str">
        <f aca="false">IF($A51="","",SUMIFS(배차일보!$J$3:$J$502,배차일보!$D$3:$D$502,$A51))</f>
        <v/>
      </c>
      <c r="D51" s="18" t="str">
        <f aca="false">IF($A51="","",SUMIFS(배차일보!$L$3:$L$502,배차일보!$D$3:$D$502,$A51))</f>
        <v/>
      </c>
      <c r="E51" s="18" t="str">
        <f aca="false">IF($A51="","",$C51-$D51)</f>
        <v/>
      </c>
      <c r="F51" s="21" t="str">
        <f aca="false">IF($A51="","",COUNTIFS(배차일보!$D$3:$D$502,$A51,배차일보!$M$3:$M$502,"&gt;0"))</f>
        <v/>
      </c>
      <c r="G51" s="19" t="str">
        <f aca="true">IF($A51="","",IF($F51=0,0,TODAY()-_xlfn.MINIFS(배차일보!$A$3:$A$502,배차일보!$D$3:$D$502,$A51,배차일보!$M$3:$M$502,"&gt;0")))</f>
        <v/>
      </c>
    </row>
    <row r="52" customFormat="false" ht="15" hidden="false" customHeight="true" outlineLevel="0" collapsed="false">
      <c r="A52" s="21" t="str">
        <f aca="false">IF(거래처목록!$A52="","",거래처목록!$A52)</f>
        <v/>
      </c>
      <c r="B52" s="21" t="str">
        <f aca="false">IF($A52="","",COUNTIFS(배차일보!$D$3:$D$502,$A52))</f>
        <v/>
      </c>
      <c r="C52" s="18" t="str">
        <f aca="false">IF($A52="","",SUMIFS(배차일보!$J$3:$J$502,배차일보!$D$3:$D$502,$A52))</f>
        <v/>
      </c>
      <c r="D52" s="18" t="str">
        <f aca="false">IF($A52="","",SUMIFS(배차일보!$L$3:$L$502,배차일보!$D$3:$D$502,$A52))</f>
        <v/>
      </c>
      <c r="E52" s="18" t="str">
        <f aca="false">IF($A52="","",$C52-$D52)</f>
        <v/>
      </c>
      <c r="F52" s="21" t="str">
        <f aca="false">IF($A52="","",COUNTIFS(배차일보!$D$3:$D$502,$A52,배차일보!$M$3:$M$502,"&gt;0"))</f>
        <v/>
      </c>
      <c r="G52" s="19" t="str">
        <f aca="true">IF($A52="","",IF($F52=0,0,TODAY()-_xlfn.MINIFS(배차일보!$A$3:$A$502,배차일보!$D$3:$D$502,$A52,배차일보!$M$3:$M$502,"&gt;0")))</f>
        <v/>
      </c>
    </row>
    <row r="53" customFormat="false" ht="15" hidden="false" customHeight="true" outlineLevel="0" collapsed="false">
      <c r="A53" s="21" t="str">
        <f aca="false">IF(거래처목록!$A53="","",거래처목록!$A53)</f>
        <v/>
      </c>
      <c r="B53" s="21" t="str">
        <f aca="false">IF($A53="","",COUNTIFS(배차일보!$D$3:$D$502,$A53))</f>
        <v/>
      </c>
      <c r="C53" s="18" t="str">
        <f aca="false">IF($A53="","",SUMIFS(배차일보!$J$3:$J$502,배차일보!$D$3:$D$502,$A53))</f>
        <v/>
      </c>
      <c r="D53" s="18" t="str">
        <f aca="false">IF($A53="","",SUMIFS(배차일보!$L$3:$L$502,배차일보!$D$3:$D$502,$A53))</f>
        <v/>
      </c>
      <c r="E53" s="18" t="str">
        <f aca="false">IF($A53="","",$C53-$D53)</f>
        <v/>
      </c>
      <c r="F53" s="21" t="str">
        <f aca="false">IF($A53="","",COUNTIFS(배차일보!$D$3:$D$502,$A53,배차일보!$M$3:$M$502,"&gt;0"))</f>
        <v/>
      </c>
      <c r="G53" s="19" t="str">
        <f aca="true">IF($A53="","",IF($F53=0,0,TODAY()-_xlfn.MINIFS(배차일보!$A$3:$A$502,배차일보!$D$3:$D$502,$A53,배차일보!$M$3:$M$502,"&gt;0")))</f>
        <v/>
      </c>
    </row>
    <row r="54" customFormat="false" ht="15" hidden="false" customHeight="true" outlineLevel="0" collapsed="false">
      <c r="A54" s="21" t="str">
        <f aca="false">IF(거래처목록!$A54="","",거래처목록!$A54)</f>
        <v/>
      </c>
      <c r="B54" s="21" t="str">
        <f aca="false">IF($A54="","",COUNTIFS(배차일보!$D$3:$D$502,$A54))</f>
        <v/>
      </c>
      <c r="C54" s="18" t="str">
        <f aca="false">IF($A54="","",SUMIFS(배차일보!$J$3:$J$502,배차일보!$D$3:$D$502,$A54))</f>
        <v/>
      </c>
      <c r="D54" s="18" t="str">
        <f aca="false">IF($A54="","",SUMIFS(배차일보!$L$3:$L$502,배차일보!$D$3:$D$502,$A54))</f>
        <v/>
      </c>
      <c r="E54" s="18" t="str">
        <f aca="false">IF($A54="","",$C54-$D54)</f>
        <v/>
      </c>
      <c r="F54" s="21" t="str">
        <f aca="false">IF($A54="","",COUNTIFS(배차일보!$D$3:$D$502,$A54,배차일보!$M$3:$M$502,"&gt;0"))</f>
        <v/>
      </c>
      <c r="G54" s="19" t="str">
        <f aca="true">IF($A54="","",IF($F54=0,0,TODAY()-_xlfn.MINIFS(배차일보!$A$3:$A$502,배차일보!$D$3:$D$502,$A54,배차일보!$M$3:$M$502,"&gt;0")))</f>
        <v/>
      </c>
    </row>
    <row r="55" customFormat="false" ht="15" hidden="false" customHeight="true" outlineLevel="0" collapsed="false">
      <c r="A55" s="21" t="str">
        <f aca="false">IF(거래처목록!$A55="","",거래처목록!$A55)</f>
        <v/>
      </c>
      <c r="B55" s="21" t="str">
        <f aca="false">IF($A55="","",COUNTIFS(배차일보!$D$3:$D$502,$A55))</f>
        <v/>
      </c>
      <c r="C55" s="18" t="str">
        <f aca="false">IF($A55="","",SUMIFS(배차일보!$J$3:$J$502,배차일보!$D$3:$D$502,$A55))</f>
        <v/>
      </c>
      <c r="D55" s="18" t="str">
        <f aca="false">IF($A55="","",SUMIFS(배차일보!$L$3:$L$502,배차일보!$D$3:$D$502,$A55))</f>
        <v/>
      </c>
      <c r="E55" s="18" t="str">
        <f aca="false">IF($A55="","",$C55-$D55)</f>
        <v/>
      </c>
      <c r="F55" s="21" t="str">
        <f aca="false">IF($A55="","",COUNTIFS(배차일보!$D$3:$D$502,$A55,배차일보!$M$3:$M$502,"&gt;0"))</f>
        <v/>
      </c>
      <c r="G55" s="19" t="str">
        <f aca="true">IF($A55="","",IF($F55=0,0,TODAY()-_xlfn.MINIFS(배차일보!$A$3:$A$502,배차일보!$D$3:$D$502,$A55,배차일보!$M$3:$M$502,"&gt;0")))</f>
        <v/>
      </c>
    </row>
    <row r="56" customFormat="false" ht="15" hidden="false" customHeight="true" outlineLevel="0" collapsed="false">
      <c r="A56" s="21" t="str">
        <f aca="false">IF(거래처목록!$A56="","",거래처목록!$A56)</f>
        <v/>
      </c>
      <c r="B56" s="21" t="str">
        <f aca="false">IF($A56="","",COUNTIFS(배차일보!$D$3:$D$502,$A56))</f>
        <v/>
      </c>
      <c r="C56" s="18" t="str">
        <f aca="false">IF($A56="","",SUMIFS(배차일보!$J$3:$J$502,배차일보!$D$3:$D$502,$A56))</f>
        <v/>
      </c>
      <c r="D56" s="18" t="str">
        <f aca="false">IF($A56="","",SUMIFS(배차일보!$L$3:$L$502,배차일보!$D$3:$D$502,$A56))</f>
        <v/>
      </c>
      <c r="E56" s="18" t="str">
        <f aca="false">IF($A56="","",$C56-$D56)</f>
        <v/>
      </c>
      <c r="F56" s="21" t="str">
        <f aca="false">IF($A56="","",COUNTIFS(배차일보!$D$3:$D$502,$A56,배차일보!$M$3:$M$502,"&gt;0"))</f>
        <v/>
      </c>
      <c r="G56" s="19" t="str">
        <f aca="true">IF($A56="","",IF($F56=0,0,TODAY()-_xlfn.MINIFS(배차일보!$A$3:$A$502,배차일보!$D$3:$D$502,$A56,배차일보!$M$3:$M$502,"&gt;0")))</f>
        <v/>
      </c>
    </row>
    <row r="57" customFormat="false" ht="15" hidden="false" customHeight="true" outlineLevel="0" collapsed="false">
      <c r="A57" s="21" t="str">
        <f aca="false">IF(거래처목록!$A57="","",거래처목록!$A57)</f>
        <v/>
      </c>
      <c r="B57" s="21" t="str">
        <f aca="false">IF($A57="","",COUNTIFS(배차일보!$D$3:$D$502,$A57))</f>
        <v/>
      </c>
      <c r="C57" s="18" t="str">
        <f aca="false">IF($A57="","",SUMIFS(배차일보!$J$3:$J$502,배차일보!$D$3:$D$502,$A57))</f>
        <v/>
      </c>
      <c r="D57" s="18" t="str">
        <f aca="false">IF($A57="","",SUMIFS(배차일보!$L$3:$L$502,배차일보!$D$3:$D$502,$A57))</f>
        <v/>
      </c>
      <c r="E57" s="18" t="str">
        <f aca="false">IF($A57="","",$C57-$D57)</f>
        <v/>
      </c>
      <c r="F57" s="21" t="str">
        <f aca="false">IF($A57="","",COUNTIFS(배차일보!$D$3:$D$502,$A57,배차일보!$M$3:$M$502,"&gt;0"))</f>
        <v/>
      </c>
      <c r="G57" s="19" t="str">
        <f aca="true">IF($A57="","",IF($F57=0,0,TODAY()-_xlfn.MINIFS(배차일보!$A$3:$A$502,배차일보!$D$3:$D$502,$A57,배차일보!$M$3:$M$502,"&gt;0")))</f>
        <v/>
      </c>
    </row>
    <row r="58" customFormat="false" ht="15" hidden="false" customHeight="true" outlineLevel="0" collapsed="false">
      <c r="A58" s="21" t="str">
        <f aca="false">IF(거래처목록!$A58="","",거래처목록!$A58)</f>
        <v/>
      </c>
      <c r="B58" s="21" t="str">
        <f aca="false">IF($A58="","",COUNTIFS(배차일보!$D$3:$D$502,$A58))</f>
        <v/>
      </c>
      <c r="C58" s="18" t="str">
        <f aca="false">IF($A58="","",SUMIFS(배차일보!$J$3:$J$502,배차일보!$D$3:$D$502,$A58))</f>
        <v/>
      </c>
      <c r="D58" s="18" t="str">
        <f aca="false">IF($A58="","",SUMIFS(배차일보!$L$3:$L$502,배차일보!$D$3:$D$502,$A58))</f>
        <v/>
      </c>
      <c r="E58" s="18" t="str">
        <f aca="false">IF($A58="","",$C58-$D58)</f>
        <v/>
      </c>
      <c r="F58" s="21" t="str">
        <f aca="false">IF($A58="","",COUNTIFS(배차일보!$D$3:$D$502,$A58,배차일보!$M$3:$M$502,"&gt;0"))</f>
        <v/>
      </c>
      <c r="G58" s="19" t="str">
        <f aca="true">IF($A58="","",IF($F58=0,0,TODAY()-_xlfn.MINIFS(배차일보!$A$3:$A$502,배차일보!$D$3:$D$502,$A58,배차일보!$M$3:$M$502,"&gt;0")))</f>
        <v/>
      </c>
    </row>
    <row r="59" customFormat="false" ht="15" hidden="false" customHeight="true" outlineLevel="0" collapsed="false">
      <c r="A59" s="21" t="str">
        <f aca="false">IF(거래처목록!$A59="","",거래처목록!$A59)</f>
        <v/>
      </c>
      <c r="B59" s="21" t="str">
        <f aca="false">IF($A59="","",COUNTIFS(배차일보!$D$3:$D$502,$A59))</f>
        <v/>
      </c>
      <c r="C59" s="18" t="str">
        <f aca="false">IF($A59="","",SUMIFS(배차일보!$J$3:$J$502,배차일보!$D$3:$D$502,$A59))</f>
        <v/>
      </c>
      <c r="D59" s="18" t="str">
        <f aca="false">IF($A59="","",SUMIFS(배차일보!$L$3:$L$502,배차일보!$D$3:$D$502,$A59))</f>
        <v/>
      </c>
      <c r="E59" s="18" t="str">
        <f aca="false">IF($A59="","",$C59-$D59)</f>
        <v/>
      </c>
      <c r="F59" s="21" t="str">
        <f aca="false">IF($A59="","",COUNTIFS(배차일보!$D$3:$D$502,$A59,배차일보!$M$3:$M$502,"&gt;0"))</f>
        <v/>
      </c>
      <c r="G59" s="19" t="str">
        <f aca="true">IF($A59="","",IF($F59=0,0,TODAY()-_xlfn.MINIFS(배차일보!$A$3:$A$502,배차일보!$D$3:$D$502,$A59,배차일보!$M$3:$M$502,"&gt;0")))</f>
        <v/>
      </c>
    </row>
    <row r="60" customFormat="false" ht="15" hidden="false" customHeight="true" outlineLevel="0" collapsed="false">
      <c r="A60" s="21" t="str">
        <f aca="false">IF(거래처목록!$A60="","",거래처목록!$A60)</f>
        <v/>
      </c>
      <c r="B60" s="21" t="str">
        <f aca="false">IF($A60="","",COUNTIFS(배차일보!$D$3:$D$502,$A60))</f>
        <v/>
      </c>
      <c r="C60" s="18" t="str">
        <f aca="false">IF($A60="","",SUMIFS(배차일보!$J$3:$J$502,배차일보!$D$3:$D$502,$A60))</f>
        <v/>
      </c>
      <c r="D60" s="18" t="str">
        <f aca="false">IF($A60="","",SUMIFS(배차일보!$L$3:$L$502,배차일보!$D$3:$D$502,$A60))</f>
        <v/>
      </c>
      <c r="E60" s="18" t="str">
        <f aca="false">IF($A60="","",$C60-$D60)</f>
        <v/>
      </c>
      <c r="F60" s="21" t="str">
        <f aca="false">IF($A60="","",COUNTIFS(배차일보!$D$3:$D$502,$A60,배차일보!$M$3:$M$502,"&gt;0"))</f>
        <v/>
      </c>
      <c r="G60" s="19" t="str">
        <f aca="true">IF($A60="","",IF($F60=0,0,TODAY()-_xlfn.MINIFS(배차일보!$A$3:$A$502,배차일보!$D$3:$D$502,$A60,배차일보!$M$3:$M$502,"&gt;0")))</f>
        <v/>
      </c>
    </row>
    <row r="61" customFormat="false" ht="15" hidden="false" customHeight="true" outlineLevel="0" collapsed="false">
      <c r="A61" s="21" t="str">
        <f aca="false">IF(거래처목록!$A61="","",거래처목록!$A61)</f>
        <v/>
      </c>
      <c r="B61" s="21" t="str">
        <f aca="false">IF($A61="","",COUNTIFS(배차일보!$D$3:$D$502,$A61))</f>
        <v/>
      </c>
      <c r="C61" s="18" t="str">
        <f aca="false">IF($A61="","",SUMIFS(배차일보!$J$3:$J$502,배차일보!$D$3:$D$502,$A61))</f>
        <v/>
      </c>
      <c r="D61" s="18" t="str">
        <f aca="false">IF($A61="","",SUMIFS(배차일보!$L$3:$L$502,배차일보!$D$3:$D$502,$A61))</f>
        <v/>
      </c>
      <c r="E61" s="18" t="str">
        <f aca="false">IF($A61="","",$C61-$D61)</f>
        <v/>
      </c>
      <c r="F61" s="21" t="str">
        <f aca="false">IF($A61="","",COUNTIFS(배차일보!$D$3:$D$502,$A61,배차일보!$M$3:$M$502,"&gt;0"))</f>
        <v/>
      </c>
      <c r="G61" s="19" t="str">
        <f aca="true">IF($A61="","",IF($F61=0,0,TODAY()-_xlfn.MINIFS(배차일보!$A$3:$A$502,배차일보!$D$3:$D$502,$A61,배차일보!$M$3:$M$502,"&gt;0")))</f>
        <v/>
      </c>
    </row>
    <row r="62" customFormat="false" ht="15" hidden="false" customHeight="true" outlineLevel="0" collapsed="false">
      <c r="A62" s="21" t="str">
        <f aca="false">IF(거래처목록!$A62="","",거래처목록!$A62)</f>
        <v/>
      </c>
      <c r="B62" s="21" t="str">
        <f aca="false">IF($A62="","",COUNTIFS(배차일보!$D$3:$D$502,$A62))</f>
        <v/>
      </c>
      <c r="C62" s="18" t="str">
        <f aca="false">IF($A62="","",SUMIFS(배차일보!$J$3:$J$502,배차일보!$D$3:$D$502,$A62))</f>
        <v/>
      </c>
      <c r="D62" s="18" t="str">
        <f aca="false">IF($A62="","",SUMIFS(배차일보!$L$3:$L$502,배차일보!$D$3:$D$502,$A62))</f>
        <v/>
      </c>
      <c r="E62" s="18" t="str">
        <f aca="false">IF($A62="","",$C62-$D62)</f>
        <v/>
      </c>
      <c r="F62" s="21" t="str">
        <f aca="false">IF($A62="","",COUNTIFS(배차일보!$D$3:$D$502,$A62,배차일보!$M$3:$M$502,"&gt;0"))</f>
        <v/>
      </c>
      <c r="G62" s="19" t="str">
        <f aca="true">IF($A62="","",IF($F62=0,0,TODAY()-_xlfn.MINIFS(배차일보!$A$3:$A$502,배차일보!$D$3:$D$502,$A62,배차일보!$M$3:$M$502,"&gt;0")))</f>
        <v/>
      </c>
    </row>
    <row r="64" customFormat="false" ht="15" hidden="false" customHeight="true" outlineLevel="0" collapsed="false">
      <c r="A64" s="22" t="s">
        <v>65</v>
      </c>
      <c r="B64" s="22" t="n">
        <f aca="false">SUM(B3:B62)</f>
        <v>5</v>
      </c>
      <c r="C64" s="23" t="n">
        <f aca="false">SUM(C3:C62)</f>
        <v>5160000</v>
      </c>
      <c r="D64" s="23" t="n">
        <f aca="false">SUM(D3:D62)</f>
        <v>1140000</v>
      </c>
      <c r="E64" s="23" t="n">
        <f aca="false">SUM(E3:E62)</f>
        <v>4020000</v>
      </c>
      <c r="F64" s="22" t="n">
        <f aca="false">SUM(F3:F62)</f>
        <v>4</v>
      </c>
    </row>
    <row r="66" customFormat="false" ht="15" hidden="false" customHeight="true" outlineLevel="0" collapsed="false">
      <c r="A66" s="25" t="s">
        <v>70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1"/>
    <col collapsed="false" customWidth="true" hidden="false" outlineLevel="0" max="6" min="6" style="1" width="16"/>
  </cols>
  <sheetData>
    <row r="1" customFormat="false" ht="25.5" hidden="false" customHeight="true" outlineLevel="0" collapsed="false">
      <c r="A1" s="2" t="s">
        <v>71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72</v>
      </c>
      <c r="B3" s="26" t="n">
        <v>2026</v>
      </c>
      <c r="C3" s="3" t="s">
        <v>73</v>
      </c>
      <c r="D3" s="26" t="n">
        <v>3</v>
      </c>
      <c r="E3" s="6" t="s">
        <v>74</v>
      </c>
    </row>
    <row r="5" customFormat="false" ht="15" hidden="false" customHeight="true" outlineLevel="0" collapsed="false">
      <c r="A5" s="8" t="s">
        <v>26</v>
      </c>
      <c r="B5" s="8" t="s">
        <v>27</v>
      </c>
      <c r="C5" s="8" t="s">
        <v>60</v>
      </c>
      <c r="D5" s="8" t="s">
        <v>75</v>
      </c>
      <c r="E5" s="8" t="s">
        <v>29</v>
      </c>
      <c r="F5" s="8" t="s">
        <v>76</v>
      </c>
    </row>
    <row r="6" customFormat="false" ht="15" hidden="false" customHeight="true" outlineLevel="0" collapsed="false">
      <c r="A6" s="21" t="str">
        <f aca="false">IF(차량목록!$A3="","",차량목록!$A3)</f>
        <v>경기00가1234</v>
      </c>
      <c r="B6" s="21" t="str">
        <f aca="false">IF($A6="","",차량목록!$B3)</f>
        <v>김기사</v>
      </c>
      <c r="C6" s="21" t="n">
        <f aca="false">IF($A6="","",COUNTIFS(배차일보!$B$3:$B$502,$A6,배차일보!$A$3:$A$502,"&gt;="&amp;DATE($B$3,$D$3,1),배차일보!$A$3:$A$502,"&lt;="&amp;EOMONTH(DATE($B$3,$D$3,1),0)))</f>
        <v>0</v>
      </c>
      <c r="D6" s="18" t="n">
        <f aca="false">IF($A6="","",SUMIFS(배차일보!$J$3:$J$502,배차일보!$B$3:$B$502,$A6,배차일보!$A$3:$A$502,"&gt;="&amp;DATE($B$3,$D$3,1),배차일보!$A$3:$A$502,"&lt;="&amp;EOMONTH(DATE($B$3,$D$3,1),0)))</f>
        <v>0</v>
      </c>
      <c r="E6" s="20" t="n">
        <f aca="false">IF($A6="","",차량목록!$D3)</f>
        <v>0.25</v>
      </c>
      <c r="F6" s="18" t="n">
        <f aca="false">IF($A6="","",SUMIFS(배차일보!$P$3:$P$502,배차일보!$B$3:$B$502,$A6,배차일보!$A$3:$A$502,"&gt;="&amp;DATE($B$3,$D$3,1),배차일보!$A$3:$A$502,"&lt;="&amp;EOMONTH(DATE($B$3,$D$3,1),0)))</f>
        <v>0</v>
      </c>
    </row>
    <row r="7" customFormat="false" ht="15" hidden="false" customHeight="true" outlineLevel="0" collapsed="false">
      <c r="A7" s="21" t="str">
        <f aca="false">IF(차량목록!$A4="","",차량목록!$A4)</f>
        <v>경기00가5678</v>
      </c>
      <c r="B7" s="21" t="str">
        <f aca="false">IF($A7="","",차량목록!$B4)</f>
        <v>이기사</v>
      </c>
      <c r="C7" s="21" t="n">
        <f aca="false">IF($A7="","",COUNTIFS(배차일보!$B$3:$B$502,$A7,배차일보!$A$3:$A$502,"&gt;="&amp;DATE($B$3,$D$3,1),배차일보!$A$3:$A$502,"&lt;="&amp;EOMONTH(DATE($B$3,$D$3,1),0)))</f>
        <v>0</v>
      </c>
      <c r="D7" s="18" t="n">
        <f aca="false">IF($A7="","",SUMIFS(배차일보!$J$3:$J$502,배차일보!$B$3:$B$502,$A7,배차일보!$A$3:$A$502,"&gt;="&amp;DATE($B$3,$D$3,1),배차일보!$A$3:$A$502,"&lt;="&amp;EOMONTH(DATE($B$3,$D$3,1),0)))</f>
        <v>0</v>
      </c>
      <c r="E7" s="20" t="n">
        <f aca="false">IF($A7="","",차량목록!$D4)</f>
        <v>0.2</v>
      </c>
      <c r="F7" s="18" t="n">
        <f aca="false">IF($A7="","",SUMIFS(배차일보!$P$3:$P$502,배차일보!$B$3:$B$502,$A7,배차일보!$A$3:$A$502,"&gt;="&amp;DATE($B$3,$D$3,1),배차일보!$A$3:$A$502,"&lt;="&amp;EOMONTH(DATE($B$3,$D$3,1),0)))</f>
        <v>0</v>
      </c>
    </row>
    <row r="8" customFormat="false" ht="15" hidden="false" customHeight="true" outlineLevel="0" collapsed="false">
      <c r="A8" s="21" t="str">
        <f aca="false">IF(차량목록!$A5="","",차량목록!$A5)</f>
        <v/>
      </c>
      <c r="B8" s="21" t="str">
        <f aca="false">IF($A8="","",차량목록!$B5)</f>
        <v/>
      </c>
      <c r="C8" s="21" t="str">
        <f aca="false">IF($A8="","",COUNTIFS(배차일보!$B$3:$B$502,$A8,배차일보!$A$3:$A$502,"&gt;="&amp;DATE($B$3,$D$3,1),배차일보!$A$3:$A$502,"&lt;="&amp;EOMONTH(DATE($B$3,$D$3,1),0)))</f>
        <v/>
      </c>
      <c r="D8" s="18" t="str">
        <f aca="false">IF($A8="","",SUMIFS(배차일보!$J$3:$J$502,배차일보!$B$3:$B$502,$A8,배차일보!$A$3:$A$502,"&gt;="&amp;DATE($B$3,$D$3,1),배차일보!$A$3:$A$502,"&lt;="&amp;EOMONTH(DATE($B$3,$D$3,1),0)))</f>
        <v/>
      </c>
      <c r="E8" s="20" t="str">
        <f aca="false">IF($A8="","",차량목록!$D5)</f>
        <v/>
      </c>
      <c r="F8" s="18" t="str">
        <f aca="false">IF($A8="","",SUMIFS(배차일보!$P$3:$P$502,배차일보!$B$3:$B$502,$A8,배차일보!$A$3:$A$502,"&gt;="&amp;DATE($B$3,$D$3,1),배차일보!$A$3:$A$502,"&lt;="&amp;EOMONTH(DATE($B$3,$D$3,1),0)))</f>
        <v/>
      </c>
    </row>
    <row r="9" customFormat="false" ht="15" hidden="false" customHeight="true" outlineLevel="0" collapsed="false">
      <c r="A9" s="21" t="str">
        <f aca="false">IF(차량목록!$A6="","",차량목록!$A6)</f>
        <v/>
      </c>
      <c r="B9" s="21" t="str">
        <f aca="false">IF($A9="","",차량목록!$B6)</f>
        <v/>
      </c>
      <c r="C9" s="21" t="str">
        <f aca="false">IF($A9="","",COUNTIFS(배차일보!$B$3:$B$502,$A9,배차일보!$A$3:$A$502,"&gt;="&amp;DATE($B$3,$D$3,1),배차일보!$A$3:$A$502,"&lt;="&amp;EOMONTH(DATE($B$3,$D$3,1),0)))</f>
        <v/>
      </c>
      <c r="D9" s="18" t="str">
        <f aca="false">IF($A9="","",SUMIFS(배차일보!$J$3:$J$502,배차일보!$B$3:$B$502,$A9,배차일보!$A$3:$A$502,"&gt;="&amp;DATE($B$3,$D$3,1),배차일보!$A$3:$A$502,"&lt;="&amp;EOMONTH(DATE($B$3,$D$3,1),0)))</f>
        <v/>
      </c>
      <c r="E9" s="20" t="str">
        <f aca="false">IF($A9="","",차량목록!$D6)</f>
        <v/>
      </c>
      <c r="F9" s="18" t="str">
        <f aca="false">IF($A9="","",SUMIFS(배차일보!$P$3:$P$502,배차일보!$B$3:$B$502,$A9,배차일보!$A$3:$A$502,"&gt;="&amp;DATE($B$3,$D$3,1),배차일보!$A$3:$A$502,"&lt;="&amp;EOMONTH(DATE($B$3,$D$3,1),0)))</f>
        <v/>
      </c>
    </row>
    <row r="10" customFormat="false" ht="15" hidden="false" customHeight="true" outlineLevel="0" collapsed="false">
      <c r="A10" s="21" t="str">
        <f aca="false">IF(차량목록!$A7="","",차량목록!$A7)</f>
        <v/>
      </c>
      <c r="B10" s="21" t="str">
        <f aca="false">IF($A10="","",차량목록!$B7)</f>
        <v/>
      </c>
      <c r="C10" s="21" t="str">
        <f aca="false">IF($A10="","",COUNTIFS(배차일보!$B$3:$B$502,$A10,배차일보!$A$3:$A$502,"&gt;="&amp;DATE($B$3,$D$3,1),배차일보!$A$3:$A$502,"&lt;="&amp;EOMONTH(DATE($B$3,$D$3,1),0)))</f>
        <v/>
      </c>
      <c r="D10" s="18" t="str">
        <f aca="false">IF($A10="","",SUMIFS(배차일보!$J$3:$J$502,배차일보!$B$3:$B$502,$A10,배차일보!$A$3:$A$502,"&gt;="&amp;DATE($B$3,$D$3,1),배차일보!$A$3:$A$502,"&lt;="&amp;EOMONTH(DATE($B$3,$D$3,1),0)))</f>
        <v/>
      </c>
      <c r="E10" s="20" t="str">
        <f aca="false">IF($A10="","",차량목록!$D7)</f>
        <v/>
      </c>
      <c r="F10" s="18" t="str">
        <f aca="false">IF($A10="","",SUMIFS(배차일보!$P$3:$P$502,배차일보!$B$3:$B$502,$A10,배차일보!$A$3:$A$502,"&gt;="&amp;DATE($B$3,$D$3,1),배차일보!$A$3:$A$502,"&lt;="&amp;EOMONTH(DATE($B$3,$D$3,1),0)))</f>
        <v/>
      </c>
    </row>
    <row r="11" customFormat="false" ht="15" hidden="false" customHeight="true" outlineLevel="0" collapsed="false">
      <c r="A11" s="21" t="str">
        <f aca="false">IF(차량목록!$A8="","",차량목록!$A8)</f>
        <v/>
      </c>
      <c r="B11" s="21" t="str">
        <f aca="false">IF($A11="","",차량목록!$B8)</f>
        <v/>
      </c>
      <c r="C11" s="21" t="str">
        <f aca="false">IF($A11="","",COUNTIFS(배차일보!$B$3:$B$502,$A11,배차일보!$A$3:$A$502,"&gt;="&amp;DATE($B$3,$D$3,1),배차일보!$A$3:$A$502,"&lt;="&amp;EOMONTH(DATE($B$3,$D$3,1),0)))</f>
        <v/>
      </c>
      <c r="D11" s="18" t="str">
        <f aca="false">IF($A11="","",SUMIFS(배차일보!$J$3:$J$502,배차일보!$B$3:$B$502,$A11,배차일보!$A$3:$A$502,"&gt;="&amp;DATE($B$3,$D$3,1),배차일보!$A$3:$A$502,"&lt;="&amp;EOMONTH(DATE($B$3,$D$3,1),0)))</f>
        <v/>
      </c>
      <c r="E11" s="20" t="str">
        <f aca="false">IF($A11="","",차량목록!$D8)</f>
        <v/>
      </c>
      <c r="F11" s="18" t="str">
        <f aca="false">IF($A11="","",SUMIFS(배차일보!$P$3:$P$502,배차일보!$B$3:$B$502,$A11,배차일보!$A$3:$A$502,"&gt;="&amp;DATE($B$3,$D$3,1),배차일보!$A$3:$A$502,"&lt;="&amp;EOMONTH(DATE($B$3,$D$3,1),0)))</f>
        <v/>
      </c>
    </row>
    <row r="12" customFormat="false" ht="15" hidden="false" customHeight="true" outlineLevel="0" collapsed="false">
      <c r="A12" s="21" t="str">
        <f aca="false">IF(차량목록!$A9="","",차량목록!$A9)</f>
        <v/>
      </c>
      <c r="B12" s="21" t="str">
        <f aca="false">IF($A12="","",차량목록!$B9)</f>
        <v/>
      </c>
      <c r="C12" s="21" t="str">
        <f aca="false">IF($A12="","",COUNTIFS(배차일보!$B$3:$B$502,$A12,배차일보!$A$3:$A$502,"&gt;="&amp;DATE($B$3,$D$3,1),배차일보!$A$3:$A$502,"&lt;="&amp;EOMONTH(DATE($B$3,$D$3,1),0)))</f>
        <v/>
      </c>
      <c r="D12" s="18" t="str">
        <f aca="false">IF($A12="","",SUMIFS(배차일보!$J$3:$J$502,배차일보!$B$3:$B$502,$A12,배차일보!$A$3:$A$502,"&gt;="&amp;DATE($B$3,$D$3,1),배차일보!$A$3:$A$502,"&lt;="&amp;EOMONTH(DATE($B$3,$D$3,1),0)))</f>
        <v/>
      </c>
      <c r="E12" s="20" t="str">
        <f aca="false">IF($A12="","",차량목록!$D9)</f>
        <v/>
      </c>
      <c r="F12" s="18" t="str">
        <f aca="false">IF($A12="","",SUMIFS(배차일보!$P$3:$P$502,배차일보!$B$3:$B$502,$A12,배차일보!$A$3:$A$502,"&gt;="&amp;DATE($B$3,$D$3,1),배차일보!$A$3:$A$502,"&lt;="&amp;EOMONTH(DATE($B$3,$D$3,1),0)))</f>
        <v/>
      </c>
    </row>
    <row r="13" customFormat="false" ht="15" hidden="false" customHeight="true" outlineLevel="0" collapsed="false">
      <c r="A13" s="21" t="str">
        <f aca="false">IF(차량목록!$A10="","",차량목록!$A10)</f>
        <v/>
      </c>
      <c r="B13" s="21" t="str">
        <f aca="false">IF($A13="","",차량목록!$B10)</f>
        <v/>
      </c>
      <c r="C13" s="21" t="str">
        <f aca="false">IF($A13="","",COUNTIFS(배차일보!$B$3:$B$502,$A13,배차일보!$A$3:$A$502,"&gt;="&amp;DATE($B$3,$D$3,1),배차일보!$A$3:$A$502,"&lt;="&amp;EOMONTH(DATE($B$3,$D$3,1),0)))</f>
        <v/>
      </c>
      <c r="D13" s="18" t="str">
        <f aca="false">IF($A13="","",SUMIFS(배차일보!$J$3:$J$502,배차일보!$B$3:$B$502,$A13,배차일보!$A$3:$A$502,"&gt;="&amp;DATE($B$3,$D$3,1),배차일보!$A$3:$A$502,"&lt;="&amp;EOMONTH(DATE($B$3,$D$3,1),0)))</f>
        <v/>
      </c>
      <c r="E13" s="20" t="str">
        <f aca="false">IF($A13="","",차량목록!$D10)</f>
        <v/>
      </c>
      <c r="F13" s="18" t="str">
        <f aca="false">IF($A13="","",SUMIFS(배차일보!$P$3:$P$502,배차일보!$B$3:$B$502,$A13,배차일보!$A$3:$A$502,"&gt;="&amp;DATE($B$3,$D$3,1),배차일보!$A$3:$A$502,"&lt;="&amp;EOMONTH(DATE($B$3,$D$3,1),0)))</f>
        <v/>
      </c>
    </row>
    <row r="14" customFormat="false" ht="15" hidden="false" customHeight="true" outlineLevel="0" collapsed="false">
      <c r="A14" s="21" t="str">
        <f aca="false">IF(차량목록!$A11="","",차량목록!$A11)</f>
        <v/>
      </c>
      <c r="B14" s="21" t="str">
        <f aca="false">IF($A14="","",차량목록!$B11)</f>
        <v/>
      </c>
      <c r="C14" s="21" t="str">
        <f aca="false">IF($A14="","",COUNTIFS(배차일보!$B$3:$B$502,$A14,배차일보!$A$3:$A$502,"&gt;="&amp;DATE($B$3,$D$3,1),배차일보!$A$3:$A$502,"&lt;="&amp;EOMONTH(DATE($B$3,$D$3,1),0)))</f>
        <v/>
      </c>
      <c r="D14" s="18" t="str">
        <f aca="false">IF($A14="","",SUMIFS(배차일보!$J$3:$J$502,배차일보!$B$3:$B$502,$A14,배차일보!$A$3:$A$502,"&gt;="&amp;DATE($B$3,$D$3,1),배차일보!$A$3:$A$502,"&lt;="&amp;EOMONTH(DATE($B$3,$D$3,1),0)))</f>
        <v/>
      </c>
      <c r="E14" s="20" t="str">
        <f aca="false">IF($A14="","",차량목록!$D11)</f>
        <v/>
      </c>
      <c r="F14" s="18" t="str">
        <f aca="false">IF($A14="","",SUMIFS(배차일보!$P$3:$P$502,배차일보!$B$3:$B$502,$A14,배차일보!$A$3:$A$502,"&gt;="&amp;DATE($B$3,$D$3,1),배차일보!$A$3:$A$502,"&lt;="&amp;EOMONTH(DATE($B$3,$D$3,1),0)))</f>
        <v/>
      </c>
    </row>
    <row r="15" customFormat="false" ht="15" hidden="false" customHeight="true" outlineLevel="0" collapsed="false">
      <c r="A15" s="21" t="str">
        <f aca="false">IF(차량목록!$A12="","",차량목록!$A12)</f>
        <v/>
      </c>
      <c r="B15" s="21" t="str">
        <f aca="false">IF($A15="","",차량목록!$B12)</f>
        <v/>
      </c>
      <c r="C15" s="21" t="str">
        <f aca="false">IF($A15="","",COUNTIFS(배차일보!$B$3:$B$502,$A15,배차일보!$A$3:$A$502,"&gt;="&amp;DATE($B$3,$D$3,1),배차일보!$A$3:$A$502,"&lt;="&amp;EOMONTH(DATE($B$3,$D$3,1),0)))</f>
        <v/>
      </c>
      <c r="D15" s="18" t="str">
        <f aca="false">IF($A15="","",SUMIFS(배차일보!$J$3:$J$502,배차일보!$B$3:$B$502,$A15,배차일보!$A$3:$A$502,"&gt;="&amp;DATE($B$3,$D$3,1),배차일보!$A$3:$A$502,"&lt;="&amp;EOMONTH(DATE($B$3,$D$3,1),0)))</f>
        <v/>
      </c>
      <c r="E15" s="20" t="str">
        <f aca="false">IF($A15="","",차량목록!$D12)</f>
        <v/>
      </c>
      <c r="F15" s="18" t="str">
        <f aca="false">IF($A15="","",SUMIFS(배차일보!$P$3:$P$502,배차일보!$B$3:$B$502,$A15,배차일보!$A$3:$A$502,"&gt;="&amp;DATE($B$3,$D$3,1),배차일보!$A$3:$A$502,"&lt;="&amp;EOMONTH(DATE($B$3,$D$3,1),0)))</f>
        <v/>
      </c>
    </row>
    <row r="16" customFormat="false" ht="15" hidden="false" customHeight="true" outlineLevel="0" collapsed="false">
      <c r="A16" s="21" t="str">
        <f aca="false">IF(차량목록!$A13="","",차량목록!$A13)</f>
        <v/>
      </c>
      <c r="B16" s="21" t="str">
        <f aca="false">IF($A16="","",차량목록!$B13)</f>
        <v/>
      </c>
      <c r="C16" s="21" t="str">
        <f aca="false">IF($A16="","",COUNTIFS(배차일보!$B$3:$B$502,$A16,배차일보!$A$3:$A$502,"&gt;="&amp;DATE($B$3,$D$3,1),배차일보!$A$3:$A$502,"&lt;="&amp;EOMONTH(DATE($B$3,$D$3,1),0)))</f>
        <v/>
      </c>
      <c r="D16" s="18" t="str">
        <f aca="false">IF($A16="","",SUMIFS(배차일보!$J$3:$J$502,배차일보!$B$3:$B$502,$A16,배차일보!$A$3:$A$502,"&gt;="&amp;DATE($B$3,$D$3,1),배차일보!$A$3:$A$502,"&lt;="&amp;EOMONTH(DATE($B$3,$D$3,1),0)))</f>
        <v/>
      </c>
      <c r="E16" s="20" t="str">
        <f aca="false">IF($A16="","",차량목록!$D13)</f>
        <v/>
      </c>
      <c r="F16" s="18" t="str">
        <f aca="false">IF($A16="","",SUMIFS(배차일보!$P$3:$P$502,배차일보!$B$3:$B$502,$A16,배차일보!$A$3:$A$502,"&gt;="&amp;DATE($B$3,$D$3,1),배차일보!$A$3:$A$502,"&lt;="&amp;EOMONTH(DATE($B$3,$D$3,1),0)))</f>
        <v/>
      </c>
    </row>
    <row r="17" customFormat="false" ht="15" hidden="false" customHeight="true" outlineLevel="0" collapsed="false">
      <c r="A17" s="21" t="str">
        <f aca="false">IF(차량목록!$A14="","",차량목록!$A14)</f>
        <v/>
      </c>
      <c r="B17" s="21" t="str">
        <f aca="false">IF($A17="","",차량목록!$B14)</f>
        <v/>
      </c>
      <c r="C17" s="21" t="str">
        <f aca="false">IF($A17="","",COUNTIFS(배차일보!$B$3:$B$502,$A17,배차일보!$A$3:$A$502,"&gt;="&amp;DATE($B$3,$D$3,1),배차일보!$A$3:$A$502,"&lt;="&amp;EOMONTH(DATE($B$3,$D$3,1),0)))</f>
        <v/>
      </c>
      <c r="D17" s="18" t="str">
        <f aca="false">IF($A17="","",SUMIFS(배차일보!$J$3:$J$502,배차일보!$B$3:$B$502,$A17,배차일보!$A$3:$A$502,"&gt;="&amp;DATE($B$3,$D$3,1),배차일보!$A$3:$A$502,"&lt;="&amp;EOMONTH(DATE($B$3,$D$3,1),0)))</f>
        <v/>
      </c>
      <c r="E17" s="20" t="str">
        <f aca="false">IF($A17="","",차량목록!$D14)</f>
        <v/>
      </c>
      <c r="F17" s="18" t="str">
        <f aca="false">IF($A17="","",SUMIFS(배차일보!$P$3:$P$502,배차일보!$B$3:$B$502,$A17,배차일보!$A$3:$A$502,"&gt;="&amp;DATE($B$3,$D$3,1),배차일보!$A$3:$A$502,"&lt;="&amp;EOMONTH(DATE($B$3,$D$3,1),0)))</f>
        <v/>
      </c>
    </row>
    <row r="18" customFormat="false" ht="15" hidden="false" customHeight="true" outlineLevel="0" collapsed="false">
      <c r="A18" s="21" t="str">
        <f aca="false">IF(차량목록!$A15="","",차량목록!$A15)</f>
        <v/>
      </c>
      <c r="B18" s="21" t="str">
        <f aca="false">IF($A18="","",차량목록!$B15)</f>
        <v/>
      </c>
      <c r="C18" s="21" t="str">
        <f aca="false">IF($A18="","",COUNTIFS(배차일보!$B$3:$B$502,$A18,배차일보!$A$3:$A$502,"&gt;="&amp;DATE($B$3,$D$3,1),배차일보!$A$3:$A$502,"&lt;="&amp;EOMONTH(DATE($B$3,$D$3,1),0)))</f>
        <v/>
      </c>
      <c r="D18" s="18" t="str">
        <f aca="false">IF($A18="","",SUMIFS(배차일보!$J$3:$J$502,배차일보!$B$3:$B$502,$A18,배차일보!$A$3:$A$502,"&gt;="&amp;DATE($B$3,$D$3,1),배차일보!$A$3:$A$502,"&lt;="&amp;EOMONTH(DATE($B$3,$D$3,1),0)))</f>
        <v/>
      </c>
      <c r="E18" s="20" t="str">
        <f aca="false">IF($A18="","",차량목록!$D15)</f>
        <v/>
      </c>
      <c r="F18" s="18" t="str">
        <f aca="false">IF($A18="","",SUMIFS(배차일보!$P$3:$P$502,배차일보!$B$3:$B$502,$A18,배차일보!$A$3:$A$502,"&gt;="&amp;DATE($B$3,$D$3,1),배차일보!$A$3:$A$502,"&lt;="&amp;EOMONTH(DATE($B$3,$D$3,1),0)))</f>
        <v/>
      </c>
    </row>
    <row r="19" customFormat="false" ht="15" hidden="false" customHeight="true" outlineLevel="0" collapsed="false">
      <c r="A19" s="21" t="str">
        <f aca="false">IF(차량목록!$A16="","",차량목록!$A16)</f>
        <v/>
      </c>
      <c r="B19" s="21" t="str">
        <f aca="false">IF($A19="","",차량목록!$B16)</f>
        <v/>
      </c>
      <c r="C19" s="21" t="str">
        <f aca="false">IF($A19="","",COUNTIFS(배차일보!$B$3:$B$502,$A19,배차일보!$A$3:$A$502,"&gt;="&amp;DATE($B$3,$D$3,1),배차일보!$A$3:$A$502,"&lt;="&amp;EOMONTH(DATE($B$3,$D$3,1),0)))</f>
        <v/>
      </c>
      <c r="D19" s="18" t="str">
        <f aca="false">IF($A19="","",SUMIFS(배차일보!$J$3:$J$502,배차일보!$B$3:$B$502,$A19,배차일보!$A$3:$A$502,"&gt;="&amp;DATE($B$3,$D$3,1),배차일보!$A$3:$A$502,"&lt;="&amp;EOMONTH(DATE($B$3,$D$3,1),0)))</f>
        <v/>
      </c>
      <c r="E19" s="20" t="str">
        <f aca="false">IF($A19="","",차량목록!$D16)</f>
        <v/>
      </c>
      <c r="F19" s="18" t="str">
        <f aca="false">IF($A19="","",SUMIFS(배차일보!$P$3:$P$502,배차일보!$B$3:$B$502,$A19,배차일보!$A$3:$A$502,"&gt;="&amp;DATE($B$3,$D$3,1),배차일보!$A$3:$A$502,"&lt;="&amp;EOMONTH(DATE($B$3,$D$3,1),0)))</f>
        <v/>
      </c>
    </row>
    <row r="20" customFormat="false" ht="15" hidden="false" customHeight="true" outlineLevel="0" collapsed="false">
      <c r="A20" s="21" t="str">
        <f aca="false">IF(차량목록!$A17="","",차량목록!$A17)</f>
        <v/>
      </c>
      <c r="B20" s="21" t="str">
        <f aca="false">IF($A20="","",차량목록!$B17)</f>
        <v/>
      </c>
      <c r="C20" s="21" t="str">
        <f aca="false">IF($A20="","",COUNTIFS(배차일보!$B$3:$B$502,$A20,배차일보!$A$3:$A$502,"&gt;="&amp;DATE($B$3,$D$3,1),배차일보!$A$3:$A$502,"&lt;="&amp;EOMONTH(DATE($B$3,$D$3,1),0)))</f>
        <v/>
      </c>
      <c r="D20" s="18" t="str">
        <f aca="false">IF($A20="","",SUMIFS(배차일보!$J$3:$J$502,배차일보!$B$3:$B$502,$A20,배차일보!$A$3:$A$502,"&gt;="&amp;DATE($B$3,$D$3,1),배차일보!$A$3:$A$502,"&lt;="&amp;EOMONTH(DATE($B$3,$D$3,1),0)))</f>
        <v/>
      </c>
      <c r="E20" s="20" t="str">
        <f aca="false">IF($A20="","",차량목록!$D17)</f>
        <v/>
      </c>
      <c r="F20" s="18" t="str">
        <f aca="false">IF($A20="","",SUMIFS(배차일보!$P$3:$P$502,배차일보!$B$3:$B$502,$A20,배차일보!$A$3:$A$502,"&gt;="&amp;DATE($B$3,$D$3,1),배차일보!$A$3:$A$502,"&lt;="&amp;EOMONTH(DATE($B$3,$D$3,1),0)))</f>
        <v/>
      </c>
    </row>
    <row r="21" customFormat="false" ht="15" hidden="false" customHeight="true" outlineLevel="0" collapsed="false">
      <c r="A21" s="21" t="str">
        <f aca="false">IF(차량목록!$A18="","",차량목록!$A18)</f>
        <v/>
      </c>
      <c r="B21" s="21" t="str">
        <f aca="false">IF($A21="","",차량목록!$B18)</f>
        <v/>
      </c>
      <c r="C21" s="21" t="str">
        <f aca="false">IF($A21="","",COUNTIFS(배차일보!$B$3:$B$502,$A21,배차일보!$A$3:$A$502,"&gt;="&amp;DATE($B$3,$D$3,1),배차일보!$A$3:$A$502,"&lt;="&amp;EOMONTH(DATE($B$3,$D$3,1),0)))</f>
        <v/>
      </c>
      <c r="D21" s="18" t="str">
        <f aca="false">IF($A21="","",SUMIFS(배차일보!$J$3:$J$502,배차일보!$B$3:$B$502,$A21,배차일보!$A$3:$A$502,"&gt;="&amp;DATE($B$3,$D$3,1),배차일보!$A$3:$A$502,"&lt;="&amp;EOMONTH(DATE($B$3,$D$3,1),0)))</f>
        <v/>
      </c>
      <c r="E21" s="20" t="str">
        <f aca="false">IF($A21="","",차량목록!$D18)</f>
        <v/>
      </c>
      <c r="F21" s="18" t="str">
        <f aca="false">IF($A21="","",SUMIFS(배차일보!$P$3:$P$502,배차일보!$B$3:$B$502,$A21,배차일보!$A$3:$A$502,"&gt;="&amp;DATE($B$3,$D$3,1),배차일보!$A$3:$A$502,"&lt;="&amp;EOMONTH(DATE($B$3,$D$3,1),0)))</f>
        <v/>
      </c>
    </row>
    <row r="22" customFormat="false" ht="15" hidden="false" customHeight="true" outlineLevel="0" collapsed="false">
      <c r="A22" s="21" t="str">
        <f aca="false">IF(차량목록!$A19="","",차량목록!$A19)</f>
        <v/>
      </c>
      <c r="B22" s="21" t="str">
        <f aca="false">IF($A22="","",차량목록!$B19)</f>
        <v/>
      </c>
      <c r="C22" s="21" t="str">
        <f aca="false">IF($A22="","",COUNTIFS(배차일보!$B$3:$B$502,$A22,배차일보!$A$3:$A$502,"&gt;="&amp;DATE($B$3,$D$3,1),배차일보!$A$3:$A$502,"&lt;="&amp;EOMONTH(DATE($B$3,$D$3,1),0)))</f>
        <v/>
      </c>
      <c r="D22" s="18" t="str">
        <f aca="false">IF($A22="","",SUMIFS(배차일보!$J$3:$J$502,배차일보!$B$3:$B$502,$A22,배차일보!$A$3:$A$502,"&gt;="&amp;DATE($B$3,$D$3,1),배차일보!$A$3:$A$502,"&lt;="&amp;EOMONTH(DATE($B$3,$D$3,1),0)))</f>
        <v/>
      </c>
      <c r="E22" s="20" t="str">
        <f aca="false">IF($A22="","",차량목록!$D19)</f>
        <v/>
      </c>
      <c r="F22" s="18" t="str">
        <f aca="false">IF($A22="","",SUMIFS(배차일보!$P$3:$P$502,배차일보!$B$3:$B$502,$A22,배차일보!$A$3:$A$502,"&gt;="&amp;DATE($B$3,$D$3,1),배차일보!$A$3:$A$502,"&lt;="&amp;EOMONTH(DATE($B$3,$D$3,1),0)))</f>
        <v/>
      </c>
    </row>
    <row r="23" customFormat="false" ht="15" hidden="false" customHeight="true" outlineLevel="0" collapsed="false">
      <c r="A23" s="21" t="str">
        <f aca="false">IF(차량목록!$A20="","",차량목록!$A20)</f>
        <v/>
      </c>
      <c r="B23" s="21" t="str">
        <f aca="false">IF($A23="","",차량목록!$B20)</f>
        <v/>
      </c>
      <c r="C23" s="21" t="str">
        <f aca="false">IF($A23="","",COUNTIFS(배차일보!$B$3:$B$502,$A23,배차일보!$A$3:$A$502,"&gt;="&amp;DATE($B$3,$D$3,1),배차일보!$A$3:$A$502,"&lt;="&amp;EOMONTH(DATE($B$3,$D$3,1),0)))</f>
        <v/>
      </c>
      <c r="D23" s="18" t="str">
        <f aca="false">IF($A23="","",SUMIFS(배차일보!$J$3:$J$502,배차일보!$B$3:$B$502,$A23,배차일보!$A$3:$A$502,"&gt;="&amp;DATE($B$3,$D$3,1),배차일보!$A$3:$A$502,"&lt;="&amp;EOMONTH(DATE($B$3,$D$3,1),0)))</f>
        <v/>
      </c>
      <c r="E23" s="20" t="str">
        <f aca="false">IF($A23="","",차량목록!$D20)</f>
        <v/>
      </c>
      <c r="F23" s="18" t="str">
        <f aca="false">IF($A23="","",SUMIFS(배차일보!$P$3:$P$502,배차일보!$B$3:$B$502,$A23,배차일보!$A$3:$A$502,"&gt;="&amp;DATE($B$3,$D$3,1),배차일보!$A$3:$A$502,"&lt;="&amp;EOMONTH(DATE($B$3,$D$3,1),0)))</f>
        <v/>
      </c>
    </row>
    <row r="24" customFormat="false" ht="15" hidden="false" customHeight="true" outlineLevel="0" collapsed="false">
      <c r="A24" s="21" t="str">
        <f aca="false">IF(차량목록!$A21="","",차량목록!$A21)</f>
        <v/>
      </c>
      <c r="B24" s="21" t="str">
        <f aca="false">IF($A24="","",차량목록!$B21)</f>
        <v/>
      </c>
      <c r="C24" s="21" t="str">
        <f aca="false">IF($A24="","",COUNTIFS(배차일보!$B$3:$B$502,$A24,배차일보!$A$3:$A$502,"&gt;="&amp;DATE($B$3,$D$3,1),배차일보!$A$3:$A$502,"&lt;="&amp;EOMONTH(DATE($B$3,$D$3,1),0)))</f>
        <v/>
      </c>
      <c r="D24" s="18" t="str">
        <f aca="false">IF($A24="","",SUMIFS(배차일보!$J$3:$J$502,배차일보!$B$3:$B$502,$A24,배차일보!$A$3:$A$502,"&gt;="&amp;DATE($B$3,$D$3,1),배차일보!$A$3:$A$502,"&lt;="&amp;EOMONTH(DATE($B$3,$D$3,1),0)))</f>
        <v/>
      </c>
      <c r="E24" s="20" t="str">
        <f aca="false">IF($A24="","",차량목록!$D21)</f>
        <v/>
      </c>
      <c r="F24" s="18" t="str">
        <f aca="false">IF($A24="","",SUMIFS(배차일보!$P$3:$P$502,배차일보!$B$3:$B$502,$A24,배차일보!$A$3:$A$502,"&gt;="&amp;DATE($B$3,$D$3,1),배차일보!$A$3:$A$502,"&lt;="&amp;EOMONTH(DATE($B$3,$D$3,1),0)))</f>
        <v/>
      </c>
    </row>
    <row r="25" customFormat="false" ht="15" hidden="false" customHeight="true" outlineLevel="0" collapsed="false">
      <c r="A25" s="21" t="str">
        <f aca="false">IF(차량목록!$A22="","",차량목록!$A22)</f>
        <v/>
      </c>
      <c r="B25" s="21" t="str">
        <f aca="false">IF($A25="","",차량목록!$B22)</f>
        <v/>
      </c>
      <c r="C25" s="21" t="str">
        <f aca="false">IF($A25="","",COUNTIFS(배차일보!$B$3:$B$502,$A25,배차일보!$A$3:$A$502,"&gt;="&amp;DATE($B$3,$D$3,1),배차일보!$A$3:$A$502,"&lt;="&amp;EOMONTH(DATE($B$3,$D$3,1),0)))</f>
        <v/>
      </c>
      <c r="D25" s="18" t="str">
        <f aca="false">IF($A25="","",SUMIFS(배차일보!$J$3:$J$502,배차일보!$B$3:$B$502,$A25,배차일보!$A$3:$A$502,"&gt;="&amp;DATE($B$3,$D$3,1),배차일보!$A$3:$A$502,"&lt;="&amp;EOMONTH(DATE($B$3,$D$3,1),0)))</f>
        <v/>
      </c>
      <c r="E25" s="20" t="str">
        <f aca="false">IF($A25="","",차량목록!$D22)</f>
        <v/>
      </c>
      <c r="F25" s="18" t="str">
        <f aca="false">IF($A25="","",SUMIFS(배차일보!$P$3:$P$502,배차일보!$B$3:$B$502,$A25,배차일보!$A$3:$A$502,"&gt;="&amp;DATE($B$3,$D$3,1),배차일보!$A$3:$A$502,"&lt;="&amp;EOMONTH(DATE($B$3,$D$3,1),0)))</f>
        <v/>
      </c>
    </row>
    <row r="26" customFormat="false" ht="15" hidden="false" customHeight="true" outlineLevel="0" collapsed="false">
      <c r="A26" s="21" t="str">
        <f aca="false">IF(차량목록!$A23="","",차량목록!$A23)</f>
        <v/>
      </c>
      <c r="B26" s="21" t="str">
        <f aca="false">IF($A26="","",차량목록!$B23)</f>
        <v/>
      </c>
      <c r="C26" s="21" t="str">
        <f aca="false">IF($A26="","",COUNTIFS(배차일보!$B$3:$B$502,$A26,배차일보!$A$3:$A$502,"&gt;="&amp;DATE($B$3,$D$3,1),배차일보!$A$3:$A$502,"&lt;="&amp;EOMONTH(DATE($B$3,$D$3,1),0)))</f>
        <v/>
      </c>
      <c r="D26" s="18" t="str">
        <f aca="false">IF($A26="","",SUMIFS(배차일보!$J$3:$J$502,배차일보!$B$3:$B$502,$A26,배차일보!$A$3:$A$502,"&gt;="&amp;DATE($B$3,$D$3,1),배차일보!$A$3:$A$502,"&lt;="&amp;EOMONTH(DATE($B$3,$D$3,1),0)))</f>
        <v/>
      </c>
      <c r="E26" s="20" t="str">
        <f aca="false">IF($A26="","",차량목록!$D23)</f>
        <v/>
      </c>
      <c r="F26" s="18" t="str">
        <f aca="false">IF($A26="","",SUMIFS(배차일보!$P$3:$P$502,배차일보!$B$3:$B$502,$A26,배차일보!$A$3:$A$502,"&gt;="&amp;DATE($B$3,$D$3,1),배차일보!$A$3:$A$502,"&lt;="&amp;EOMONTH(DATE($B$3,$D$3,1),0)))</f>
        <v/>
      </c>
    </row>
    <row r="27" customFormat="false" ht="15" hidden="false" customHeight="true" outlineLevel="0" collapsed="false">
      <c r="A27" s="21" t="str">
        <f aca="false">IF(차량목록!$A24="","",차량목록!$A24)</f>
        <v/>
      </c>
      <c r="B27" s="21" t="str">
        <f aca="false">IF($A27="","",차량목록!$B24)</f>
        <v/>
      </c>
      <c r="C27" s="21" t="str">
        <f aca="false">IF($A27="","",COUNTIFS(배차일보!$B$3:$B$502,$A27,배차일보!$A$3:$A$502,"&gt;="&amp;DATE($B$3,$D$3,1),배차일보!$A$3:$A$502,"&lt;="&amp;EOMONTH(DATE($B$3,$D$3,1),0)))</f>
        <v/>
      </c>
      <c r="D27" s="18" t="str">
        <f aca="false">IF($A27="","",SUMIFS(배차일보!$J$3:$J$502,배차일보!$B$3:$B$502,$A27,배차일보!$A$3:$A$502,"&gt;="&amp;DATE($B$3,$D$3,1),배차일보!$A$3:$A$502,"&lt;="&amp;EOMONTH(DATE($B$3,$D$3,1),0)))</f>
        <v/>
      </c>
      <c r="E27" s="20" t="str">
        <f aca="false">IF($A27="","",차량목록!$D24)</f>
        <v/>
      </c>
      <c r="F27" s="18" t="str">
        <f aca="false">IF($A27="","",SUMIFS(배차일보!$P$3:$P$502,배차일보!$B$3:$B$502,$A27,배차일보!$A$3:$A$502,"&gt;="&amp;DATE($B$3,$D$3,1),배차일보!$A$3:$A$502,"&lt;="&amp;EOMONTH(DATE($B$3,$D$3,1),0)))</f>
        <v/>
      </c>
    </row>
    <row r="28" customFormat="false" ht="15" hidden="false" customHeight="true" outlineLevel="0" collapsed="false">
      <c r="A28" s="21" t="str">
        <f aca="false">IF(차량목록!$A25="","",차량목록!$A25)</f>
        <v/>
      </c>
      <c r="B28" s="21" t="str">
        <f aca="false">IF($A28="","",차량목록!$B25)</f>
        <v/>
      </c>
      <c r="C28" s="21" t="str">
        <f aca="false">IF($A28="","",COUNTIFS(배차일보!$B$3:$B$502,$A28,배차일보!$A$3:$A$502,"&gt;="&amp;DATE($B$3,$D$3,1),배차일보!$A$3:$A$502,"&lt;="&amp;EOMONTH(DATE($B$3,$D$3,1),0)))</f>
        <v/>
      </c>
      <c r="D28" s="18" t="str">
        <f aca="false">IF($A28="","",SUMIFS(배차일보!$J$3:$J$502,배차일보!$B$3:$B$502,$A28,배차일보!$A$3:$A$502,"&gt;="&amp;DATE($B$3,$D$3,1),배차일보!$A$3:$A$502,"&lt;="&amp;EOMONTH(DATE($B$3,$D$3,1),0)))</f>
        <v/>
      </c>
      <c r="E28" s="20" t="str">
        <f aca="false">IF($A28="","",차량목록!$D25)</f>
        <v/>
      </c>
      <c r="F28" s="18" t="str">
        <f aca="false">IF($A28="","",SUMIFS(배차일보!$P$3:$P$502,배차일보!$B$3:$B$502,$A28,배차일보!$A$3:$A$502,"&gt;="&amp;DATE($B$3,$D$3,1),배차일보!$A$3:$A$502,"&lt;="&amp;EOMONTH(DATE($B$3,$D$3,1),0)))</f>
        <v/>
      </c>
    </row>
    <row r="29" customFormat="false" ht="15" hidden="false" customHeight="true" outlineLevel="0" collapsed="false">
      <c r="A29" s="21" t="str">
        <f aca="false">IF(차량목록!$A26="","",차량목록!$A26)</f>
        <v/>
      </c>
      <c r="B29" s="21" t="str">
        <f aca="false">IF($A29="","",차량목록!$B26)</f>
        <v/>
      </c>
      <c r="C29" s="21" t="str">
        <f aca="false">IF($A29="","",COUNTIFS(배차일보!$B$3:$B$502,$A29,배차일보!$A$3:$A$502,"&gt;="&amp;DATE($B$3,$D$3,1),배차일보!$A$3:$A$502,"&lt;="&amp;EOMONTH(DATE($B$3,$D$3,1),0)))</f>
        <v/>
      </c>
      <c r="D29" s="18" t="str">
        <f aca="false">IF($A29="","",SUMIFS(배차일보!$J$3:$J$502,배차일보!$B$3:$B$502,$A29,배차일보!$A$3:$A$502,"&gt;="&amp;DATE($B$3,$D$3,1),배차일보!$A$3:$A$502,"&lt;="&amp;EOMONTH(DATE($B$3,$D$3,1),0)))</f>
        <v/>
      </c>
      <c r="E29" s="20" t="str">
        <f aca="false">IF($A29="","",차량목록!$D26)</f>
        <v/>
      </c>
      <c r="F29" s="18" t="str">
        <f aca="false">IF($A29="","",SUMIFS(배차일보!$P$3:$P$502,배차일보!$B$3:$B$502,$A29,배차일보!$A$3:$A$502,"&gt;="&amp;DATE($B$3,$D$3,1),배차일보!$A$3:$A$502,"&lt;="&amp;EOMONTH(DATE($B$3,$D$3,1),0)))</f>
        <v/>
      </c>
    </row>
    <row r="30" customFormat="false" ht="15" hidden="false" customHeight="true" outlineLevel="0" collapsed="false">
      <c r="A30" s="21" t="str">
        <f aca="false">IF(차량목록!$A27="","",차량목록!$A27)</f>
        <v/>
      </c>
      <c r="B30" s="21" t="str">
        <f aca="false">IF($A30="","",차량목록!$B27)</f>
        <v/>
      </c>
      <c r="C30" s="21" t="str">
        <f aca="false">IF($A30="","",COUNTIFS(배차일보!$B$3:$B$502,$A30,배차일보!$A$3:$A$502,"&gt;="&amp;DATE($B$3,$D$3,1),배차일보!$A$3:$A$502,"&lt;="&amp;EOMONTH(DATE($B$3,$D$3,1),0)))</f>
        <v/>
      </c>
      <c r="D30" s="18" t="str">
        <f aca="false">IF($A30="","",SUMIFS(배차일보!$J$3:$J$502,배차일보!$B$3:$B$502,$A30,배차일보!$A$3:$A$502,"&gt;="&amp;DATE($B$3,$D$3,1),배차일보!$A$3:$A$502,"&lt;="&amp;EOMONTH(DATE($B$3,$D$3,1),0)))</f>
        <v/>
      </c>
      <c r="E30" s="20" t="str">
        <f aca="false">IF($A30="","",차량목록!$D27)</f>
        <v/>
      </c>
      <c r="F30" s="18" t="str">
        <f aca="false">IF($A30="","",SUMIFS(배차일보!$P$3:$P$502,배차일보!$B$3:$B$502,$A30,배차일보!$A$3:$A$502,"&gt;="&amp;DATE($B$3,$D$3,1),배차일보!$A$3:$A$502,"&lt;="&amp;EOMONTH(DATE($B$3,$D$3,1),0)))</f>
        <v/>
      </c>
    </row>
    <row r="31" customFormat="false" ht="15" hidden="false" customHeight="true" outlineLevel="0" collapsed="false">
      <c r="A31" s="21" t="str">
        <f aca="false">IF(차량목록!$A28="","",차량목록!$A28)</f>
        <v/>
      </c>
      <c r="B31" s="21" t="str">
        <f aca="false">IF($A31="","",차량목록!$B28)</f>
        <v/>
      </c>
      <c r="C31" s="21" t="str">
        <f aca="false">IF($A31="","",COUNTIFS(배차일보!$B$3:$B$502,$A31,배차일보!$A$3:$A$502,"&gt;="&amp;DATE($B$3,$D$3,1),배차일보!$A$3:$A$502,"&lt;="&amp;EOMONTH(DATE($B$3,$D$3,1),0)))</f>
        <v/>
      </c>
      <c r="D31" s="18" t="str">
        <f aca="false">IF($A31="","",SUMIFS(배차일보!$J$3:$J$502,배차일보!$B$3:$B$502,$A31,배차일보!$A$3:$A$502,"&gt;="&amp;DATE($B$3,$D$3,1),배차일보!$A$3:$A$502,"&lt;="&amp;EOMONTH(DATE($B$3,$D$3,1),0)))</f>
        <v/>
      </c>
      <c r="E31" s="20" t="str">
        <f aca="false">IF($A31="","",차량목록!$D28)</f>
        <v/>
      </c>
      <c r="F31" s="18" t="str">
        <f aca="false">IF($A31="","",SUMIFS(배차일보!$P$3:$P$502,배차일보!$B$3:$B$502,$A31,배차일보!$A$3:$A$502,"&gt;="&amp;DATE($B$3,$D$3,1),배차일보!$A$3:$A$502,"&lt;="&amp;EOMONTH(DATE($B$3,$D$3,1),0)))</f>
        <v/>
      </c>
    </row>
    <row r="32" customFormat="false" ht="15" hidden="false" customHeight="true" outlineLevel="0" collapsed="false">
      <c r="A32" s="21" t="str">
        <f aca="false">IF(차량목록!$A29="","",차량목록!$A29)</f>
        <v/>
      </c>
      <c r="B32" s="21" t="str">
        <f aca="false">IF($A32="","",차량목록!$B29)</f>
        <v/>
      </c>
      <c r="C32" s="21" t="str">
        <f aca="false">IF($A32="","",COUNTIFS(배차일보!$B$3:$B$502,$A32,배차일보!$A$3:$A$502,"&gt;="&amp;DATE($B$3,$D$3,1),배차일보!$A$3:$A$502,"&lt;="&amp;EOMONTH(DATE($B$3,$D$3,1),0)))</f>
        <v/>
      </c>
      <c r="D32" s="18" t="str">
        <f aca="false">IF($A32="","",SUMIFS(배차일보!$J$3:$J$502,배차일보!$B$3:$B$502,$A32,배차일보!$A$3:$A$502,"&gt;="&amp;DATE($B$3,$D$3,1),배차일보!$A$3:$A$502,"&lt;="&amp;EOMONTH(DATE($B$3,$D$3,1),0)))</f>
        <v/>
      </c>
      <c r="E32" s="20" t="str">
        <f aca="false">IF($A32="","",차량목록!$D29)</f>
        <v/>
      </c>
      <c r="F32" s="18" t="str">
        <f aca="false">IF($A32="","",SUMIFS(배차일보!$P$3:$P$502,배차일보!$B$3:$B$502,$A32,배차일보!$A$3:$A$502,"&gt;="&amp;DATE($B$3,$D$3,1),배차일보!$A$3:$A$502,"&lt;="&amp;EOMONTH(DATE($B$3,$D$3,1),0)))</f>
        <v/>
      </c>
    </row>
    <row r="33" customFormat="false" ht="15" hidden="false" customHeight="true" outlineLevel="0" collapsed="false">
      <c r="A33" s="21" t="str">
        <f aca="false">IF(차량목록!$A30="","",차량목록!$A30)</f>
        <v/>
      </c>
      <c r="B33" s="21" t="str">
        <f aca="false">IF($A33="","",차량목록!$B30)</f>
        <v/>
      </c>
      <c r="C33" s="21" t="str">
        <f aca="false">IF($A33="","",COUNTIFS(배차일보!$B$3:$B$502,$A33,배차일보!$A$3:$A$502,"&gt;="&amp;DATE($B$3,$D$3,1),배차일보!$A$3:$A$502,"&lt;="&amp;EOMONTH(DATE($B$3,$D$3,1),0)))</f>
        <v/>
      </c>
      <c r="D33" s="18" t="str">
        <f aca="false">IF($A33="","",SUMIFS(배차일보!$J$3:$J$502,배차일보!$B$3:$B$502,$A33,배차일보!$A$3:$A$502,"&gt;="&amp;DATE($B$3,$D$3,1),배차일보!$A$3:$A$502,"&lt;="&amp;EOMONTH(DATE($B$3,$D$3,1),0)))</f>
        <v/>
      </c>
      <c r="E33" s="20" t="str">
        <f aca="false">IF($A33="","",차량목록!$D30)</f>
        <v/>
      </c>
      <c r="F33" s="18" t="str">
        <f aca="false">IF($A33="","",SUMIFS(배차일보!$P$3:$P$502,배차일보!$B$3:$B$502,$A33,배차일보!$A$3:$A$502,"&gt;="&amp;DATE($B$3,$D$3,1),배차일보!$A$3:$A$502,"&lt;="&amp;EOMONTH(DATE($B$3,$D$3,1),0)))</f>
        <v/>
      </c>
    </row>
    <row r="34" customFormat="false" ht="15" hidden="false" customHeight="true" outlineLevel="0" collapsed="false">
      <c r="A34" s="21" t="str">
        <f aca="false">IF(차량목록!$A31="","",차량목록!$A31)</f>
        <v/>
      </c>
      <c r="B34" s="21" t="str">
        <f aca="false">IF($A34="","",차량목록!$B31)</f>
        <v/>
      </c>
      <c r="C34" s="21" t="str">
        <f aca="false">IF($A34="","",COUNTIFS(배차일보!$B$3:$B$502,$A34,배차일보!$A$3:$A$502,"&gt;="&amp;DATE($B$3,$D$3,1),배차일보!$A$3:$A$502,"&lt;="&amp;EOMONTH(DATE($B$3,$D$3,1),0)))</f>
        <v/>
      </c>
      <c r="D34" s="18" t="str">
        <f aca="false">IF($A34="","",SUMIFS(배차일보!$J$3:$J$502,배차일보!$B$3:$B$502,$A34,배차일보!$A$3:$A$502,"&gt;="&amp;DATE($B$3,$D$3,1),배차일보!$A$3:$A$502,"&lt;="&amp;EOMONTH(DATE($B$3,$D$3,1),0)))</f>
        <v/>
      </c>
      <c r="E34" s="20" t="str">
        <f aca="false">IF($A34="","",차량목록!$D31)</f>
        <v/>
      </c>
      <c r="F34" s="18" t="str">
        <f aca="false">IF($A34="","",SUMIFS(배차일보!$P$3:$P$502,배차일보!$B$3:$B$502,$A34,배차일보!$A$3:$A$502,"&gt;="&amp;DATE($B$3,$D$3,1),배차일보!$A$3:$A$502,"&lt;="&amp;EOMONTH(DATE($B$3,$D$3,1),0)))</f>
        <v/>
      </c>
    </row>
    <row r="35" customFormat="false" ht="15" hidden="false" customHeight="true" outlineLevel="0" collapsed="false">
      <c r="A35" s="21" t="str">
        <f aca="false">IF(차량목록!$A32="","",차량목록!$A32)</f>
        <v/>
      </c>
      <c r="B35" s="21" t="str">
        <f aca="false">IF($A35="","",차량목록!$B32)</f>
        <v/>
      </c>
      <c r="C35" s="21" t="str">
        <f aca="false">IF($A35="","",COUNTIFS(배차일보!$B$3:$B$502,$A35,배차일보!$A$3:$A$502,"&gt;="&amp;DATE($B$3,$D$3,1),배차일보!$A$3:$A$502,"&lt;="&amp;EOMONTH(DATE($B$3,$D$3,1),0)))</f>
        <v/>
      </c>
      <c r="D35" s="18" t="str">
        <f aca="false">IF($A35="","",SUMIFS(배차일보!$J$3:$J$502,배차일보!$B$3:$B$502,$A35,배차일보!$A$3:$A$502,"&gt;="&amp;DATE($B$3,$D$3,1),배차일보!$A$3:$A$502,"&lt;="&amp;EOMONTH(DATE($B$3,$D$3,1),0)))</f>
        <v/>
      </c>
      <c r="E35" s="20" t="str">
        <f aca="false">IF($A35="","",차량목록!$D32)</f>
        <v/>
      </c>
      <c r="F35" s="18" t="str">
        <f aca="false">IF($A35="","",SUMIFS(배차일보!$P$3:$P$502,배차일보!$B$3:$B$502,$A35,배차일보!$A$3:$A$502,"&gt;="&amp;DATE($B$3,$D$3,1),배차일보!$A$3:$A$502,"&lt;="&amp;EOMONTH(DATE($B$3,$D$3,1),0)))</f>
        <v/>
      </c>
    </row>
    <row r="36" customFormat="false" ht="15" hidden="false" customHeight="true" outlineLevel="0" collapsed="false">
      <c r="A36" s="21" t="str">
        <f aca="false">IF(차량목록!$A33="","",차량목록!$A33)</f>
        <v/>
      </c>
      <c r="B36" s="21" t="str">
        <f aca="false">IF($A36="","",차량목록!$B33)</f>
        <v/>
      </c>
      <c r="C36" s="21" t="str">
        <f aca="false">IF($A36="","",COUNTIFS(배차일보!$B$3:$B$502,$A36,배차일보!$A$3:$A$502,"&gt;="&amp;DATE($B$3,$D$3,1),배차일보!$A$3:$A$502,"&lt;="&amp;EOMONTH(DATE($B$3,$D$3,1),0)))</f>
        <v/>
      </c>
      <c r="D36" s="18" t="str">
        <f aca="false">IF($A36="","",SUMIFS(배차일보!$J$3:$J$502,배차일보!$B$3:$B$502,$A36,배차일보!$A$3:$A$502,"&gt;="&amp;DATE($B$3,$D$3,1),배차일보!$A$3:$A$502,"&lt;="&amp;EOMONTH(DATE($B$3,$D$3,1),0)))</f>
        <v/>
      </c>
      <c r="E36" s="20" t="str">
        <f aca="false">IF($A36="","",차량목록!$D33)</f>
        <v/>
      </c>
      <c r="F36" s="18" t="str">
        <f aca="false">IF($A36="","",SUMIFS(배차일보!$P$3:$P$502,배차일보!$B$3:$B$502,$A36,배차일보!$A$3:$A$502,"&gt;="&amp;DATE($B$3,$D$3,1),배차일보!$A$3:$A$502,"&lt;="&amp;EOMONTH(DATE($B$3,$D$3,1),0)))</f>
        <v/>
      </c>
    </row>
    <row r="37" customFormat="false" ht="15" hidden="false" customHeight="true" outlineLevel="0" collapsed="false">
      <c r="A37" s="21" t="str">
        <f aca="false">IF(차량목록!$A34="","",차량목록!$A34)</f>
        <v/>
      </c>
      <c r="B37" s="21" t="str">
        <f aca="false">IF($A37="","",차량목록!$B34)</f>
        <v/>
      </c>
      <c r="C37" s="21" t="str">
        <f aca="false">IF($A37="","",COUNTIFS(배차일보!$B$3:$B$502,$A37,배차일보!$A$3:$A$502,"&gt;="&amp;DATE($B$3,$D$3,1),배차일보!$A$3:$A$502,"&lt;="&amp;EOMONTH(DATE($B$3,$D$3,1),0)))</f>
        <v/>
      </c>
      <c r="D37" s="18" t="str">
        <f aca="false">IF($A37="","",SUMIFS(배차일보!$J$3:$J$502,배차일보!$B$3:$B$502,$A37,배차일보!$A$3:$A$502,"&gt;="&amp;DATE($B$3,$D$3,1),배차일보!$A$3:$A$502,"&lt;="&amp;EOMONTH(DATE($B$3,$D$3,1),0)))</f>
        <v/>
      </c>
      <c r="E37" s="20" t="str">
        <f aca="false">IF($A37="","",차량목록!$D34)</f>
        <v/>
      </c>
      <c r="F37" s="18" t="str">
        <f aca="false">IF($A37="","",SUMIFS(배차일보!$P$3:$P$502,배차일보!$B$3:$B$502,$A37,배차일보!$A$3:$A$502,"&gt;="&amp;DATE($B$3,$D$3,1),배차일보!$A$3:$A$502,"&lt;="&amp;EOMONTH(DATE($B$3,$D$3,1),0)))</f>
        <v/>
      </c>
    </row>
    <row r="38" customFormat="false" ht="15" hidden="false" customHeight="true" outlineLevel="0" collapsed="false">
      <c r="A38" s="21" t="str">
        <f aca="false">IF(차량목록!$A35="","",차량목록!$A35)</f>
        <v/>
      </c>
      <c r="B38" s="21" t="str">
        <f aca="false">IF($A38="","",차량목록!$B35)</f>
        <v/>
      </c>
      <c r="C38" s="21" t="str">
        <f aca="false">IF($A38="","",COUNTIFS(배차일보!$B$3:$B$502,$A38,배차일보!$A$3:$A$502,"&gt;="&amp;DATE($B$3,$D$3,1),배차일보!$A$3:$A$502,"&lt;="&amp;EOMONTH(DATE($B$3,$D$3,1),0)))</f>
        <v/>
      </c>
      <c r="D38" s="18" t="str">
        <f aca="false">IF($A38="","",SUMIFS(배차일보!$J$3:$J$502,배차일보!$B$3:$B$502,$A38,배차일보!$A$3:$A$502,"&gt;="&amp;DATE($B$3,$D$3,1),배차일보!$A$3:$A$502,"&lt;="&amp;EOMONTH(DATE($B$3,$D$3,1),0)))</f>
        <v/>
      </c>
      <c r="E38" s="20" t="str">
        <f aca="false">IF($A38="","",차량목록!$D35)</f>
        <v/>
      </c>
      <c r="F38" s="18" t="str">
        <f aca="false">IF($A38="","",SUMIFS(배차일보!$P$3:$P$502,배차일보!$B$3:$B$502,$A38,배차일보!$A$3:$A$502,"&gt;="&amp;DATE($B$3,$D$3,1),배차일보!$A$3:$A$502,"&lt;="&amp;EOMONTH(DATE($B$3,$D$3,1),0)))</f>
        <v/>
      </c>
    </row>
    <row r="39" customFormat="false" ht="15" hidden="false" customHeight="true" outlineLevel="0" collapsed="false">
      <c r="A39" s="21" t="str">
        <f aca="false">IF(차량목록!$A36="","",차량목록!$A36)</f>
        <v/>
      </c>
      <c r="B39" s="21" t="str">
        <f aca="false">IF($A39="","",차량목록!$B36)</f>
        <v/>
      </c>
      <c r="C39" s="21" t="str">
        <f aca="false">IF($A39="","",COUNTIFS(배차일보!$B$3:$B$502,$A39,배차일보!$A$3:$A$502,"&gt;="&amp;DATE($B$3,$D$3,1),배차일보!$A$3:$A$502,"&lt;="&amp;EOMONTH(DATE($B$3,$D$3,1),0)))</f>
        <v/>
      </c>
      <c r="D39" s="18" t="str">
        <f aca="false">IF($A39="","",SUMIFS(배차일보!$J$3:$J$502,배차일보!$B$3:$B$502,$A39,배차일보!$A$3:$A$502,"&gt;="&amp;DATE($B$3,$D$3,1),배차일보!$A$3:$A$502,"&lt;="&amp;EOMONTH(DATE($B$3,$D$3,1),0)))</f>
        <v/>
      </c>
      <c r="E39" s="20" t="str">
        <f aca="false">IF($A39="","",차량목록!$D36)</f>
        <v/>
      </c>
      <c r="F39" s="18" t="str">
        <f aca="false">IF($A39="","",SUMIFS(배차일보!$P$3:$P$502,배차일보!$B$3:$B$502,$A39,배차일보!$A$3:$A$502,"&gt;="&amp;DATE($B$3,$D$3,1),배차일보!$A$3:$A$502,"&lt;="&amp;EOMONTH(DATE($B$3,$D$3,1),0)))</f>
        <v/>
      </c>
    </row>
    <row r="40" customFormat="false" ht="15" hidden="false" customHeight="true" outlineLevel="0" collapsed="false">
      <c r="A40" s="21" t="str">
        <f aca="false">IF(차량목록!$A37="","",차량목록!$A37)</f>
        <v/>
      </c>
      <c r="B40" s="21" t="str">
        <f aca="false">IF($A40="","",차량목록!$B37)</f>
        <v/>
      </c>
      <c r="C40" s="21" t="str">
        <f aca="false">IF($A40="","",COUNTIFS(배차일보!$B$3:$B$502,$A40,배차일보!$A$3:$A$502,"&gt;="&amp;DATE($B$3,$D$3,1),배차일보!$A$3:$A$502,"&lt;="&amp;EOMONTH(DATE($B$3,$D$3,1),0)))</f>
        <v/>
      </c>
      <c r="D40" s="18" t="str">
        <f aca="false">IF($A40="","",SUMIFS(배차일보!$J$3:$J$502,배차일보!$B$3:$B$502,$A40,배차일보!$A$3:$A$502,"&gt;="&amp;DATE($B$3,$D$3,1),배차일보!$A$3:$A$502,"&lt;="&amp;EOMONTH(DATE($B$3,$D$3,1),0)))</f>
        <v/>
      </c>
      <c r="E40" s="20" t="str">
        <f aca="false">IF($A40="","",차량목록!$D37)</f>
        <v/>
      </c>
      <c r="F40" s="18" t="str">
        <f aca="false">IF($A40="","",SUMIFS(배차일보!$P$3:$P$502,배차일보!$B$3:$B$502,$A40,배차일보!$A$3:$A$502,"&gt;="&amp;DATE($B$3,$D$3,1),배차일보!$A$3:$A$502,"&lt;="&amp;EOMONTH(DATE($B$3,$D$3,1),0)))</f>
        <v/>
      </c>
    </row>
    <row r="41" customFormat="false" ht="15" hidden="false" customHeight="true" outlineLevel="0" collapsed="false">
      <c r="A41" s="21" t="str">
        <f aca="false">IF(차량목록!$A38="","",차량목록!$A38)</f>
        <v/>
      </c>
      <c r="B41" s="21" t="str">
        <f aca="false">IF($A41="","",차량목록!$B38)</f>
        <v/>
      </c>
      <c r="C41" s="21" t="str">
        <f aca="false">IF($A41="","",COUNTIFS(배차일보!$B$3:$B$502,$A41,배차일보!$A$3:$A$502,"&gt;="&amp;DATE($B$3,$D$3,1),배차일보!$A$3:$A$502,"&lt;="&amp;EOMONTH(DATE($B$3,$D$3,1),0)))</f>
        <v/>
      </c>
      <c r="D41" s="18" t="str">
        <f aca="false">IF($A41="","",SUMIFS(배차일보!$J$3:$J$502,배차일보!$B$3:$B$502,$A41,배차일보!$A$3:$A$502,"&gt;="&amp;DATE($B$3,$D$3,1),배차일보!$A$3:$A$502,"&lt;="&amp;EOMONTH(DATE($B$3,$D$3,1),0)))</f>
        <v/>
      </c>
      <c r="E41" s="20" t="str">
        <f aca="false">IF($A41="","",차량목록!$D38)</f>
        <v/>
      </c>
      <c r="F41" s="18" t="str">
        <f aca="false">IF($A41="","",SUMIFS(배차일보!$P$3:$P$502,배차일보!$B$3:$B$502,$A41,배차일보!$A$3:$A$502,"&gt;="&amp;DATE($B$3,$D$3,1),배차일보!$A$3:$A$502,"&lt;="&amp;EOMONTH(DATE($B$3,$D$3,1),0)))</f>
        <v/>
      </c>
    </row>
    <row r="42" customFormat="false" ht="15" hidden="false" customHeight="true" outlineLevel="0" collapsed="false">
      <c r="A42" s="21" t="str">
        <f aca="false">IF(차량목록!$A39="","",차량목록!$A39)</f>
        <v/>
      </c>
      <c r="B42" s="21" t="str">
        <f aca="false">IF($A42="","",차량목록!$B39)</f>
        <v/>
      </c>
      <c r="C42" s="21" t="str">
        <f aca="false">IF($A42="","",COUNTIFS(배차일보!$B$3:$B$502,$A42,배차일보!$A$3:$A$502,"&gt;="&amp;DATE($B$3,$D$3,1),배차일보!$A$3:$A$502,"&lt;="&amp;EOMONTH(DATE($B$3,$D$3,1),0)))</f>
        <v/>
      </c>
      <c r="D42" s="18" t="str">
        <f aca="false">IF($A42="","",SUMIFS(배차일보!$J$3:$J$502,배차일보!$B$3:$B$502,$A42,배차일보!$A$3:$A$502,"&gt;="&amp;DATE($B$3,$D$3,1),배차일보!$A$3:$A$502,"&lt;="&amp;EOMONTH(DATE($B$3,$D$3,1),0)))</f>
        <v/>
      </c>
      <c r="E42" s="20" t="str">
        <f aca="false">IF($A42="","",차량목록!$D39)</f>
        <v/>
      </c>
      <c r="F42" s="18" t="str">
        <f aca="false">IF($A42="","",SUMIFS(배차일보!$P$3:$P$502,배차일보!$B$3:$B$502,$A42,배차일보!$A$3:$A$502,"&gt;="&amp;DATE($B$3,$D$3,1),배차일보!$A$3:$A$502,"&lt;="&amp;EOMONTH(DATE($B$3,$D$3,1),0)))</f>
        <v/>
      </c>
    </row>
    <row r="43" customFormat="false" ht="15" hidden="false" customHeight="true" outlineLevel="0" collapsed="false">
      <c r="A43" s="21" t="str">
        <f aca="false">IF(차량목록!$A40="","",차량목록!$A40)</f>
        <v/>
      </c>
      <c r="B43" s="21" t="str">
        <f aca="false">IF($A43="","",차량목록!$B40)</f>
        <v/>
      </c>
      <c r="C43" s="21" t="str">
        <f aca="false">IF($A43="","",COUNTIFS(배차일보!$B$3:$B$502,$A43,배차일보!$A$3:$A$502,"&gt;="&amp;DATE($B$3,$D$3,1),배차일보!$A$3:$A$502,"&lt;="&amp;EOMONTH(DATE($B$3,$D$3,1),0)))</f>
        <v/>
      </c>
      <c r="D43" s="18" t="str">
        <f aca="false">IF($A43="","",SUMIFS(배차일보!$J$3:$J$502,배차일보!$B$3:$B$502,$A43,배차일보!$A$3:$A$502,"&gt;="&amp;DATE($B$3,$D$3,1),배차일보!$A$3:$A$502,"&lt;="&amp;EOMONTH(DATE($B$3,$D$3,1),0)))</f>
        <v/>
      </c>
      <c r="E43" s="20" t="str">
        <f aca="false">IF($A43="","",차량목록!$D40)</f>
        <v/>
      </c>
      <c r="F43" s="18" t="str">
        <f aca="false">IF($A43="","",SUMIFS(배차일보!$P$3:$P$502,배차일보!$B$3:$B$502,$A43,배차일보!$A$3:$A$502,"&gt;="&amp;DATE($B$3,$D$3,1),배차일보!$A$3:$A$502,"&lt;="&amp;EOMONTH(DATE($B$3,$D$3,1),0)))</f>
        <v/>
      </c>
    </row>
    <row r="44" customFormat="false" ht="15" hidden="false" customHeight="true" outlineLevel="0" collapsed="false">
      <c r="A44" s="21" t="str">
        <f aca="false">IF(차량목록!$A41="","",차량목록!$A41)</f>
        <v/>
      </c>
      <c r="B44" s="21" t="str">
        <f aca="false">IF($A44="","",차량목록!$B41)</f>
        <v/>
      </c>
      <c r="C44" s="21" t="str">
        <f aca="false">IF($A44="","",COUNTIFS(배차일보!$B$3:$B$502,$A44,배차일보!$A$3:$A$502,"&gt;="&amp;DATE($B$3,$D$3,1),배차일보!$A$3:$A$502,"&lt;="&amp;EOMONTH(DATE($B$3,$D$3,1),0)))</f>
        <v/>
      </c>
      <c r="D44" s="18" t="str">
        <f aca="false">IF($A44="","",SUMIFS(배차일보!$J$3:$J$502,배차일보!$B$3:$B$502,$A44,배차일보!$A$3:$A$502,"&gt;="&amp;DATE($B$3,$D$3,1),배차일보!$A$3:$A$502,"&lt;="&amp;EOMONTH(DATE($B$3,$D$3,1),0)))</f>
        <v/>
      </c>
      <c r="E44" s="20" t="str">
        <f aca="false">IF($A44="","",차량목록!$D41)</f>
        <v/>
      </c>
      <c r="F44" s="18" t="str">
        <f aca="false">IF($A44="","",SUMIFS(배차일보!$P$3:$P$502,배차일보!$B$3:$B$502,$A44,배차일보!$A$3:$A$502,"&gt;="&amp;DATE($B$3,$D$3,1),배차일보!$A$3:$A$502,"&lt;="&amp;EOMONTH(DATE($B$3,$D$3,1),0)))</f>
        <v/>
      </c>
    </row>
    <row r="45" customFormat="false" ht="15" hidden="false" customHeight="true" outlineLevel="0" collapsed="false">
      <c r="A45" s="21" t="str">
        <f aca="false">IF(차량목록!$A42="","",차량목록!$A42)</f>
        <v/>
      </c>
      <c r="B45" s="21" t="str">
        <f aca="false">IF($A45="","",차량목록!$B42)</f>
        <v/>
      </c>
      <c r="C45" s="21" t="str">
        <f aca="false">IF($A45="","",COUNTIFS(배차일보!$B$3:$B$502,$A45,배차일보!$A$3:$A$502,"&gt;="&amp;DATE($B$3,$D$3,1),배차일보!$A$3:$A$502,"&lt;="&amp;EOMONTH(DATE($B$3,$D$3,1),0)))</f>
        <v/>
      </c>
      <c r="D45" s="18" t="str">
        <f aca="false">IF($A45="","",SUMIFS(배차일보!$J$3:$J$502,배차일보!$B$3:$B$502,$A45,배차일보!$A$3:$A$502,"&gt;="&amp;DATE($B$3,$D$3,1),배차일보!$A$3:$A$502,"&lt;="&amp;EOMONTH(DATE($B$3,$D$3,1),0)))</f>
        <v/>
      </c>
      <c r="E45" s="20" t="str">
        <f aca="false">IF($A45="","",차량목록!$D42)</f>
        <v/>
      </c>
      <c r="F45" s="18" t="str">
        <f aca="false">IF($A45="","",SUMIFS(배차일보!$P$3:$P$502,배차일보!$B$3:$B$502,$A45,배차일보!$A$3:$A$502,"&gt;="&amp;DATE($B$3,$D$3,1),배차일보!$A$3:$A$502,"&lt;="&amp;EOMONTH(DATE($B$3,$D$3,1),0)))</f>
        <v/>
      </c>
    </row>
    <row r="47" customFormat="false" ht="15" hidden="false" customHeight="true" outlineLevel="0" collapsed="false">
      <c r="B47" s="22" t="s">
        <v>65</v>
      </c>
      <c r="C47" s="22" t="n">
        <f aca="false">SUM(C6:C45)</f>
        <v>0</v>
      </c>
      <c r="D47" s="23" t="n">
        <f aca="false">SUM(D6:D45)</f>
        <v>0</v>
      </c>
      <c r="F47" s="23" t="n">
        <f aca="false">SUM(F6:F45)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2026-09-13T14:00:14Z</dcterms:created>
  <dc:creator>openpyxl</dc:creator>
  <dc:description/>
  <dc:language>en-US</dc:language>
  <cp:lastModifiedBy/>
  <dcterms:modified xsi:type="dcterms:W3CDTF">2026-09-13T14:21:44Z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